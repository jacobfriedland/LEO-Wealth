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Shared\Leo Wealth\Investment Committee\General\Model Tracking\Current Portfolio\"/>
    </mc:Choice>
  </mc:AlternateContent>
  <xr:revisionPtr revIDLastSave="0" documentId="13_ncr:1_{CA4A1D9F-CD45-442F-A7EB-7F5DC443D26E}" xr6:coauthVersionLast="47" xr6:coauthVersionMax="47" xr10:uidLastSave="{00000000-0000-0000-0000-000000000000}"/>
  <bookViews>
    <workbookView xWindow="38280" yWindow="-90" windowWidth="38640" windowHeight="21120" activeTab="14" xr2:uid="{7095981E-5FA8-43BB-B826-BD079136881E}"/>
  </bookViews>
  <sheets>
    <sheet name="Copy ETF to VO" sheetId="31" r:id="rId1"/>
    <sheet name="Single Stock" sheetId="1" r:id="rId2"/>
    <sheet name="GBP" sheetId="23" r:id="rId3"/>
    <sheet name="USD" sheetId="22" r:id="rId4"/>
    <sheet name="EUR" sheetId="24" r:id="rId5"/>
    <sheet name="AUD" sheetId="25" r:id="rId6"/>
    <sheet name="Vanguard" sheetId="33" r:id="rId7"/>
    <sheet name="ETF IBKR Upload" sheetId="30" r:id="rId8"/>
    <sheet name="SS IBKR Upload" sheetId="3" r:id="rId9"/>
    <sheet name="USD VO" sheetId="26" r:id="rId10"/>
    <sheet name="GBP VO" sheetId="27" r:id="rId11"/>
    <sheet name="EUR VO" sheetId="28" r:id="rId12"/>
    <sheet name="AUD VO" sheetId="29" r:id="rId13"/>
    <sheet name="Single Stock VO" sheetId="21" r:id="rId14"/>
    <sheet name="Fiduciary" sheetId="34" r:id="rId15"/>
  </sheets>
  <definedNames>
    <definedName name="_xlnm._FilterDatabase" localSheetId="13" hidden="1">'Single Stock VO'!$O$4:$RK$43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2" i="29" l="1"/>
  <c r="X33" i="29" s="1"/>
  <c r="X34" i="29" s="1"/>
  <c r="X18" i="29" s="1"/>
  <c r="V32" i="29"/>
  <c r="V33" i="29" s="1"/>
  <c r="V34" i="29" s="1"/>
  <c r="T32" i="29"/>
  <c r="T33" i="29" s="1"/>
  <c r="T34" i="29" s="1"/>
  <c r="T18" i="29" s="1"/>
  <c r="R32" i="29"/>
  <c r="R33" i="29" s="1"/>
  <c r="R34" i="29" s="1"/>
  <c r="R18" i="29" s="1"/>
  <c r="S26" i="29"/>
  <c r="Q26" i="29"/>
  <c r="Q25" i="29"/>
  <c r="W24" i="29"/>
  <c r="U24" i="29"/>
  <c r="S24" i="29"/>
  <c r="Q24" i="29"/>
  <c r="W22" i="29"/>
  <c r="U22" i="29"/>
  <c r="S22" i="29"/>
  <c r="Q22" i="29"/>
  <c r="W18" i="29"/>
  <c r="W26" i="29" s="1"/>
  <c r="U18" i="29"/>
  <c r="U26" i="29" s="1"/>
  <c r="S18" i="29"/>
  <c r="Q18" i="29"/>
  <c r="W17" i="29"/>
  <c r="X17" i="29" s="1"/>
  <c r="U17" i="29"/>
  <c r="V17" i="29" s="1"/>
  <c r="S17" i="29"/>
  <c r="T17" i="29" s="1"/>
  <c r="W16" i="29"/>
  <c r="X16" i="29" s="1"/>
  <c r="U16" i="29"/>
  <c r="V16" i="29" s="1"/>
  <c r="S16" i="29"/>
  <c r="T16" i="29" s="1"/>
  <c r="W15" i="29"/>
  <c r="X15" i="29" s="1"/>
  <c r="U15" i="29"/>
  <c r="V15" i="29" s="1"/>
  <c r="S15" i="29"/>
  <c r="T15" i="29" s="1"/>
  <c r="W14" i="29"/>
  <c r="W25" i="29" s="1"/>
  <c r="U14" i="29"/>
  <c r="U25" i="29" s="1"/>
  <c r="S14" i="29"/>
  <c r="S25" i="29" s="1"/>
  <c r="W12" i="29"/>
  <c r="X12" i="29" s="1"/>
  <c r="U12" i="29"/>
  <c r="S12" i="29"/>
  <c r="T12" i="29" s="1"/>
  <c r="Q12" i="29"/>
  <c r="R12" i="29" s="1"/>
  <c r="W11" i="29"/>
  <c r="X11" i="29" s="1"/>
  <c r="U11" i="29"/>
  <c r="S11" i="29"/>
  <c r="T11" i="29" s="1"/>
  <c r="Q11" i="29"/>
  <c r="R11" i="29" s="1"/>
  <c r="W10" i="29"/>
  <c r="X10" i="29" s="1"/>
  <c r="U10" i="29"/>
  <c r="V10" i="29" s="1"/>
  <c r="S10" i="29"/>
  <c r="T10" i="29" s="1"/>
  <c r="Q10" i="29"/>
  <c r="Q23" i="29" s="1"/>
  <c r="W9" i="29"/>
  <c r="W23" i="29" s="1"/>
  <c r="U9" i="29"/>
  <c r="U23" i="29" s="1"/>
  <c r="S9" i="29"/>
  <c r="T9" i="29" s="1"/>
  <c r="Q9" i="29"/>
  <c r="R9" i="29" s="1"/>
  <c r="W8" i="29"/>
  <c r="X8" i="29" s="1"/>
  <c r="U8" i="29"/>
  <c r="V8" i="29" s="1"/>
  <c r="S8" i="29"/>
  <c r="T8" i="29" s="1"/>
  <c r="Q8" i="29"/>
  <c r="R8" i="29" s="1"/>
  <c r="W7" i="29"/>
  <c r="X7" i="29" s="1"/>
  <c r="U7" i="29"/>
  <c r="V7" i="29" s="1"/>
  <c r="S7" i="29"/>
  <c r="T7" i="29" s="1"/>
  <c r="Q7" i="29"/>
  <c r="R7" i="29" s="1"/>
  <c r="W6" i="29"/>
  <c r="W20" i="29" s="1"/>
  <c r="U6" i="29"/>
  <c r="S6" i="29"/>
  <c r="S19" i="29" s="1"/>
  <c r="S28" i="29" s="1"/>
  <c r="Q6" i="29"/>
  <c r="W5" i="29"/>
  <c r="X5" i="29" s="1"/>
  <c r="U5" i="29"/>
  <c r="S5" i="29"/>
  <c r="T5" i="29" s="1"/>
  <c r="Q5" i="29"/>
  <c r="R5" i="29" s="1"/>
  <c r="W4" i="29"/>
  <c r="W21" i="29" s="1"/>
  <c r="U4" i="29"/>
  <c r="U21" i="29" s="1"/>
  <c r="S4" i="29"/>
  <c r="S21" i="29" s="1"/>
  <c r="Q4" i="29"/>
  <c r="Q21" i="29" s="1"/>
  <c r="X34" i="28"/>
  <c r="X35" i="28" s="1"/>
  <c r="X36" i="28" s="1"/>
  <c r="V34" i="28"/>
  <c r="V35" i="28" s="1"/>
  <c r="V36" i="28" s="1"/>
  <c r="T34" i="28"/>
  <c r="T35" i="28" s="1"/>
  <c r="T36" i="28" s="1"/>
  <c r="R34" i="28"/>
  <c r="R35" i="28" s="1"/>
  <c r="R36" i="28" s="1"/>
  <c r="R20" i="28" s="1"/>
  <c r="S28" i="28"/>
  <c r="Q28" i="28"/>
  <c r="Q27" i="28"/>
  <c r="W26" i="28"/>
  <c r="U26" i="28"/>
  <c r="S26" i="28"/>
  <c r="Q26" i="28"/>
  <c r="W20" i="28"/>
  <c r="W28" i="28" s="1"/>
  <c r="U20" i="28"/>
  <c r="U28" i="28" s="1"/>
  <c r="S20" i="28"/>
  <c r="Q20" i="28"/>
  <c r="W19" i="28"/>
  <c r="U19" i="28"/>
  <c r="V19" i="28" s="1"/>
  <c r="S19" i="28"/>
  <c r="W18" i="28"/>
  <c r="X18" i="28" s="1"/>
  <c r="U18" i="28"/>
  <c r="V18" i="28" s="1"/>
  <c r="S18" i="28"/>
  <c r="T18" i="28" s="1"/>
  <c r="W17" i="28"/>
  <c r="X17" i="28" s="1"/>
  <c r="U17" i="28"/>
  <c r="V17" i="28" s="1"/>
  <c r="S17" i="28"/>
  <c r="T17" i="28" s="1"/>
  <c r="W16" i="28"/>
  <c r="X16" i="28" s="1"/>
  <c r="U16" i="28"/>
  <c r="V16" i="28" s="1"/>
  <c r="S16" i="28"/>
  <c r="T16" i="28" s="1"/>
  <c r="W15" i="28"/>
  <c r="X15" i="28" s="1"/>
  <c r="U15" i="28"/>
  <c r="V15" i="28" s="1"/>
  <c r="S15" i="28"/>
  <c r="W14" i="28"/>
  <c r="X14" i="28" s="1"/>
  <c r="U14" i="28"/>
  <c r="S14" i="28"/>
  <c r="T14" i="28" s="1"/>
  <c r="W12" i="28"/>
  <c r="X12" i="28" s="1"/>
  <c r="U12" i="28"/>
  <c r="V12" i="28" s="1"/>
  <c r="S12" i="28"/>
  <c r="T12" i="28" s="1"/>
  <c r="Q12" i="28"/>
  <c r="R12" i="28" s="1"/>
  <c r="W11" i="28"/>
  <c r="X11" i="28" s="1"/>
  <c r="U11" i="28"/>
  <c r="V11" i="28" s="1"/>
  <c r="S11" i="28"/>
  <c r="T11" i="28" s="1"/>
  <c r="Q11" i="28"/>
  <c r="R11" i="28" s="1"/>
  <c r="W10" i="28"/>
  <c r="X10" i="28" s="1"/>
  <c r="U10" i="28"/>
  <c r="V10" i="28" s="1"/>
  <c r="S10" i="28"/>
  <c r="Q10" i="28"/>
  <c r="R10" i="28" s="1"/>
  <c r="W9" i="28"/>
  <c r="W25" i="28" s="1"/>
  <c r="U9" i="28"/>
  <c r="U25" i="28" s="1"/>
  <c r="S9" i="28"/>
  <c r="S25" i="28" s="1"/>
  <c r="Q9" i="28"/>
  <c r="Q25" i="28" s="1"/>
  <c r="W8" i="28"/>
  <c r="X8" i="28" s="1"/>
  <c r="U8" i="28"/>
  <c r="V8" i="28" s="1"/>
  <c r="S8" i="28"/>
  <c r="T8" i="28" s="1"/>
  <c r="Q8" i="28"/>
  <c r="R8" i="28" s="1"/>
  <c r="W7" i="28"/>
  <c r="W24" i="28" s="1"/>
  <c r="U7" i="28"/>
  <c r="V7" i="28" s="1"/>
  <c r="S7" i="28"/>
  <c r="T7" i="28" s="1"/>
  <c r="Q7" i="28"/>
  <c r="W6" i="28"/>
  <c r="U6" i="28"/>
  <c r="V6" i="28" s="1"/>
  <c r="S6" i="28"/>
  <c r="Q6" i="28"/>
  <c r="R6" i="28" s="1"/>
  <c r="W5" i="28"/>
  <c r="X5" i="28" s="1"/>
  <c r="U5" i="28"/>
  <c r="V5" i="28" s="1"/>
  <c r="S5" i="28"/>
  <c r="T5" i="28" s="1"/>
  <c r="Q5" i="28"/>
  <c r="R5" i="28" s="1"/>
  <c r="W4" i="28"/>
  <c r="W21" i="28" s="1"/>
  <c r="W30" i="28" s="1"/>
  <c r="U4" i="28"/>
  <c r="U22" i="28" s="1"/>
  <c r="S4" i="28"/>
  <c r="T4" i="28" s="1"/>
  <c r="Q4" i="28"/>
  <c r="R4" i="28" s="1"/>
  <c r="V35" i="27"/>
  <c r="V36" i="27" s="1"/>
  <c r="V20" i="27" s="1"/>
  <c r="X34" i="27"/>
  <c r="X35" i="27" s="1"/>
  <c r="X36" i="27" s="1"/>
  <c r="X20" i="27" s="1"/>
  <c r="V34" i="27"/>
  <c r="T34" i="27"/>
  <c r="T35" i="27" s="1"/>
  <c r="T36" i="27" s="1"/>
  <c r="R34" i="27"/>
  <c r="R35" i="27" s="1"/>
  <c r="R36" i="27" s="1"/>
  <c r="S28" i="27"/>
  <c r="Q28" i="27"/>
  <c r="Q27" i="27"/>
  <c r="W26" i="27"/>
  <c r="U26" i="27"/>
  <c r="S26" i="27"/>
  <c r="Q26" i="27"/>
  <c r="S24" i="27"/>
  <c r="Q24" i="27"/>
  <c r="W20" i="27"/>
  <c r="W28" i="27" s="1"/>
  <c r="U20" i="27"/>
  <c r="U28" i="27" s="1"/>
  <c r="S20" i="27"/>
  <c r="Q20" i="27"/>
  <c r="W19" i="27"/>
  <c r="X19" i="27" s="1"/>
  <c r="U19" i="27"/>
  <c r="V19" i="27" s="1"/>
  <c r="S19" i="27"/>
  <c r="T19" i="27" s="1"/>
  <c r="W18" i="27"/>
  <c r="X18" i="27" s="1"/>
  <c r="U18" i="27"/>
  <c r="V18" i="27" s="1"/>
  <c r="S18" i="27"/>
  <c r="T18" i="27" s="1"/>
  <c r="W17" i="27"/>
  <c r="X17" i="27" s="1"/>
  <c r="U17" i="27"/>
  <c r="V17" i="27" s="1"/>
  <c r="S17" i="27"/>
  <c r="T17" i="27" s="1"/>
  <c r="W16" i="27"/>
  <c r="W27" i="27" s="1"/>
  <c r="U16" i="27"/>
  <c r="U27" i="27" s="1"/>
  <c r="S16" i="27"/>
  <c r="S27" i="27" s="1"/>
  <c r="W15" i="27"/>
  <c r="X15" i="27" s="1"/>
  <c r="U15" i="27"/>
  <c r="V15" i="27" s="1"/>
  <c r="S15" i="27"/>
  <c r="T15" i="27" s="1"/>
  <c r="W14" i="27"/>
  <c r="X14" i="27" s="1"/>
  <c r="U14" i="27"/>
  <c r="V14" i="27" s="1"/>
  <c r="S14" i="27"/>
  <c r="T14" i="27" s="1"/>
  <c r="W12" i="27"/>
  <c r="X12" i="27" s="1"/>
  <c r="U12" i="27"/>
  <c r="V12" i="27" s="1"/>
  <c r="S12" i="27"/>
  <c r="T12" i="27" s="1"/>
  <c r="Q12" i="27"/>
  <c r="R12" i="27" s="1"/>
  <c r="W11" i="27"/>
  <c r="X11" i="27" s="1"/>
  <c r="U11" i="27"/>
  <c r="V11" i="27" s="1"/>
  <c r="S11" i="27"/>
  <c r="T11" i="27" s="1"/>
  <c r="Q11" i="27"/>
  <c r="R11" i="27" s="1"/>
  <c r="W10" i="27"/>
  <c r="X10" i="27" s="1"/>
  <c r="U10" i="27"/>
  <c r="V10" i="27" s="1"/>
  <c r="S10" i="27"/>
  <c r="T10" i="27" s="1"/>
  <c r="Q10" i="27"/>
  <c r="R10" i="27" s="1"/>
  <c r="W9" i="27"/>
  <c r="X9" i="27" s="1"/>
  <c r="U9" i="27"/>
  <c r="V9" i="27" s="1"/>
  <c r="S9" i="27"/>
  <c r="T9" i="27" s="1"/>
  <c r="Q9" i="27"/>
  <c r="R9" i="27" s="1"/>
  <c r="W8" i="27"/>
  <c r="X8" i="27" s="1"/>
  <c r="U8" i="27"/>
  <c r="V8" i="27" s="1"/>
  <c r="S8" i="27"/>
  <c r="T8" i="27" s="1"/>
  <c r="Q8" i="27"/>
  <c r="R8" i="27" s="1"/>
  <c r="W7" i="27"/>
  <c r="X7" i="27" s="1"/>
  <c r="U7" i="27"/>
  <c r="U24" i="27" s="1"/>
  <c r="S7" i="27"/>
  <c r="Q7" i="27"/>
  <c r="W6" i="27"/>
  <c r="W25" i="27" s="1"/>
  <c r="U6" i="27"/>
  <c r="V6" i="27" s="1"/>
  <c r="S6" i="27"/>
  <c r="S25" i="27" s="1"/>
  <c r="Q6" i="27"/>
  <c r="Q25" i="27" s="1"/>
  <c r="W5" i="27"/>
  <c r="X5" i="27" s="1"/>
  <c r="U5" i="27"/>
  <c r="V5" i="27" s="1"/>
  <c r="S5" i="27"/>
  <c r="T5" i="27" s="1"/>
  <c r="Q5" i="27"/>
  <c r="R5" i="27" s="1"/>
  <c r="W4" i="27"/>
  <c r="W23" i="27" s="1"/>
  <c r="U4" i="27"/>
  <c r="U22" i="27" s="1"/>
  <c r="S4" i="27"/>
  <c r="S21" i="27" s="1"/>
  <c r="S30" i="27" s="1"/>
  <c r="Q4" i="27"/>
  <c r="Q23" i="27" s="1"/>
  <c r="R421" i="26"/>
  <c r="R422" i="26" s="1"/>
  <c r="R420" i="26"/>
  <c r="Q414" i="26"/>
  <c r="Q413" i="26"/>
  <c r="R413" i="26" s="1"/>
  <c r="Q412" i="26"/>
  <c r="Q411" i="26"/>
  <c r="Q410" i="26"/>
  <c r="R410" i="26" s="1"/>
  <c r="Q409" i="26"/>
  <c r="R409" i="26" s="1"/>
  <c r="Q408" i="26"/>
  <c r="R408" i="26" s="1"/>
  <c r="Q407" i="26"/>
  <c r="R407" i="26" s="1"/>
  <c r="Q406" i="26"/>
  <c r="R406" i="26" s="1"/>
  <c r="Q405" i="26"/>
  <c r="R405" i="26" s="1"/>
  <c r="Q404" i="26"/>
  <c r="R404" i="26" s="1"/>
  <c r="Q403" i="26"/>
  <c r="R403" i="26" s="1"/>
  <c r="Q402" i="26"/>
  <c r="R402" i="26" s="1"/>
  <c r="R395" i="26"/>
  <c r="R396" i="26" s="1"/>
  <c r="R397" i="26" s="1"/>
  <c r="Q389" i="26"/>
  <c r="R389" i="26" s="1"/>
  <c r="Q388" i="26"/>
  <c r="Q387" i="26"/>
  <c r="Q386" i="26"/>
  <c r="R386" i="26" s="1"/>
  <c r="Q385" i="26"/>
  <c r="R385" i="26" s="1"/>
  <c r="Q384" i="26"/>
  <c r="R384" i="26" s="1"/>
  <c r="Q383" i="26"/>
  <c r="R383" i="26" s="1"/>
  <c r="Q382" i="26"/>
  <c r="Q381" i="26"/>
  <c r="R381" i="26" s="1"/>
  <c r="R380" i="26"/>
  <c r="Q380" i="26"/>
  <c r="R375" i="26"/>
  <c r="R374" i="26"/>
  <c r="R373" i="26"/>
  <c r="Q367" i="26"/>
  <c r="R367" i="26" s="1"/>
  <c r="Q366" i="26"/>
  <c r="R366" i="26" s="1"/>
  <c r="Q365" i="26"/>
  <c r="R365" i="26" s="1"/>
  <c r="Q364" i="26"/>
  <c r="Q363" i="26"/>
  <c r="Q362" i="26"/>
  <c r="Q369" i="26" s="1"/>
  <c r="R356" i="26"/>
  <c r="R357" i="26" s="1"/>
  <c r="R355" i="26"/>
  <c r="Q349" i="26"/>
  <c r="Q348" i="26"/>
  <c r="Q347" i="26"/>
  <c r="R347" i="26" s="1"/>
  <c r="Q346" i="26"/>
  <c r="R346" i="26" s="1"/>
  <c r="Q345" i="26"/>
  <c r="Q351" i="26" s="1"/>
  <c r="R339" i="26"/>
  <c r="R340" i="26" s="1"/>
  <c r="R338" i="26"/>
  <c r="Q332" i="26"/>
  <c r="Q331" i="26"/>
  <c r="Q330" i="26"/>
  <c r="Q329" i="26"/>
  <c r="Q328" i="26"/>
  <c r="Q327" i="26"/>
  <c r="Q334" i="26" s="1"/>
  <c r="R320" i="26"/>
  <c r="R321" i="26" s="1"/>
  <c r="R322" i="26" s="1"/>
  <c r="R314" i="26"/>
  <c r="Q314" i="26"/>
  <c r="Q313" i="26"/>
  <c r="R313" i="26" s="1"/>
  <c r="Q312" i="26"/>
  <c r="R312" i="26" s="1"/>
  <c r="Q311" i="26"/>
  <c r="Q316" i="26" s="1"/>
  <c r="Q310" i="26"/>
  <c r="R310" i="26" s="1"/>
  <c r="Q309" i="26"/>
  <c r="R309" i="26" s="1"/>
  <c r="R302" i="26"/>
  <c r="R303" i="26" s="1"/>
  <c r="R304" i="26" s="1"/>
  <c r="Q296" i="26"/>
  <c r="Q295" i="26"/>
  <c r="Q294" i="26"/>
  <c r="R294" i="26" s="1"/>
  <c r="Q293" i="26"/>
  <c r="R293" i="26" s="1"/>
  <c r="Q292" i="26"/>
  <c r="R292" i="26" s="1"/>
  <c r="Q291" i="26"/>
  <c r="R291" i="26" s="1"/>
  <c r="Q290" i="26"/>
  <c r="R290" i="26" s="1"/>
  <c r="Q289" i="26"/>
  <c r="R283" i="26"/>
  <c r="R284" i="26" s="1"/>
  <c r="R282" i="26"/>
  <c r="Q276" i="26"/>
  <c r="Q275" i="26"/>
  <c r="Q274" i="26"/>
  <c r="Q273" i="26"/>
  <c r="Q272" i="26"/>
  <c r="Q271" i="26"/>
  <c r="Q270" i="26"/>
  <c r="Q269" i="26"/>
  <c r="Q278" i="26" s="1"/>
  <c r="Q268" i="26"/>
  <c r="R261" i="26"/>
  <c r="R262" i="26" s="1"/>
  <c r="R263" i="26" s="1"/>
  <c r="R255" i="26"/>
  <c r="Q255" i="26"/>
  <c r="Q254" i="26"/>
  <c r="R254" i="26" s="1"/>
  <c r="Q253" i="26"/>
  <c r="Q257" i="26" s="1"/>
  <c r="Q252" i="26"/>
  <c r="R252" i="26" s="1"/>
  <c r="Q251" i="26"/>
  <c r="R251" i="26" s="1"/>
  <c r="Q250" i="26"/>
  <c r="R250" i="26" s="1"/>
  <c r="T244" i="26"/>
  <c r="T245" i="26" s="1"/>
  <c r="T233" i="26" s="1"/>
  <c r="R244" i="26"/>
  <c r="R245" i="26" s="1"/>
  <c r="X243" i="26"/>
  <c r="X244" i="26" s="1"/>
  <c r="X245" i="26" s="1"/>
  <c r="V243" i="26"/>
  <c r="V244" i="26" s="1"/>
  <c r="V245" i="26" s="1"/>
  <c r="V233" i="26" s="1"/>
  <c r="T243" i="26"/>
  <c r="R243" i="26"/>
  <c r="W238" i="26"/>
  <c r="U238" i="26"/>
  <c r="S238" i="26"/>
  <c r="U237" i="26"/>
  <c r="S237" i="26"/>
  <c r="W233" i="26"/>
  <c r="U233" i="26"/>
  <c r="S233" i="26"/>
  <c r="R233" i="26"/>
  <c r="Q233" i="26"/>
  <c r="Q238" i="26" s="1"/>
  <c r="W232" i="26"/>
  <c r="X232" i="26" s="1"/>
  <c r="U232" i="26"/>
  <c r="V232" i="26" s="1"/>
  <c r="S232" i="26"/>
  <c r="Q232" i="26"/>
  <c r="Q237" i="26" s="1"/>
  <c r="W230" i="26"/>
  <c r="W236" i="26" s="1"/>
  <c r="U230" i="26"/>
  <c r="V230" i="26" s="1"/>
  <c r="S230" i="26"/>
  <c r="T230" i="26" s="1"/>
  <c r="Q230" i="26"/>
  <c r="W229" i="26"/>
  <c r="X229" i="26" s="1"/>
  <c r="U229" i="26"/>
  <c r="S229" i="26"/>
  <c r="Q229" i="26"/>
  <c r="W228" i="26"/>
  <c r="U228" i="26"/>
  <c r="V228" i="26" s="1"/>
  <c r="S228" i="26"/>
  <c r="T228" i="26" s="1"/>
  <c r="Q228" i="26"/>
  <c r="W227" i="26"/>
  <c r="U227" i="26"/>
  <c r="U235" i="26" s="1"/>
  <c r="S227" i="26"/>
  <c r="Q227" i="26"/>
  <c r="T222" i="26"/>
  <c r="T211" i="26" s="1"/>
  <c r="R222" i="26"/>
  <c r="R211" i="26" s="1"/>
  <c r="T221" i="26"/>
  <c r="R221" i="26"/>
  <c r="T220" i="26"/>
  <c r="R220" i="26"/>
  <c r="S215" i="26"/>
  <c r="S211" i="26"/>
  <c r="S216" i="26" s="1"/>
  <c r="Q211" i="26"/>
  <c r="Q216" i="26" s="1"/>
  <c r="S210" i="26"/>
  <c r="Q210" i="26"/>
  <c r="Q215" i="26" s="1"/>
  <c r="S208" i="26"/>
  <c r="Q208" i="26"/>
  <c r="R208" i="26" s="1"/>
  <c r="S207" i="26"/>
  <c r="Q207" i="26"/>
  <c r="R207" i="26" s="1"/>
  <c r="S206" i="26"/>
  <c r="Q206" i="26"/>
  <c r="S205" i="26"/>
  <c r="Q205" i="26"/>
  <c r="R198" i="26"/>
  <c r="R199" i="26" s="1"/>
  <c r="R200" i="26" s="1"/>
  <c r="R187" i="26" s="1"/>
  <c r="R193" i="26"/>
  <c r="Q193" i="26"/>
  <c r="R192" i="26"/>
  <c r="Q192" i="26"/>
  <c r="Q191" i="26"/>
  <c r="R191" i="26" s="1"/>
  <c r="Q190" i="26"/>
  <c r="R190" i="26" s="1"/>
  <c r="Q189" i="26"/>
  <c r="R189" i="26" s="1"/>
  <c r="Q188" i="26"/>
  <c r="R188" i="26" s="1"/>
  <c r="Q187" i="26"/>
  <c r="Q186" i="26"/>
  <c r="R179" i="26"/>
  <c r="R180" i="26" s="1"/>
  <c r="R181" i="26" s="1"/>
  <c r="Q174" i="26"/>
  <c r="Q173" i="26"/>
  <c r="Q172" i="26"/>
  <c r="Q171" i="26"/>
  <c r="R171" i="26" s="1"/>
  <c r="Q170" i="26"/>
  <c r="R170" i="26" s="1"/>
  <c r="Q169" i="26"/>
  <c r="R169" i="26" s="1"/>
  <c r="Q168" i="26"/>
  <c r="R168" i="26" s="1"/>
  <c r="Q167" i="26"/>
  <c r="Q175" i="26" s="1"/>
  <c r="R160" i="26"/>
  <c r="R161" i="26" s="1"/>
  <c r="R162" i="26" s="1"/>
  <c r="Q156" i="26"/>
  <c r="Q155" i="26"/>
  <c r="Q154" i="26"/>
  <c r="Q153" i="26"/>
  <c r="Q152" i="26"/>
  <c r="Q151" i="26"/>
  <c r="Q150" i="26"/>
  <c r="Q149" i="26"/>
  <c r="Q148" i="26"/>
  <c r="Q147" i="26"/>
  <c r="Q146" i="26"/>
  <c r="R140" i="26"/>
  <c r="R141" i="26" s="1"/>
  <c r="R134" i="26" s="1"/>
  <c r="R139" i="26"/>
  <c r="Q134" i="26"/>
  <c r="Q133" i="26"/>
  <c r="R133" i="26" s="1"/>
  <c r="Q132" i="26"/>
  <c r="R132" i="26" s="1"/>
  <c r="Q131" i="26"/>
  <c r="R131" i="26" s="1"/>
  <c r="Q130" i="26"/>
  <c r="R130" i="26" s="1"/>
  <c r="Q129" i="26"/>
  <c r="R129" i="26" s="1"/>
  <c r="Q128" i="26"/>
  <c r="Q127" i="26"/>
  <c r="Q126" i="26"/>
  <c r="R126" i="26" s="1"/>
  <c r="Q125" i="26"/>
  <c r="Q135" i="26" s="1"/>
  <c r="Z119" i="26"/>
  <c r="Z120" i="26" s="1"/>
  <c r="Z101" i="26" s="1"/>
  <c r="X119" i="26"/>
  <c r="X120" i="26" s="1"/>
  <c r="V119" i="26"/>
  <c r="V120" i="26" s="1"/>
  <c r="V97" i="26" s="1"/>
  <c r="T119" i="26"/>
  <c r="T120" i="26" s="1"/>
  <c r="R119" i="26"/>
  <c r="R120" i="26" s="1"/>
  <c r="Z118" i="26"/>
  <c r="X118" i="26"/>
  <c r="V118" i="26"/>
  <c r="T118" i="26"/>
  <c r="R118" i="26"/>
  <c r="U112" i="26"/>
  <c r="S112" i="26"/>
  <c r="Q112" i="26"/>
  <c r="Y111" i="26"/>
  <c r="W111" i="26"/>
  <c r="U111" i="26"/>
  <c r="Y109" i="26"/>
  <c r="Y108" i="26"/>
  <c r="Y107" i="26"/>
  <c r="Y106" i="26"/>
  <c r="U105" i="26"/>
  <c r="U114" i="26" s="1"/>
  <c r="S105" i="26"/>
  <c r="S114" i="26" s="1"/>
  <c r="Y103" i="26"/>
  <c r="Y112" i="26" s="1"/>
  <c r="W103" i="26"/>
  <c r="W112" i="26" s="1"/>
  <c r="U103" i="26"/>
  <c r="S103" i="26"/>
  <c r="Q103" i="26"/>
  <c r="Y102" i="26"/>
  <c r="W102" i="26"/>
  <c r="U102" i="26"/>
  <c r="S102" i="26"/>
  <c r="Q102" i="26"/>
  <c r="Y101" i="26"/>
  <c r="W101" i="26"/>
  <c r="U101" i="26"/>
  <c r="S101" i="26"/>
  <c r="S110" i="26" s="1"/>
  <c r="Q101" i="26"/>
  <c r="Q110" i="26" s="1"/>
  <c r="Y100" i="26"/>
  <c r="Z100" i="26" s="1"/>
  <c r="W100" i="26"/>
  <c r="X100" i="26" s="1"/>
  <c r="U100" i="26"/>
  <c r="S100" i="26"/>
  <c r="T100" i="26" s="1"/>
  <c r="Q100" i="26"/>
  <c r="Y99" i="26"/>
  <c r="Z99" i="26" s="1"/>
  <c r="W99" i="26"/>
  <c r="U99" i="26"/>
  <c r="S99" i="26"/>
  <c r="Q99" i="26"/>
  <c r="Y98" i="26"/>
  <c r="Z98" i="26" s="1"/>
  <c r="W98" i="26"/>
  <c r="U98" i="26"/>
  <c r="S98" i="26"/>
  <c r="Q98" i="26"/>
  <c r="Y97" i="26"/>
  <c r="Z97" i="26" s="1"/>
  <c r="W97" i="26"/>
  <c r="U97" i="26"/>
  <c r="S97" i="26"/>
  <c r="Q97" i="26"/>
  <c r="Y96" i="26"/>
  <c r="W96" i="26"/>
  <c r="U96" i="26"/>
  <c r="S96" i="26"/>
  <c r="Q96" i="26"/>
  <c r="W94" i="26"/>
  <c r="X94" i="26" s="1"/>
  <c r="U94" i="26"/>
  <c r="S94" i="26"/>
  <c r="Q94" i="26"/>
  <c r="W93" i="26"/>
  <c r="W107" i="26" s="1"/>
  <c r="U93" i="26"/>
  <c r="U107" i="26" s="1"/>
  <c r="S93" i="26"/>
  <c r="S107" i="26" s="1"/>
  <c r="Q93" i="26"/>
  <c r="W92" i="26"/>
  <c r="U92" i="26"/>
  <c r="S92" i="26"/>
  <c r="Q92" i="26"/>
  <c r="W91" i="26"/>
  <c r="U91" i="26"/>
  <c r="S91" i="26"/>
  <c r="T91" i="26" s="1"/>
  <c r="Q91" i="26"/>
  <c r="W90" i="26"/>
  <c r="U90" i="26"/>
  <c r="S90" i="26"/>
  <c r="T90" i="26" s="1"/>
  <c r="Q90" i="26"/>
  <c r="Q106" i="26" s="1"/>
  <c r="W89" i="26"/>
  <c r="W109" i="26" s="1"/>
  <c r="U89" i="26"/>
  <c r="S89" i="26"/>
  <c r="Q89" i="26"/>
  <c r="W88" i="26"/>
  <c r="U88" i="26"/>
  <c r="S88" i="26"/>
  <c r="Q88" i="26"/>
  <c r="W87" i="26"/>
  <c r="U87" i="26"/>
  <c r="S87" i="26"/>
  <c r="Q87" i="26"/>
  <c r="W86" i="26"/>
  <c r="U86" i="26"/>
  <c r="V86" i="26" s="1"/>
  <c r="S86" i="26"/>
  <c r="T86" i="26" s="1"/>
  <c r="Q86" i="26"/>
  <c r="W85" i="26"/>
  <c r="U85" i="26"/>
  <c r="U108" i="26" s="1"/>
  <c r="S85" i="26"/>
  <c r="T85" i="26" s="1"/>
  <c r="Q85" i="26"/>
  <c r="Q108" i="26" s="1"/>
  <c r="R80" i="26"/>
  <c r="R63" i="26" s="1"/>
  <c r="Z79" i="26"/>
  <c r="Z80" i="26" s="1"/>
  <c r="Z78" i="26"/>
  <c r="X78" i="26"/>
  <c r="X79" i="26" s="1"/>
  <c r="X80" i="26" s="1"/>
  <c r="V78" i="26"/>
  <c r="V79" i="26" s="1"/>
  <c r="V80" i="26" s="1"/>
  <c r="V61" i="26" s="1"/>
  <c r="T78" i="26"/>
  <c r="T79" i="26" s="1"/>
  <c r="T80" i="26" s="1"/>
  <c r="R78" i="26"/>
  <c r="R79" i="26" s="1"/>
  <c r="Y71" i="26"/>
  <c r="U71" i="26"/>
  <c r="S71" i="26"/>
  <c r="Q71" i="26"/>
  <c r="Q70" i="26"/>
  <c r="Y69" i="26"/>
  <c r="Q69" i="26"/>
  <c r="Y68" i="26"/>
  <c r="W68" i="26"/>
  <c r="S68" i="26"/>
  <c r="Q68" i="26"/>
  <c r="Y67" i="26"/>
  <c r="W67" i="26"/>
  <c r="Y66" i="26"/>
  <c r="Y63" i="26"/>
  <c r="Y72" i="26" s="1"/>
  <c r="W63" i="26"/>
  <c r="W72" i="26" s="1"/>
  <c r="U63" i="26"/>
  <c r="U72" i="26" s="1"/>
  <c r="T63" i="26"/>
  <c r="S63" i="26"/>
  <c r="S72" i="26" s="1"/>
  <c r="Q63" i="26"/>
  <c r="Q72" i="26" s="1"/>
  <c r="Y62" i="26"/>
  <c r="Z62" i="26" s="1"/>
  <c r="W62" i="26"/>
  <c r="U62" i="26"/>
  <c r="V62" i="26" s="1"/>
  <c r="S62" i="26"/>
  <c r="T62" i="26" s="1"/>
  <c r="Y61" i="26"/>
  <c r="W61" i="26"/>
  <c r="U61" i="26"/>
  <c r="S61" i="26"/>
  <c r="T61" i="26" s="1"/>
  <c r="Y60" i="26"/>
  <c r="Z60" i="26" s="1"/>
  <c r="W60" i="26"/>
  <c r="U60" i="26"/>
  <c r="V60" i="26" s="1"/>
  <c r="S60" i="26"/>
  <c r="T60" i="26" s="1"/>
  <c r="Y59" i="26"/>
  <c r="Z59" i="26" s="1"/>
  <c r="W59" i="26"/>
  <c r="U59" i="26"/>
  <c r="V59" i="26" s="1"/>
  <c r="S59" i="26"/>
  <c r="Y58" i="26"/>
  <c r="W58" i="26"/>
  <c r="U58" i="26"/>
  <c r="S58" i="26"/>
  <c r="T58" i="26" s="1"/>
  <c r="Y57" i="26"/>
  <c r="W57" i="26"/>
  <c r="U57" i="26"/>
  <c r="V57" i="26" s="1"/>
  <c r="S57" i="26"/>
  <c r="T57" i="26" s="1"/>
  <c r="Y56" i="26"/>
  <c r="W56" i="26"/>
  <c r="W70" i="26" s="1"/>
  <c r="U56" i="26"/>
  <c r="U70" i="26" s="1"/>
  <c r="S56" i="26"/>
  <c r="S70" i="26" s="1"/>
  <c r="W54" i="26"/>
  <c r="W71" i="26" s="1"/>
  <c r="U54" i="26"/>
  <c r="V54" i="26" s="1"/>
  <c r="S54" i="26"/>
  <c r="T54" i="26" s="1"/>
  <c r="Q54" i="26"/>
  <c r="R54" i="26" s="1"/>
  <c r="W53" i="26"/>
  <c r="U53" i="26"/>
  <c r="V53" i="26" s="1"/>
  <c r="S53" i="26"/>
  <c r="Q53" i="26"/>
  <c r="W52" i="26"/>
  <c r="X52" i="26" s="1"/>
  <c r="U52" i="26"/>
  <c r="S52" i="26"/>
  <c r="Q52" i="26"/>
  <c r="R52" i="26" s="1"/>
  <c r="W51" i="26"/>
  <c r="U51" i="26"/>
  <c r="V51" i="26" s="1"/>
  <c r="S51" i="26"/>
  <c r="T51" i="26" s="1"/>
  <c r="Q51" i="26"/>
  <c r="W50" i="26"/>
  <c r="U50" i="26"/>
  <c r="V50" i="26" s="1"/>
  <c r="S50" i="26"/>
  <c r="T50" i="26" s="1"/>
  <c r="Q50" i="26"/>
  <c r="W49" i="26"/>
  <c r="U49" i="26"/>
  <c r="S49" i="26"/>
  <c r="S69" i="26" s="1"/>
  <c r="Q49" i="26"/>
  <c r="W48" i="26"/>
  <c r="V48" i="26"/>
  <c r="U48" i="26"/>
  <c r="U68" i="26" s="1"/>
  <c r="T48" i="26"/>
  <c r="S48" i="26"/>
  <c r="Q48" i="26"/>
  <c r="R48" i="26" s="1"/>
  <c r="W47" i="26"/>
  <c r="U47" i="26"/>
  <c r="S47" i="26"/>
  <c r="Q47" i="26"/>
  <c r="W46" i="26"/>
  <c r="U46" i="26"/>
  <c r="S46" i="26"/>
  <c r="Q46" i="26"/>
  <c r="W45" i="26"/>
  <c r="X45" i="26" s="1"/>
  <c r="U45" i="26"/>
  <c r="V45" i="26" s="1"/>
  <c r="S45" i="26"/>
  <c r="T45" i="26" s="1"/>
  <c r="Q45" i="26"/>
  <c r="Q66" i="26" s="1"/>
  <c r="W44" i="26"/>
  <c r="X44" i="26" s="1"/>
  <c r="U44" i="26"/>
  <c r="V44" i="26" s="1"/>
  <c r="S44" i="26"/>
  <c r="Q44" i="26"/>
  <c r="R44" i="26" s="1"/>
  <c r="R38" i="26"/>
  <c r="R39" i="26" s="1"/>
  <c r="R21" i="26" s="1"/>
  <c r="Z37" i="26"/>
  <c r="Z38" i="26" s="1"/>
  <c r="Z39" i="26" s="1"/>
  <c r="X37" i="26"/>
  <c r="X38" i="26" s="1"/>
  <c r="X39" i="26" s="1"/>
  <c r="V37" i="26"/>
  <c r="V38" i="26" s="1"/>
  <c r="V39" i="26" s="1"/>
  <c r="V16" i="26" s="1"/>
  <c r="T37" i="26"/>
  <c r="T38" i="26" s="1"/>
  <c r="T39" i="26" s="1"/>
  <c r="R37" i="26"/>
  <c r="Y30" i="26"/>
  <c r="U30" i="26"/>
  <c r="S30" i="26"/>
  <c r="Q30" i="26"/>
  <c r="Y29" i="26"/>
  <c r="Q29" i="26"/>
  <c r="Q28" i="26"/>
  <c r="Y27" i="26"/>
  <c r="Q27" i="26"/>
  <c r="Y26" i="26"/>
  <c r="Y25" i="26"/>
  <c r="W25" i="26"/>
  <c r="U25" i="26"/>
  <c r="S25" i="26"/>
  <c r="Q25" i="26"/>
  <c r="Y24" i="26"/>
  <c r="U24" i="26"/>
  <c r="S24" i="26"/>
  <c r="Y21" i="26"/>
  <c r="W21" i="26"/>
  <c r="W30" i="26" s="1"/>
  <c r="U21" i="26"/>
  <c r="S21" i="26"/>
  <c r="Q21" i="26"/>
  <c r="Y20" i="26"/>
  <c r="W20" i="26"/>
  <c r="X20" i="26" s="1"/>
  <c r="U20" i="26"/>
  <c r="V20" i="26" s="1"/>
  <c r="T20" i="26"/>
  <c r="S20" i="26"/>
  <c r="Y19" i="26"/>
  <c r="W19" i="26"/>
  <c r="U19" i="26"/>
  <c r="V19" i="26" s="1"/>
  <c r="S19" i="26"/>
  <c r="T19" i="26" s="1"/>
  <c r="Y18" i="26"/>
  <c r="W18" i="26"/>
  <c r="U18" i="26"/>
  <c r="V18" i="26" s="1"/>
  <c r="T18" i="26"/>
  <c r="S18" i="26"/>
  <c r="Y17" i="26"/>
  <c r="W17" i="26"/>
  <c r="V17" i="26"/>
  <c r="U17" i="26"/>
  <c r="T17" i="26"/>
  <c r="S17" i="26"/>
  <c r="Y16" i="26"/>
  <c r="Z16" i="26" s="1"/>
  <c r="W16" i="26"/>
  <c r="U16" i="26"/>
  <c r="S16" i="26"/>
  <c r="T16" i="26" s="1"/>
  <c r="Y15" i="26"/>
  <c r="W15" i="26"/>
  <c r="U15" i="26"/>
  <c r="V15" i="26" s="1"/>
  <c r="S15" i="26"/>
  <c r="T15" i="26" s="1"/>
  <c r="Y14" i="26"/>
  <c r="W14" i="26"/>
  <c r="U14" i="26"/>
  <c r="S14" i="26"/>
  <c r="W12" i="26"/>
  <c r="X12" i="26" s="1"/>
  <c r="U12" i="26"/>
  <c r="U29" i="26" s="1"/>
  <c r="S12" i="26"/>
  <c r="S29" i="26" s="1"/>
  <c r="Q12" i="26"/>
  <c r="W11" i="26"/>
  <c r="U11" i="26"/>
  <c r="V11" i="26" s="1"/>
  <c r="S11" i="26"/>
  <c r="T11" i="26" s="1"/>
  <c r="Q11" i="26"/>
  <c r="W10" i="26"/>
  <c r="U10" i="26"/>
  <c r="V10" i="26" s="1"/>
  <c r="T10" i="26"/>
  <c r="S10" i="26"/>
  <c r="Q10" i="26"/>
  <c r="W9" i="26"/>
  <c r="U9" i="26"/>
  <c r="S9" i="26"/>
  <c r="Q9" i="26"/>
  <c r="R9" i="26" s="1"/>
  <c r="W8" i="26"/>
  <c r="X8" i="26" s="1"/>
  <c r="V8" i="26"/>
  <c r="U8" i="26"/>
  <c r="S8" i="26"/>
  <c r="Q8" i="26"/>
  <c r="W7" i="26"/>
  <c r="U7" i="26"/>
  <c r="V7" i="26" s="1"/>
  <c r="S7" i="26"/>
  <c r="T7" i="26" s="1"/>
  <c r="Q7" i="26"/>
  <c r="W6" i="26"/>
  <c r="W26" i="26" s="1"/>
  <c r="V6" i="26"/>
  <c r="U6" i="26"/>
  <c r="S6" i="26"/>
  <c r="T6" i="26" s="1"/>
  <c r="Q6" i="26"/>
  <c r="W5" i="26"/>
  <c r="V5" i="26"/>
  <c r="U5" i="26"/>
  <c r="T5" i="26"/>
  <c r="S5" i="26"/>
  <c r="Q5" i="26"/>
  <c r="W4" i="26"/>
  <c r="U4" i="26"/>
  <c r="V4" i="26" s="1"/>
  <c r="S4" i="26"/>
  <c r="T4" i="26" s="1"/>
  <c r="Q4" i="26"/>
  <c r="Q24" i="26" s="1"/>
  <c r="QQ32" i="21"/>
  <c r="QQ33" i="21" s="1"/>
  <c r="QQ34" i="21" s="1"/>
  <c r="QP27" i="21"/>
  <c r="QP26" i="21"/>
  <c r="QP25" i="21"/>
  <c r="QP24" i="21"/>
  <c r="QP23" i="21"/>
  <c r="QP22" i="21"/>
  <c r="QP21" i="21"/>
  <c r="QP20" i="21"/>
  <c r="QP19" i="21"/>
  <c r="QP18" i="21"/>
  <c r="QP17" i="21"/>
  <c r="QP16" i="21"/>
  <c r="QP15" i="21"/>
  <c r="QP14" i="21"/>
  <c r="QP13" i="21"/>
  <c r="QP12" i="21"/>
  <c r="QP11" i="21"/>
  <c r="QP10" i="21"/>
  <c r="QP9" i="21"/>
  <c r="QP8" i="21"/>
  <c r="QP7" i="21"/>
  <c r="QQ7" i="21" s="1"/>
  <c r="QP6" i="21"/>
  <c r="QP28" i="21" s="1"/>
  <c r="PP34" i="21"/>
  <c r="PP35" i="21" s="1"/>
  <c r="PP36" i="21" s="1"/>
  <c r="PO29" i="21"/>
  <c r="PO28" i="21"/>
  <c r="PP28" i="21" s="1"/>
  <c r="PO27" i="21"/>
  <c r="PP27" i="21" s="1"/>
  <c r="PO26" i="21"/>
  <c r="PP26" i="21" s="1"/>
  <c r="PO25" i="21"/>
  <c r="PP25" i="21" s="1"/>
  <c r="PO24" i="21"/>
  <c r="PP24" i="21" s="1"/>
  <c r="PO23" i="21"/>
  <c r="PP23" i="21" s="1"/>
  <c r="PO22" i="21"/>
  <c r="PP22" i="21" s="1"/>
  <c r="PO21" i="21"/>
  <c r="PP21" i="21" s="1"/>
  <c r="PO20" i="21"/>
  <c r="PP20" i="21" s="1"/>
  <c r="PO19" i="21"/>
  <c r="PP19" i="21" s="1"/>
  <c r="PO18" i="21"/>
  <c r="PO17" i="21"/>
  <c r="PP17" i="21" s="1"/>
  <c r="PO16" i="21"/>
  <c r="PP16" i="21" s="1"/>
  <c r="PO15" i="21"/>
  <c r="PP15" i="21" s="1"/>
  <c r="PO14" i="21"/>
  <c r="PP14" i="21" s="1"/>
  <c r="PO13" i="21"/>
  <c r="PP13" i="21" s="1"/>
  <c r="PO12" i="21"/>
  <c r="PP12" i="21" s="1"/>
  <c r="PO11" i="21"/>
  <c r="PP11" i="21" s="1"/>
  <c r="PO10" i="21"/>
  <c r="PP10" i="21" s="1"/>
  <c r="PO9" i="21"/>
  <c r="PP9" i="21" s="1"/>
  <c r="PO8" i="21"/>
  <c r="PP8" i="21" s="1"/>
  <c r="PO7" i="21"/>
  <c r="PP7" i="21" s="1"/>
  <c r="PO6" i="21"/>
  <c r="PO30" i="21" s="1"/>
  <c r="OO38" i="21"/>
  <c r="OO39" i="21" s="1"/>
  <c r="OO40" i="21" s="1"/>
  <c r="ON33" i="21"/>
  <c r="ON32" i="21"/>
  <c r="ON31" i="21"/>
  <c r="OO31" i="21" s="1"/>
  <c r="ON30" i="21"/>
  <c r="OO30" i="21" s="1"/>
  <c r="ON29" i="21"/>
  <c r="OO29" i="21" s="1"/>
  <c r="ON28" i="21"/>
  <c r="OO28" i="21" s="1"/>
  <c r="ON27" i="21"/>
  <c r="OO27" i="21" s="1"/>
  <c r="ON26" i="21"/>
  <c r="OO26" i="21" s="1"/>
  <c r="ON25" i="21"/>
  <c r="OO25" i="21" s="1"/>
  <c r="ON24" i="21"/>
  <c r="OO24" i="21" s="1"/>
  <c r="ON23" i="21"/>
  <c r="OO23" i="21" s="1"/>
  <c r="ON22" i="21"/>
  <c r="ON21" i="21"/>
  <c r="OO21" i="21" s="1"/>
  <c r="ON20" i="21"/>
  <c r="OO20" i="21" s="1"/>
  <c r="ON19" i="21"/>
  <c r="OO19" i="21" s="1"/>
  <c r="ON18" i="21"/>
  <c r="OO18" i="21" s="1"/>
  <c r="ON17" i="21"/>
  <c r="OO17" i="21" s="1"/>
  <c r="ON16" i="21"/>
  <c r="OO16" i="21" s="1"/>
  <c r="ON15" i="21"/>
  <c r="OO15" i="21" s="1"/>
  <c r="ON14" i="21"/>
  <c r="OO14" i="21" s="1"/>
  <c r="ON13" i="21"/>
  <c r="OO13" i="21" s="1"/>
  <c r="ON12" i="21"/>
  <c r="OO12" i="21" s="1"/>
  <c r="ON11" i="21"/>
  <c r="OO11" i="21" s="1"/>
  <c r="ON10" i="21"/>
  <c r="OO10" i="21" s="1"/>
  <c r="ON9" i="21"/>
  <c r="OO9" i="21" s="1"/>
  <c r="ON8" i="21"/>
  <c r="ON7" i="21"/>
  <c r="OO7" i="21" s="1"/>
  <c r="ON6" i="21"/>
  <c r="OO6" i="21" s="1"/>
  <c r="NN37" i="21"/>
  <c r="NN38" i="21" s="1"/>
  <c r="NN39" i="21" s="1"/>
  <c r="NM32" i="21"/>
  <c r="NM31" i="21"/>
  <c r="NN31" i="21" s="1"/>
  <c r="NM30" i="21"/>
  <c r="NN30" i="21" s="1"/>
  <c r="NM29" i="21"/>
  <c r="NN29" i="21" s="1"/>
  <c r="NM28" i="21"/>
  <c r="NN28" i="21" s="1"/>
  <c r="NM27" i="21"/>
  <c r="NN27" i="21" s="1"/>
  <c r="NM26" i="21"/>
  <c r="NN26" i="21" s="1"/>
  <c r="NM25" i="21"/>
  <c r="NN25" i="21" s="1"/>
  <c r="NM24" i="21"/>
  <c r="NN24" i="21" s="1"/>
  <c r="NM23" i="21"/>
  <c r="NN23" i="21" s="1"/>
  <c r="NM22" i="21"/>
  <c r="NN22" i="21" s="1"/>
  <c r="NM21" i="21"/>
  <c r="NM20" i="21"/>
  <c r="NN20" i="21" s="1"/>
  <c r="NM19" i="21"/>
  <c r="NN19" i="21" s="1"/>
  <c r="NM18" i="21"/>
  <c r="NN18" i="21" s="1"/>
  <c r="NM17" i="21"/>
  <c r="NM16" i="21"/>
  <c r="NN16" i="21" s="1"/>
  <c r="NM15" i="21"/>
  <c r="NN15" i="21" s="1"/>
  <c r="NM14" i="21"/>
  <c r="NN14" i="21" s="1"/>
  <c r="NM13" i="21"/>
  <c r="NN13" i="21" s="1"/>
  <c r="NM12" i="21"/>
  <c r="NN12" i="21" s="1"/>
  <c r="NM11" i="21"/>
  <c r="NN11" i="21" s="1"/>
  <c r="NM10" i="21"/>
  <c r="NN10" i="21" s="1"/>
  <c r="NM9" i="21"/>
  <c r="NN9" i="21" s="1"/>
  <c r="NM8" i="21"/>
  <c r="NN8" i="21" s="1"/>
  <c r="NM7" i="21"/>
  <c r="NM33" i="21" s="1"/>
  <c r="NM6" i="21"/>
  <c r="MM45" i="21"/>
  <c r="MM46" i="21" s="1"/>
  <c r="MM47" i="21" s="1"/>
  <c r="ML40" i="21"/>
  <c r="ML39" i="21"/>
  <c r="ML38" i="21"/>
  <c r="ML37" i="21"/>
  <c r="ML36" i="21"/>
  <c r="ML35" i="21"/>
  <c r="ML34" i="21"/>
  <c r="ML33" i="21"/>
  <c r="ML32" i="21"/>
  <c r="ML31" i="21"/>
  <c r="ML30" i="21"/>
  <c r="ML29" i="21"/>
  <c r="ML28" i="21"/>
  <c r="ML27" i="21"/>
  <c r="ML26" i="21"/>
  <c r="ML25" i="21"/>
  <c r="ML24" i="21"/>
  <c r="ML23" i="21"/>
  <c r="ML22" i="21"/>
  <c r="ML21" i="21"/>
  <c r="ML20" i="21"/>
  <c r="MM20" i="21" s="1"/>
  <c r="ML19" i="21"/>
  <c r="MM19" i="21" s="1"/>
  <c r="ML18" i="21"/>
  <c r="MM18" i="21" s="1"/>
  <c r="ML17" i="21"/>
  <c r="MM17" i="21" s="1"/>
  <c r="ML16" i="21"/>
  <c r="MM16" i="21" s="1"/>
  <c r="ML15" i="21"/>
  <c r="ML14" i="21"/>
  <c r="MM14" i="21" s="1"/>
  <c r="ML13" i="21"/>
  <c r="ML12" i="21"/>
  <c r="ML11" i="21"/>
  <c r="ML10" i="21"/>
  <c r="ML9" i="21"/>
  <c r="ML8" i="21"/>
  <c r="ML7" i="21"/>
  <c r="ML6" i="21"/>
  <c r="LL26" i="21"/>
  <c r="LL27" i="21" s="1"/>
  <c r="LL28" i="21" s="1"/>
  <c r="LK21" i="21"/>
  <c r="LK20" i="21"/>
  <c r="LL20" i="21" s="1"/>
  <c r="LK19" i="21"/>
  <c r="LL19" i="21" s="1"/>
  <c r="LK18" i="21"/>
  <c r="LL18" i="21" s="1"/>
  <c r="LK17" i="21"/>
  <c r="LK16" i="21"/>
  <c r="LL16" i="21" s="1"/>
  <c r="LK15" i="21"/>
  <c r="LL15" i="21" s="1"/>
  <c r="LK14" i="21"/>
  <c r="LL14" i="21" s="1"/>
  <c r="LK13" i="21"/>
  <c r="LL13" i="21" s="1"/>
  <c r="LK12" i="21"/>
  <c r="LL12" i="21" s="1"/>
  <c r="LK11" i="21"/>
  <c r="LL11" i="21" s="1"/>
  <c r="LK10" i="21"/>
  <c r="LK9" i="21"/>
  <c r="LL9" i="21" s="1"/>
  <c r="LK8" i="21"/>
  <c r="LL8" i="21" s="1"/>
  <c r="LK7" i="21"/>
  <c r="LL7" i="21" s="1"/>
  <c r="LK6" i="21"/>
  <c r="LL6" i="21" s="1"/>
  <c r="KK45" i="21"/>
  <c r="KK46" i="21" s="1"/>
  <c r="KK47" i="21" s="1"/>
  <c r="KJ40" i="21"/>
  <c r="KJ39" i="21"/>
  <c r="KK39" i="21" s="1"/>
  <c r="KJ38" i="21"/>
  <c r="KK38" i="21" s="1"/>
  <c r="KJ37" i="21"/>
  <c r="KK37" i="21" s="1"/>
  <c r="KJ36" i="21"/>
  <c r="KK36" i="21" s="1"/>
  <c r="KJ35" i="21"/>
  <c r="KK35" i="21" s="1"/>
  <c r="KJ34" i="21"/>
  <c r="KK34" i="21" s="1"/>
  <c r="KJ33" i="21"/>
  <c r="KK33" i="21" s="1"/>
  <c r="KJ32" i="21"/>
  <c r="KK32" i="21" s="1"/>
  <c r="KJ31" i="21"/>
  <c r="KK31" i="21" s="1"/>
  <c r="KJ30" i="21"/>
  <c r="KK30" i="21" s="1"/>
  <c r="KJ29" i="21"/>
  <c r="KJ28" i="21"/>
  <c r="KK28" i="21" s="1"/>
  <c r="KJ27" i="21"/>
  <c r="KK27" i="21" s="1"/>
  <c r="KJ26" i="21"/>
  <c r="KK26" i="21" s="1"/>
  <c r="KJ25" i="21"/>
  <c r="KK25" i="21" s="1"/>
  <c r="KJ24" i="21"/>
  <c r="KK24" i="21" s="1"/>
  <c r="KJ23" i="21"/>
  <c r="KK23" i="21" s="1"/>
  <c r="KJ22" i="21"/>
  <c r="KK22" i="21" s="1"/>
  <c r="KJ21" i="21"/>
  <c r="KK21" i="21" s="1"/>
  <c r="KJ20" i="21"/>
  <c r="KK20" i="21" s="1"/>
  <c r="KJ19" i="21"/>
  <c r="KK19" i="21" s="1"/>
  <c r="KJ18" i="21"/>
  <c r="KK18" i="21" s="1"/>
  <c r="KJ17" i="21"/>
  <c r="KK17" i="21" s="1"/>
  <c r="KJ16" i="21"/>
  <c r="KK16" i="21" s="1"/>
  <c r="KJ15" i="21"/>
  <c r="KJ14" i="21"/>
  <c r="KK14" i="21" s="1"/>
  <c r="KJ13" i="21"/>
  <c r="KK13" i="21" s="1"/>
  <c r="KJ12" i="21"/>
  <c r="KK12" i="21" s="1"/>
  <c r="KJ11" i="21"/>
  <c r="KK11" i="21" s="1"/>
  <c r="KJ10" i="21"/>
  <c r="KK10" i="21" s="1"/>
  <c r="KJ9" i="21"/>
  <c r="KK9" i="21" s="1"/>
  <c r="KJ8" i="21"/>
  <c r="KJ7" i="21"/>
  <c r="KK7" i="21" s="1"/>
  <c r="KJ6" i="21"/>
  <c r="JJ38" i="21"/>
  <c r="JJ39" i="21" s="1"/>
  <c r="JJ40" i="21" s="1"/>
  <c r="JI33" i="21"/>
  <c r="JI32" i="21"/>
  <c r="JI31" i="21"/>
  <c r="JJ31" i="21" s="1"/>
  <c r="JI30" i="21"/>
  <c r="JJ30" i="21" s="1"/>
  <c r="JI29" i="21"/>
  <c r="JJ29" i="21" s="1"/>
  <c r="JI28" i="21"/>
  <c r="JJ28" i="21" s="1"/>
  <c r="JI27" i="21"/>
  <c r="JJ27" i="21" s="1"/>
  <c r="JI26" i="21"/>
  <c r="JI25" i="21"/>
  <c r="JJ25" i="21" s="1"/>
  <c r="JI24" i="21"/>
  <c r="JJ24" i="21" s="1"/>
  <c r="JI23" i="21"/>
  <c r="JJ23" i="21" s="1"/>
  <c r="JI22" i="21"/>
  <c r="JI21" i="21"/>
  <c r="JJ21" i="21" s="1"/>
  <c r="JI20" i="21"/>
  <c r="JJ20" i="21" s="1"/>
  <c r="JI19" i="21"/>
  <c r="JJ19" i="21" s="1"/>
  <c r="JI18" i="21"/>
  <c r="JJ18" i="21" s="1"/>
  <c r="JI17" i="21"/>
  <c r="JJ17" i="21" s="1"/>
  <c r="JI16" i="21"/>
  <c r="JJ16" i="21" s="1"/>
  <c r="JI15" i="21"/>
  <c r="JJ15" i="21" s="1"/>
  <c r="JI14" i="21"/>
  <c r="JJ14" i="21" s="1"/>
  <c r="JI13" i="21"/>
  <c r="JJ13" i="21" s="1"/>
  <c r="JI12" i="21"/>
  <c r="JJ12" i="21" s="1"/>
  <c r="JI11" i="21"/>
  <c r="JJ11" i="21" s="1"/>
  <c r="JI10" i="21"/>
  <c r="JJ10" i="21" s="1"/>
  <c r="JI9" i="21"/>
  <c r="JJ9" i="21" s="1"/>
  <c r="JI8" i="21"/>
  <c r="JI7" i="21"/>
  <c r="JJ7" i="21" s="1"/>
  <c r="JI6" i="21"/>
  <c r="II33" i="21"/>
  <c r="II34" i="21" s="1"/>
  <c r="II35" i="21" s="1"/>
  <c r="IH28" i="21"/>
  <c r="IH27" i="21"/>
  <c r="IH26" i="21"/>
  <c r="IH25" i="21"/>
  <c r="IH24" i="21"/>
  <c r="IH23" i="21"/>
  <c r="IH22" i="21"/>
  <c r="IH21" i="21"/>
  <c r="IH20" i="21"/>
  <c r="IH19" i="21"/>
  <c r="IH18" i="21"/>
  <c r="IH17" i="21"/>
  <c r="IH16" i="21"/>
  <c r="IH15" i="21"/>
  <c r="IH14" i="21"/>
  <c r="IH13" i="21"/>
  <c r="IH12" i="21"/>
  <c r="IH11" i="21"/>
  <c r="IH10" i="21"/>
  <c r="IH9" i="21"/>
  <c r="IH8" i="21"/>
  <c r="IH7" i="21"/>
  <c r="II7" i="21" s="1"/>
  <c r="IH6" i="21"/>
  <c r="IH29" i="21" s="1"/>
  <c r="HH45" i="21"/>
  <c r="HH46" i="21" s="1"/>
  <c r="HH47" i="21" s="1"/>
  <c r="HG40" i="21"/>
  <c r="HG39" i="21"/>
  <c r="HH39" i="21" s="1"/>
  <c r="HG38" i="21"/>
  <c r="HH38" i="21" s="1"/>
  <c r="HG37" i="21"/>
  <c r="HH37" i="21" s="1"/>
  <c r="HG36" i="21"/>
  <c r="HH36" i="21" s="1"/>
  <c r="HG35" i="21"/>
  <c r="HH35" i="21" s="1"/>
  <c r="HG34" i="21"/>
  <c r="HH34" i="21" s="1"/>
  <c r="HG33" i="21"/>
  <c r="HH33" i="21" s="1"/>
  <c r="HG32" i="21"/>
  <c r="HH32" i="21" s="1"/>
  <c r="HG31" i="21"/>
  <c r="HH31" i="21" s="1"/>
  <c r="HG30" i="21"/>
  <c r="HH30" i="21" s="1"/>
  <c r="HG29" i="21"/>
  <c r="HG28" i="21"/>
  <c r="HH28" i="21" s="1"/>
  <c r="HG27" i="21"/>
  <c r="HH27" i="21" s="1"/>
  <c r="HG26" i="21"/>
  <c r="HH26" i="21" s="1"/>
  <c r="HG25" i="21"/>
  <c r="HH25" i="21" s="1"/>
  <c r="HG24" i="21"/>
  <c r="HH24" i="21" s="1"/>
  <c r="HG23" i="21"/>
  <c r="HH23" i="21" s="1"/>
  <c r="HG22" i="21"/>
  <c r="HH22" i="21" s="1"/>
  <c r="HG21" i="21"/>
  <c r="HH21" i="21" s="1"/>
  <c r="HG20" i="21"/>
  <c r="HH20" i="21" s="1"/>
  <c r="HG19" i="21"/>
  <c r="HH19" i="21" s="1"/>
  <c r="HG18" i="21"/>
  <c r="HH18" i="21" s="1"/>
  <c r="HG17" i="21"/>
  <c r="HH17" i="21" s="1"/>
  <c r="HG16" i="21"/>
  <c r="HH16" i="21" s="1"/>
  <c r="HG15" i="21"/>
  <c r="HG14" i="21"/>
  <c r="HH14" i="21" s="1"/>
  <c r="HG13" i="21"/>
  <c r="HH13" i="21" s="1"/>
  <c r="HG12" i="21"/>
  <c r="HG11" i="21"/>
  <c r="HH11" i="21" s="1"/>
  <c r="HG10" i="21"/>
  <c r="HH10" i="21" s="1"/>
  <c r="HG9" i="21"/>
  <c r="HH9" i="21" s="1"/>
  <c r="HG8" i="21"/>
  <c r="HH8" i="21" s="1"/>
  <c r="HG7" i="21"/>
  <c r="HH7" i="21" s="1"/>
  <c r="HG6" i="21"/>
  <c r="GG41" i="21"/>
  <c r="GG42" i="21" s="1"/>
  <c r="GG43" i="21" s="1"/>
  <c r="GF36" i="21"/>
  <c r="GF35" i="21"/>
  <c r="GG35" i="21" s="1"/>
  <c r="GF34" i="21"/>
  <c r="GG34" i="21" s="1"/>
  <c r="GF33" i="21"/>
  <c r="GG33" i="21" s="1"/>
  <c r="GF32" i="21"/>
  <c r="GG32" i="21" s="1"/>
  <c r="GF31" i="21"/>
  <c r="GG31" i="21" s="1"/>
  <c r="GF30" i="21"/>
  <c r="GG30" i="21" s="1"/>
  <c r="GF29" i="21"/>
  <c r="GG29" i="21" s="1"/>
  <c r="GF28" i="21"/>
  <c r="GG28" i="21" s="1"/>
  <c r="GF27" i="21"/>
  <c r="GG27" i="21" s="1"/>
  <c r="GF26" i="21"/>
  <c r="GG26" i="21" s="1"/>
  <c r="GF25" i="21"/>
  <c r="GF24" i="21"/>
  <c r="GG24" i="21" s="1"/>
  <c r="GF23" i="21"/>
  <c r="GG23" i="21" s="1"/>
  <c r="GF22" i="21"/>
  <c r="GG22" i="21" s="1"/>
  <c r="GF21" i="21"/>
  <c r="GG21" i="21" s="1"/>
  <c r="GF20" i="21"/>
  <c r="GG20" i="21" s="1"/>
  <c r="GF19" i="21"/>
  <c r="GG19" i="21" s="1"/>
  <c r="GF18" i="21"/>
  <c r="GG18" i="21" s="1"/>
  <c r="GF17" i="21"/>
  <c r="GG17" i="21" s="1"/>
  <c r="GF16" i="21"/>
  <c r="GG16" i="21" s="1"/>
  <c r="GF15" i="21"/>
  <c r="GG15" i="21" s="1"/>
  <c r="GF14" i="21"/>
  <c r="GG14" i="21" s="1"/>
  <c r="GF13" i="21"/>
  <c r="GG13" i="21" s="1"/>
  <c r="GF12" i="21"/>
  <c r="GG12" i="21" s="1"/>
  <c r="GF11" i="21"/>
  <c r="GF10" i="21"/>
  <c r="GG10" i="21" s="1"/>
  <c r="GF9" i="21"/>
  <c r="GF8" i="21"/>
  <c r="GF7" i="21"/>
  <c r="GG7" i="21" s="1"/>
  <c r="GF6" i="21"/>
  <c r="FF40" i="21"/>
  <c r="FF41" i="21" s="1"/>
  <c r="FF42" i="21" s="1"/>
  <c r="FE35" i="21"/>
  <c r="FE34" i="21"/>
  <c r="FF34" i="21" s="1"/>
  <c r="FE33" i="21"/>
  <c r="FE32" i="21"/>
  <c r="FF32" i="21" s="1"/>
  <c r="FE31" i="21"/>
  <c r="FF31" i="21" s="1"/>
  <c r="FE30" i="21"/>
  <c r="FF30" i="21" s="1"/>
  <c r="FE29" i="21"/>
  <c r="FF29" i="21" s="1"/>
  <c r="FE28" i="21"/>
  <c r="FF28" i="21" s="1"/>
  <c r="FE27" i="21"/>
  <c r="FF27" i="21" s="1"/>
  <c r="FE26" i="21"/>
  <c r="FF26" i="21" s="1"/>
  <c r="FE25" i="21"/>
  <c r="FF25" i="21" s="1"/>
  <c r="FE24" i="21"/>
  <c r="FE23" i="21"/>
  <c r="FF23" i="21" s="1"/>
  <c r="FE22" i="21"/>
  <c r="FF22" i="21" s="1"/>
  <c r="FE21" i="21"/>
  <c r="FF21" i="21" s="1"/>
  <c r="FE20" i="21"/>
  <c r="FF20" i="21" s="1"/>
  <c r="FE19" i="21"/>
  <c r="FF19" i="21" s="1"/>
  <c r="FE18" i="21"/>
  <c r="FF18" i="21" s="1"/>
  <c r="FE17" i="21"/>
  <c r="FF17" i="21" s="1"/>
  <c r="FE16" i="21"/>
  <c r="FF16" i="21" s="1"/>
  <c r="FE15" i="21"/>
  <c r="FF15" i="21" s="1"/>
  <c r="FE14" i="21"/>
  <c r="FF14" i="21" s="1"/>
  <c r="FE13" i="21"/>
  <c r="FF13" i="21" s="1"/>
  <c r="FE12" i="21"/>
  <c r="FF12" i="21" s="1"/>
  <c r="FE11" i="21"/>
  <c r="FF11" i="21" s="1"/>
  <c r="FE10" i="21"/>
  <c r="FE9" i="21"/>
  <c r="FF9" i="21" s="1"/>
  <c r="FE8" i="21"/>
  <c r="FE7" i="21"/>
  <c r="FF7" i="21" s="1"/>
  <c r="FE6" i="21"/>
  <c r="EE31" i="21"/>
  <c r="EE32" i="21" s="1"/>
  <c r="EE33" i="21" s="1"/>
  <c r="ED26" i="21"/>
  <c r="ED25" i="21"/>
  <c r="EE25" i="21" s="1"/>
  <c r="ED24" i="21"/>
  <c r="EE24" i="21" s="1"/>
  <c r="ED23" i="21"/>
  <c r="EE23" i="21" s="1"/>
  <c r="ED22" i="21"/>
  <c r="EE22" i="21" s="1"/>
  <c r="ED21" i="21"/>
  <c r="EE21" i="21" s="1"/>
  <c r="ED20" i="21"/>
  <c r="EE20" i="21" s="1"/>
  <c r="ED19" i="21"/>
  <c r="EE19" i="21" s="1"/>
  <c r="ED18" i="21"/>
  <c r="EE18" i="21" s="1"/>
  <c r="ED17" i="21"/>
  <c r="EE17" i="21" s="1"/>
  <c r="ED16" i="21"/>
  <c r="EE16" i="21" s="1"/>
  <c r="ED15" i="21"/>
  <c r="EE15" i="21" s="1"/>
  <c r="ED14" i="21"/>
  <c r="ED13" i="21"/>
  <c r="EE13" i="21" s="1"/>
  <c r="ED12" i="21"/>
  <c r="EE12" i="21" s="1"/>
  <c r="ED11" i="21"/>
  <c r="EE11" i="21" s="1"/>
  <c r="ED10" i="21"/>
  <c r="EE10" i="21" s="1"/>
  <c r="ED9" i="21"/>
  <c r="EE9" i="21" s="1"/>
  <c r="ED8" i="21"/>
  <c r="EE8" i="21" s="1"/>
  <c r="ED7" i="21"/>
  <c r="EE7" i="21" s="1"/>
  <c r="ED6" i="21"/>
  <c r="EE6" i="21" s="1"/>
  <c r="DD30" i="21"/>
  <c r="DD31" i="21" s="1"/>
  <c r="DD32" i="21" s="1"/>
  <c r="DD25" i="21" s="1"/>
  <c r="DC25" i="21"/>
  <c r="DC24" i="21"/>
  <c r="DC23" i="21"/>
  <c r="DC22" i="21"/>
  <c r="DD22" i="21" s="1"/>
  <c r="DC21" i="21"/>
  <c r="DD21" i="21" s="1"/>
  <c r="DC20" i="21"/>
  <c r="DD20" i="21" s="1"/>
  <c r="DC19" i="21"/>
  <c r="DD19" i="21" s="1"/>
  <c r="DC18" i="21"/>
  <c r="DD18" i="21" s="1"/>
  <c r="DC17" i="21"/>
  <c r="DD17" i="21" s="1"/>
  <c r="DC16" i="21"/>
  <c r="DD16" i="21" s="1"/>
  <c r="DC15" i="21"/>
  <c r="DD15" i="21" s="1"/>
  <c r="DC14" i="21"/>
  <c r="DD14" i="21" s="1"/>
  <c r="DC13" i="21"/>
  <c r="DD13" i="21" s="1"/>
  <c r="DC12" i="21"/>
  <c r="DD12" i="21" s="1"/>
  <c r="DC11" i="21"/>
  <c r="DD11" i="21" s="1"/>
  <c r="DC10" i="21"/>
  <c r="DD10" i="21" s="1"/>
  <c r="DC9" i="21"/>
  <c r="DD9" i="21" s="1"/>
  <c r="DC8" i="21"/>
  <c r="DD8" i="21" s="1"/>
  <c r="DC7" i="21"/>
  <c r="DD7" i="21" s="1"/>
  <c r="DC6" i="21"/>
  <c r="CC26" i="21"/>
  <c r="CC27" i="21" s="1"/>
  <c r="CC28" i="21" s="1"/>
  <c r="CB21" i="21"/>
  <c r="CB20" i="21"/>
  <c r="CB19" i="21"/>
  <c r="CB18" i="21"/>
  <c r="CB17" i="21"/>
  <c r="CB16" i="21"/>
  <c r="CB15" i="21"/>
  <c r="CB14" i="21"/>
  <c r="CB13" i="21"/>
  <c r="CB12" i="21"/>
  <c r="CB11" i="21"/>
  <c r="CB10" i="21"/>
  <c r="CB9" i="21"/>
  <c r="CB8" i="21"/>
  <c r="CB7" i="21"/>
  <c r="CB6" i="21"/>
  <c r="BB31" i="21"/>
  <c r="BB32" i="21" s="1"/>
  <c r="BB33" i="21" s="1"/>
  <c r="BA26" i="21"/>
  <c r="BA25" i="21"/>
  <c r="BB25" i="21" s="1"/>
  <c r="BA24" i="21"/>
  <c r="BB24" i="21" s="1"/>
  <c r="BA23" i="21"/>
  <c r="BB23" i="21" s="1"/>
  <c r="BA22" i="21"/>
  <c r="BB22" i="21" s="1"/>
  <c r="BA21" i="21"/>
  <c r="BB21" i="21" s="1"/>
  <c r="BA20" i="21"/>
  <c r="BB20" i="21" s="1"/>
  <c r="BA19" i="21"/>
  <c r="BB19" i="21" s="1"/>
  <c r="BA18" i="21"/>
  <c r="BB18" i="21" s="1"/>
  <c r="BA17" i="21"/>
  <c r="BB17" i="21" s="1"/>
  <c r="BA16" i="21"/>
  <c r="BB16" i="21" s="1"/>
  <c r="BA15" i="21"/>
  <c r="BA14" i="21"/>
  <c r="BB14" i="21" s="1"/>
  <c r="BA13" i="21"/>
  <c r="BB13" i="21" s="1"/>
  <c r="BA12" i="21"/>
  <c r="BB12" i="21" s="1"/>
  <c r="BA11" i="21"/>
  <c r="BB11" i="21" s="1"/>
  <c r="BA10" i="21"/>
  <c r="BB10" i="21" s="1"/>
  <c r="BA9" i="21"/>
  <c r="BB9" i="21" s="1"/>
  <c r="BA8" i="21"/>
  <c r="BB8" i="21" s="1"/>
  <c r="BA7" i="21"/>
  <c r="BB7" i="21" s="1"/>
  <c r="BA6" i="21"/>
  <c r="AA47" i="21"/>
  <c r="AA48" i="21" s="1"/>
  <c r="AA49" i="21" s="1"/>
  <c r="Z42" i="21"/>
  <c r="Z41" i="21"/>
  <c r="AA41" i="21" s="1"/>
  <c r="Z40" i="21"/>
  <c r="AA40" i="21" s="1"/>
  <c r="Z39" i="21"/>
  <c r="AA39" i="21" s="1"/>
  <c r="Z38" i="21"/>
  <c r="AA38" i="21" s="1"/>
  <c r="Z37" i="21"/>
  <c r="AA37" i="21" s="1"/>
  <c r="Z36" i="21"/>
  <c r="AA36" i="21" s="1"/>
  <c r="Z35" i="21"/>
  <c r="AA35" i="21" s="1"/>
  <c r="Z34" i="21"/>
  <c r="AA34" i="21" s="1"/>
  <c r="Z33" i="21"/>
  <c r="AA33" i="21" s="1"/>
  <c r="Z32" i="21"/>
  <c r="AA32" i="21" s="1"/>
  <c r="Z31" i="21"/>
  <c r="Z30" i="21"/>
  <c r="AA30" i="21" s="1"/>
  <c r="Z29" i="21"/>
  <c r="AA29" i="21" s="1"/>
  <c r="Z28" i="21"/>
  <c r="AA28" i="21" s="1"/>
  <c r="Z27" i="21"/>
  <c r="AA27" i="21" s="1"/>
  <c r="Z26" i="21"/>
  <c r="AA26" i="21" s="1"/>
  <c r="Z25" i="21"/>
  <c r="AA25" i="21" s="1"/>
  <c r="Z24" i="21"/>
  <c r="AA24" i="21" s="1"/>
  <c r="Z23" i="21"/>
  <c r="AA23" i="21" s="1"/>
  <c r="Z22" i="21"/>
  <c r="AA22" i="21" s="1"/>
  <c r="Z21" i="21"/>
  <c r="AA21" i="21" s="1"/>
  <c r="Z20" i="21"/>
  <c r="AA20" i="21" s="1"/>
  <c r="Z19" i="21"/>
  <c r="AA19" i="21" s="1"/>
  <c r="Z18" i="21"/>
  <c r="AA18" i="21" s="1"/>
  <c r="Z17" i="21"/>
  <c r="Z16" i="21"/>
  <c r="AA16" i="21" s="1"/>
  <c r="Z15" i="21"/>
  <c r="AA15" i="21" s="1"/>
  <c r="Z14" i="21"/>
  <c r="AA14" i="21" s="1"/>
  <c r="Z13" i="21"/>
  <c r="AA13" i="21" s="1"/>
  <c r="Z12" i="21"/>
  <c r="AA12" i="21" s="1"/>
  <c r="Z11" i="21"/>
  <c r="AA11" i="21" s="1"/>
  <c r="Z10" i="21"/>
  <c r="AA10" i="21" s="1"/>
  <c r="Z9" i="21"/>
  <c r="AA9" i="21" s="1"/>
  <c r="Z8" i="21"/>
  <c r="AA8" i="21" s="1"/>
  <c r="Z7" i="21"/>
  <c r="AA7" i="21" s="1"/>
  <c r="Z6" i="21"/>
  <c r="AA6" i="21" s="1"/>
  <c r="H364" i="22" a="1"/>
  <c r="V5" i="29" l="1"/>
  <c r="V12" i="29"/>
  <c r="R6" i="29"/>
  <c r="V11" i="29"/>
  <c r="V18" i="29"/>
  <c r="V6" i="29"/>
  <c r="T14" i="29"/>
  <c r="Q20" i="29"/>
  <c r="U19" i="29"/>
  <c r="U28" i="29" s="1"/>
  <c r="R4" i="29"/>
  <c r="S20" i="29"/>
  <c r="Q19" i="29"/>
  <c r="Q28" i="29" s="1"/>
  <c r="X9" i="29"/>
  <c r="X14" i="29"/>
  <c r="X4" i="29"/>
  <c r="T6" i="29"/>
  <c r="R10" i="29"/>
  <c r="X6" i="29"/>
  <c r="U20" i="29"/>
  <c r="V4" i="29"/>
  <c r="W19" i="29"/>
  <c r="W28" i="29" s="1"/>
  <c r="V9" i="29"/>
  <c r="T4" i="29"/>
  <c r="T19" i="29" s="1"/>
  <c r="S23" i="29"/>
  <c r="V14" i="29"/>
  <c r="T20" i="28"/>
  <c r="T15" i="28"/>
  <c r="T19" i="28"/>
  <c r="T6" i="28"/>
  <c r="T21" i="28" s="1"/>
  <c r="T10" i="28"/>
  <c r="V20" i="28"/>
  <c r="V14" i="28"/>
  <c r="R7" i="28"/>
  <c r="R21" i="28" s="1"/>
  <c r="X9" i="28"/>
  <c r="X19" i="28"/>
  <c r="X6" i="28"/>
  <c r="X20" i="28"/>
  <c r="U27" i="28"/>
  <c r="U21" i="28"/>
  <c r="U30" i="28" s="1"/>
  <c r="W22" i="28"/>
  <c r="Q23" i="28"/>
  <c r="V9" i="28"/>
  <c r="S23" i="28"/>
  <c r="U23" i="28"/>
  <c r="S27" i="28"/>
  <c r="V4" i="28"/>
  <c r="V21" i="28" s="1"/>
  <c r="W27" i="28"/>
  <c r="Q24" i="28"/>
  <c r="S21" i="28"/>
  <c r="S30" i="28" s="1"/>
  <c r="S22" i="28"/>
  <c r="W23" i="28"/>
  <c r="S24" i="28"/>
  <c r="R9" i="28"/>
  <c r="U24" i="28"/>
  <c r="X7" i="28"/>
  <c r="T9" i="28"/>
  <c r="Q21" i="28"/>
  <c r="Q30" i="28" s="1"/>
  <c r="Q22" i="28"/>
  <c r="X4" i="28"/>
  <c r="R20" i="27"/>
  <c r="R4" i="27"/>
  <c r="R7" i="27"/>
  <c r="T20" i="27"/>
  <c r="T16" i="27"/>
  <c r="T7" i="27"/>
  <c r="V4" i="27"/>
  <c r="X16" i="27"/>
  <c r="W21" i="27"/>
  <c r="W30" i="27" s="1"/>
  <c r="Q22" i="27"/>
  <c r="Q21" i="27"/>
  <c r="Q30" i="27" s="1"/>
  <c r="S22" i="27"/>
  <c r="V7" i="27"/>
  <c r="V16" i="27"/>
  <c r="T4" i="27"/>
  <c r="W22" i="27"/>
  <c r="X4" i="27"/>
  <c r="S23" i="27"/>
  <c r="U23" i="27"/>
  <c r="R6" i="27"/>
  <c r="T6" i="27"/>
  <c r="X6" i="27"/>
  <c r="W24" i="27"/>
  <c r="U21" i="27"/>
  <c r="U30" i="27" s="1"/>
  <c r="U25" i="27"/>
  <c r="R154" i="26"/>
  <c r="R148" i="26"/>
  <c r="R147" i="26"/>
  <c r="R155" i="26"/>
  <c r="R276" i="26"/>
  <c r="R272" i="26"/>
  <c r="R271" i="26"/>
  <c r="R103" i="26"/>
  <c r="R93" i="26"/>
  <c r="R86" i="26"/>
  <c r="R91" i="26"/>
  <c r="X49" i="26"/>
  <c r="X63" i="26"/>
  <c r="X59" i="26"/>
  <c r="X47" i="26"/>
  <c r="X65" i="26" s="1"/>
  <c r="X51" i="26"/>
  <c r="Z57" i="26"/>
  <c r="Z63" i="26"/>
  <c r="Z19" i="26"/>
  <c r="Z21" i="26"/>
  <c r="X53" i="26"/>
  <c r="X89" i="26"/>
  <c r="V94" i="26"/>
  <c r="T97" i="26"/>
  <c r="T96" i="26"/>
  <c r="T89" i="26"/>
  <c r="T103" i="26"/>
  <c r="R150" i="26"/>
  <c r="X230" i="26"/>
  <c r="R330" i="26"/>
  <c r="R329" i="26"/>
  <c r="X48" i="26"/>
  <c r="U106" i="26"/>
  <c r="V90" i="26"/>
  <c r="R348" i="26"/>
  <c r="R151" i="26"/>
  <c r="R232" i="26"/>
  <c r="Z17" i="26"/>
  <c r="V12" i="26"/>
  <c r="X18" i="26"/>
  <c r="X11" i="26"/>
  <c r="X4" i="26"/>
  <c r="X92" i="26"/>
  <c r="X85" i="26"/>
  <c r="X102" i="26"/>
  <c r="X6" i="26"/>
  <c r="S106" i="26"/>
  <c r="R125" i="26"/>
  <c r="X7" i="26"/>
  <c r="S236" i="26"/>
  <c r="S235" i="26"/>
  <c r="U28" i="26"/>
  <c r="T12" i="26"/>
  <c r="Q236" i="26"/>
  <c r="Q235" i="26"/>
  <c r="Q109" i="26"/>
  <c r="T101" i="26"/>
  <c r="S28" i="26"/>
  <c r="T14" i="26"/>
  <c r="R45" i="26"/>
  <c r="Z61" i="26"/>
  <c r="V101" i="26"/>
  <c r="X101" i="26"/>
  <c r="R268" i="26"/>
  <c r="W110" i="26"/>
  <c r="Y28" i="26"/>
  <c r="Y23" i="26"/>
  <c r="Y32" i="26" s="1"/>
  <c r="T92" i="26"/>
  <c r="Z14" i="26"/>
  <c r="R46" i="26"/>
  <c r="V92" i="26"/>
  <c r="T102" i="26"/>
  <c r="S27" i="26"/>
  <c r="X57" i="26"/>
  <c r="V87" i="26"/>
  <c r="S214" i="26"/>
  <c r="S213" i="26"/>
  <c r="X17" i="26"/>
  <c r="R90" i="26"/>
  <c r="R345" i="26"/>
  <c r="S67" i="26"/>
  <c r="S66" i="26"/>
  <c r="T232" i="26"/>
  <c r="R253" i="26"/>
  <c r="V49" i="26"/>
  <c r="U69" i="26"/>
  <c r="X96" i="26"/>
  <c r="T56" i="26"/>
  <c r="Z18" i="26"/>
  <c r="X50" i="26"/>
  <c r="Y65" i="26"/>
  <c r="Y74" i="26" s="1"/>
  <c r="R311" i="26"/>
  <c r="T206" i="26"/>
  <c r="T87" i="26"/>
  <c r="R270" i="26"/>
  <c r="U110" i="26"/>
  <c r="V23" i="26"/>
  <c r="T9" i="26"/>
  <c r="T23" i="26" s="1"/>
  <c r="V46" i="26"/>
  <c r="V65" i="26" s="1"/>
  <c r="W106" i="26"/>
  <c r="T207" i="26"/>
  <c r="W237" i="26"/>
  <c r="R273" i="26"/>
  <c r="R149" i="26"/>
  <c r="V100" i="26"/>
  <c r="R5" i="26"/>
  <c r="W24" i="26"/>
  <c r="W66" i="26"/>
  <c r="W65" i="26"/>
  <c r="W74" i="26" s="1"/>
  <c r="T227" i="26"/>
  <c r="U109" i="26"/>
  <c r="X19" i="26"/>
  <c r="U236" i="26"/>
  <c r="R228" i="26"/>
  <c r="Y110" i="26"/>
  <c r="W28" i="26"/>
  <c r="X46" i="26"/>
  <c r="R274" i="26"/>
  <c r="X9" i="26"/>
  <c r="Z15" i="26"/>
  <c r="R47" i="26"/>
  <c r="V58" i="26"/>
  <c r="R88" i="26"/>
  <c r="V98" i="26"/>
  <c r="T229" i="26"/>
  <c r="R275" i="26"/>
  <c r="S23" i="26"/>
  <c r="S32" i="26" s="1"/>
  <c r="S26" i="26"/>
  <c r="T47" i="26"/>
  <c r="X58" i="26"/>
  <c r="T88" i="26"/>
  <c r="T105" i="26" s="1"/>
  <c r="T93" i="26"/>
  <c r="X98" i="26"/>
  <c r="V229" i="26"/>
  <c r="R153" i="26"/>
  <c r="T49" i="26"/>
  <c r="S109" i="26"/>
  <c r="R205" i="26"/>
  <c r="X56" i="26"/>
  <c r="R206" i="26"/>
  <c r="Z96" i="26"/>
  <c r="R8" i="26"/>
  <c r="V56" i="26"/>
  <c r="W108" i="26"/>
  <c r="W105" i="26"/>
  <c r="W114" i="26" s="1"/>
  <c r="R51" i="26"/>
  <c r="W235" i="26"/>
  <c r="X97" i="26"/>
  <c r="R167" i="26"/>
  <c r="R175" i="26" s="1"/>
  <c r="R269" i="26"/>
  <c r="X87" i="26"/>
  <c r="T98" i="26"/>
  <c r="Z102" i="26"/>
  <c r="R10" i="26"/>
  <c r="Z20" i="26"/>
  <c r="V47" i="26"/>
  <c r="T52" i="26"/>
  <c r="Z58" i="26"/>
  <c r="V63" i="26"/>
  <c r="V88" i="26"/>
  <c r="R128" i="26"/>
  <c r="R127" i="26"/>
  <c r="T208" i="26"/>
  <c r="R327" i="26"/>
  <c r="U23" i="26"/>
  <c r="U32" i="26" s="1"/>
  <c r="U26" i="26"/>
  <c r="W69" i="26"/>
  <c r="V52" i="26"/>
  <c r="T59" i="26"/>
  <c r="T46" i="26"/>
  <c r="T53" i="26"/>
  <c r="X88" i="26"/>
  <c r="V93" i="26"/>
  <c r="R146" i="26"/>
  <c r="R173" i="26"/>
  <c r="R172" i="26"/>
  <c r="R174" i="26"/>
  <c r="R230" i="26"/>
  <c r="R328" i="26"/>
  <c r="Q391" i="26"/>
  <c r="R186" i="26"/>
  <c r="R194" i="26" s="1"/>
  <c r="X21" i="26"/>
  <c r="R152" i="26"/>
  <c r="X60" i="26"/>
  <c r="U67" i="26"/>
  <c r="U66" i="26"/>
  <c r="X54" i="26"/>
  <c r="R227" i="26"/>
  <c r="R50" i="26"/>
  <c r="R295" i="26"/>
  <c r="R296" i="26"/>
  <c r="X61" i="26"/>
  <c r="T205" i="26"/>
  <c r="X91" i="26"/>
  <c r="R87" i="26"/>
  <c r="U27" i="26"/>
  <c r="V9" i="26"/>
  <c r="X16" i="26"/>
  <c r="X103" i="26"/>
  <c r="W23" i="26"/>
  <c r="W32" i="26" s="1"/>
  <c r="X5" i="26"/>
  <c r="X10" i="26"/>
  <c r="V21" i="26"/>
  <c r="T8" i="26"/>
  <c r="T21" i="26"/>
  <c r="R53" i="26"/>
  <c r="S65" i="26"/>
  <c r="S74" i="26" s="1"/>
  <c r="R94" i="26"/>
  <c r="V99" i="26"/>
  <c r="Z103" i="26"/>
  <c r="Q194" i="26"/>
  <c r="X228" i="26"/>
  <c r="X233" i="26"/>
  <c r="Q298" i="26"/>
  <c r="R331" i="26"/>
  <c r="V103" i="26"/>
  <c r="V96" i="26"/>
  <c r="V102" i="26"/>
  <c r="R12" i="26"/>
  <c r="R49" i="26"/>
  <c r="R7" i="26"/>
  <c r="T44" i="26"/>
  <c r="X90" i="26"/>
  <c r="W29" i="26"/>
  <c r="W27" i="26"/>
  <c r="R349" i="26"/>
  <c r="V91" i="26"/>
  <c r="V227" i="26"/>
  <c r="X86" i="26"/>
  <c r="X14" i="26"/>
  <c r="X62" i="26"/>
  <c r="R92" i="26"/>
  <c r="R362" i="26"/>
  <c r="R89" i="26"/>
  <c r="T210" i="26"/>
  <c r="Q65" i="26"/>
  <c r="Q74" i="26" s="1"/>
  <c r="X93" i="26"/>
  <c r="T99" i="26"/>
  <c r="Q23" i="26"/>
  <c r="Q32" i="26" s="1"/>
  <c r="Q26" i="26"/>
  <c r="R6" i="26"/>
  <c r="R11" i="26"/>
  <c r="U65" i="26"/>
  <c r="U74" i="26" s="1"/>
  <c r="V89" i="26"/>
  <c r="T94" i="26"/>
  <c r="X99" i="26"/>
  <c r="Q105" i="26"/>
  <c r="Q114" i="26" s="1"/>
  <c r="R364" i="26"/>
  <c r="R363" i="26"/>
  <c r="R388" i="26"/>
  <c r="R229" i="26"/>
  <c r="R387" i="26"/>
  <c r="R289" i="26"/>
  <c r="R332" i="26"/>
  <c r="R382" i="26"/>
  <c r="R411" i="26"/>
  <c r="R414" i="26"/>
  <c r="R412" i="26"/>
  <c r="Z56" i="26"/>
  <c r="R210" i="26"/>
  <c r="X227" i="26"/>
  <c r="V14" i="26"/>
  <c r="Q111" i="26"/>
  <c r="Y105" i="26"/>
  <c r="Y114" i="26" s="1"/>
  <c r="S111" i="26"/>
  <c r="Y70" i="26"/>
  <c r="Q213" i="26"/>
  <c r="Q107" i="26"/>
  <c r="Q214" i="26"/>
  <c r="X15" i="26"/>
  <c r="R4" i="26"/>
  <c r="R85" i="26"/>
  <c r="S108" i="26"/>
  <c r="Q416" i="26"/>
  <c r="V85" i="26"/>
  <c r="V105" i="26" s="1"/>
  <c r="Q67" i="26"/>
  <c r="QQ10" i="21"/>
  <c r="QQ15" i="21"/>
  <c r="QQ19" i="21"/>
  <c r="QQ22" i="21"/>
  <c r="QQ24" i="21"/>
  <c r="QQ8" i="21"/>
  <c r="QQ12" i="21"/>
  <c r="QQ14" i="21"/>
  <c r="QQ20" i="21"/>
  <c r="QQ25" i="21"/>
  <c r="QQ9" i="21"/>
  <c r="QQ13" i="21"/>
  <c r="QQ18" i="21"/>
  <c r="QQ21" i="21"/>
  <c r="QQ23" i="21"/>
  <c r="QQ26" i="21"/>
  <c r="QQ11" i="21"/>
  <c r="QQ27" i="21"/>
  <c r="QQ17" i="21"/>
  <c r="QQ16" i="21"/>
  <c r="QQ6" i="21"/>
  <c r="PP18" i="21"/>
  <c r="PP29" i="21"/>
  <c r="PP6" i="21"/>
  <c r="PP30" i="21" s="1"/>
  <c r="OO32" i="21"/>
  <c r="OO8" i="21"/>
  <c r="OO22" i="21"/>
  <c r="OO33" i="21"/>
  <c r="ON34" i="21"/>
  <c r="NN6" i="21"/>
  <c r="NN32" i="21"/>
  <c r="NN21" i="21"/>
  <c r="NN17" i="21"/>
  <c r="NN7" i="21"/>
  <c r="ML41" i="21"/>
  <c r="MM13" i="21"/>
  <c r="MM24" i="21"/>
  <c r="MM30" i="21"/>
  <c r="MM34" i="21"/>
  <c r="MM22" i="21"/>
  <c r="MM27" i="21"/>
  <c r="MM32" i="21"/>
  <c r="MM7" i="21"/>
  <c r="MM8" i="21"/>
  <c r="MM9" i="21"/>
  <c r="MM37" i="21"/>
  <c r="MM23" i="21"/>
  <c r="MM26" i="21"/>
  <c r="MM31" i="21"/>
  <c r="MM35" i="21"/>
  <c r="MM10" i="21"/>
  <c r="MM38" i="21"/>
  <c r="MM21" i="21"/>
  <c r="MM25" i="21"/>
  <c r="MM28" i="21"/>
  <c r="MM33" i="21"/>
  <c r="MM36" i="21"/>
  <c r="MM11" i="21"/>
  <c r="MM39" i="21"/>
  <c r="MM12" i="21"/>
  <c r="MM15" i="21"/>
  <c r="MM40" i="21"/>
  <c r="MM29" i="21"/>
  <c r="MM6" i="21"/>
  <c r="LL21" i="21"/>
  <c r="LL10" i="21"/>
  <c r="LL22" i="21" s="1"/>
  <c r="LL17" i="21"/>
  <c r="LK22" i="21"/>
  <c r="KJ41" i="21"/>
  <c r="KK15" i="21"/>
  <c r="KK40" i="21"/>
  <c r="KK29" i="21"/>
  <c r="KK8" i="21"/>
  <c r="KK6" i="21"/>
  <c r="JJ32" i="21"/>
  <c r="JI34" i="21"/>
  <c r="JJ33" i="21"/>
  <c r="JJ22" i="21"/>
  <c r="JJ26" i="21"/>
  <c r="JJ8" i="21"/>
  <c r="JJ6" i="21"/>
  <c r="II8" i="21"/>
  <c r="II10" i="21"/>
  <c r="II12" i="21"/>
  <c r="II14" i="21"/>
  <c r="II18" i="21"/>
  <c r="II20" i="21"/>
  <c r="II23" i="21"/>
  <c r="II9" i="21"/>
  <c r="II11" i="21"/>
  <c r="II13" i="21"/>
  <c r="II15" i="21"/>
  <c r="II19" i="21"/>
  <c r="II21" i="21"/>
  <c r="II22" i="21"/>
  <c r="II25" i="21"/>
  <c r="II24" i="21"/>
  <c r="II26" i="21"/>
  <c r="II27" i="21"/>
  <c r="II16" i="21"/>
  <c r="II28" i="21"/>
  <c r="II17" i="21"/>
  <c r="II6" i="21"/>
  <c r="HG41" i="21"/>
  <c r="HH12" i="21"/>
  <c r="HH40" i="21"/>
  <c r="HH15" i="21"/>
  <c r="HH29" i="21"/>
  <c r="HH6" i="21"/>
  <c r="HH41" i="21" s="1"/>
  <c r="GG9" i="21"/>
  <c r="GF37" i="21"/>
  <c r="GG8" i="21"/>
  <c r="GG36" i="21"/>
  <c r="GG11" i="21"/>
  <c r="GG25" i="21"/>
  <c r="GG6" i="21"/>
  <c r="FF33" i="21"/>
  <c r="FE36" i="21"/>
  <c r="FF8" i="21"/>
  <c r="FF35" i="21"/>
  <c r="FF24" i="21"/>
  <c r="FF10" i="21"/>
  <c r="FF6" i="21"/>
  <c r="EE14" i="21"/>
  <c r="EE27" i="21" s="1"/>
  <c r="EE26" i="21"/>
  <c r="DC26" i="21"/>
  <c r="DD24" i="21"/>
  <c r="DD23" i="21"/>
  <c r="DD6" i="21"/>
  <c r="CB22" i="21"/>
  <c r="CC7" i="21"/>
  <c r="CC9" i="21"/>
  <c r="CC12" i="21"/>
  <c r="CC14" i="21"/>
  <c r="CC16" i="21"/>
  <c r="CC20" i="21"/>
  <c r="CC8" i="21"/>
  <c r="CC11" i="21"/>
  <c r="CC13" i="21"/>
  <c r="CC15" i="21"/>
  <c r="CC17" i="21"/>
  <c r="CC18" i="21"/>
  <c r="CC19" i="21"/>
  <c r="CC21" i="21"/>
  <c r="CC10" i="21"/>
  <c r="CC6" i="21"/>
  <c r="CC22" i="21" s="1"/>
  <c r="BA27" i="21"/>
  <c r="BB26" i="21"/>
  <c r="BB15" i="21"/>
  <c r="BB6" i="21"/>
  <c r="BB27" i="21" s="1"/>
  <c r="AA31" i="21"/>
  <c r="AA42" i="21"/>
  <c r="AA17" i="21"/>
  <c r="AA43" i="21" s="1"/>
  <c r="Z43" i="21"/>
  <c r="H364" i="22"/>
  <c r="H367" i="22" a="1"/>
  <c r="R19" i="29" l="1"/>
  <c r="V19" i="29"/>
  <c r="X19" i="29"/>
  <c r="X21" i="28"/>
  <c r="X21" i="27"/>
  <c r="T21" i="27"/>
  <c r="V21" i="27"/>
  <c r="R21" i="27"/>
  <c r="X105" i="26"/>
  <c r="Z65" i="26"/>
  <c r="X23" i="26"/>
  <c r="Z105" i="26"/>
  <c r="R23" i="26"/>
  <c r="R135" i="26"/>
  <c r="Z23" i="26"/>
  <c r="R156" i="26"/>
  <c r="QQ28" i="21"/>
  <c r="OO34" i="21"/>
  <c r="NN33" i="21"/>
  <c r="MM41" i="21"/>
  <c r="KK41" i="21"/>
  <c r="JJ34" i="21"/>
  <c r="II29" i="21"/>
  <c r="GG37" i="21"/>
  <c r="FF36" i="21"/>
  <c r="DD26" i="21"/>
  <c r="H367" i="22"/>
  <c r="H365" i="22" a="1"/>
  <c r="H365" i="22"/>
  <c r="H363" i="22" a="1"/>
  <c r="H363" i="22"/>
  <c r="H362" i="22" a="1"/>
  <c r="H362" i="22" l="1"/>
  <c r="H349" i="22" a="1"/>
  <c r="H349" i="22" l="1"/>
  <c r="H346" i="22" a="1"/>
  <c r="H346" i="22"/>
  <c r="H348" i="22" a="1"/>
  <c r="H348" i="22"/>
  <c r="H347" i="22" a="1"/>
  <c r="H347" i="22"/>
  <c r="H345" i="22" a="1"/>
  <c r="H345" i="22" l="1"/>
  <c r="H332" i="22" a="1"/>
  <c r="H332" i="22" l="1"/>
  <c r="H330" i="22" a="1"/>
  <c r="H330" i="22"/>
  <c r="H331" i="22" a="1"/>
  <c r="H331" i="22"/>
  <c r="H329" i="22" a="1"/>
  <c r="H329" i="22"/>
  <c r="H328" i="22" a="1"/>
  <c r="H328" i="22"/>
  <c r="H327" i="22" a="1"/>
  <c r="H327" i="22" l="1"/>
  <c r="H310" i="22" a="1"/>
  <c r="H310" i="22" l="1"/>
  <c r="H312" i="22" a="1"/>
  <c r="H312" i="22"/>
  <c r="H313" i="22" a="1"/>
  <c r="H313" i="22"/>
  <c r="H311" i="22" a="1"/>
  <c r="H311" i="22"/>
  <c r="H309" i="22" a="1"/>
  <c r="H309" i="22" l="1"/>
  <c r="H291" i="22" a="1"/>
  <c r="H291" i="22" l="1"/>
  <c r="H295" i="22" a="1"/>
  <c r="H295" i="22"/>
  <c r="H293" i="22" a="1"/>
  <c r="H293" i="22"/>
  <c r="H292" i="22" a="1"/>
  <c r="H292" i="22"/>
  <c r="H294" i="22" a="1"/>
  <c r="H294" i="22"/>
  <c r="H290" i="22" a="1"/>
  <c r="H289" i="22" a="1"/>
  <c r="H290" i="22" l="1"/>
  <c r="H289" i="22"/>
  <c r="H275" i="22" a="1"/>
  <c r="H275" i="22" l="1"/>
  <c r="H271" i="22" a="1"/>
  <c r="H271" i="22"/>
  <c r="H272" i="22" a="1"/>
  <c r="H272" i="22"/>
  <c r="H270" i="22" a="1"/>
  <c r="H270" i="22"/>
  <c r="H273" i="22" a="1"/>
  <c r="H273" i="22"/>
  <c r="H274" i="22" a="1"/>
  <c r="H274" i="22"/>
  <c r="H269" i="22" a="1"/>
  <c r="H269" i="22"/>
  <c r="H268" i="22" a="1"/>
  <c r="H268" i="22" l="1"/>
  <c r="H254" i="22" a="1"/>
  <c r="H254" i="22" l="1"/>
  <c r="H253" i="22" a="1"/>
  <c r="H253" i="22" l="1"/>
  <c r="H252" i="22" a="1"/>
  <c r="H252" i="22"/>
  <c r="H251" i="22" a="1"/>
  <c r="H251" i="22"/>
  <c r="H250" i="22" a="1"/>
  <c r="H232" i="22" a="1"/>
  <c r="H230" i="22" a="1"/>
  <c r="H229" i="22" a="1"/>
  <c r="H228" i="22" a="1"/>
  <c r="H227" i="22" a="1"/>
  <c r="H210" i="22" a="1"/>
  <c r="H250" i="22" l="1"/>
  <c r="H232" i="22"/>
  <c r="H230" i="22"/>
  <c r="H229" i="22"/>
  <c r="H228" i="22"/>
  <c r="H227" i="22"/>
  <c r="H210" i="22"/>
  <c r="H207" i="22" a="1"/>
  <c r="H207" i="22" l="1"/>
  <c r="H208" i="22" a="1"/>
  <c r="H208" i="22"/>
  <c r="H205" i="22" a="1"/>
  <c r="H205" i="22"/>
  <c r="H206" i="22" a="1"/>
  <c r="H206" i="22"/>
  <c r="H187" i="22" a="1"/>
  <c r="H190" i="22" a="1"/>
  <c r="H188" i="22" a="1"/>
  <c r="H189" i="22" a="1"/>
  <c r="H191" i="22" a="1"/>
  <c r="H192" i="22" a="1"/>
  <c r="H186" i="22" a="1"/>
  <c r="H168" i="22" a="1"/>
  <c r="H170" i="22" a="1"/>
  <c r="H171" i="22" a="1"/>
  <c r="H173" i="22" a="1"/>
  <c r="H169" i="22" a="1"/>
  <c r="H172" i="22" a="1"/>
  <c r="H167" i="22" a="1"/>
  <c r="H151" i="22" a="1"/>
  <c r="H192" i="22" l="1"/>
  <c r="H191" i="22"/>
  <c r="H189" i="22"/>
  <c r="H188" i="22"/>
  <c r="H190" i="22"/>
  <c r="H187" i="22"/>
  <c r="H186" i="22"/>
  <c r="H172" i="22"/>
  <c r="H169" i="22"/>
  <c r="H173" i="22"/>
  <c r="H171" i="22"/>
  <c r="H170" i="22"/>
  <c r="H168" i="22"/>
  <c r="H167" i="22"/>
  <c r="H151" i="22"/>
  <c r="H154" i="22" a="1"/>
  <c r="H154" i="22"/>
  <c r="H153" i="22" a="1"/>
  <c r="H153" i="22"/>
  <c r="H152" i="22" a="1"/>
  <c r="H152" i="22"/>
  <c r="H147" i="22" a="1"/>
  <c r="H147" i="22"/>
  <c r="H150" i="22" a="1"/>
  <c r="H150" i="22"/>
  <c r="H148" i="22" a="1"/>
  <c r="H148" i="22"/>
  <c r="H149" i="22" a="1"/>
  <c r="H149" i="22"/>
  <c r="H146" i="22" a="1"/>
  <c r="H146" i="22" l="1"/>
  <c r="H129" i="22" a="1"/>
  <c r="H129" i="22" l="1"/>
  <c r="H128" i="22" a="1"/>
  <c r="H128" i="22"/>
  <c r="H130" i="22" a="1"/>
  <c r="H130" i="22"/>
  <c r="H126" i="22" a="1"/>
  <c r="H126" i="22"/>
  <c r="H132" i="22" a="1"/>
  <c r="H132" i="22"/>
  <c r="H131" i="22" a="1"/>
  <c r="H131" i="22"/>
  <c r="H133" i="22" a="1"/>
  <c r="H133" i="22"/>
  <c r="H127" i="22" a="1"/>
  <c r="H127" i="22"/>
  <c r="H125" i="22" a="1"/>
  <c r="H125" i="22" l="1"/>
  <c r="H97" i="22" a="1"/>
  <c r="H100" i="22" a="1"/>
  <c r="H98" i="22" a="1"/>
  <c r="H101" i="22" a="1"/>
  <c r="H102" i="22" a="1"/>
  <c r="H99" i="22" a="1"/>
  <c r="H96" i="22" a="1"/>
  <c r="H94" i="22" a="1"/>
  <c r="H97" i="22" l="1"/>
  <c r="H99" i="22"/>
  <c r="H102" i="22"/>
  <c r="H101" i="22"/>
  <c r="H98" i="22"/>
  <c r="H100" i="22"/>
  <c r="H96" i="22"/>
  <c r="H94" i="22"/>
  <c r="H86" i="22" a="1"/>
  <c r="H88" i="22" a="1"/>
  <c r="H91" i="22" a="1"/>
  <c r="H87" i="22" a="1"/>
  <c r="H93" i="22" a="1"/>
  <c r="H90" i="22" a="1"/>
  <c r="H92" i="22" a="1"/>
  <c r="H89" i="22" a="1"/>
  <c r="H85" i="22" a="1"/>
  <c r="H61" i="22" a="1"/>
  <c r="H89" i="22" l="1"/>
  <c r="H92" i="22"/>
  <c r="H90" i="22"/>
  <c r="H93" i="22"/>
  <c r="H87" i="22"/>
  <c r="H91" i="22"/>
  <c r="H88" i="22"/>
  <c r="H86" i="22"/>
  <c r="H85" i="22"/>
  <c r="H61" i="22"/>
  <c r="H60" i="22" a="1"/>
  <c r="H60" i="22"/>
  <c r="H59" i="22" a="1"/>
  <c r="H59" i="22"/>
  <c r="H58" i="22" a="1"/>
  <c r="H58" i="22"/>
  <c r="H57" i="22" a="1"/>
  <c r="H57" i="22"/>
  <c r="H62" i="22" a="1"/>
  <c r="H62" i="22"/>
  <c r="H56" i="22" a="1"/>
  <c r="H56" i="22" l="1"/>
  <c r="H53" i="22" a="1"/>
  <c r="H53" i="22" l="1"/>
  <c r="H54" i="22" a="1"/>
  <c r="H54" i="22"/>
  <c r="H45" i="22" a="1"/>
  <c r="H45" i="22"/>
  <c r="H52" i="22" a="1"/>
  <c r="H52" i="22"/>
  <c r="H50" i="22" a="1"/>
  <c r="H50" i="22"/>
  <c r="H48" i="22" a="1"/>
  <c r="H48" i="22"/>
  <c r="H46" i="22" a="1"/>
  <c r="H46" i="22"/>
  <c r="H47" i="22" a="1"/>
  <c r="H47" i="22"/>
  <c r="H51" i="22" a="1"/>
  <c r="H51" i="22"/>
  <c r="H49" i="22" a="1"/>
  <c r="H49" i="22"/>
  <c r="H44" i="22" a="1"/>
  <c r="H44" i="22" l="1"/>
  <c r="H19" i="22" a="1"/>
  <c r="H19" i="22" l="1"/>
  <c r="H16" i="22" a="1"/>
  <c r="H16" i="22"/>
  <c r="H15" i="22" a="1"/>
  <c r="H15" i="22"/>
  <c r="H18" i="22" a="1"/>
  <c r="H18" i="22"/>
  <c r="H20" i="22" a="1"/>
  <c r="H20" i="22"/>
  <c r="H17" i="22" a="1"/>
  <c r="H17" i="22"/>
  <c r="H14" i="22" a="1"/>
  <c r="H9" i="22" a="1"/>
  <c r="H14" i="22" l="1"/>
  <c r="H9" i="22"/>
  <c r="H7" i="22" a="1"/>
  <c r="H7" i="22"/>
  <c r="H10" i="22" a="1"/>
  <c r="H10" i="22"/>
  <c r="H5" i="22" a="1"/>
  <c r="H5" i="22"/>
  <c r="H8" i="22" a="1"/>
  <c r="H8" i="22"/>
  <c r="H6" i="22" a="1"/>
  <c r="H6" i="22"/>
  <c r="H11" i="22" a="1"/>
  <c r="H11" i="22"/>
  <c r="H12" i="22" a="1"/>
  <c r="H4" i="22" a="1"/>
  <c r="H12" i="22" l="1"/>
  <c r="H4" i="22"/>
  <c r="H16" i="23" a="1"/>
  <c r="H16" i="23" l="1"/>
  <c r="H15" i="23" a="1"/>
  <c r="H15" i="23"/>
  <c r="H18" i="23" a="1"/>
  <c r="H18" i="23"/>
  <c r="H19" i="23" a="1"/>
  <c r="H19" i="23"/>
  <c r="H17" i="23" a="1"/>
  <c r="H17" i="23"/>
  <c r="H14" i="23" a="1"/>
  <c r="H14" i="23" l="1"/>
  <c r="H9" i="23" a="1"/>
  <c r="H9" i="23" l="1"/>
  <c r="H5" i="23" a="1"/>
  <c r="H5" i="23"/>
  <c r="H8" i="23" a="1"/>
  <c r="H8" i="23"/>
  <c r="H10" i="23" a="1"/>
  <c r="H10" i="23"/>
  <c r="H12" i="23" a="1"/>
  <c r="H12" i="23"/>
  <c r="H11" i="23" a="1"/>
  <c r="H11" i="23"/>
  <c r="H6" i="23" a="1"/>
  <c r="H6" i="23"/>
  <c r="H7" i="23" a="1"/>
  <c r="H7" i="23"/>
  <c r="H4" i="23" a="1"/>
  <c r="H4" i="23" l="1"/>
  <c r="RI30" i="1" a="1"/>
  <c r="RI30" i="1" l="1"/>
  <c r="RI17" i="1" a="1"/>
  <c r="RI17" i="1"/>
  <c r="RI9" i="1" a="1"/>
  <c r="RI9" i="1"/>
  <c r="RI40" i="1" a="1"/>
  <c r="RI40" i="1"/>
  <c r="RI20" i="1" a="1"/>
  <c r="RI20" i="1"/>
  <c r="RI22" i="1" a="1"/>
  <c r="RI22" i="1"/>
  <c r="RI10" i="1" a="1"/>
  <c r="RI10" i="1"/>
  <c r="RI27" i="1" a="1"/>
  <c r="RI27" i="1"/>
  <c r="RI25" i="1" a="1"/>
  <c r="RI25" i="1"/>
  <c r="RI15" i="1" a="1"/>
  <c r="RI15" i="1"/>
  <c r="RI39" i="1" a="1"/>
  <c r="RI39" i="1"/>
  <c r="RI38" i="1" a="1"/>
  <c r="RI38" i="1"/>
  <c r="RI14" i="1" a="1"/>
  <c r="RI14" i="1"/>
  <c r="RI21" i="1" a="1"/>
  <c r="RI21" i="1"/>
  <c r="RI7" i="1" a="1"/>
  <c r="RI7" i="1"/>
  <c r="RI13" i="1" a="1"/>
  <c r="RI13" i="1"/>
  <c r="RI37" i="1" a="1"/>
  <c r="RI37" i="1"/>
  <c r="RI18" i="1" a="1"/>
  <c r="RI18" i="1"/>
  <c r="RI16" i="1" a="1"/>
  <c r="RI16" i="1"/>
  <c r="RI32" i="1" a="1"/>
  <c r="RI32" i="1"/>
  <c r="RI31" i="1" a="1"/>
  <c r="RI31" i="1"/>
  <c r="RI33" i="1" a="1"/>
  <c r="RI33" i="1"/>
  <c r="RI35" i="1" a="1"/>
  <c r="RI24" i="1" a="1"/>
  <c r="RI19" i="1" a="1"/>
  <c r="RI34" i="1" a="1"/>
  <c r="RI8" i="1" a="1"/>
  <c r="RI36" i="1" a="1"/>
  <c r="RI23" i="1" a="1"/>
  <c r="RI11" i="1" a="1"/>
  <c r="RI26" i="1" a="1"/>
  <c r="RI29" i="1" a="1"/>
  <c r="RI12" i="1" a="1"/>
  <c r="RI28" i="1" a="1"/>
  <c r="RI6" i="1" a="1"/>
  <c r="QH10" i="1" a="1"/>
  <c r="RI28" i="1" l="1"/>
  <c r="RI12" i="1"/>
  <c r="RI29" i="1"/>
  <c r="RI26" i="1"/>
  <c r="RI11" i="1"/>
  <c r="RI23" i="1"/>
  <c r="RI36" i="1"/>
  <c r="RI8" i="1"/>
  <c r="RI34" i="1"/>
  <c r="RI19" i="1"/>
  <c r="RI24" i="1"/>
  <c r="RI35" i="1"/>
  <c r="RI6" i="1"/>
  <c r="QH10" i="1"/>
  <c r="QH20" i="1" a="1"/>
  <c r="QH20" i="1"/>
  <c r="QH25" i="1" a="1"/>
  <c r="QH25" i="1"/>
  <c r="QH23" i="1" a="1"/>
  <c r="QH23" i="1"/>
  <c r="QH22" i="1" a="1"/>
  <c r="QH22" i="1"/>
  <c r="QH11" i="1" a="1"/>
  <c r="QH11" i="1"/>
  <c r="QH19" i="1" a="1"/>
  <c r="QH19" i="1"/>
  <c r="QH16" i="1" a="1"/>
  <c r="QH16" i="1"/>
  <c r="QH18" i="1" a="1"/>
  <c r="QH18" i="1"/>
  <c r="QH15" i="1" a="1"/>
  <c r="QH15" i="1"/>
  <c r="QH12" i="1" a="1"/>
  <c r="QH12" i="1"/>
  <c r="QH21" i="1" a="1"/>
  <c r="QH21" i="1"/>
  <c r="QH26" i="1" a="1"/>
  <c r="QH26" i="1"/>
  <c r="QH24" i="1" a="1"/>
  <c r="QH24" i="1"/>
  <c r="QH14" i="1" a="1"/>
  <c r="QH14" i="1"/>
  <c r="QH7" i="1" a="1"/>
  <c r="QH7" i="1"/>
  <c r="QH17" i="1" a="1"/>
  <c r="QH17" i="1"/>
  <c r="QH8" i="1" a="1"/>
  <c r="QH9" i="1" a="1"/>
  <c r="QH13" i="1" a="1"/>
  <c r="QH6" i="1" a="1"/>
  <c r="QH13" i="1" l="1"/>
  <c r="QH9" i="1"/>
  <c r="QH8" i="1"/>
  <c r="QH6" i="1"/>
  <c r="PG17" i="1" a="1"/>
  <c r="PG17" i="1" l="1"/>
  <c r="PG24" i="1" a="1"/>
  <c r="PG24" i="1"/>
  <c r="PG11" i="1" a="1"/>
  <c r="PG11" i="1"/>
  <c r="PG13" i="1" a="1"/>
  <c r="PG13" i="1"/>
  <c r="PG23" i="1" a="1"/>
  <c r="PG23" i="1"/>
  <c r="PG7" i="1" a="1"/>
  <c r="PG7" i="1"/>
  <c r="PG15" i="1" a="1"/>
  <c r="PG15" i="1"/>
  <c r="PG27" i="1" a="1"/>
  <c r="PG27" i="1"/>
  <c r="PG20" i="1" a="1"/>
  <c r="PG20" i="1"/>
  <c r="PG25" i="1" a="1"/>
  <c r="PG25" i="1"/>
  <c r="PG10" i="1" a="1"/>
  <c r="PG10" i="1"/>
  <c r="PG21" i="1" a="1"/>
  <c r="PG21" i="1"/>
  <c r="PG18" i="1" a="1"/>
  <c r="PG18" i="1"/>
  <c r="PG8" i="1" a="1"/>
  <c r="PG8" i="1"/>
  <c r="PG9" i="1" a="1"/>
  <c r="PG9" i="1"/>
  <c r="PG16" i="1" a="1"/>
  <c r="PG16" i="1"/>
  <c r="PG22" i="1" a="1"/>
  <c r="PG12" i="1" a="1"/>
  <c r="PG28" i="1" a="1"/>
  <c r="PG19" i="1" a="1"/>
  <c r="PG26" i="1" a="1"/>
  <c r="PG14" i="1" a="1"/>
  <c r="PG6" i="1" a="1"/>
  <c r="PG14" i="1" l="1"/>
  <c r="PG26" i="1"/>
  <c r="PG19" i="1"/>
  <c r="PG28" i="1"/>
  <c r="PG12" i="1"/>
  <c r="PG22" i="1"/>
  <c r="PG6" i="1"/>
  <c r="OF21" i="1" a="1"/>
  <c r="OF21" i="1" l="1"/>
  <c r="OF19" i="1" a="1"/>
  <c r="OF19" i="1"/>
  <c r="OF20" i="1" a="1"/>
  <c r="OF20" i="1"/>
  <c r="OF16" i="1" a="1"/>
  <c r="OF16" i="1"/>
  <c r="OF23" i="1" a="1"/>
  <c r="OF23" i="1"/>
  <c r="OF14" i="1" a="1"/>
  <c r="OF14" i="1"/>
  <c r="OF7" i="1" a="1"/>
  <c r="OF8" i="1" a="1"/>
  <c r="OF22" i="1" a="1"/>
  <c r="OF9" i="1" a="1"/>
  <c r="OF10" i="1" a="1"/>
  <c r="OF24" i="1" a="1"/>
  <c r="OF11" i="1" a="1"/>
  <c r="OF25" i="1" a="1"/>
  <c r="OF12" i="1" a="1"/>
  <c r="OF26" i="1" a="1"/>
  <c r="OF13" i="1" a="1"/>
  <c r="OF27" i="1" a="1"/>
  <c r="OF28" i="1" a="1"/>
  <c r="OF15" i="1" a="1"/>
  <c r="OF30" i="1" a="1"/>
  <c r="OF17" i="1" a="1"/>
  <c r="OF31" i="1" a="1"/>
  <c r="OF18" i="1" a="1"/>
  <c r="OF32" i="1" a="1"/>
  <c r="OF29" i="1" a="1"/>
  <c r="OF6" i="1" a="1"/>
  <c r="OF29" i="1" l="1"/>
  <c r="OF32" i="1"/>
  <c r="OF18" i="1"/>
  <c r="OF31" i="1"/>
  <c r="OF17" i="1"/>
  <c r="OF30" i="1"/>
  <c r="OF15" i="1"/>
  <c r="OF28" i="1"/>
  <c r="OF27" i="1"/>
  <c r="OF13" i="1"/>
  <c r="OF26" i="1"/>
  <c r="OF12" i="1"/>
  <c r="OF25" i="1"/>
  <c r="OF11" i="1"/>
  <c r="OF24" i="1"/>
  <c r="OF10" i="1"/>
  <c r="OF9" i="1"/>
  <c r="OF22" i="1"/>
  <c r="OF8" i="1"/>
  <c r="OF7" i="1"/>
  <c r="OF6" i="1"/>
  <c r="NE17" i="1" a="1"/>
  <c r="NE17" i="1" l="1"/>
  <c r="NE7" i="1" a="1"/>
  <c r="NE7" i="1"/>
  <c r="NE15" i="1" a="1"/>
  <c r="NE15" i="1"/>
  <c r="NE26" i="1" a="1"/>
  <c r="NE26" i="1"/>
  <c r="NE27" i="1" a="1"/>
  <c r="NE27" i="1"/>
  <c r="NE28" i="1" a="1"/>
  <c r="NE28" i="1"/>
  <c r="NE25" i="1" a="1"/>
  <c r="NE25" i="1"/>
  <c r="NE31" i="1" a="1"/>
  <c r="NE31" i="1"/>
  <c r="NE21" i="1" a="1"/>
  <c r="NE21" i="1"/>
  <c r="NE9" i="1" a="1"/>
  <c r="NE9" i="1"/>
  <c r="NE11" i="1" a="1"/>
  <c r="NE11" i="1"/>
  <c r="NE23" i="1" a="1"/>
  <c r="NE12" i="1" a="1"/>
  <c r="NE29" i="1" a="1"/>
  <c r="NE19" i="1" a="1"/>
  <c r="NE8" i="1" a="1"/>
  <c r="NE22" i="1" a="1"/>
  <c r="NE24" i="1" a="1"/>
  <c r="NE30" i="1" a="1"/>
  <c r="NE18" i="1" a="1"/>
  <c r="NE10" i="1" a="1"/>
  <c r="NE13" i="1" a="1"/>
  <c r="NE14" i="1" a="1"/>
  <c r="NE20" i="1" a="1"/>
  <c r="NE16" i="1" a="1"/>
  <c r="NE6" i="1" a="1"/>
  <c r="MD28" i="1" a="1"/>
  <c r="NE16" i="1" l="1"/>
  <c r="NE20" i="1"/>
  <c r="NE14" i="1"/>
  <c r="NE13" i="1"/>
  <c r="NE10" i="1"/>
  <c r="NE18" i="1"/>
  <c r="NE30" i="1"/>
  <c r="NE24" i="1"/>
  <c r="NE22" i="1"/>
  <c r="NE8" i="1"/>
  <c r="NE19" i="1"/>
  <c r="NE29" i="1"/>
  <c r="NE12" i="1"/>
  <c r="NE23" i="1"/>
  <c r="NE6" i="1"/>
  <c r="MD28" i="1"/>
  <c r="MD22" i="1" a="1"/>
  <c r="MD22" i="1"/>
  <c r="MD18" i="1" a="1"/>
  <c r="MD18" i="1"/>
  <c r="MD17" i="1" a="1"/>
  <c r="MD17" i="1"/>
  <c r="MD33" i="1" a="1"/>
  <c r="MD33" i="1"/>
  <c r="MD14" i="1" a="1"/>
  <c r="MD14" i="1"/>
  <c r="MD21" i="1" a="1"/>
  <c r="MD21" i="1"/>
  <c r="MD15" i="1" a="1"/>
  <c r="MD15" i="1"/>
  <c r="MD24" i="1" a="1"/>
  <c r="MD24" i="1"/>
  <c r="MD29" i="1" a="1"/>
  <c r="MD29" i="1"/>
  <c r="MD8" i="1" a="1"/>
  <c r="MD8" i="1"/>
  <c r="MD26" i="1" a="1"/>
  <c r="MD26" i="1"/>
  <c r="MD9" i="1" a="1"/>
  <c r="MD9" i="1"/>
  <c r="MD12" i="1" a="1"/>
  <c r="MD12" i="1"/>
  <c r="MD39" i="1" a="1"/>
  <c r="MD39" i="1"/>
  <c r="MD34" i="1" a="1"/>
  <c r="MD34" i="1"/>
  <c r="MD7" i="1" a="1"/>
  <c r="MD35" i="1" a="1"/>
  <c r="MD38" i="1" a="1"/>
  <c r="MD27" i="1" a="1"/>
  <c r="MD31" i="1" a="1"/>
  <c r="MD20" i="1" a="1"/>
  <c r="MD36" i="1" a="1"/>
  <c r="MD23" i="1" a="1"/>
  <c r="MD11" i="1" a="1"/>
  <c r="MD19" i="1" a="1"/>
  <c r="MD37" i="1" a="1"/>
  <c r="MD10" i="1" a="1"/>
  <c r="MD25" i="1" a="1"/>
  <c r="MD16" i="1" a="1"/>
  <c r="MD32" i="1" a="1"/>
  <c r="MD13" i="1" a="1"/>
  <c r="MD30" i="1" a="1"/>
  <c r="MD6" i="1" a="1"/>
  <c r="LC9" i="1" a="1"/>
  <c r="MD30" i="1" l="1"/>
  <c r="MD13" i="1"/>
  <c r="MD32" i="1"/>
  <c r="MD16" i="1"/>
  <c r="MD25" i="1"/>
  <c r="MD10" i="1"/>
  <c r="MD37" i="1"/>
  <c r="MD19" i="1"/>
  <c r="MD11" i="1"/>
  <c r="MD23" i="1"/>
  <c r="MD36" i="1"/>
  <c r="MD20" i="1"/>
  <c r="MD31" i="1"/>
  <c r="MD27" i="1"/>
  <c r="MD38" i="1"/>
  <c r="MD35" i="1"/>
  <c r="MD7" i="1"/>
  <c r="MD6" i="1"/>
  <c r="LC9" i="1"/>
  <c r="LC16" i="1" a="1"/>
  <c r="LC16" i="1"/>
  <c r="LC12" i="1" a="1"/>
  <c r="LC12" i="1"/>
  <c r="LC17" i="1" a="1"/>
  <c r="LC17" i="1"/>
  <c r="LC11" i="1" a="1"/>
  <c r="LC11" i="1"/>
  <c r="LC7" i="1" a="1"/>
  <c r="LC15" i="1" a="1"/>
  <c r="LC10" i="1" a="1"/>
  <c r="LC19" i="1" a="1"/>
  <c r="LC8" i="1" a="1"/>
  <c r="LC13" i="1" a="1"/>
  <c r="LC20" i="1" a="1"/>
  <c r="LC14" i="1" a="1"/>
  <c r="LC18" i="1" a="1"/>
  <c r="LC6" i="1" a="1"/>
  <c r="KB34" i="1" a="1"/>
  <c r="LC18" i="1" l="1"/>
  <c r="LC14" i="1"/>
  <c r="LC20" i="1"/>
  <c r="LC13" i="1"/>
  <c r="LC8" i="1"/>
  <c r="LC19" i="1"/>
  <c r="LC10" i="1"/>
  <c r="LC15" i="1"/>
  <c r="LC7" i="1"/>
  <c r="LC6" i="1"/>
  <c r="KB34" i="1"/>
  <c r="KB24" i="1" a="1"/>
  <c r="KB24" i="1"/>
  <c r="KB32" i="1" a="1"/>
  <c r="KB32" i="1"/>
  <c r="KB14" i="1" a="1"/>
  <c r="KB14" i="1"/>
  <c r="KB22" i="1" a="1"/>
  <c r="KB22" i="1"/>
  <c r="KB9" i="1" a="1"/>
  <c r="KB9" i="1"/>
  <c r="KB30" i="1" a="1"/>
  <c r="KB30" i="1"/>
  <c r="KB31" i="1" a="1"/>
  <c r="KB31" i="1"/>
  <c r="KB23" i="1" a="1"/>
  <c r="KB23" i="1"/>
  <c r="KB25" i="1" a="1"/>
  <c r="KB25" i="1"/>
  <c r="KB18" i="1" a="1"/>
  <c r="KB18" i="1"/>
  <c r="KB29" i="1" a="1"/>
  <c r="KB29" i="1"/>
  <c r="KB33" i="1" a="1"/>
  <c r="KB33" i="1"/>
  <c r="KB39" i="1" a="1"/>
  <c r="KB39" i="1"/>
  <c r="KB8" i="1" a="1"/>
  <c r="KB8" i="1"/>
  <c r="KB28" i="1" a="1"/>
  <c r="KB28" i="1"/>
  <c r="KB13" i="1" a="1"/>
  <c r="KB13" i="1"/>
  <c r="KB20" i="1" a="1"/>
  <c r="KB20" i="1"/>
  <c r="KB15" i="1" a="1"/>
  <c r="KB15" i="1"/>
  <c r="KB19" i="1" a="1"/>
  <c r="KB19" i="1"/>
  <c r="KB27" i="1" a="1"/>
  <c r="KB27" i="1"/>
  <c r="KB38" i="1" a="1"/>
  <c r="KB38" i="1"/>
  <c r="KB37" i="1" a="1"/>
  <c r="KB37" i="1"/>
  <c r="KB35" i="1" a="1"/>
  <c r="KB35" i="1"/>
  <c r="KB7" i="1" a="1"/>
  <c r="KB21" i="1" a="1"/>
  <c r="KB36" i="1" a="1"/>
  <c r="KB10" i="1" a="1"/>
  <c r="KB11" i="1" a="1"/>
  <c r="KB12" i="1" a="1"/>
  <c r="KB16" i="1" a="1"/>
  <c r="KB17" i="1" a="1"/>
  <c r="KB26" i="1" a="1"/>
  <c r="KB6" i="1" a="1"/>
  <c r="KB26" i="1" l="1"/>
  <c r="KB17" i="1"/>
  <c r="KB16" i="1"/>
  <c r="KB12" i="1"/>
  <c r="KB11" i="1"/>
  <c r="KB10" i="1"/>
  <c r="KB36" i="1"/>
  <c r="KB21" i="1"/>
  <c r="KB7" i="1"/>
  <c r="KB6" i="1"/>
  <c r="JA20" i="1" a="1"/>
  <c r="JA20" i="1" l="1"/>
  <c r="JA22" i="1" a="1"/>
  <c r="JA22" i="1"/>
  <c r="JA25" i="1" a="1"/>
  <c r="JA25" i="1"/>
  <c r="JA29" i="1" a="1"/>
  <c r="JA29" i="1"/>
  <c r="JA21" i="1" a="1"/>
  <c r="JA21" i="1"/>
  <c r="JA12" i="1" a="1"/>
  <c r="JA12" i="1"/>
  <c r="JA32" i="1" a="1"/>
  <c r="JA32" i="1"/>
  <c r="JA14" i="1" a="1"/>
  <c r="JA14" i="1"/>
  <c r="JA27" i="1" a="1"/>
  <c r="JA27" i="1"/>
  <c r="JA26" i="1" a="1"/>
  <c r="JA26" i="1"/>
  <c r="JA23" i="1" a="1"/>
  <c r="JA23" i="1"/>
  <c r="JA19" i="1" a="1"/>
  <c r="JA19" i="1"/>
  <c r="JA15" i="1" a="1"/>
  <c r="JA15" i="1"/>
  <c r="JA9" i="1" a="1"/>
  <c r="JA9" i="1"/>
  <c r="JA30" i="1" a="1"/>
  <c r="JA30" i="1"/>
  <c r="JA13" i="1" a="1"/>
  <c r="JA13" i="1"/>
  <c r="JA28" i="1" a="1"/>
  <c r="JA28" i="1"/>
  <c r="JA17" i="1" a="1"/>
  <c r="JA17" i="1"/>
  <c r="JA7" i="1" a="1"/>
  <c r="JA24" i="1" a="1"/>
  <c r="JA11" i="1" a="1"/>
  <c r="JA18" i="1" a="1"/>
  <c r="JA16" i="1" a="1"/>
  <c r="JA8" i="1" a="1"/>
  <c r="JA10" i="1" a="1"/>
  <c r="JA31" i="1" a="1"/>
  <c r="JA6" i="1" a="1"/>
  <c r="HZ16" i="1" a="1"/>
  <c r="JA31" i="1" l="1"/>
  <c r="JA10" i="1"/>
  <c r="JA8" i="1"/>
  <c r="JA16" i="1"/>
  <c r="JA18" i="1"/>
  <c r="JA11" i="1"/>
  <c r="JA24" i="1"/>
  <c r="JA7" i="1"/>
  <c r="JA6" i="1"/>
  <c r="HZ16" i="1"/>
  <c r="HZ25" i="1" a="1"/>
  <c r="HZ25" i="1"/>
  <c r="HZ20" i="1" a="1"/>
  <c r="HZ20" i="1"/>
  <c r="HZ13" i="1" a="1"/>
  <c r="HZ13" i="1"/>
  <c r="HZ27" i="1" a="1"/>
  <c r="HZ27" i="1"/>
  <c r="HZ12" i="1" a="1"/>
  <c r="HZ12" i="1"/>
  <c r="HZ17" i="1" a="1"/>
  <c r="HZ17" i="1"/>
  <c r="HZ14" i="1" a="1"/>
  <c r="HZ14" i="1"/>
  <c r="HZ21" i="1" a="1"/>
  <c r="HZ21" i="1"/>
  <c r="HZ8" i="1" a="1"/>
  <c r="HZ8" i="1"/>
  <c r="HZ24" i="1" a="1"/>
  <c r="HZ24" i="1"/>
  <c r="HZ11" i="1" a="1"/>
  <c r="HZ11" i="1"/>
  <c r="HZ18" i="1" a="1"/>
  <c r="HZ18" i="1"/>
  <c r="HZ7" i="1" a="1"/>
  <c r="HZ7" i="1"/>
  <c r="HZ23" i="1" a="1"/>
  <c r="HZ23" i="1"/>
  <c r="HZ26" i="1" a="1"/>
  <c r="HZ26" i="1"/>
  <c r="HZ15" i="1" a="1"/>
  <c r="HZ15" i="1"/>
  <c r="HZ9" i="1" a="1"/>
  <c r="HZ10" i="1" a="1"/>
  <c r="HZ22" i="1" a="1"/>
  <c r="HZ19" i="1" a="1"/>
  <c r="HZ6" i="1" a="1"/>
  <c r="HZ19" i="1" l="1"/>
  <c r="HZ22" i="1"/>
  <c r="HZ10" i="1"/>
  <c r="HZ9" i="1"/>
  <c r="HZ6" i="1"/>
  <c r="GY23" i="1" a="1"/>
  <c r="GY23" i="1" l="1"/>
  <c r="GY38" i="1" a="1"/>
  <c r="GY38" i="1"/>
  <c r="GY17" i="1" a="1"/>
  <c r="GY17" i="1"/>
  <c r="GY15" i="1" a="1"/>
  <c r="GY15" i="1"/>
  <c r="GY19" i="1" a="1"/>
  <c r="GY19" i="1"/>
  <c r="GY7" i="1" a="1"/>
  <c r="GY7" i="1"/>
  <c r="GY10" i="1" a="1"/>
  <c r="GY10" i="1"/>
  <c r="GY12" i="1" a="1"/>
  <c r="GY12" i="1"/>
  <c r="GY28" i="1" a="1"/>
  <c r="GY28" i="1"/>
  <c r="GY26" i="1" a="1"/>
  <c r="GY26" i="1"/>
  <c r="GY27" i="1" a="1"/>
  <c r="GY27" i="1"/>
  <c r="GY34" i="1" a="1"/>
  <c r="GY34" i="1"/>
  <c r="GY13" i="1" a="1"/>
  <c r="GY13" i="1"/>
  <c r="GY33" i="1" a="1"/>
  <c r="GY33" i="1"/>
  <c r="GY21" i="1" a="1"/>
  <c r="GY21" i="1"/>
  <c r="GY35" i="1" a="1"/>
  <c r="GY35" i="1"/>
  <c r="GY25" i="1" a="1"/>
  <c r="GY25" i="1"/>
  <c r="GY18" i="1" a="1"/>
  <c r="GY18" i="1"/>
  <c r="GY29" i="1" a="1"/>
  <c r="GY29" i="1"/>
  <c r="GY11" i="1" a="1"/>
  <c r="GY11" i="1"/>
  <c r="GY24" i="1" a="1"/>
  <c r="GY24" i="1"/>
  <c r="GY14" i="1" a="1"/>
  <c r="GY14" i="1"/>
  <c r="GY22" i="1" a="1"/>
  <c r="GY22" i="1"/>
  <c r="GY39" i="1" a="1"/>
  <c r="GY39" i="1"/>
  <c r="GY20" i="1" a="1"/>
  <c r="GY20" i="1"/>
  <c r="GY9" i="1" a="1"/>
  <c r="GY9" i="1"/>
  <c r="GY37" i="1" a="1"/>
  <c r="GY37" i="1"/>
  <c r="GY16" i="1" a="1"/>
  <c r="GY16" i="1"/>
  <c r="GY36" i="1" a="1"/>
  <c r="GY8" i="1" a="1"/>
  <c r="GY30" i="1" a="1"/>
  <c r="GY32" i="1" a="1"/>
  <c r="GY31" i="1" a="1"/>
  <c r="GY6" i="1" a="1"/>
  <c r="FX31" i="1" a="1"/>
  <c r="GY31" i="1" l="1"/>
  <c r="GY32" i="1"/>
  <c r="GY30" i="1"/>
  <c r="GY8" i="1"/>
  <c r="GY36" i="1"/>
  <c r="GY6" i="1"/>
  <c r="FX31" i="1"/>
  <c r="FX34" i="1" a="1"/>
  <c r="FX34" i="1"/>
  <c r="FX20" i="1" a="1"/>
  <c r="FX20" i="1"/>
  <c r="FX30" i="1" a="1"/>
  <c r="FX30" i="1"/>
  <c r="FX13" i="1" a="1"/>
  <c r="FX13" i="1"/>
  <c r="FX25" i="1" a="1"/>
  <c r="FX25" i="1"/>
  <c r="FX7" i="1" a="1"/>
  <c r="FX7" i="1"/>
  <c r="FX28" i="1" a="1"/>
  <c r="FX28" i="1"/>
  <c r="FX9" i="1" a="1"/>
  <c r="FX9" i="1"/>
  <c r="FX27" i="1" a="1"/>
  <c r="FX27" i="1"/>
  <c r="FX14" i="1" a="1"/>
  <c r="FX14" i="1"/>
  <c r="FX35" i="1" a="1"/>
  <c r="FX35" i="1"/>
  <c r="FX17" i="1" a="1"/>
  <c r="FX17" i="1"/>
  <c r="FX33" i="1" a="1"/>
  <c r="FX33" i="1"/>
  <c r="FX29" i="1" a="1"/>
  <c r="FX29" i="1"/>
  <c r="FX16" i="1" a="1"/>
  <c r="FX16" i="1"/>
  <c r="FX11" i="1" a="1"/>
  <c r="FX11" i="1"/>
  <c r="FX26" i="1" a="1"/>
  <c r="FX26" i="1"/>
  <c r="FX15" i="1" a="1"/>
  <c r="FX15" i="1"/>
  <c r="FX21" i="1" a="1"/>
  <c r="FX12" i="1" a="1"/>
  <c r="FX22" i="1" a="1"/>
  <c r="FX10" i="1" a="1"/>
  <c r="FX18" i="1" a="1"/>
  <c r="FX19" i="1" a="1"/>
  <c r="FX8" i="1" a="1"/>
  <c r="FX23" i="1" a="1"/>
  <c r="FX24" i="1" a="1"/>
  <c r="FX32" i="1" a="1"/>
  <c r="FX6" i="1" a="1"/>
  <c r="EW23" i="1" a="1"/>
  <c r="FX32" i="1" l="1"/>
  <c r="FX24" i="1"/>
  <c r="FX23" i="1"/>
  <c r="FX8" i="1"/>
  <c r="FX19" i="1"/>
  <c r="FX18" i="1"/>
  <c r="FX10" i="1"/>
  <c r="FX22" i="1"/>
  <c r="FX12" i="1"/>
  <c r="FX21" i="1"/>
  <c r="FX6" i="1"/>
  <c r="EW23" i="1"/>
  <c r="EW26" i="1" a="1"/>
  <c r="EW26" i="1"/>
  <c r="EW17" i="1" a="1"/>
  <c r="EW17" i="1"/>
  <c r="EW22" i="1" a="1"/>
  <c r="EW22" i="1"/>
  <c r="EW20" i="1" a="1"/>
  <c r="EW20" i="1"/>
  <c r="EW7" i="1" a="1"/>
  <c r="EW21" i="1" a="1"/>
  <c r="EW24" i="1" a="1"/>
  <c r="EW12" i="1" a="1"/>
  <c r="EW32" i="1" a="1"/>
  <c r="EW25" i="1" a="1"/>
  <c r="EW13" i="1" a="1"/>
  <c r="EW16" i="1" a="1"/>
  <c r="EW19" i="1" a="1"/>
  <c r="EW8" i="1" a="1"/>
  <c r="EW11" i="1" a="1"/>
  <c r="EW15" i="1" a="1"/>
  <c r="EW30" i="1" a="1"/>
  <c r="EW27" i="1" a="1"/>
  <c r="EW18" i="1" a="1"/>
  <c r="EW33" i="1" a="1"/>
  <c r="EW9" i="1" a="1"/>
  <c r="EW28" i="1" a="1"/>
  <c r="EW29" i="1" a="1"/>
  <c r="EW34" i="1" a="1"/>
  <c r="EW14" i="1" a="1"/>
  <c r="EW10" i="1" a="1"/>
  <c r="EW31" i="1" a="1"/>
  <c r="EW6" i="1" a="1"/>
  <c r="DV25" i="1" a="1"/>
  <c r="EW31" i="1" l="1"/>
  <c r="EW10" i="1"/>
  <c r="EW14" i="1"/>
  <c r="EW34" i="1"/>
  <c r="EW29" i="1"/>
  <c r="EW28" i="1"/>
  <c r="EW9" i="1"/>
  <c r="EW33" i="1"/>
  <c r="EW18" i="1"/>
  <c r="EW27" i="1"/>
  <c r="EW30" i="1"/>
  <c r="EW15" i="1"/>
  <c r="EW11" i="1"/>
  <c r="EW8" i="1"/>
  <c r="EW19" i="1"/>
  <c r="EW16" i="1"/>
  <c r="EW13" i="1"/>
  <c r="EW25" i="1"/>
  <c r="EW32" i="1"/>
  <c r="EW12" i="1"/>
  <c r="EW24" i="1"/>
  <c r="EW21" i="1"/>
  <c r="EW7" i="1"/>
  <c r="EW6" i="1"/>
  <c r="DV25" i="1"/>
  <c r="DV20" i="1" a="1"/>
  <c r="DV20" i="1"/>
  <c r="DV9" i="1" a="1"/>
  <c r="DV9" i="1"/>
  <c r="DV15" i="1" a="1"/>
  <c r="DV15" i="1"/>
  <c r="DV19" i="1" a="1"/>
  <c r="DV19" i="1"/>
  <c r="DV16" i="1" a="1"/>
  <c r="DV16" i="1"/>
  <c r="DV18" i="1" a="1"/>
  <c r="DV18" i="1"/>
  <c r="DV11" i="1" a="1"/>
  <c r="DV11" i="1"/>
  <c r="DV17" i="1" a="1"/>
  <c r="DV17" i="1"/>
  <c r="DV14" i="1" a="1"/>
  <c r="DV14" i="1"/>
  <c r="DV10" i="1" a="1"/>
  <c r="DV10" i="1"/>
  <c r="DV21" i="1" a="1"/>
  <c r="DV21" i="1"/>
  <c r="DV7" i="1" a="1"/>
  <c r="DV7" i="1"/>
  <c r="DV24" i="1" a="1"/>
  <c r="DV24" i="1"/>
  <c r="DV13" i="1" a="1"/>
  <c r="DV13" i="1"/>
  <c r="DV23" i="1" a="1"/>
  <c r="DV23" i="1"/>
  <c r="DV12" i="1" a="1"/>
  <c r="DV22" i="1" a="1"/>
  <c r="DV8" i="1" a="1"/>
  <c r="DV6" i="1" a="1"/>
  <c r="DV8" i="1" l="1"/>
  <c r="DV22" i="1"/>
  <c r="DV12" i="1"/>
  <c r="DV6" i="1"/>
  <c r="CU11" i="1" a="1"/>
  <c r="CU11" i="1" l="1"/>
  <c r="CU23" i="1" a="1"/>
  <c r="CU23" i="1"/>
  <c r="CU7" i="1" a="1"/>
  <c r="CU7" i="1"/>
  <c r="CU8" i="1" a="1"/>
  <c r="CU8" i="1"/>
  <c r="CU24" i="1" a="1"/>
  <c r="CU24" i="1"/>
  <c r="CU15" i="1" a="1"/>
  <c r="CU15" i="1"/>
  <c r="CU21" i="1" a="1"/>
  <c r="CU21" i="1"/>
  <c r="CU17" i="1" a="1"/>
  <c r="CU17" i="1"/>
  <c r="CU20" i="1" a="1"/>
  <c r="CU20" i="1"/>
  <c r="CU12" i="1" a="1"/>
  <c r="CU12" i="1"/>
  <c r="CU9" i="1" a="1"/>
  <c r="CU9" i="1"/>
  <c r="CU18" i="1" a="1"/>
  <c r="CU18" i="1"/>
  <c r="CU19" i="1" a="1"/>
  <c r="CU19" i="1"/>
  <c r="CU14" i="1" a="1"/>
  <c r="CU14" i="1"/>
  <c r="CU22" i="1" a="1"/>
  <c r="CU10" i="1" a="1"/>
  <c r="CU13" i="1" a="1"/>
  <c r="CU16" i="1" a="1"/>
  <c r="CU6" i="1" a="1"/>
  <c r="CU16" i="1" l="1"/>
  <c r="CU13" i="1"/>
  <c r="CU10" i="1"/>
  <c r="CU22" i="1"/>
  <c r="CU6" i="1"/>
  <c r="BT20" i="1" a="1"/>
  <c r="BT20" i="1" l="1"/>
  <c r="BT10" i="1" a="1"/>
  <c r="BT10" i="1"/>
  <c r="BT11" i="1" a="1"/>
  <c r="BT11" i="1"/>
  <c r="BT8" i="1" a="1"/>
  <c r="BT8" i="1"/>
  <c r="BT13" i="1" a="1"/>
  <c r="BT13" i="1"/>
  <c r="BT14" i="1" a="1"/>
  <c r="BT14" i="1"/>
  <c r="BT12" i="1" a="1"/>
  <c r="BT12" i="1"/>
  <c r="BT9" i="1" a="1"/>
  <c r="BT9" i="1"/>
  <c r="BT7" i="1" a="1"/>
  <c r="BT7" i="1"/>
  <c r="BT19" i="1" a="1"/>
  <c r="BT19" i="1"/>
  <c r="BT18" i="1" a="1"/>
  <c r="BT18" i="1"/>
  <c r="BT16" i="1" a="1"/>
  <c r="BT16" i="1"/>
  <c r="BT15" i="1" a="1"/>
  <c r="BT15" i="1"/>
  <c r="BT17" i="1" a="1"/>
  <c r="BT17" i="1"/>
  <c r="BT6" i="1" a="1"/>
  <c r="BT6" i="1" l="1"/>
  <c r="AS15" i="1" a="1"/>
  <c r="AS15" i="1" l="1"/>
  <c r="AS24" i="1" a="1"/>
  <c r="AS24" i="1"/>
  <c r="AS13" i="1" a="1"/>
  <c r="AS13" i="1"/>
  <c r="AS20" i="1" a="1"/>
  <c r="AS20" i="1"/>
  <c r="AS9" i="1" a="1"/>
  <c r="AS9" i="1"/>
  <c r="AS25" i="1" a="1"/>
  <c r="AS25" i="1"/>
  <c r="AS10" i="1" a="1"/>
  <c r="AS10" i="1"/>
  <c r="AS8" i="1" a="1"/>
  <c r="AS8" i="1"/>
  <c r="AS11" i="1" a="1"/>
  <c r="AS11" i="1"/>
  <c r="AS16" i="1" a="1"/>
  <c r="AS16" i="1"/>
  <c r="AS23" i="1" a="1"/>
  <c r="AS23" i="1"/>
  <c r="AS12" i="1" a="1"/>
  <c r="AS12" i="1"/>
  <c r="AS22" i="1" a="1"/>
  <c r="AS22" i="1"/>
  <c r="AS17" i="1" a="1"/>
  <c r="AS17" i="1"/>
  <c r="AS14" i="1" a="1"/>
  <c r="AS14" i="1"/>
  <c r="AS21" i="1" a="1"/>
  <c r="AS21" i="1"/>
  <c r="AS7" i="1" a="1"/>
  <c r="AS19" i="1" a="1"/>
  <c r="AS18" i="1" a="1"/>
  <c r="AS6" i="1" a="1"/>
  <c r="AS18" i="1" l="1"/>
  <c r="AS19" i="1"/>
  <c r="AS7" i="1"/>
  <c r="AS6" i="1"/>
  <c r="R12" i="1" a="1"/>
  <c r="R12" i="1" l="1"/>
  <c r="R29" i="1" a="1"/>
  <c r="R29" i="1"/>
  <c r="R31" i="1" a="1"/>
  <c r="R31" i="1"/>
  <c r="R25" i="1" a="1"/>
  <c r="R25" i="1"/>
  <c r="R22" i="1" a="1"/>
  <c r="R22" i="1"/>
  <c r="R32" i="1" a="1"/>
  <c r="R32" i="1"/>
  <c r="R37" i="1" a="1"/>
  <c r="R37" i="1"/>
  <c r="R27" i="1" a="1"/>
  <c r="R27" i="1"/>
  <c r="R13" i="1" a="1"/>
  <c r="R13" i="1"/>
  <c r="R36" i="1" a="1"/>
  <c r="R36" i="1"/>
  <c r="R41" i="1" a="1"/>
  <c r="R41" i="1"/>
  <c r="R23" i="1" a="1"/>
  <c r="R23" i="1"/>
  <c r="R16" i="1" a="1"/>
  <c r="R16" i="1"/>
  <c r="R20" i="1" a="1"/>
  <c r="R20" i="1"/>
  <c r="R8" i="1" a="1"/>
  <c r="R8" i="1"/>
  <c r="R35" i="1" a="1"/>
  <c r="R35" i="1"/>
  <c r="R18" i="1" a="1"/>
  <c r="R18" i="1"/>
  <c r="R34" i="1" a="1"/>
  <c r="R34" i="1"/>
  <c r="R19" i="1" a="1"/>
  <c r="R19" i="1"/>
  <c r="R28" i="1" a="1"/>
  <c r="R28" i="1"/>
  <c r="R24" i="1" a="1"/>
  <c r="R24" i="1"/>
  <c r="R17" i="1" a="1"/>
  <c r="R17" i="1"/>
  <c r="R39" i="1" a="1"/>
  <c r="R39" i="1"/>
  <c r="R21" i="1" a="1"/>
  <c r="R21" i="1"/>
  <c r="R7" i="1" a="1"/>
  <c r="R7" i="1"/>
  <c r="R38" i="1" a="1"/>
  <c r="R38" i="1"/>
  <c r="R40" i="1" a="1"/>
  <c r="R40" i="1"/>
  <c r="R15" i="1" a="1"/>
  <c r="R15" i="1"/>
  <c r="R30" i="1" a="1"/>
  <c r="R30" i="1"/>
  <c r="R26" i="1" a="1"/>
  <c r="R26" i="1"/>
  <c r="R9" i="1" a="1"/>
  <c r="R9" i="1"/>
  <c r="R14" i="1" a="1"/>
  <c r="R14" i="1"/>
  <c r="R33" i="1" a="1"/>
  <c r="R33" i="1"/>
  <c r="R10" i="1" a="1"/>
  <c r="R10" i="1"/>
  <c r="R11" i="1" a="1"/>
  <c r="R11" i="1"/>
  <c r="R6" i="1" a="1"/>
  <c r="R6" i="1" l="1"/>
  <c r="AB14" i="24" a="1"/>
  <c r="AB14" i="24" l="1"/>
  <c r="AB14" i="23" a="1"/>
  <c r="AB14" i="23"/>
  <c r="AB12" i="23" a="1"/>
  <c r="AB12" i="23"/>
  <c r="OQ32" i="1" a="1"/>
  <c r="OQ32" i="1"/>
  <c r="OQ26" i="1" a="1"/>
  <c r="OQ26" i="1"/>
  <c r="OQ22" i="1" a="1"/>
  <c r="OQ22" i="1"/>
  <c r="AB268" i="22" a="1"/>
  <c r="AB268" i="22"/>
  <c r="QS25" i="1" a="1"/>
  <c r="QS25" i="1"/>
  <c r="QS16" i="1" a="1"/>
  <c r="QS16" i="1"/>
  <c r="MO33" i="1" a="1"/>
  <c r="MO33" i="1"/>
  <c r="JL19" i="1" a="1"/>
  <c r="JL19" i="1"/>
  <c r="JL13" i="1" a="1"/>
  <c r="JL13" i="1"/>
  <c r="HJ7" i="1" a="1"/>
  <c r="HJ7" i="1"/>
  <c r="HJ35" i="1" a="1"/>
  <c r="HJ35" i="1"/>
  <c r="HJ32" i="1" a="1"/>
  <c r="HJ32" i="1"/>
  <c r="HJ26" i="1" a="1"/>
  <c r="HJ26" i="1"/>
  <c r="HJ25" i="1" a="1"/>
  <c r="HJ25" i="1"/>
  <c r="HJ24" i="1" a="1"/>
  <c r="HJ24" i="1"/>
  <c r="HJ23" i="1" a="1"/>
  <c r="HJ23" i="1"/>
  <c r="HJ21" i="1" a="1"/>
  <c r="HJ21" i="1"/>
  <c r="HJ14" i="1" a="1"/>
  <c r="HJ14" i="1"/>
  <c r="HJ12" i="1" a="1"/>
  <c r="HJ12" i="1"/>
  <c r="HJ10" i="1" a="1"/>
  <c r="HJ10" i="1"/>
  <c r="GI31" i="1" a="1"/>
  <c r="GI31" i="1"/>
  <c r="GI25" i="1" a="1"/>
  <c r="GI25" i="1"/>
  <c r="DF9" i="1" a="1"/>
  <c r="DF9" i="1"/>
  <c r="DF22" i="1" a="1"/>
  <c r="DF22" i="1"/>
  <c r="DF16" i="1" a="1"/>
  <c r="DF16" i="1"/>
  <c r="DF13" i="1" a="1"/>
  <c r="DF13" i="1"/>
  <c r="DF10" i="1" a="1"/>
  <c r="DF10" i="1"/>
  <c r="BD21" i="1" a="1"/>
  <c r="BD21" i="1"/>
  <c r="RT33" i="1" a="1"/>
  <c r="RT33" i="1"/>
  <c r="RT32" i="1" a="1"/>
  <c r="RT32" i="1"/>
  <c r="RT23" i="1" a="1"/>
  <c r="RT23" i="1"/>
  <c r="QS24" i="1" a="1"/>
  <c r="QS24" i="1"/>
  <c r="MO8" i="1" a="1"/>
  <c r="MO8" i="1"/>
  <c r="MO6" i="1" a="1"/>
  <c r="MO6" i="1"/>
  <c r="MO35" i="1" a="1"/>
  <c r="MO35" i="1"/>
  <c r="MO31" i="1" a="1"/>
  <c r="MO31" i="1"/>
  <c r="MO29" i="1" a="1"/>
  <c r="MO29" i="1"/>
  <c r="MO22" i="1" a="1"/>
  <c r="MO22" i="1"/>
  <c r="MO15" i="1" a="1"/>
  <c r="MO15" i="1"/>
  <c r="MO14" i="1" a="1"/>
  <c r="MO14" i="1"/>
  <c r="KM38" i="1" a="1"/>
  <c r="KM38" i="1"/>
  <c r="KM37" i="1" a="1"/>
  <c r="KM37" i="1"/>
  <c r="KM29" i="1" a="1"/>
  <c r="KM29" i="1"/>
  <c r="KM24" i="1" a="1"/>
  <c r="KM24" i="1"/>
  <c r="KM22" i="1" a="1"/>
  <c r="KM22" i="1"/>
  <c r="KM20" i="1" a="1"/>
  <c r="KM20" i="1"/>
  <c r="JL25" i="1" a="1"/>
  <c r="JL25" i="1"/>
  <c r="GI9" i="1" a="1"/>
  <c r="GI9" i="1"/>
  <c r="GI14" i="1" a="1"/>
  <c r="GI14" i="1"/>
  <c r="DF20" i="1" a="1"/>
  <c r="DF20" i="1"/>
  <c r="DF14" i="1" a="1"/>
  <c r="DF14" i="1"/>
  <c r="BD22" i="1" a="1"/>
  <c r="BD22" i="1"/>
  <c r="BD20" i="1" a="1"/>
  <c r="BD20" i="1"/>
  <c r="AC38" i="1" a="1"/>
  <c r="AC38" i="1"/>
  <c r="AC28" i="1" a="1"/>
  <c r="AC28" i="1"/>
  <c r="AC25" i="1" a="1"/>
  <c r="AC25" i="1"/>
  <c r="AC23" i="1" a="1"/>
  <c r="AC23" i="1"/>
  <c r="KM30" i="1" a="1"/>
  <c r="KM30" i="1"/>
  <c r="KM23" i="1" a="1"/>
  <c r="KM23" i="1"/>
  <c r="OQ6" i="1" a="1"/>
  <c r="OQ6" i="1"/>
  <c r="OQ29" i="1" a="1"/>
  <c r="OQ29" i="1"/>
  <c r="OQ15" i="1" a="1"/>
  <c r="OQ15" i="1"/>
  <c r="OQ8" i="1" a="1"/>
  <c r="OQ8" i="1"/>
  <c r="OQ31" i="1" a="1"/>
  <c r="OQ31" i="1"/>
  <c r="OQ28" i="1" a="1"/>
  <c r="OQ28" i="1"/>
  <c r="OQ25" i="1" a="1"/>
  <c r="OQ25" i="1"/>
  <c r="OQ18" i="1" a="1"/>
  <c r="OQ18" i="1"/>
  <c r="OQ17" i="1" a="1"/>
  <c r="OQ17" i="1"/>
  <c r="OQ10" i="1" a="1"/>
  <c r="OQ10" i="1"/>
  <c r="MO9" i="1" a="1"/>
  <c r="MO9" i="1"/>
  <c r="DF8" i="1" a="1"/>
  <c r="DF8" i="1"/>
  <c r="MO38" i="1" a="1"/>
  <c r="MO38" i="1"/>
  <c r="MO32" i="1" a="1"/>
  <c r="MO32" i="1"/>
  <c r="MO19" i="1" a="1"/>
  <c r="MO19" i="1"/>
  <c r="BD8" i="1" a="1"/>
  <c r="BD8" i="1"/>
  <c r="BD23" i="1" a="1"/>
  <c r="BD23" i="1"/>
  <c r="BD11" i="1" a="1"/>
  <c r="BD11" i="1"/>
  <c r="AC9" i="1" a="1"/>
  <c r="AC9" i="1"/>
  <c r="MO12" i="1" a="1"/>
  <c r="MO12" i="1"/>
  <c r="AB274" i="22" a="1"/>
  <c r="AB274" i="22"/>
  <c r="MO10" i="1" a="1"/>
  <c r="MO10" i="1"/>
  <c r="KM34" i="1" a="1"/>
  <c r="KM34" i="1"/>
  <c r="KM14" i="1" a="1"/>
  <c r="KM14" i="1"/>
  <c r="HJ29" i="1" a="1"/>
  <c r="HJ29" i="1"/>
  <c r="HJ15" i="1" a="1"/>
  <c r="HJ15" i="1"/>
  <c r="HJ11" i="1" a="1"/>
  <c r="HJ11" i="1"/>
  <c r="GI26" i="1" a="1"/>
  <c r="GI26" i="1"/>
  <c r="IO21" i="1" a="1"/>
  <c r="IO21" i="1"/>
  <c r="JP14" i="1" a="1"/>
  <c r="JP14" i="1"/>
  <c r="IO7" i="1" a="1"/>
  <c r="IO7" i="1"/>
  <c r="RX12" i="1" a="1"/>
  <c r="RX12" i="1"/>
  <c r="KQ18" i="1" a="1"/>
  <c r="KQ18" i="1"/>
  <c r="IO9" i="1" a="1"/>
  <c r="IO9" i="1"/>
  <c r="HN16" i="1" a="1"/>
  <c r="HN16" i="1"/>
  <c r="RX36" i="1" a="1"/>
  <c r="RX36" i="1"/>
  <c r="JP30" i="1" a="1"/>
  <c r="JP30" i="1"/>
  <c r="MS20" i="1" a="1"/>
  <c r="MS20" i="1"/>
  <c r="IO25" i="1" a="1"/>
  <c r="IO25" i="1"/>
  <c r="GM24" i="1" a="1"/>
  <c r="GM24" i="1"/>
  <c r="AG31" i="1" a="1"/>
  <c r="AG31" i="1"/>
  <c r="IO20" i="1" a="1"/>
  <c r="IO20" i="1"/>
  <c r="IO26" i="1" a="1"/>
  <c r="IO26" i="1"/>
  <c r="IO8" i="1" a="1"/>
  <c r="IO8" i="1"/>
  <c r="IO24" i="1" a="1"/>
  <c r="IO24" i="1"/>
  <c r="IO27" i="1" a="1"/>
  <c r="IO27" i="1"/>
  <c r="HN34" i="1" a="1"/>
  <c r="HN34" i="1"/>
  <c r="IO6" i="1" a="1"/>
  <c r="IO6" i="1"/>
  <c r="RX17" i="1" a="1"/>
  <c r="RX17" i="1"/>
  <c r="HN38" i="1" a="1"/>
  <c r="HN38" i="1"/>
  <c r="IO15" i="1" a="1"/>
  <c r="IO15" i="1"/>
  <c r="HN36" i="1" a="1"/>
  <c r="HN36" i="1"/>
  <c r="AG19" i="1" a="1"/>
  <c r="AG19" i="1"/>
  <c r="IO13" i="1" a="1"/>
  <c r="IO13" i="1"/>
  <c r="AB269" i="22" a="1"/>
  <c r="AB269" i="22"/>
  <c r="RT40" i="1" a="1"/>
  <c r="RT40" i="1"/>
  <c r="RT39" i="1" a="1"/>
  <c r="RT39" i="1"/>
  <c r="RT36" i="1" a="1"/>
  <c r="RT36" i="1"/>
  <c r="RT30" i="1" a="1"/>
  <c r="RT30" i="1"/>
  <c r="RT17" i="1" a="1"/>
  <c r="RT17" i="1"/>
  <c r="RT12" i="1" a="1"/>
  <c r="RT12" i="1"/>
  <c r="MO25" i="1" a="1"/>
  <c r="MO25" i="1"/>
  <c r="MO20" i="1" a="1"/>
  <c r="MO20" i="1"/>
  <c r="KM18" i="1" a="1"/>
  <c r="KM18" i="1"/>
  <c r="JL30" i="1" a="1"/>
  <c r="JL30" i="1"/>
  <c r="HJ9" i="1" a="1"/>
  <c r="HJ9" i="1"/>
  <c r="HJ6" i="1" a="1"/>
  <c r="HJ6" i="1"/>
  <c r="HJ39" i="1" a="1"/>
  <c r="HJ39" i="1"/>
  <c r="HJ38" i="1" a="1"/>
  <c r="HJ38" i="1"/>
  <c r="HJ36" i="1" a="1"/>
  <c r="HJ36" i="1"/>
  <c r="HJ34" i="1" a="1"/>
  <c r="HJ34" i="1"/>
  <c r="HJ33" i="1" a="1"/>
  <c r="HJ33" i="1"/>
  <c r="HJ28" i="1" a="1"/>
  <c r="HJ28" i="1"/>
  <c r="HJ27" i="1" a="1"/>
  <c r="HJ27" i="1"/>
  <c r="HJ22" i="1" a="1"/>
  <c r="HJ22" i="1"/>
  <c r="HJ19" i="1" a="1"/>
  <c r="HJ19" i="1"/>
  <c r="HJ16" i="1" a="1"/>
  <c r="HJ16" i="1"/>
  <c r="HJ13" i="1" a="1"/>
  <c r="HJ13" i="1"/>
  <c r="GI7" i="1" a="1"/>
  <c r="GI7" i="1"/>
  <c r="GI24" i="1" a="1"/>
  <c r="GI24" i="1"/>
  <c r="AC31" i="1" a="1"/>
  <c r="AC31" i="1"/>
  <c r="AC19" i="1" a="1"/>
  <c r="AC19" i="1"/>
  <c r="KM35" i="1" a="1"/>
  <c r="KM35" i="1"/>
  <c r="KM13" i="1" a="1"/>
  <c r="KM13" i="1"/>
  <c r="GI33" i="1" a="1"/>
  <c r="GI33" i="1"/>
  <c r="AB128" i="22" a="1"/>
  <c r="AB128" i="22"/>
  <c r="RT6" i="1" a="1"/>
  <c r="RT6" i="1"/>
  <c r="MO39" i="1" a="1"/>
  <c r="MO39" i="1"/>
  <c r="MO30" i="1" a="1"/>
  <c r="MO30" i="1"/>
  <c r="MO23" i="1" a="1"/>
  <c r="MO23" i="1"/>
  <c r="KM6" i="1" a="1"/>
  <c r="KM6" i="1"/>
  <c r="KM15" i="1" a="1"/>
  <c r="KM15" i="1"/>
  <c r="BD19" i="1" a="1"/>
  <c r="BD19" i="1"/>
  <c r="BD18" i="1" a="1"/>
  <c r="BD18" i="1"/>
  <c r="AC27" i="1" a="1"/>
  <c r="AC27" i="1"/>
  <c r="AC20" i="1" a="1"/>
  <c r="AC20" i="1"/>
  <c r="AB273" i="22" a="1"/>
  <c r="AB273" i="22"/>
  <c r="HJ18" i="1" a="1"/>
  <c r="HJ18" i="1"/>
  <c r="DF15" i="1" a="1"/>
  <c r="DF15" i="1"/>
  <c r="MO34" i="1" a="1"/>
  <c r="MO34" i="1"/>
  <c r="MO16" i="1" a="1"/>
  <c r="MO16" i="1"/>
  <c r="AC13" i="1" a="1"/>
  <c r="AC13" i="1"/>
  <c r="JP15" i="1" a="1"/>
  <c r="JP15" i="1"/>
  <c r="HN13" i="1" a="1"/>
  <c r="HN13" i="1"/>
  <c r="HN22" i="1" a="1"/>
  <c r="HN22" i="1"/>
  <c r="HN39" i="1" a="1"/>
  <c r="HN39" i="1"/>
  <c r="IO19" i="1" a="1"/>
  <c r="IO19" i="1"/>
  <c r="HN19" i="1" a="1"/>
  <c r="HN19" i="1"/>
  <c r="IO11" i="1" a="1"/>
  <c r="IO11" i="1"/>
  <c r="HN33" i="1" a="1"/>
  <c r="HN33" i="1"/>
  <c r="RX30" i="1" a="1"/>
  <c r="RX30" i="1"/>
  <c r="IO12" i="1" a="1"/>
  <c r="IO12" i="1"/>
  <c r="MS25" i="1" a="1"/>
  <c r="MS25" i="1"/>
  <c r="IO10" i="1" a="1"/>
  <c r="IO10" i="1"/>
  <c r="HN27" i="1" a="1"/>
  <c r="HN27" i="1"/>
  <c r="HN9" i="1" a="1"/>
  <c r="HN9" i="1"/>
  <c r="IO16" i="1" a="1"/>
  <c r="IO16" i="1"/>
  <c r="IO14" i="1" a="1"/>
  <c r="IO14" i="1"/>
  <c r="HN6" i="1" a="1"/>
  <c r="HN6" i="1"/>
  <c r="GM7" i="1" a="1"/>
  <c r="GM7" i="1"/>
  <c r="IO17" i="1" a="1"/>
  <c r="IO17" i="1"/>
  <c r="IO23" i="1" a="1"/>
  <c r="IO23" i="1"/>
  <c r="RX40" i="1" a="1"/>
  <c r="RX40" i="1"/>
  <c r="RX39" i="1" a="1"/>
  <c r="RX39" i="1"/>
  <c r="IO18" i="1" a="1"/>
  <c r="IO18" i="1"/>
  <c r="IO22" i="1" a="1"/>
  <c r="IO22" i="1"/>
  <c r="HN28" i="1" a="1"/>
  <c r="HN28" i="1"/>
  <c r="M10" i="22"/>
  <c r="C148" i="22" a="1"/>
  <c r="C148" i="22"/>
  <c r="N293" i="22"/>
  <c r="N10" i="22"/>
  <c r="N250" i="22"/>
  <c r="N127" i="22"/>
  <c r="O148" i="22"/>
  <c r="P148" i="22"/>
  <c r="M250" i="22"/>
  <c r="M127" i="22"/>
  <c r="J4" i="25" a="1"/>
  <c r="J4" i="25"/>
  <c r="M7" i="25"/>
  <c r="O293" i="22"/>
  <c r="M148" i="22"/>
  <c r="O4" i="25"/>
  <c r="O7" i="25"/>
  <c r="J10" i="22" a="1"/>
  <c r="J10" i="22"/>
  <c r="O289" i="22"/>
  <c r="O128" i="22"/>
  <c r="C7" i="25" a="1"/>
  <c r="C7" i="25"/>
  <c r="C250" i="22" a="1"/>
  <c r="C250" i="22"/>
  <c r="C127" i="22" a="1"/>
  <c r="C127" i="22"/>
  <c r="M295" i="22"/>
  <c r="M293" i="22"/>
  <c r="J289" i="22" a="1"/>
  <c r="J289" i="22"/>
  <c r="J7" i="25" a="1"/>
  <c r="J7" i="25"/>
  <c r="J295" i="22" a="1"/>
  <c r="J295" i="22"/>
  <c r="J128" i="22" a="1"/>
  <c r="J128" i="22"/>
  <c r="O327" i="22"/>
  <c r="P293" i="22"/>
  <c r="M289" i="22"/>
  <c r="J250" i="22" a="1"/>
  <c r="J250" i="22"/>
  <c r="J127" i="22" a="1"/>
  <c r="J127" i="22"/>
  <c r="C327" i="22" a="1"/>
  <c r="C327" i="22"/>
  <c r="N295" i="22"/>
  <c r="C293" i="22" a="1"/>
  <c r="C293" i="22"/>
  <c r="O250" i="22"/>
  <c r="O127" i="22"/>
  <c r="P7" i="25"/>
  <c r="N4" i="25"/>
  <c r="N327" i="22"/>
  <c r="C295" i="22" a="1"/>
  <c r="C295" i="22"/>
  <c r="C128" i="22" a="1"/>
  <c r="C128" i="22"/>
  <c r="J327" i="22" a="1"/>
  <c r="J327" i="22"/>
  <c r="P289" i="22"/>
  <c r="O10" i="22"/>
  <c r="N128" i="22"/>
  <c r="N148" i="22"/>
  <c r="P10" i="22"/>
  <c r="C4" i="25" a="1"/>
  <c r="C4" i="25"/>
  <c r="P128" i="22"/>
  <c r="P4" i="25"/>
  <c r="C289" i="22" a="1"/>
  <c r="C289" i="22"/>
  <c r="O295" i="22"/>
  <c r="M128" i="22"/>
  <c r="P250" i="22"/>
  <c r="P127" i="22"/>
  <c r="J148" i="22" a="1"/>
  <c r="J148" i="22"/>
  <c r="M4" i="25"/>
  <c r="M327" i="22"/>
  <c r="P327" i="22"/>
  <c r="N289" i="22"/>
  <c r="J293" i="22" a="1"/>
  <c r="J293" i="22"/>
  <c r="N7" i="25"/>
  <c r="P295" i="22"/>
  <c r="C10" i="22" a="1"/>
  <c r="C10" i="22"/>
  <c r="M11" i="22"/>
  <c r="C15" i="25" a="1"/>
  <c r="C15" i="25"/>
  <c r="O11" i="22"/>
  <c r="N18" i="23"/>
  <c r="M96" i="22"/>
  <c r="M57" i="22"/>
  <c r="N91" i="22"/>
  <c r="N44" i="22"/>
  <c r="N86" i="22"/>
  <c r="N54" i="22"/>
  <c r="J11" i="22" a="1"/>
  <c r="J11" i="22"/>
  <c r="M12" i="22"/>
  <c r="M12" i="23"/>
  <c r="C12" i="24" a="1"/>
  <c r="C12" i="24"/>
  <c r="P18" i="23"/>
  <c r="M167" i="22"/>
  <c r="M125" i="22"/>
  <c r="M86" i="22"/>
  <c r="M54" i="22"/>
  <c r="N15" i="25"/>
  <c r="P86" i="22"/>
  <c r="P54" i="22"/>
  <c r="P11" i="22"/>
  <c r="O86" i="22"/>
  <c r="O54" i="22"/>
  <c r="C96" i="22" a="1"/>
  <c r="C96" i="22"/>
  <c r="C57" i="22" a="1"/>
  <c r="C57" i="22"/>
  <c r="C18" i="23" a="1"/>
  <c r="C18" i="23"/>
  <c r="C313" i="22" a="1"/>
  <c r="C313" i="22"/>
  <c r="M313" i="22"/>
  <c r="O91" i="22"/>
  <c r="O44" i="22"/>
  <c r="N11" i="22"/>
  <c r="M15" i="25"/>
  <c r="P91" i="22"/>
  <c r="P44" i="22"/>
  <c r="P15" i="25"/>
  <c r="P12" i="24"/>
  <c r="J86" i="22" a="1"/>
  <c r="J86" i="22"/>
  <c r="J54" i="22" a="1"/>
  <c r="J54" i="22"/>
  <c r="J313" i="22" a="1"/>
  <c r="J313" i="22"/>
  <c r="P12" i="22"/>
  <c r="P12" i="23"/>
  <c r="J96" i="22" a="1"/>
  <c r="J96" i="22"/>
  <c r="J57" i="22" a="1"/>
  <c r="J57" i="22"/>
  <c r="J167" i="22" a="1"/>
  <c r="J167" i="22"/>
  <c r="J125" i="22" a="1"/>
  <c r="J125" i="22"/>
  <c r="J91" i="22" a="1"/>
  <c r="J91" i="22"/>
  <c r="J44" i="22" a="1"/>
  <c r="J44" i="22"/>
  <c r="J15" i="25" a="1"/>
  <c r="J15" i="25"/>
  <c r="C12" i="22" a="1"/>
  <c r="C12" i="22"/>
  <c r="C12" i="23" a="1"/>
  <c r="C12" i="23"/>
  <c r="M18" i="23"/>
  <c r="N12" i="22"/>
  <c r="N12" i="23"/>
  <c r="O313" i="22"/>
  <c r="O96" i="22"/>
  <c r="O57" i="22"/>
  <c r="C91" i="22" a="1"/>
  <c r="C91" i="22"/>
  <c r="C44" i="22" a="1"/>
  <c r="C44" i="22"/>
  <c r="C167" i="22" a="1"/>
  <c r="C167" i="22"/>
  <c r="C125" i="22" a="1"/>
  <c r="C125" i="22"/>
  <c r="M12" i="24"/>
  <c r="J18" i="23" a="1"/>
  <c r="J18" i="23"/>
  <c r="N167" i="22"/>
  <c r="N125" i="22"/>
  <c r="O12" i="22"/>
  <c r="O12" i="23"/>
  <c r="N313" i="22"/>
  <c r="N12" i="24"/>
  <c r="P96" i="22"/>
  <c r="P57" i="22"/>
  <c r="J12" i="24" a="1"/>
  <c r="J12" i="24"/>
  <c r="O18" i="23"/>
  <c r="O15" i="25"/>
  <c r="P313" i="22"/>
  <c r="C86" i="22" a="1"/>
  <c r="C86" i="22"/>
  <c r="C54" i="22" a="1"/>
  <c r="C54" i="22"/>
  <c r="C11" i="22" a="1"/>
  <c r="C11" i="22"/>
  <c r="O167" i="22"/>
  <c r="O125" i="22"/>
  <c r="M91" i="22"/>
  <c r="M44" i="22"/>
  <c r="O12" i="24"/>
  <c r="J12" i="22" a="1"/>
  <c r="J12" i="22"/>
  <c r="J12" i="23" a="1"/>
  <c r="J12" i="23"/>
  <c r="N96" i="22"/>
  <c r="N57" i="22"/>
  <c r="P167" i="22"/>
  <c r="P125" i="22"/>
  <c r="J19" i="24" a="1"/>
  <c r="J19" i="24"/>
  <c r="J16" i="25" a="1"/>
  <c r="J16" i="25"/>
  <c r="P11" i="23"/>
  <c r="O254" i="22"/>
  <c r="C228" i="22" a="1"/>
  <c r="C228" i="22"/>
  <c r="C206" i="22" a="1"/>
  <c r="C206" i="22"/>
  <c r="N16" i="25"/>
  <c r="N11" i="23"/>
  <c r="J20" i="22" a="1"/>
  <c r="J20" i="22"/>
  <c r="N15" i="22"/>
  <c r="J191" i="22" a="1"/>
  <c r="J191" i="22"/>
  <c r="J153" i="22" a="1"/>
  <c r="J153" i="22"/>
  <c r="M228" i="22"/>
  <c r="M206" i="22"/>
  <c r="M254" i="22"/>
  <c r="C11" i="23" a="1"/>
  <c r="C11" i="23"/>
  <c r="P187" i="22"/>
  <c r="P147" i="22"/>
  <c r="M59" i="22"/>
  <c r="M100" i="22"/>
  <c r="N59" i="22"/>
  <c r="N100" i="22"/>
  <c r="P191" i="22"/>
  <c r="P153" i="22"/>
  <c r="J15" i="22" a="1"/>
  <c r="J15" i="22"/>
  <c r="J11" i="23" a="1"/>
  <c r="J11" i="23"/>
  <c r="J254" i="22" a="1"/>
  <c r="J254" i="22"/>
  <c r="C16" i="25" a="1"/>
  <c r="C16" i="25"/>
  <c r="C187" i="22" a="1"/>
  <c r="C187" i="22"/>
  <c r="C147" i="22" a="1"/>
  <c r="C147" i="22"/>
  <c r="P19" i="24"/>
  <c r="P15" i="22"/>
  <c r="N19" i="24"/>
  <c r="C15" i="22" a="1"/>
  <c r="C15" i="22"/>
  <c r="M20" i="22"/>
  <c r="O228" i="22"/>
  <c r="O206" i="22"/>
  <c r="M191" i="22"/>
  <c r="M153" i="22"/>
  <c r="O19" i="24"/>
  <c r="C191" i="22" a="1"/>
  <c r="C191" i="22"/>
  <c r="C153" i="22" a="1"/>
  <c r="C153" i="22"/>
  <c r="J187" i="22" a="1"/>
  <c r="J187" i="22"/>
  <c r="J147" i="22" a="1"/>
  <c r="J147" i="22"/>
  <c r="O59" i="22"/>
  <c r="O100" i="22"/>
  <c r="M187" i="22"/>
  <c r="M147" i="22"/>
  <c r="C59" i="22" a="1"/>
  <c r="C59" i="22"/>
  <c r="C100" i="22" a="1"/>
  <c r="C100" i="22"/>
  <c r="P59" i="22"/>
  <c r="P100" i="22"/>
  <c r="P20" i="22"/>
  <c r="O187" i="22"/>
  <c r="O147" i="22"/>
  <c r="M11" i="23"/>
  <c r="C19" i="24" a="1"/>
  <c r="C19" i="24"/>
  <c r="P254" i="22"/>
  <c r="N191" i="22"/>
  <c r="N153" i="22"/>
  <c r="C254" i="22" a="1"/>
  <c r="C254" i="22"/>
  <c r="M15" i="22"/>
  <c r="M16" i="25"/>
  <c r="P16" i="25"/>
  <c r="J228" i="22" a="1"/>
  <c r="J228" i="22"/>
  <c r="J206" i="22" a="1"/>
  <c r="J206" i="22"/>
  <c r="P228" i="22"/>
  <c r="P206" i="22"/>
  <c r="O20" i="22"/>
  <c r="N254" i="22"/>
  <c r="O11" i="23"/>
  <c r="N20" i="22"/>
  <c r="O191" i="22"/>
  <c r="O153" i="22"/>
  <c r="M19" i="24"/>
  <c r="N228" i="22"/>
  <c r="N206" i="22"/>
  <c r="O15" i="22"/>
  <c r="O16" i="25"/>
  <c r="C20" i="22" a="1"/>
  <c r="C20" i="22"/>
  <c r="J59" i="22" a="1"/>
  <c r="J59" i="22"/>
  <c r="J100" i="22" a="1"/>
  <c r="J100" i="22"/>
  <c r="N187" i="22"/>
  <c r="N147" i="22"/>
  <c r="N311" i="22"/>
  <c r="J97" i="22" a="1"/>
  <c r="J97" i="22"/>
  <c r="J60" i="22" a="1"/>
  <c r="J60" i="22"/>
  <c r="J17" i="24" a="1"/>
  <c r="J17" i="24"/>
  <c r="N349" i="22"/>
  <c r="C232" i="22" a="1"/>
  <c r="C232" i="22"/>
  <c r="C210" i="22" a="1"/>
  <c r="C210" i="22"/>
  <c r="C17" i="24" a="1"/>
  <c r="C17" i="24"/>
  <c r="O232" i="22"/>
  <c r="O210" i="22"/>
  <c r="M349" i="22"/>
  <c r="M268" i="22"/>
  <c r="P93" i="22"/>
  <c r="P52" i="22"/>
  <c r="M232" i="22"/>
  <c r="M210" i="22"/>
  <c r="C169" i="22" a="1"/>
  <c r="C169" i="22"/>
  <c r="C129" i="22" a="1"/>
  <c r="C129" i="22"/>
  <c r="J346" i="22" a="1"/>
  <c r="J346" i="22"/>
  <c r="P346" i="22"/>
  <c r="P17" i="24"/>
  <c r="J93" i="22" a="1"/>
  <c r="J93" i="22"/>
  <c r="J52" i="22" a="1"/>
  <c r="J52" i="22"/>
  <c r="C349" i="22" a="1"/>
  <c r="C349" i="22"/>
  <c r="J349" i="22" a="1"/>
  <c r="J349" i="22"/>
  <c r="P97" i="22"/>
  <c r="P60" i="22"/>
  <c r="O349" i="22"/>
  <c r="N169" i="22"/>
  <c r="N129" i="22"/>
  <c r="N93" i="22"/>
  <c r="N52" i="22"/>
  <c r="C346" i="22" a="1"/>
  <c r="C346" i="22"/>
  <c r="O97" i="22"/>
  <c r="O60" i="22"/>
  <c r="J252" i="22" a="1"/>
  <c r="J252" i="22"/>
  <c r="O252" i="22"/>
  <c r="C311" i="22" a="1"/>
  <c r="C311" i="22"/>
  <c r="C268" i="22" a="1"/>
  <c r="C268" i="22"/>
  <c r="M169" i="22"/>
  <c r="P252" i="22"/>
  <c r="M252" i="22"/>
  <c r="N268" i="22"/>
  <c r="P268" i="22"/>
  <c r="O169" i="22"/>
  <c r="O129" i="22"/>
  <c r="N346" i="22"/>
  <c r="M311" i="22"/>
  <c r="N17" i="24"/>
  <c r="P311" i="22"/>
  <c r="M93" i="22"/>
  <c r="M52" i="22"/>
  <c r="O311" i="22"/>
  <c r="O346" i="22"/>
  <c r="J169" i="22" a="1"/>
  <c r="J169" i="22"/>
  <c r="J129" i="22" a="1"/>
  <c r="J129" i="22"/>
  <c r="N97" i="22"/>
  <c r="N60" i="22"/>
  <c r="M17" i="24"/>
  <c r="N232" i="22"/>
  <c r="N210" i="22"/>
  <c r="O93" i="22"/>
  <c r="O52" i="22"/>
  <c r="C93" i="22" a="1"/>
  <c r="C93" i="22"/>
  <c r="C52" i="22" a="1"/>
  <c r="C52" i="22"/>
  <c r="C252" i="22" a="1"/>
  <c r="C252" i="22"/>
  <c r="J311" i="22" a="1"/>
  <c r="J311" i="22"/>
  <c r="J268" i="22" a="1"/>
  <c r="J268" i="22"/>
  <c r="C97" i="22" a="1"/>
  <c r="C97" i="22"/>
  <c r="C60" i="22" a="1"/>
  <c r="C60" i="22"/>
  <c r="P232" i="22"/>
  <c r="P210" i="22"/>
  <c r="O17" i="24"/>
  <c r="P349" i="22"/>
  <c r="M346" i="22"/>
  <c r="N252" i="22"/>
  <c r="M97" i="22"/>
  <c r="M60" i="22"/>
  <c r="J232" i="22" a="1"/>
  <c r="J232" i="22"/>
  <c r="J210" i="22" a="1"/>
  <c r="J210" i="22"/>
  <c r="P169" i="22"/>
  <c r="P129" i="22"/>
  <c r="O268" i="22"/>
  <c r="J18" i="24" a="1"/>
  <c r="J18" i="24"/>
  <c r="M5" i="22"/>
  <c r="O9" i="22"/>
  <c r="M270" i="22"/>
  <c r="P16" i="23"/>
  <c r="O309" i="22"/>
  <c r="N5" i="22"/>
  <c r="N230" i="22"/>
  <c r="N208" i="22"/>
  <c r="O230" i="22"/>
  <c r="O208" i="22"/>
  <c r="N9" i="22"/>
  <c r="P87" i="22"/>
  <c r="P46" i="22"/>
  <c r="M87" i="22"/>
  <c r="M46" i="22"/>
  <c r="N87" i="22"/>
  <c r="N46" i="22"/>
  <c r="O87" i="22"/>
  <c r="O46" i="22"/>
  <c r="J5" i="22" a="1"/>
  <c r="J5" i="22"/>
  <c r="C309" i="22" a="1"/>
  <c r="C309" i="22"/>
  <c r="M309" i="22"/>
  <c r="O18" i="24"/>
  <c r="M230" i="22"/>
  <c r="M208" i="22"/>
  <c r="O16" i="23"/>
  <c r="M18" i="24"/>
  <c r="J98" i="22" a="1"/>
  <c r="J98" i="22"/>
  <c r="J61" i="22" a="1"/>
  <c r="J61" i="22"/>
  <c r="N18" i="24"/>
  <c r="C5" i="22" a="1"/>
  <c r="C5" i="22"/>
  <c r="P9" i="22"/>
  <c r="O98" i="22"/>
  <c r="O61" i="22"/>
  <c r="N98" i="22"/>
  <c r="N61" i="22"/>
  <c r="J9" i="22" a="1"/>
  <c r="J9" i="22"/>
  <c r="N294" i="22"/>
  <c r="J294" i="22" a="1"/>
  <c r="J294" i="22"/>
  <c r="J270" i="22" a="1"/>
  <c r="J270" i="22"/>
  <c r="M16" i="23"/>
  <c r="C87" i="22" a="1"/>
  <c r="C87" i="22"/>
  <c r="C46" i="22" a="1"/>
  <c r="C46" i="22"/>
  <c r="N16" i="23"/>
  <c r="P18" i="24"/>
  <c r="P98" i="22"/>
  <c r="P61" i="22"/>
  <c r="C294" i="22" a="1"/>
  <c r="C294" i="22"/>
  <c r="C9" i="22" a="1"/>
  <c r="C9" i="22"/>
  <c r="M294" i="22"/>
  <c r="P294" i="22"/>
  <c r="O270" i="22"/>
  <c r="C98" i="22" a="1"/>
  <c r="C98" i="22"/>
  <c r="C61" i="22" a="1"/>
  <c r="C61" i="22"/>
  <c r="J309" i="22" a="1"/>
  <c r="J309" i="22"/>
  <c r="C230" i="22" a="1"/>
  <c r="C230" i="22"/>
  <c r="C208" i="22" a="1"/>
  <c r="C208" i="22"/>
  <c r="J16" i="23" a="1"/>
  <c r="J16" i="23"/>
  <c r="C270" i="22" a="1"/>
  <c r="C270" i="22"/>
  <c r="N270" i="22"/>
  <c r="N309" i="22"/>
  <c r="P5" i="22"/>
  <c r="J230" i="22" a="1"/>
  <c r="J230" i="22"/>
  <c r="J208" i="22" a="1"/>
  <c r="J208" i="22"/>
  <c r="O294" i="22"/>
  <c r="P230" i="22"/>
  <c r="P208" i="22"/>
  <c r="P270" i="22"/>
  <c r="J87" i="22" a="1"/>
  <c r="J87" i="22"/>
  <c r="J46" i="22" a="1"/>
  <c r="J46" i="22"/>
  <c r="M9" i="22"/>
  <c r="M98" i="22"/>
  <c r="M61" i="22"/>
  <c r="C18" i="24" a="1"/>
  <c r="C18" i="24"/>
  <c r="O5" i="22"/>
  <c r="C16" i="23" a="1"/>
  <c r="C16" i="23"/>
  <c r="P309" i="22"/>
  <c r="M329" i="22"/>
  <c r="M92" i="22"/>
  <c r="M50" i="22"/>
  <c r="C49" i="22" a="1"/>
  <c r="C49" i="22"/>
  <c r="C171" i="22" a="1"/>
  <c r="C171" i="22"/>
  <c r="C131" i="22" a="1"/>
  <c r="C131" i="22"/>
  <c r="P6" i="25"/>
  <c r="O171" i="22"/>
  <c r="O131" i="22"/>
  <c r="J329" i="22" a="1"/>
  <c r="J329" i="22"/>
  <c r="O92" i="22"/>
  <c r="O50" i="22"/>
  <c r="N274" i="22"/>
  <c r="J49" i="22" a="1"/>
  <c r="J49" i="22"/>
  <c r="J6" i="22" a="1"/>
  <c r="J6" i="22"/>
  <c r="C92" i="22" a="1"/>
  <c r="C92" i="22"/>
  <c r="C50" i="22" a="1"/>
  <c r="C50" i="22"/>
  <c r="N171" i="22"/>
  <c r="N131" i="22"/>
  <c r="M9" i="25"/>
  <c r="C6" i="22" a="1"/>
  <c r="C6" i="22"/>
  <c r="N328" i="22"/>
  <c r="O274" i="22"/>
  <c r="O9" i="25"/>
  <c r="J274" i="22" a="1"/>
  <c r="J274" i="22"/>
  <c r="P6" i="22"/>
  <c r="N329" i="22"/>
  <c r="M171" i="22"/>
  <c r="M131" i="22"/>
  <c r="P274" i="22"/>
  <c r="P9" i="25"/>
  <c r="J6" i="25" a="1"/>
  <c r="J6" i="25"/>
  <c r="O6" i="22"/>
  <c r="M49" i="22"/>
  <c r="J192" i="22" a="1"/>
  <c r="J192" i="22"/>
  <c r="J154" i="22" a="1"/>
  <c r="J154" i="22"/>
  <c r="P49" i="22"/>
  <c r="M192" i="22"/>
  <c r="M154" i="22"/>
  <c r="M274" i="22"/>
  <c r="C6" i="25" a="1"/>
  <c r="C6" i="25"/>
  <c r="O329" i="22"/>
  <c r="P192" i="22"/>
  <c r="P154" i="22"/>
  <c r="O192" i="22"/>
  <c r="O154" i="22"/>
  <c r="N9" i="25"/>
  <c r="N6" i="25"/>
  <c r="C192" i="22" a="1"/>
  <c r="C192" i="22"/>
  <c r="C154" i="22" a="1"/>
  <c r="C154" i="22"/>
  <c r="P92" i="22"/>
  <c r="P50" i="22"/>
  <c r="O49" i="22"/>
  <c r="N6" i="22"/>
  <c r="N92" i="22"/>
  <c r="N50" i="22"/>
  <c r="P328" i="22"/>
  <c r="M328" i="22"/>
  <c r="J9" i="25" a="1"/>
  <c r="J9" i="25"/>
  <c r="J171" i="22" a="1"/>
  <c r="J171" i="22"/>
  <c r="J131" i="22" a="1"/>
  <c r="J131" i="22"/>
  <c r="O6" i="25"/>
  <c r="C329" i="22" a="1"/>
  <c r="C329" i="22"/>
  <c r="O328" i="22"/>
  <c r="J328" i="22" a="1"/>
  <c r="J328" i="22"/>
  <c r="J92" i="22" a="1"/>
  <c r="J92" i="22"/>
  <c r="J50" i="22" a="1"/>
  <c r="J50" i="22"/>
  <c r="M6" i="22"/>
  <c r="N192" i="22"/>
  <c r="N154" i="22"/>
  <c r="P329" i="22"/>
  <c r="M6" i="25"/>
  <c r="C9" i="25" a="1"/>
  <c r="C9" i="25"/>
  <c r="C328" i="22" a="1"/>
  <c r="C328" i="22"/>
  <c r="N49" i="22"/>
  <c r="P171" i="22"/>
  <c r="P131" i="22"/>
  <c r="C274" i="22" a="1"/>
  <c r="C274" i="22"/>
  <c r="O186" i="22"/>
  <c r="O146" i="22"/>
  <c r="J310" i="22" a="1"/>
  <c r="J310" i="22"/>
  <c r="J15" i="23" a="1"/>
  <c r="J15" i="23"/>
  <c r="C15" i="23" a="1"/>
  <c r="C15" i="23"/>
  <c r="C186" i="22" a="1"/>
  <c r="C186" i="22"/>
  <c r="C146" i="22" a="1"/>
  <c r="C146" i="22"/>
  <c r="M89" i="22"/>
  <c r="M48" i="22"/>
  <c r="J272" i="22" a="1"/>
  <c r="J272" i="22"/>
  <c r="M310" i="22"/>
  <c r="J186" i="22" a="1"/>
  <c r="J186" i="22"/>
  <c r="J146" i="22" a="1"/>
  <c r="J146" i="22"/>
  <c r="P348" i="22"/>
  <c r="N310" i="22"/>
  <c r="J89" i="22" a="1"/>
  <c r="J89" i="22"/>
  <c r="J48" i="22" a="1"/>
  <c r="J48" i="22"/>
  <c r="P19" i="22"/>
  <c r="J4" i="23" a="1"/>
  <c r="J4" i="23"/>
  <c r="C8" i="23" a="1"/>
  <c r="C8" i="23"/>
  <c r="M348" i="22"/>
  <c r="O4" i="23"/>
  <c r="J348" i="22" a="1"/>
  <c r="J348" i="22"/>
  <c r="O89" i="22"/>
  <c r="O48" i="22"/>
  <c r="J19" i="22" a="1"/>
  <c r="J19" i="22"/>
  <c r="N8" i="23"/>
  <c r="O273" i="22"/>
  <c r="N19" i="22"/>
  <c r="C273" i="22" a="1"/>
  <c r="C273" i="22"/>
  <c r="M272" i="22"/>
  <c r="C348" i="22" a="1"/>
  <c r="C348" i="22"/>
  <c r="N89" i="22"/>
  <c r="N48" i="22"/>
  <c r="M19" i="22"/>
  <c r="N273" i="22"/>
  <c r="P272" i="22"/>
  <c r="C4" i="23" a="1"/>
  <c r="C4" i="23"/>
  <c r="N348" i="22"/>
  <c r="O15" i="23"/>
  <c r="P15" i="23"/>
  <c r="C19" i="22" a="1"/>
  <c r="C19" i="22"/>
  <c r="P8" i="23"/>
  <c r="O8" i="23"/>
  <c r="N272" i="22"/>
  <c r="M4" i="23"/>
  <c r="P186" i="22"/>
  <c r="P146" i="22"/>
  <c r="J273" i="22" a="1"/>
  <c r="J273" i="22"/>
  <c r="P273" i="22"/>
  <c r="M186" i="22"/>
  <c r="M146" i="22"/>
  <c r="C310" i="22" a="1"/>
  <c r="C310" i="22"/>
  <c r="O272" i="22"/>
  <c r="P89" i="22"/>
  <c r="P48" i="22"/>
  <c r="O310" i="22"/>
  <c r="N15" i="23"/>
  <c r="J8" i="23" a="1"/>
  <c r="J8" i="23"/>
  <c r="N4" i="23"/>
  <c r="O348" i="22"/>
  <c r="C89" i="22" a="1"/>
  <c r="C89" i="22"/>
  <c r="C48" i="22" a="1"/>
  <c r="C48" i="22"/>
  <c r="M273" i="22"/>
  <c r="M15" i="23"/>
  <c r="P310" i="22"/>
  <c r="O19" i="22"/>
  <c r="M8" i="23"/>
  <c r="C272" i="22" a="1"/>
  <c r="C272" i="22"/>
  <c r="P4" i="23"/>
  <c r="N186" i="22"/>
  <c r="N146" i="22"/>
  <c r="P11" i="24"/>
  <c r="J7" i="23" a="1"/>
  <c r="J7" i="23"/>
  <c r="O172" i="22"/>
  <c r="O132" i="22"/>
  <c r="P7" i="22"/>
  <c r="C85" i="22" a="1"/>
  <c r="C85" i="22"/>
  <c r="C47" i="22" a="1"/>
  <c r="C47" i="22"/>
  <c r="P172" i="22"/>
  <c r="P132" i="22"/>
  <c r="N172" i="22"/>
  <c r="N132" i="22"/>
  <c r="C312" i="22" a="1"/>
  <c r="C312" i="22"/>
  <c r="C7" i="22" a="1"/>
  <c r="C7" i="22"/>
  <c r="P85" i="22"/>
  <c r="P47" i="22"/>
  <c r="O332" i="22"/>
  <c r="M11" i="24"/>
  <c r="N332" i="22"/>
  <c r="J312" i="22" a="1"/>
  <c r="J312" i="22"/>
  <c r="J99" i="22" a="1"/>
  <c r="J99" i="22"/>
  <c r="J58" i="22" a="1"/>
  <c r="J58" i="22"/>
  <c r="J85" i="22" a="1"/>
  <c r="J85" i="22"/>
  <c r="J47" i="22" a="1"/>
  <c r="J47" i="22"/>
  <c r="J4" i="22" a="1"/>
  <c r="J4" i="22"/>
  <c r="M85" i="22"/>
  <c r="M47" i="22"/>
  <c r="J7" i="22" a="1"/>
  <c r="J7" i="22"/>
  <c r="C172" i="22" a="1"/>
  <c r="C172" i="22"/>
  <c r="C132" i="22" a="1"/>
  <c r="C132" i="22"/>
  <c r="M312" i="22"/>
  <c r="P332" i="22"/>
  <c r="P99" i="22"/>
  <c r="P58" i="22"/>
  <c r="P7" i="23"/>
  <c r="O312" i="22"/>
  <c r="N7" i="22"/>
  <c r="C90" i="22" a="1"/>
  <c r="C90" i="22"/>
  <c r="C45" i="22" a="1"/>
  <c r="C45" i="22"/>
  <c r="M7" i="22"/>
  <c r="O90" i="22"/>
  <c r="O45" i="22"/>
  <c r="N312" i="22"/>
  <c r="O4" i="22"/>
  <c r="M172" i="22"/>
  <c r="M132" i="22"/>
  <c r="J90" i="22" a="1"/>
  <c r="J90" i="22"/>
  <c r="J45" i="22" a="1"/>
  <c r="J45" i="22"/>
  <c r="N99" i="22"/>
  <c r="N58" i="22"/>
  <c r="N4" i="22"/>
  <c r="C332" i="22" a="1"/>
  <c r="C332" i="22"/>
  <c r="P90" i="22"/>
  <c r="P45" i="22"/>
  <c r="J11" i="24" a="1"/>
  <c r="J11" i="24"/>
  <c r="M99" i="22"/>
  <c r="M58" i="22"/>
  <c r="M90" i="22"/>
  <c r="M45" i="22"/>
  <c r="J332" i="22" a="1"/>
  <c r="J332" i="22"/>
  <c r="O7" i="23"/>
  <c r="C58" i="22" a="1"/>
  <c r="C58" i="22"/>
  <c r="C7" i="23" a="1"/>
  <c r="C7" i="23"/>
  <c r="O11" i="24"/>
  <c r="N7" i="23"/>
  <c r="N85" i="22"/>
  <c r="N47" i="22"/>
  <c r="P4" i="22"/>
  <c r="C11" i="24" a="1"/>
  <c r="C11" i="24"/>
  <c r="M4" i="22"/>
  <c r="O7" i="22"/>
  <c r="N90" i="22"/>
  <c r="N45" i="22"/>
  <c r="C4" i="22" a="1"/>
  <c r="C4" i="22"/>
  <c r="J172" i="22" a="1"/>
  <c r="J172" i="22"/>
  <c r="J132" i="22" a="1"/>
  <c r="J132" i="22"/>
  <c r="N11" i="24"/>
  <c r="M7" i="23"/>
  <c r="P312" i="22"/>
  <c r="O99" i="22"/>
  <c r="O58" i="22"/>
  <c r="O85" i="22"/>
  <c r="O47" i="22"/>
  <c r="M332" i="22"/>
  <c r="N10" i="23"/>
  <c r="O253" i="22"/>
  <c r="C7" i="24" a="1"/>
  <c r="C7" i="24"/>
  <c r="P10" i="23"/>
  <c r="J188" i="22" a="1"/>
  <c r="J188" i="22"/>
  <c r="J150" i="22" a="1"/>
  <c r="J150" i="22"/>
  <c r="P8" i="22"/>
  <c r="J10" i="23" a="1"/>
  <c r="J10" i="23"/>
  <c r="P8" i="25"/>
  <c r="O8" i="25"/>
  <c r="O6" i="24"/>
  <c r="N56" i="22"/>
  <c r="N101" i="22"/>
  <c r="M56" i="22"/>
  <c r="M101" i="22"/>
  <c r="M291" i="22"/>
  <c r="J291" i="22" a="1"/>
  <c r="J291" i="22"/>
  <c r="P188" i="22"/>
  <c r="P150" i="22"/>
  <c r="P14" i="25"/>
  <c r="J253" i="22" a="1"/>
  <c r="J253" i="22"/>
  <c r="O8" i="22"/>
  <c r="J14" i="25" a="1"/>
  <c r="J14" i="25"/>
  <c r="M253" i="22"/>
  <c r="M6" i="24"/>
  <c r="P253" i="22"/>
  <c r="J8" i="25" a="1"/>
  <c r="J8" i="25"/>
  <c r="O56" i="22"/>
  <c r="O101" i="22"/>
  <c r="J7" i="24" a="1"/>
  <c r="J7" i="24"/>
  <c r="M10" i="23"/>
  <c r="N8" i="25"/>
  <c r="N7" i="24"/>
  <c r="M8" i="25"/>
  <c r="P56" i="22"/>
  <c r="P101" i="22"/>
  <c r="O10" i="23"/>
  <c r="J56" i="22" a="1"/>
  <c r="J56" i="22"/>
  <c r="J101" i="22" a="1"/>
  <c r="J101" i="22"/>
  <c r="N188" i="22"/>
  <c r="N150" i="22"/>
  <c r="C6" i="24" a="1"/>
  <c r="C6" i="24"/>
  <c r="J8" i="22" a="1"/>
  <c r="J8" i="22"/>
  <c r="N14" i="25"/>
  <c r="O291" i="22"/>
  <c r="C188" i="22" a="1"/>
  <c r="C188" i="22"/>
  <c r="C150" i="22" a="1"/>
  <c r="C150" i="22"/>
  <c r="M7" i="24"/>
  <c r="M8" i="22"/>
  <c r="P7" i="24"/>
  <c r="M188" i="22"/>
  <c r="M150" i="22"/>
  <c r="P6" i="24"/>
  <c r="N291" i="22"/>
  <c r="C14" i="25" a="1"/>
  <c r="C14" i="25"/>
  <c r="N253" i="22"/>
  <c r="O14" i="25"/>
  <c r="C8" i="22" a="1"/>
  <c r="C8" i="22"/>
  <c r="P291" i="22"/>
  <c r="N6" i="24"/>
  <c r="C56" i="22" a="1"/>
  <c r="C56" i="22"/>
  <c r="C101" i="22" a="1"/>
  <c r="C101" i="22"/>
  <c r="C10" i="23" a="1"/>
  <c r="C10" i="23"/>
  <c r="O188" i="22"/>
  <c r="O150" i="22"/>
  <c r="N8" i="22"/>
  <c r="M14" i="25"/>
  <c r="C8" i="25" a="1"/>
  <c r="C8" i="25"/>
  <c r="J6" i="24" a="1"/>
  <c r="J6" i="24"/>
  <c r="C291" i="22" a="1"/>
  <c r="C291" i="22"/>
  <c r="O7" i="24"/>
  <c r="C253" i="22" a="1"/>
  <c r="C253" i="22"/>
  <c r="M11" i="25"/>
  <c r="O10" i="25"/>
  <c r="C10" i="25" a="1"/>
  <c r="C10" i="25"/>
  <c r="J16" i="22" a="1"/>
  <c r="J16" i="22"/>
  <c r="P9" i="24"/>
  <c r="O88" i="22"/>
  <c r="O51" i="22"/>
  <c r="J331" i="22" a="1"/>
  <c r="J331" i="22"/>
  <c r="O16" i="22"/>
  <c r="C16" i="22" a="1"/>
  <c r="C16" i="22"/>
  <c r="C189" i="22" a="1"/>
  <c r="C189" i="22"/>
  <c r="C151" i="22" a="1"/>
  <c r="C151" i="22"/>
  <c r="C331" i="22" a="1"/>
  <c r="C331" i="22"/>
  <c r="M10" i="24"/>
  <c r="P8" i="24"/>
  <c r="O8" i="24"/>
  <c r="M9" i="24"/>
  <c r="C11" i="25" a="1"/>
  <c r="C11" i="25"/>
  <c r="N11" i="25"/>
  <c r="N10" i="25"/>
  <c r="P229" i="22"/>
  <c r="P207" i="22"/>
  <c r="N331" i="22"/>
  <c r="O10" i="24"/>
  <c r="M331" i="22"/>
  <c r="P88" i="22"/>
  <c r="P51" i="22"/>
  <c r="M88" i="22"/>
  <c r="M51" i="22"/>
  <c r="N10" i="24"/>
  <c r="O189" i="22"/>
  <c r="O151" i="22"/>
  <c r="P189" i="22"/>
  <c r="P151" i="22"/>
  <c r="J10" i="25" a="1"/>
  <c r="J10" i="25"/>
  <c r="O229" i="22"/>
  <c r="O207" i="22"/>
  <c r="O11" i="25"/>
  <c r="J229" i="22" a="1"/>
  <c r="J229" i="22"/>
  <c r="J207" i="22" a="1"/>
  <c r="J207" i="22"/>
  <c r="J10" i="24" a="1"/>
  <c r="J10" i="24"/>
  <c r="O331" i="22"/>
  <c r="N16" i="22"/>
  <c r="J8" i="24" a="1"/>
  <c r="J8" i="24"/>
  <c r="J9" i="24" a="1"/>
  <c r="J9" i="24"/>
  <c r="M189" i="22"/>
  <c r="M151" i="22"/>
  <c r="C9" i="24" a="1"/>
  <c r="C9" i="24"/>
  <c r="P10" i="24"/>
  <c r="P11" i="25"/>
  <c r="N189" i="22"/>
  <c r="N151" i="22"/>
  <c r="C229" i="22" a="1"/>
  <c r="C229" i="22"/>
  <c r="C207" i="22" a="1"/>
  <c r="C207" i="22"/>
  <c r="N229" i="22"/>
  <c r="N207" i="22"/>
  <c r="C88" i="22" a="1"/>
  <c r="C88" i="22"/>
  <c r="C51" i="22" a="1"/>
  <c r="C51" i="22"/>
  <c r="M16" i="22"/>
  <c r="J88" i="22" a="1"/>
  <c r="J88" i="22"/>
  <c r="J51" i="22" a="1"/>
  <c r="J51" i="22"/>
  <c r="M8" i="24"/>
  <c r="J189" i="22" a="1"/>
  <c r="J189" i="22"/>
  <c r="J151" i="22" a="1"/>
  <c r="J151" i="22"/>
  <c r="M10" i="25"/>
  <c r="N8" i="24"/>
  <c r="O9" i="24"/>
  <c r="P10" i="25"/>
  <c r="C10" i="24" a="1"/>
  <c r="C10" i="24"/>
  <c r="N9" i="24"/>
  <c r="C8" i="24" a="1"/>
  <c r="C8" i="24"/>
  <c r="J11" i="25" a="1"/>
  <c r="J11" i="25"/>
  <c r="P16" i="22"/>
  <c r="N88" i="22"/>
  <c r="N51" i="22"/>
  <c r="M229" i="22"/>
  <c r="M207" i="22"/>
  <c r="P331" i="22"/>
  <c r="P227" i="22"/>
  <c r="P205" i="22"/>
  <c r="P19" i="23"/>
  <c r="J271" i="22" a="1"/>
  <c r="J271" i="22"/>
  <c r="N15" i="24"/>
  <c r="C227" i="22" a="1"/>
  <c r="C227" i="22"/>
  <c r="C205" i="22" a="1"/>
  <c r="C205" i="22"/>
  <c r="M227" i="22"/>
  <c r="M205" i="22"/>
  <c r="N19" i="23"/>
  <c r="P271" i="22"/>
  <c r="N345" i="22"/>
  <c r="P168" i="22"/>
  <c r="P126" i="22"/>
  <c r="M292" i="22"/>
  <c r="J292" i="22" a="1"/>
  <c r="J292" i="22"/>
  <c r="O4" i="24"/>
  <c r="N271" i="22"/>
  <c r="P15" i="24"/>
  <c r="O227" i="22"/>
  <c r="O205" i="22"/>
  <c r="M168" i="22"/>
  <c r="M126" i="22"/>
  <c r="N4" i="24"/>
  <c r="O271" i="22"/>
  <c r="C17" i="23" a="1"/>
  <c r="C17" i="23"/>
  <c r="M15" i="24"/>
  <c r="P17" i="23"/>
  <c r="J168" i="22" a="1"/>
  <c r="J168" i="22"/>
  <c r="J126" i="22" a="1"/>
  <c r="J126" i="22"/>
  <c r="O168" i="22"/>
  <c r="O126" i="22"/>
  <c r="J227" i="22" a="1"/>
  <c r="J227" i="22"/>
  <c r="J205" i="22" a="1"/>
  <c r="J205" i="22"/>
  <c r="O15" i="24"/>
  <c r="P292" i="22"/>
  <c r="O18" i="22"/>
  <c r="C4" i="24" a="1"/>
  <c r="C4" i="24"/>
  <c r="N18" i="22"/>
  <c r="O19" i="23"/>
  <c r="C168" i="22" a="1"/>
  <c r="C168" i="22"/>
  <c r="C126" i="22" a="1"/>
  <c r="C126" i="22"/>
  <c r="C345" i="22" a="1"/>
  <c r="C345" i="22"/>
  <c r="J18" i="22" a="1"/>
  <c r="J18" i="22"/>
  <c r="J345" i="22" a="1"/>
  <c r="J345" i="22"/>
  <c r="N17" i="23"/>
  <c r="M4" i="24"/>
  <c r="M18" i="22"/>
  <c r="O17" i="23"/>
  <c r="P18" i="22"/>
  <c r="J19" i="23" a="1"/>
  <c r="J19" i="23"/>
  <c r="O345" i="22"/>
  <c r="M345" i="22"/>
  <c r="M17" i="23"/>
  <c r="M19" i="23"/>
  <c r="O292" i="22"/>
  <c r="N292" i="22"/>
  <c r="M271" i="22"/>
  <c r="C15" i="24" a="1"/>
  <c r="C15" i="24"/>
  <c r="C292" i="22" a="1"/>
  <c r="C292" i="22"/>
  <c r="N227" i="22"/>
  <c r="N205" i="22"/>
  <c r="P345" i="22"/>
  <c r="N168" i="22"/>
  <c r="N126" i="22"/>
  <c r="C271" i="22" a="1"/>
  <c r="C271" i="22"/>
  <c r="J4" i="24" a="1"/>
  <c r="J4" i="24"/>
  <c r="C18" i="22" a="1"/>
  <c r="C18" i="22"/>
  <c r="P4" i="24"/>
  <c r="J15" i="24" a="1"/>
  <c r="J15" i="24"/>
  <c r="J17" i="23" a="1"/>
  <c r="J17" i="23"/>
  <c r="C19" i="23" a="1"/>
  <c r="C19" i="23"/>
  <c r="P17" i="25"/>
  <c r="P94" i="22"/>
  <c r="P5" i="24"/>
  <c r="P149" i="22"/>
  <c r="P6" i="23"/>
  <c r="O17" i="25"/>
  <c r="M53" i="22"/>
  <c r="M290" i="22"/>
  <c r="J17" i="25" a="1"/>
  <c r="J17" i="25"/>
  <c r="J6" i="23" a="1"/>
  <c r="J6" i="23"/>
  <c r="C17" i="25" a="1"/>
  <c r="C17" i="25"/>
  <c r="J330" i="22" a="1"/>
  <c r="J330" i="22"/>
  <c r="N17" i="22"/>
  <c r="C6" i="23" a="1"/>
  <c r="C6" i="23"/>
  <c r="C5" i="24" a="1"/>
  <c r="C5" i="24"/>
  <c r="O6" i="23"/>
  <c r="C53" i="22" a="1"/>
  <c r="C53" i="22"/>
  <c r="C290" i="22" a="1"/>
  <c r="C290" i="22"/>
  <c r="M6" i="23"/>
  <c r="O17" i="22"/>
  <c r="O5" i="24"/>
  <c r="C149" i="22" a="1"/>
  <c r="C149" i="22"/>
  <c r="P53" i="22"/>
  <c r="P290" i="22"/>
  <c r="M5" i="24"/>
  <c r="J17" i="22" a="1"/>
  <c r="J17" i="22"/>
  <c r="N17" i="25"/>
  <c r="C330" i="22" a="1"/>
  <c r="C330" i="22"/>
  <c r="M149" i="22"/>
  <c r="N5" i="24"/>
  <c r="O53" i="22"/>
  <c r="O290" i="22"/>
  <c r="N149" i="22"/>
  <c r="M94" i="22"/>
  <c r="C12" i="25" a="1"/>
  <c r="C12" i="25"/>
  <c r="J149" i="22" a="1"/>
  <c r="J149" i="22"/>
  <c r="N53" i="22"/>
  <c r="N290" i="22"/>
  <c r="C94" i="22" a="1"/>
  <c r="C94" i="22"/>
  <c r="O330" i="22"/>
  <c r="N330" i="22"/>
  <c r="M330" i="22"/>
  <c r="M17" i="22"/>
  <c r="P12" i="25"/>
  <c r="N190" i="22"/>
  <c r="N152" i="22"/>
  <c r="C190" i="22" a="1"/>
  <c r="C190" i="22"/>
  <c r="C152" i="22" a="1"/>
  <c r="C152" i="22"/>
  <c r="N94" i="22"/>
  <c r="M12" i="25"/>
  <c r="J190" i="22" a="1"/>
  <c r="J190" i="22"/>
  <c r="J152" i="22" a="1"/>
  <c r="J152" i="22"/>
  <c r="M190" i="22"/>
  <c r="M152" i="22"/>
  <c r="O94" i="22"/>
  <c r="C17" i="22" a="1"/>
  <c r="C17" i="22"/>
  <c r="N12" i="25"/>
  <c r="O190" i="22"/>
  <c r="O152" i="22"/>
  <c r="J12" i="25" a="1"/>
  <c r="J12" i="25"/>
  <c r="P17" i="22"/>
  <c r="J94" i="22" a="1"/>
  <c r="J94" i="22"/>
  <c r="N6" i="23"/>
  <c r="P330" i="22"/>
  <c r="J5" i="24" a="1"/>
  <c r="J5" i="24"/>
  <c r="O12" i="25"/>
  <c r="O149" i="22"/>
  <c r="P190" i="22"/>
  <c r="P152" i="22"/>
  <c r="J53" i="22" a="1"/>
  <c r="J53" i="22"/>
  <c r="J290" i="22" a="1"/>
  <c r="J290" i="22"/>
  <c r="M17" i="25"/>
  <c r="J405" i="22" a="1"/>
  <c r="J405" i="22"/>
  <c r="C404" i="22" a="1"/>
  <c r="C404" i="22"/>
  <c r="N403" i="22"/>
  <c r="N381" i="22"/>
  <c r="N363" i="22"/>
  <c r="C409" i="22" a="1"/>
  <c r="C409" i="22"/>
  <c r="P386" i="22"/>
  <c r="P365" i="22"/>
  <c r="P405" i="22"/>
  <c r="O402" i="22"/>
  <c r="P402" i="22"/>
  <c r="O406" i="22"/>
  <c r="C403" i="22" a="1"/>
  <c r="C403" i="22"/>
  <c r="C381" i="22" a="1"/>
  <c r="C381" i="22"/>
  <c r="C363" i="22" a="1"/>
  <c r="C363" i="22"/>
  <c r="C385" i="22" a="1"/>
  <c r="C385" i="22"/>
  <c r="C413" i="22" a="1"/>
  <c r="C413" i="22"/>
  <c r="J409" i="22" a="1"/>
  <c r="J409" i="22"/>
  <c r="N413" i="22"/>
  <c r="P384" i="22"/>
  <c r="P413" i="22"/>
  <c r="P403" i="22"/>
  <c r="P381" i="22"/>
  <c r="P363" i="22"/>
  <c r="N402" i="22"/>
  <c r="J385" i="22" a="1"/>
  <c r="J385" i="22"/>
  <c r="P385" i="22"/>
  <c r="P404" i="22"/>
  <c r="J406" i="22" a="1"/>
  <c r="J406" i="22"/>
  <c r="N404" i="22"/>
  <c r="O386" i="22"/>
  <c r="O365" i="22"/>
  <c r="C386" i="22" a="1"/>
  <c r="C386" i="22"/>
  <c r="C365" i="22" a="1"/>
  <c r="C365" i="22"/>
  <c r="O404" i="22"/>
  <c r="J384" i="22" a="1"/>
  <c r="J384" i="22"/>
  <c r="O403" i="22"/>
  <c r="O381" i="22"/>
  <c r="O363" i="22"/>
  <c r="C402" i="22" a="1"/>
  <c r="C402" i="22"/>
  <c r="O409" i="22"/>
  <c r="O384" i="22"/>
  <c r="C405" i="22" a="1"/>
  <c r="C405" i="22"/>
  <c r="N386" i="22"/>
  <c r="N365" i="22"/>
  <c r="P409" i="22"/>
  <c r="O385" i="22"/>
  <c r="C406" i="22" a="1"/>
  <c r="C406" i="22"/>
  <c r="N409" i="22"/>
  <c r="J413" i="22" a="1"/>
  <c r="J413" i="22"/>
  <c r="N405" i="22"/>
  <c r="N384" i="22"/>
  <c r="J404" i="22" a="1"/>
  <c r="J404" i="22"/>
  <c r="N385" i="22"/>
  <c r="J386" i="22" a="1"/>
  <c r="J386" i="22"/>
  <c r="J365" i="22" a="1"/>
  <c r="J365" i="22"/>
  <c r="P406" i="22"/>
  <c r="J403" i="22" a="1"/>
  <c r="J403" i="22"/>
  <c r="J381" i="22" a="1"/>
  <c r="J381" i="22"/>
  <c r="J363" i="22" a="1"/>
  <c r="J363" i="22"/>
  <c r="J402" i="22" a="1"/>
  <c r="J402" i="22"/>
  <c r="O405" i="22"/>
  <c r="C384" i="22" a="1"/>
  <c r="C384" i="22"/>
  <c r="N406" i="22"/>
  <c r="O413" i="22"/>
  <c r="N407" i="22"/>
  <c r="C411" i="22" a="1"/>
  <c r="C411" i="22"/>
  <c r="C389" i="22" a="1"/>
  <c r="C389" i="22"/>
  <c r="C367" i="22" a="1"/>
  <c r="C367" i="22"/>
  <c r="C408" i="22" a="1"/>
  <c r="C408" i="22"/>
  <c r="N380" i="22"/>
  <c r="N362" i="22"/>
  <c r="O383" i="22"/>
  <c r="O410" i="22"/>
  <c r="N412" i="22"/>
  <c r="C388" i="22" a="1"/>
  <c r="C388" i="22"/>
  <c r="P412" i="22"/>
  <c r="C412" i="22" a="1"/>
  <c r="C412" i="22"/>
  <c r="O411" i="22"/>
  <c r="O389" i="22"/>
  <c r="O367" i="22"/>
  <c r="P382" i="22"/>
  <c r="P364" i="22"/>
  <c r="J388" i="22" a="1"/>
  <c r="J388" i="22"/>
  <c r="J380" i="22" a="1"/>
  <c r="J380" i="22"/>
  <c r="J362" i="22" a="1"/>
  <c r="J362" i="22"/>
  <c r="O382" i="22"/>
  <c r="O364" i="22"/>
  <c r="N411" i="22"/>
  <c r="N389" i="22"/>
  <c r="N367" i="22"/>
  <c r="P411" i="22"/>
  <c r="P389" i="22"/>
  <c r="P367" i="22"/>
  <c r="N408" i="22"/>
  <c r="O408" i="22"/>
  <c r="J410" i="22" a="1"/>
  <c r="J410" i="22"/>
  <c r="J383" i="22" a="1"/>
  <c r="J383" i="22"/>
  <c r="C407" i="22" a="1"/>
  <c r="C407" i="22"/>
  <c r="P380" i="22"/>
  <c r="P362" i="22"/>
  <c r="P410" i="22"/>
  <c r="O380" i="22"/>
  <c r="O362" i="22"/>
  <c r="C382" i="22" a="1"/>
  <c r="C382" i="22"/>
  <c r="C364" i="22" a="1"/>
  <c r="C364" i="22"/>
  <c r="J408" i="22" a="1"/>
  <c r="J408" i="22"/>
  <c r="N382" i="22"/>
  <c r="N364" i="22"/>
  <c r="N388" i="22"/>
  <c r="J407" i="22" a="1"/>
  <c r="J407" i="22"/>
  <c r="J382" i="22" a="1"/>
  <c r="J382" i="22"/>
  <c r="J364" i="22" a="1"/>
  <c r="J364" i="22"/>
  <c r="N383" i="22"/>
  <c r="C380" i="22" a="1"/>
  <c r="C380" i="22"/>
  <c r="C362" i="22" a="1"/>
  <c r="C362" i="22"/>
  <c r="J411" i="22" a="1"/>
  <c r="J411" i="22"/>
  <c r="J389" i="22" a="1"/>
  <c r="J389" i="22"/>
  <c r="J367" i="22" a="1"/>
  <c r="J367" i="22"/>
  <c r="P383" i="22"/>
  <c r="P388" i="22"/>
  <c r="O412" i="22"/>
  <c r="O407" i="22"/>
  <c r="P407" i="22"/>
  <c r="C383" i="22" a="1"/>
  <c r="C383" i="22"/>
  <c r="J412" i="22" a="1"/>
  <c r="J412" i="22"/>
  <c r="N410" i="22"/>
  <c r="O388" i="22"/>
  <c r="C410" i="22" a="1"/>
  <c r="C410" i="22"/>
  <c r="P408" i="22"/>
  <c r="M347" i="22"/>
  <c r="J347" i="22" a="1"/>
  <c r="J347" i="22"/>
  <c r="N14" i="22"/>
  <c r="N14" i="23"/>
  <c r="N14" i="24"/>
  <c r="M9" i="23"/>
  <c r="J251" i="22" a="1"/>
  <c r="J251" i="22"/>
  <c r="J5" i="23" a="1"/>
  <c r="J5" i="23"/>
  <c r="O251" i="22"/>
  <c r="O269" i="22"/>
  <c r="P269" i="22"/>
  <c r="O14" i="22"/>
  <c r="O14" i="23"/>
  <c r="O14" i="24"/>
  <c r="N269" i="22"/>
  <c r="M251" i="22"/>
  <c r="P347" i="22"/>
  <c r="P170" i="22"/>
  <c r="P130" i="22"/>
  <c r="C173" i="22" a="1"/>
  <c r="C173" i="22"/>
  <c r="C133" i="22" a="1"/>
  <c r="C133" i="22"/>
  <c r="O170" i="22"/>
  <c r="O130" i="22"/>
  <c r="J269" i="22" a="1"/>
  <c r="J269" i="22"/>
  <c r="P62" i="22"/>
  <c r="P102" i="22"/>
  <c r="O173" i="22"/>
  <c r="O133" i="22"/>
  <c r="M14" i="22"/>
  <c r="M14" i="23"/>
  <c r="M14" i="24"/>
  <c r="O5" i="23"/>
  <c r="M173" i="22"/>
  <c r="M133" i="22"/>
  <c r="C269" i="22" a="1"/>
  <c r="C269" i="22"/>
  <c r="C62" i="22" a="1"/>
  <c r="C62" i="22"/>
  <c r="C102" i="22" a="1"/>
  <c r="C102" i="22"/>
  <c r="N173" i="22"/>
  <c r="N133" i="22"/>
  <c r="J170" i="22" a="1"/>
  <c r="J170" i="22"/>
  <c r="J130" i="22" a="1"/>
  <c r="J130" i="22"/>
  <c r="C14" i="22" a="1"/>
  <c r="C14" i="22"/>
  <c r="C14" i="23" a="1"/>
  <c r="C14" i="23"/>
  <c r="C14" i="24" a="1"/>
  <c r="C14" i="24"/>
  <c r="M170" i="22"/>
  <c r="M130" i="22"/>
  <c r="N347" i="22"/>
  <c r="P9" i="23"/>
  <c r="J62" i="22" a="1"/>
  <c r="J62" i="22"/>
  <c r="J102" i="22" a="1"/>
  <c r="J102" i="22"/>
  <c r="C170" i="22" a="1"/>
  <c r="C170" i="22"/>
  <c r="C130" i="22" a="1"/>
  <c r="C130" i="22"/>
  <c r="P173" i="22"/>
  <c r="P133" i="22"/>
  <c r="N251" i="22"/>
  <c r="O16" i="24"/>
  <c r="C251" i="22" a="1"/>
  <c r="C251" i="22"/>
  <c r="C5" i="23" a="1"/>
  <c r="C5" i="23"/>
  <c r="N9" i="23"/>
  <c r="P16" i="24"/>
  <c r="J9" i="23" a="1"/>
  <c r="J9" i="23"/>
  <c r="C347" i="22" a="1"/>
  <c r="C347" i="22"/>
  <c r="J16" i="24" a="1"/>
  <c r="J16" i="24"/>
  <c r="N62" i="22"/>
  <c r="N102" i="22"/>
  <c r="N5" i="23"/>
  <c r="N16" i="24"/>
  <c r="O9" i="23"/>
  <c r="M62" i="22"/>
  <c r="M102" i="22"/>
  <c r="M5" i="23"/>
  <c r="M16" i="24"/>
  <c r="P14" i="22"/>
  <c r="P14" i="23"/>
  <c r="P14" i="24"/>
  <c r="J173" i="22" a="1"/>
  <c r="J173" i="22"/>
  <c r="J133" i="22" a="1"/>
  <c r="J133" i="22"/>
  <c r="J14" i="22" a="1"/>
  <c r="J14" i="22"/>
  <c r="J14" i="23" a="1"/>
  <c r="J14" i="23"/>
  <c r="J14" i="24" a="1"/>
  <c r="J14" i="24"/>
  <c r="P251" i="22"/>
  <c r="M269" i="22"/>
  <c r="C16" i="24" a="1"/>
  <c r="C16" i="24"/>
  <c r="C9" i="23" a="1"/>
  <c r="C9" i="23"/>
  <c r="O62" i="22"/>
  <c r="O102" i="22"/>
  <c r="P5" i="23"/>
  <c r="O347" i="22"/>
  <c r="N170" i="22"/>
  <c r="N130" i="22"/>
  <c r="M5" i="25"/>
  <c r="C5" i="25" a="1"/>
  <c r="C5" i="25"/>
  <c r="C275" i="22" a="1"/>
  <c r="C275" i="22"/>
  <c r="N5" i="25"/>
  <c r="O275" i="22"/>
  <c r="N275" i="22"/>
  <c r="J275" i="22" a="1"/>
  <c r="J275" i="22"/>
  <c r="P5" i="25"/>
  <c r="J5" i="25" a="1"/>
  <c r="J5" i="25"/>
  <c r="P275" i="22"/>
  <c r="M275" i="22"/>
  <c r="O5" i="25"/>
  <c r="N387" i="22"/>
  <c r="N366" i="22"/>
  <c r="AB95" i="22" a="1"/>
  <c r="AB95" i="22"/>
  <c r="AB55" i="22" a="1"/>
  <c r="AB55" i="22"/>
  <c r="AB13" i="22" a="1"/>
  <c r="AB13" i="22"/>
  <c r="NP32" i="1" a="1"/>
  <c r="NP32" i="1"/>
  <c r="C387" i="22" a="1"/>
  <c r="C387" i="22"/>
  <c r="C366" i="22" a="1"/>
  <c r="C366" i="22"/>
  <c r="P387" i="22"/>
  <c r="P366" i="22"/>
  <c r="P63" i="22"/>
  <c r="P21" i="22"/>
  <c r="P193" i="22"/>
  <c r="P174" i="22"/>
  <c r="P155" i="22"/>
  <c r="P134" i="22"/>
  <c r="P103" i="22"/>
  <c r="RP41" i="1" a="1"/>
  <c r="RP41" i="1"/>
  <c r="QO27" i="1" a="1"/>
  <c r="QO27" i="1"/>
  <c r="C63" i="22" a="1"/>
  <c r="C63" i="22"/>
  <c r="C414" i="22" a="1"/>
  <c r="C414" i="22"/>
  <c r="C314" i="22" a="1"/>
  <c r="C314" i="22"/>
  <c r="C296" i="22" a="1"/>
  <c r="C296" i="22"/>
  <c r="C276" i="22" a="1"/>
  <c r="C276" i="22"/>
  <c r="C255" i="22" a="1"/>
  <c r="C255" i="22"/>
  <c r="C233" i="22" a="1"/>
  <c r="C233" i="22"/>
  <c r="C211" i="22" a="1"/>
  <c r="C211" i="22"/>
  <c r="C21" i="22" a="1"/>
  <c r="C21" i="22"/>
  <c r="C193" i="22" a="1"/>
  <c r="C193" i="22"/>
  <c r="C174" i="22" a="1"/>
  <c r="C174" i="22"/>
  <c r="C155" i="22" a="1"/>
  <c r="C155" i="22"/>
  <c r="C134" i="22" a="1"/>
  <c r="C134" i="22"/>
  <c r="C103" i="22" a="1"/>
  <c r="C103" i="22"/>
  <c r="RF41" i="1" a="1"/>
  <c r="RF41" i="1"/>
  <c r="QE27" i="1" a="1"/>
  <c r="QE27" i="1"/>
  <c r="N63" i="22"/>
  <c r="N21" i="22"/>
  <c r="N193" i="22"/>
  <c r="N174" i="22"/>
  <c r="N155" i="22"/>
  <c r="N134" i="22"/>
  <c r="N103" i="22"/>
  <c r="X42" i="1"/>
  <c r="RO41" i="1"/>
  <c r="QN27" i="1"/>
  <c r="NK32" i="1"/>
  <c r="MJ40" i="1"/>
  <c r="LI21" i="1"/>
  <c r="KH40" i="1"/>
  <c r="JG33" i="1"/>
  <c r="HE40" i="1"/>
  <c r="GD36" i="1"/>
  <c r="FC35" i="1"/>
  <c r="DA25" i="1"/>
  <c r="AY26" i="1"/>
  <c r="N414" i="22"/>
  <c r="N314" i="22"/>
  <c r="N296" i="22"/>
  <c r="N276" i="22"/>
  <c r="N255" i="22"/>
  <c r="N233" i="22"/>
  <c r="N211" i="22"/>
  <c r="N18" i="25"/>
  <c r="OL33" i="1"/>
  <c r="N20" i="24"/>
  <c r="C20" i="23" a="1"/>
  <c r="C20" i="23"/>
  <c r="C20" i="24" a="1"/>
  <c r="C20" i="24"/>
  <c r="N20" i="23"/>
  <c r="C18" i="25" a="1"/>
  <c r="C18" i="25"/>
  <c r="NK17" i="1"/>
  <c r="RP10" i="1" a="1"/>
  <c r="RP10" i="1"/>
  <c r="HF20" i="1" a="1"/>
  <c r="HF20" i="1"/>
  <c r="QJ11" i="1"/>
  <c r="KI37" i="1" a="1"/>
  <c r="KI37" i="1"/>
  <c r="O14" i="1" a="1"/>
  <c r="O14" i="1"/>
  <c r="NB29" i="1" a="1"/>
  <c r="NB29" i="1"/>
  <c r="MA36" i="1" a="1"/>
  <c r="MA36" i="1"/>
  <c r="ET12" i="1" a="1"/>
  <c r="ET12" i="1"/>
  <c r="OC6" i="1" a="1"/>
  <c r="OC6" i="1"/>
  <c r="Y28" i="1" a="1"/>
  <c r="Y28" i="1"/>
  <c r="GV20" i="1" a="1"/>
  <c r="GV20" i="1"/>
  <c r="RF10" i="1" a="1"/>
  <c r="RF10" i="1"/>
  <c r="X14" i="1"/>
  <c r="NK29" i="1"/>
  <c r="MJ36" i="1"/>
  <c r="FC12" i="1"/>
  <c r="X28" i="1"/>
  <c r="HE20" i="1"/>
  <c r="QE19" i="1" a="1"/>
  <c r="QE19" i="1"/>
  <c r="OL6" i="1"/>
  <c r="QN19" i="1"/>
  <c r="EB17" i="1"/>
  <c r="NG17" i="1"/>
  <c r="QO11" i="1" a="1"/>
  <c r="QO11" i="1"/>
  <c r="RO10" i="1"/>
  <c r="NL17" i="1" a="1"/>
  <c r="NL17" i="1"/>
  <c r="OH6" i="1"/>
  <c r="NT17" i="1" a="1"/>
  <c r="NT17" i="1"/>
  <c r="KH37" i="1"/>
  <c r="QJ19" i="1"/>
  <c r="O28" i="1" a="1"/>
  <c r="O28" i="1"/>
  <c r="QN11" i="1"/>
  <c r="OU6" i="1" a="1"/>
  <c r="OU6" i="1"/>
  <c r="Y14" i="1" a="1"/>
  <c r="Y14" i="1"/>
  <c r="NL29" i="1" a="1"/>
  <c r="NL29" i="1"/>
  <c r="MK36" i="1" a="1"/>
  <c r="MK36" i="1"/>
  <c r="FD12" i="1" a="1"/>
  <c r="FD12" i="1"/>
  <c r="QO19" i="1" a="1"/>
  <c r="QO19" i="1"/>
  <c r="DS17" i="1" a="1"/>
  <c r="DS17" i="1"/>
  <c r="DX17" i="1"/>
  <c r="EK17" i="1" s="1" a="1"/>
  <c r="JY37" i="1" a="1"/>
  <c r="EK17" i="1" l="1"/>
  <c r="JY37" i="1"/>
  <c r="QW11" i="1" a="1"/>
  <c r="QW11" i="1"/>
  <c r="T28" i="1"/>
  <c r="AG28" i="1" s="1" a="1"/>
  <c r="NB17" i="1" a="1"/>
  <c r="AG28" i="1" l="1"/>
  <c r="NB17" i="1"/>
  <c r="RK10" i="1"/>
  <c r="RX10" i="1" s="1" a="1"/>
  <c r="OM6" i="1" a="1"/>
  <c r="RX10" i="1" l="1"/>
  <c r="OM6" i="1"/>
  <c r="KD37" i="1"/>
  <c r="KQ37" i="1" s="1" a="1"/>
  <c r="QW19" i="1" a="1"/>
  <c r="KQ37" i="1" l="1"/>
  <c r="QW19" i="1"/>
  <c r="T14" i="1"/>
  <c r="AG14" i="1" s="1" a="1"/>
  <c r="NG29" i="1"/>
  <c r="NT29" i="1" s="1" a="1"/>
  <c r="MF36" i="1"/>
  <c r="MS36" i="1" s="1" a="1"/>
  <c r="EY12" i="1"/>
  <c r="FL12" i="1" s="1" a="1"/>
  <c r="EC17" i="1" a="1"/>
  <c r="FL12" i="1" l="1"/>
  <c r="MS36" i="1"/>
  <c r="NT29" i="1"/>
  <c r="AG14" i="1"/>
  <c r="EC17" i="1"/>
  <c r="QE11" i="1" a="1"/>
  <c r="QE11" i="1"/>
  <c r="HA20" i="1"/>
  <c r="HN20" i="1" s="1" a="1"/>
  <c r="JY38" i="1" a="1"/>
  <c r="HN20" i="1" l="1"/>
  <c r="JY38" i="1"/>
  <c r="NL13" i="1" a="1"/>
  <c r="NL13" i="1"/>
  <c r="FD22" i="1" a="1"/>
  <c r="FD22" i="1"/>
  <c r="LI11" i="1"/>
  <c r="BV12" i="1"/>
  <c r="JH22" i="1" a="1"/>
  <c r="JH22" i="1"/>
  <c r="IF7" i="1"/>
  <c r="NK13" i="1"/>
  <c r="FC22" i="1"/>
  <c r="MF9" i="1"/>
  <c r="JC22" i="1"/>
  <c r="HF7" i="1" a="1"/>
  <c r="HF7" i="1"/>
  <c r="HA31" i="1"/>
  <c r="HN31" i="1" s="1" a="1"/>
  <c r="FZ28" i="1"/>
  <c r="GM28" i="1" s="1" a="1"/>
  <c r="HA7" i="1"/>
  <c r="HN7" i="1" s="1" a="1"/>
  <c r="KH38" i="1"/>
  <c r="MA9" i="1" a="1"/>
  <c r="HN7" i="1" l="1"/>
  <c r="GM28" i="1"/>
  <c r="HN31" i="1"/>
  <c r="MA9" i="1"/>
  <c r="HE31" i="1"/>
  <c r="GD28" i="1"/>
  <c r="KD38" i="1"/>
  <c r="CA12" i="1" a="1"/>
  <c r="CA12" i="1"/>
  <c r="HW7" i="1" a="1"/>
  <c r="HW7" i="1"/>
  <c r="IG7" i="1" a="1"/>
  <c r="IG7" i="1"/>
  <c r="LE11" i="1"/>
  <c r="LR11" i="1" s="1" a="1"/>
  <c r="LR11" i="1" l="1"/>
  <c r="MJ9" i="1"/>
  <c r="BZ12" i="1"/>
  <c r="FU9" i="1" a="1"/>
  <c r="FU9" i="1"/>
  <c r="GV7" i="1" a="1"/>
  <c r="GV7" i="1"/>
  <c r="JP22" i="1" a="1"/>
  <c r="JP22" i="1"/>
  <c r="FZ9" i="1"/>
  <c r="GM9" i="1" s="1" a="1"/>
  <c r="HF31" i="1" a="1"/>
  <c r="GM9" i="1" l="1"/>
  <c r="HF31" i="1"/>
  <c r="GE28" i="1" a="1"/>
  <c r="GE28" i="1"/>
  <c r="GD9" i="1"/>
  <c r="NG13" i="1"/>
  <c r="NT13" i="1" s="1" a="1"/>
  <c r="EY22" i="1"/>
  <c r="FL22" i="1" s="1" a="1"/>
  <c r="BQ12" i="1" a="1"/>
  <c r="FL22" i="1" l="1"/>
  <c r="NT13" i="1"/>
  <c r="BQ12" i="1"/>
  <c r="KZ11" i="1" a="1"/>
  <c r="KZ11" i="1"/>
  <c r="KI38" i="1" a="1"/>
  <c r="KI38" i="1"/>
  <c r="MK9" i="1" a="1"/>
  <c r="MK9" i="1"/>
  <c r="CI12" i="1" a="1"/>
  <c r="CI12" i="1"/>
  <c r="MS9" i="1" a="1"/>
  <c r="MS9" i="1"/>
  <c r="KQ38" i="1" a="1"/>
  <c r="KQ38" i="1"/>
  <c r="GV31" i="1" a="1"/>
  <c r="GV31" i="1"/>
  <c r="FU28" i="1" a="1"/>
  <c r="FU28" i="1"/>
  <c r="NB13" i="1" a="1"/>
  <c r="NB13" i="1"/>
  <c r="ET22" i="1" a="1"/>
  <c r="ET22" i="1"/>
  <c r="HE7" i="1"/>
  <c r="GE9" i="1" a="1"/>
  <c r="GE9" i="1"/>
  <c r="JG22" i="1"/>
  <c r="IX22" i="1" a="1"/>
  <c r="IX22" i="1"/>
  <c r="LJ11" i="1" a="1"/>
  <c r="LJ11" i="1"/>
  <c r="IB7" i="1"/>
  <c r="PN25" i="1" a="1"/>
  <c r="PN25" i="1"/>
  <c r="RP28" i="1" a="1"/>
  <c r="RP28" i="1"/>
  <c r="KI32" i="1" a="1"/>
  <c r="KI32" i="1"/>
  <c r="PD25" i="1" a="1"/>
  <c r="PD25" i="1"/>
  <c r="OH8" i="1"/>
  <c r="OU8" i="1" s="1" a="1"/>
  <c r="DX7" i="1"/>
  <c r="EK7" i="1" s="1" a="1"/>
  <c r="EK7" i="1" l="1"/>
  <c r="OU8" i="1"/>
  <c r="FZ30" i="1"/>
  <c r="OM13" i="1" a="1"/>
  <c r="OM13" i="1"/>
  <c r="MK15" i="1" a="1"/>
  <c r="MK15" i="1"/>
  <c r="PI25" i="1"/>
  <c r="RK28" i="1"/>
  <c r="RX28" i="1" s="1" a="1"/>
  <c r="KD32" i="1"/>
  <c r="KQ32" i="1" s="1" a="1"/>
  <c r="KD21" i="1"/>
  <c r="KQ21" i="1" s="1" a="1"/>
  <c r="JC12" i="1"/>
  <c r="JP12" i="1" s="1" a="1"/>
  <c r="QJ17" i="1"/>
  <c r="GM30" i="1" a="1"/>
  <c r="JP12" i="1" l="1"/>
  <c r="KQ21" i="1"/>
  <c r="KQ32" i="1"/>
  <c r="RX28" i="1"/>
  <c r="GM30" i="1"/>
  <c r="JY25" i="1" a="1"/>
  <c r="JY25" i="1"/>
  <c r="PV25" i="1" a="1"/>
  <c r="PV25" i="1"/>
  <c r="OC13" i="1" a="1"/>
  <c r="OC13" i="1"/>
  <c r="MA15" i="1" a="1"/>
  <c r="MA15" i="1"/>
  <c r="OL8" i="1"/>
  <c r="EB7" i="1"/>
  <c r="OH13" i="1"/>
  <c r="OU13" i="1" s="1" a="1"/>
  <c r="MF15" i="1"/>
  <c r="MS15" i="1" s="1" a="1"/>
  <c r="QO17" i="1" a="1"/>
  <c r="MS15" i="1" l="1"/>
  <c r="OU13" i="1"/>
  <c r="QO17" i="1"/>
  <c r="GD30" i="1"/>
  <c r="PI8" i="1"/>
  <c r="PN8" i="1" a="1"/>
  <c r="PN8" i="1"/>
  <c r="PD8" i="1" a="1"/>
  <c r="PD8" i="1"/>
  <c r="PI18" i="1"/>
  <c r="PV18" i="1" s="1" a="1"/>
  <c r="KD25" i="1"/>
  <c r="PN18" i="1" a="1"/>
  <c r="PV18" i="1" l="1"/>
  <c r="PN18" i="1"/>
  <c r="QW17" i="1" a="1"/>
  <c r="QW17" i="1"/>
  <c r="PM18" i="1"/>
  <c r="KI21" i="1" a="1"/>
  <c r="KI21" i="1"/>
  <c r="JH12" i="1" a="1"/>
  <c r="JH12" i="1"/>
  <c r="RF28" i="1" a="1"/>
  <c r="RF28" i="1"/>
  <c r="JY32" i="1" a="1"/>
  <c r="JY32" i="1"/>
  <c r="PV8" i="1" a="1"/>
  <c r="PV8" i="1"/>
  <c r="KQ25" i="1" a="1"/>
  <c r="KQ25" i="1"/>
  <c r="KI25" i="1" a="1"/>
  <c r="KI25" i="1"/>
  <c r="OM8" i="1" a="1"/>
  <c r="OM8" i="1"/>
  <c r="EC7" i="1" a="1"/>
  <c r="EC7" i="1"/>
  <c r="JY21" i="1" a="1"/>
  <c r="JY21" i="1"/>
  <c r="IX12" i="1" a="1"/>
  <c r="IX12" i="1"/>
  <c r="QN17" i="1"/>
  <c r="FU30" i="1" a="1"/>
  <c r="FU30" i="1"/>
  <c r="PM25" i="1"/>
  <c r="QE17" i="1" a="1"/>
  <c r="QE17" i="1"/>
  <c r="KH25" i="1"/>
  <c r="PD18" i="1" a="1"/>
  <c r="PD18" i="1"/>
  <c r="OL13" i="1"/>
  <c r="MJ15" i="1"/>
  <c r="KH21" i="1"/>
  <c r="JG12" i="1"/>
  <c r="GE30" i="1" a="1"/>
  <c r="GE30" i="1"/>
  <c r="PM8" i="1"/>
  <c r="OC8" i="1" a="1"/>
  <c r="OC8" i="1"/>
  <c r="DS7" i="1" a="1"/>
  <c r="DS7" i="1"/>
  <c r="RO28" i="1"/>
  <c r="KH32" i="1"/>
  <c r="BQ17" i="1" a="1"/>
  <c r="BQ17" i="1"/>
  <c r="CA17" i="1" a="1"/>
  <c r="CA17" i="1"/>
  <c r="PN22" i="1" a="1"/>
  <c r="PN22" i="1"/>
  <c r="HF23" i="1" a="1"/>
  <c r="HF23" i="1"/>
  <c r="RK29" i="1"/>
  <c r="KD33" i="1"/>
  <c r="PN28" i="1" a="1"/>
  <c r="PN28" i="1"/>
  <c r="MK33" i="1" a="1"/>
  <c r="MK33" i="1"/>
  <c r="AU9" i="1"/>
  <c r="HW22" i="1" a="1"/>
  <c r="HW22" i="1"/>
  <c r="GV28" i="1" a="1"/>
  <c r="GV28" i="1"/>
  <c r="PI14" i="1"/>
  <c r="PV14" i="1" s="1" a="1"/>
  <c r="HA12" i="1"/>
  <c r="HN12" i="1" s="1" a="1"/>
  <c r="HN12" i="1" l="1"/>
  <c r="PV14" i="1"/>
  <c r="MJ24" i="1"/>
  <c r="X32" i="1"/>
  <c r="FC27" i="1"/>
  <c r="BV17" i="1"/>
  <c r="BH9" i="1" a="1"/>
  <c r="BH9" i="1"/>
  <c r="AP9" i="1" a="1"/>
  <c r="AP9" i="1"/>
  <c r="PM28" i="1"/>
  <c r="MJ33" i="1"/>
  <c r="IG22" i="1" a="1"/>
  <c r="IG22" i="1"/>
  <c r="HF28" i="1" a="1"/>
  <c r="HF28" i="1"/>
  <c r="T32" i="1"/>
  <c r="EY27" i="1"/>
  <c r="MF24" i="1"/>
  <c r="PD22" i="1" a="1"/>
  <c r="PD22" i="1"/>
  <c r="GV23" i="1" a="1"/>
  <c r="GV23" i="1"/>
  <c r="PN14" i="1" a="1"/>
  <c r="PN14" i="1"/>
  <c r="HF12" i="1" a="1"/>
  <c r="HF12" i="1"/>
  <c r="IF22" i="1"/>
  <c r="HE28" i="1"/>
  <c r="PM22" i="1"/>
  <c r="HE23" i="1"/>
  <c r="FL27" i="1" a="1"/>
  <c r="FL27" i="1"/>
  <c r="AG32" i="1" a="1"/>
  <c r="AG32" i="1"/>
  <c r="RK30" i="1"/>
  <c r="RP29" i="1" a="1"/>
  <c r="RP29" i="1"/>
  <c r="KI33" i="1" a="1"/>
  <c r="KI33" i="1"/>
  <c r="PM14" i="1"/>
  <c r="HE12" i="1"/>
  <c r="AY9" i="1"/>
  <c r="RO30" i="1"/>
  <c r="RF29" i="1" a="1"/>
  <c r="RF29" i="1"/>
  <c r="JY33" i="1" a="1"/>
  <c r="JY33" i="1"/>
  <c r="CI17" i="1" a="1"/>
  <c r="CI17" i="1"/>
  <c r="MS24" i="1" a="1"/>
  <c r="MS24" i="1"/>
  <c r="PI28" i="1"/>
  <c r="PV28" i="1" s="1" a="1"/>
  <c r="MF33" i="1"/>
  <c r="MS33" i="1" s="1" a="1"/>
  <c r="MS33" i="1" l="1"/>
  <c r="PV28" i="1"/>
  <c r="RP30" i="1" a="1"/>
  <c r="RP30" i="1"/>
  <c r="MA24" i="1" a="1"/>
  <c r="MA24" i="1"/>
  <c r="RO29" i="1"/>
  <c r="KH33" i="1"/>
  <c r="O32" i="1" a="1"/>
  <c r="O32" i="1"/>
  <c r="ET27" i="1" a="1"/>
  <c r="ET27" i="1"/>
  <c r="RF30" i="1" a="1"/>
  <c r="RF30" i="1"/>
  <c r="BZ17" i="1"/>
  <c r="PD14" i="1" a="1"/>
  <c r="PD14" i="1"/>
  <c r="GV12" i="1" a="1"/>
  <c r="GV12" i="1"/>
  <c r="AZ9" i="1" a="1"/>
  <c r="AZ9" i="1"/>
  <c r="PD28" i="1" a="1"/>
  <c r="PD28" i="1"/>
  <c r="MA33" i="1" a="1"/>
  <c r="MA33" i="1"/>
  <c r="IB22" i="1"/>
  <c r="HA28" i="1"/>
  <c r="PI22" i="1"/>
  <c r="PV22" i="1" s="1" a="1"/>
  <c r="HA23" i="1"/>
  <c r="HN23" i="1" s="1" a="1"/>
  <c r="MK24" i="1" a="1"/>
  <c r="HN23" i="1" l="1"/>
  <c r="PV22" i="1"/>
  <c r="MK24" i="1"/>
  <c r="RX29" i="1" a="1"/>
  <c r="RX29" i="1"/>
  <c r="KQ33" i="1" a="1"/>
  <c r="KQ33" i="1"/>
  <c r="Y32" i="1" a="1"/>
  <c r="Y32" i="1"/>
  <c r="FD27" i="1" a="1"/>
  <c r="FD27" i="1"/>
  <c r="OM23" i="1" a="1"/>
  <c r="OM23" i="1"/>
  <c r="CW9" i="1"/>
  <c r="Y35" i="1" a="1"/>
  <c r="Y35" i="1"/>
  <c r="NL12" i="1" a="1"/>
  <c r="NL12" i="1"/>
  <c r="MK13" i="1" a="1"/>
  <c r="MK13" i="1"/>
  <c r="FD32" i="1" a="1"/>
  <c r="FD32" i="1"/>
  <c r="IX29" i="1" a="1"/>
  <c r="IX29" i="1"/>
  <c r="NL25" i="1" a="1"/>
  <c r="NL25" i="1"/>
  <c r="JH14" i="1" a="1"/>
  <c r="JH14" i="1"/>
  <c r="NG25" i="1"/>
  <c r="MK12" i="1" a="1"/>
  <c r="MK12" i="1"/>
  <c r="IG12" i="1" a="1"/>
  <c r="IG12" i="1"/>
  <c r="JC14" i="1"/>
  <c r="HW12" i="1" a="1"/>
  <c r="HW12" i="1"/>
  <c r="IB12" i="1"/>
  <c r="NK25" i="1"/>
  <c r="JG29" i="1"/>
  <c r="T35" i="1"/>
  <c r="NG12" i="1"/>
  <c r="MF13" i="1"/>
  <c r="EY32" i="1"/>
  <c r="MA12" i="1" a="1"/>
  <c r="MA12" i="1"/>
  <c r="NG14" i="1"/>
  <c r="MF17" i="1"/>
  <c r="NT14" i="1" a="1"/>
  <c r="NT14" i="1"/>
  <c r="MS17" i="1" a="1"/>
  <c r="MS17" i="1"/>
  <c r="OL23" i="1"/>
  <c r="NB25" i="1" a="1"/>
  <c r="NB25" i="1"/>
  <c r="JG14" i="1"/>
  <c r="JH29" i="1" a="1"/>
  <c r="JH29" i="1"/>
  <c r="HF24" i="1" a="1"/>
  <c r="HF24" i="1"/>
  <c r="CR9" i="1" a="1"/>
  <c r="CR9" i="1"/>
  <c r="IX14" i="1" a="1"/>
  <c r="IX14" i="1"/>
  <c r="GV24" i="1" a="1"/>
  <c r="GV24" i="1"/>
  <c r="DA9" i="1"/>
  <c r="O35" i="1" a="1"/>
  <c r="O35" i="1"/>
  <c r="NB12" i="1" a="1"/>
  <c r="NB12" i="1"/>
  <c r="MA13" i="1" a="1"/>
  <c r="MA13" i="1"/>
  <c r="ET32" i="1" a="1"/>
  <c r="ET32" i="1"/>
  <c r="HA24" i="1"/>
  <c r="HN24" i="1" s="1" a="1"/>
  <c r="HN24" i="1" l="1"/>
  <c r="MF12" i="1"/>
  <c r="MS12" i="1" s="1" a="1"/>
  <c r="MS12" i="1" l="1"/>
  <c r="DJ9" i="1" a="1"/>
  <c r="DJ9" i="1"/>
  <c r="NK14" i="1"/>
  <c r="MJ17" i="1"/>
  <c r="NL14" i="1" a="1"/>
  <c r="NL14" i="1"/>
  <c r="MK17" i="1" a="1"/>
  <c r="MK17" i="1"/>
  <c r="OC23" i="1" a="1"/>
  <c r="OC23" i="1"/>
  <c r="X35" i="1"/>
  <c r="NK12" i="1"/>
  <c r="MJ13" i="1"/>
  <c r="FC32" i="1"/>
  <c r="NB14" i="1" a="1"/>
  <c r="NB14" i="1"/>
  <c r="MA17" i="1" a="1"/>
  <c r="MA17" i="1"/>
  <c r="IF12" i="1"/>
  <c r="DB9" i="1" a="1"/>
  <c r="DB9" i="1"/>
  <c r="MJ12" i="1"/>
  <c r="NT12" i="1" a="1"/>
  <c r="NT12" i="1"/>
  <c r="MS13" i="1" a="1"/>
  <c r="MS13" i="1"/>
  <c r="FL32" i="1" a="1"/>
  <c r="FL32" i="1"/>
  <c r="AG35" i="1" a="1"/>
  <c r="AG35" i="1"/>
  <c r="OH23" i="1"/>
  <c r="OU23" i="1" s="1" a="1"/>
  <c r="JC29" i="1"/>
  <c r="JP29" i="1" s="1" a="1"/>
  <c r="NT25" i="1" a="1"/>
  <c r="JP29" i="1" l="1"/>
  <c r="OU23" i="1"/>
  <c r="NT25" i="1"/>
  <c r="HE24" i="1"/>
  <c r="RP31" i="1" a="1"/>
  <c r="RP31" i="1"/>
  <c r="IG13" i="1" a="1"/>
  <c r="IG13" i="1"/>
  <c r="NL26" i="1" a="1"/>
  <c r="NL26" i="1"/>
  <c r="QO18" i="1" a="1"/>
  <c r="QO18" i="1"/>
  <c r="MF25" i="1"/>
  <c r="IB10" i="1"/>
  <c r="HA27" i="1"/>
  <c r="X40" i="1"/>
  <c r="MK25" i="1" a="1"/>
  <c r="MK25" i="1"/>
  <c r="IG10" i="1" a="1"/>
  <c r="IG10" i="1"/>
  <c r="HF27" i="1" a="1"/>
  <c r="HF27" i="1"/>
  <c r="MA25" i="1" a="1"/>
  <c r="MA25" i="1"/>
  <c r="HW10" i="1" a="1"/>
  <c r="HW10" i="1"/>
  <c r="GV27" i="1" a="1"/>
  <c r="GV27" i="1"/>
  <c r="DS24" i="1" a="1"/>
  <c r="DS24" i="1"/>
  <c r="T40" i="1"/>
  <c r="AG40" i="1" s="1" a="1"/>
  <c r="O40" i="1" a="1"/>
  <c r="AG40" i="1" l="1"/>
  <c r="O40" i="1"/>
  <c r="RK31" i="1"/>
  <c r="RX31" i="1" s="1" a="1"/>
  <c r="RX31" i="1" l="1"/>
  <c r="PM27" i="1"/>
  <c r="OC30" i="1" a="1"/>
  <c r="OC30" i="1"/>
  <c r="O25" i="1" a="1"/>
  <c r="O25" i="1"/>
  <c r="MA35" i="1" a="1"/>
  <c r="MA35" i="1"/>
  <c r="HW13" i="1" a="1"/>
  <c r="HW13" i="1"/>
  <c r="T25" i="1"/>
  <c r="AG25" i="1" s="1" a="1"/>
  <c r="OH30" i="1"/>
  <c r="OU30" i="1" s="1" a="1"/>
  <c r="MF35" i="1"/>
  <c r="MS35" i="1" s="1" a="1"/>
  <c r="RO31" i="1"/>
  <c r="QO6" i="1" a="1"/>
  <c r="MS35" i="1" l="1"/>
  <c r="OU30" i="1"/>
  <c r="AG25" i="1"/>
  <c r="QO6" i="1"/>
  <c r="NK26" i="1"/>
  <c r="MJ25" i="1"/>
  <c r="IF10" i="1"/>
  <c r="HE27" i="1"/>
  <c r="QE18" i="1" a="1"/>
  <c r="QE18" i="1"/>
  <c r="QN18" i="1"/>
  <c r="QJ6" i="1"/>
  <c r="PN27" i="1" a="1"/>
  <c r="PN27" i="1"/>
  <c r="IB13" i="1"/>
  <c r="QW6" i="1" a="1"/>
  <c r="QW6" i="1" l="1"/>
  <c r="NB26" i="1" a="1"/>
  <c r="NB26" i="1"/>
  <c r="EB24" i="1"/>
  <c r="Y25" i="1" a="1"/>
  <c r="Y25" i="1"/>
  <c r="OM30" i="1" a="1"/>
  <c r="OM30" i="1"/>
  <c r="MK35" i="1" a="1"/>
  <c r="MK35" i="1"/>
  <c r="PD27" i="1" a="1"/>
  <c r="PD27" i="1"/>
  <c r="QE6" i="1" a="1"/>
  <c r="QE6" i="1"/>
  <c r="EC24" i="1" a="1"/>
  <c r="EC24" i="1"/>
  <c r="IF13" i="1"/>
  <c r="RF31" i="1" a="1"/>
  <c r="RF31" i="1"/>
  <c r="DX24" i="1"/>
  <c r="EK24" i="1" s="1" a="1"/>
  <c r="X25" i="1"/>
  <c r="OL30" i="1"/>
  <c r="MJ35" i="1"/>
  <c r="EK24" i="1" l="1"/>
  <c r="NG26" i="1"/>
  <c r="NT26" i="1" s="1" a="1"/>
  <c r="QJ18" i="1"/>
  <c r="QW18" i="1" s="1" a="1"/>
  <c r="PI27" i="1"/>
  <c r="PV27" i="1" s="1" a="1"/>
  <c r="QN6" i="1"/>
  <c r="Y40" i="1" a="1"/>
  <c r="PV27" i="1" l="1"/>
  <c r="QW18" i="1"/>
  <c r="NT26" i="1"/>
  <c r="Y40" i="1"/>
  <c r="PD10" i="1" a="1"/>
  <c r="PD10" i="1"/>
  <c r="NG11" i="1"/>
  <c r="BV16" i="1"/>
  <c r="NB11" i="1" a="1"/>
  <c r="NB11" i="1"/>
  <c r="QO21" i="1" a="1"/>
  <c r="QO21" i="1"/>
  <c r="RF27" i="1" a="1"/>
  <c r="RF27" i="1"/>
  <c r="BZ16" i="1"/>
  <c r="QO23" i="1" a="1"/>
  <c r="QO23" i="1"/>
  <c r="BQ16" i="1" a="1"/>
  <c r="BQ16" i="1"/>
  <c r="PM17" i="1"/>
  <c r="QE23" i="1" a="1"/>
  <c r="QE23" i="1"/>
  <c r="RF13" i="1" a="1"/>
  <c r="RF13" i="1"/>
  <c r="PI17" i="1"/>
  <c r="QE21" i="1" a="1"/>
  <c r="QE21" i="1"/>
  <c r="CA16" i="1" a="1"/>
  <c r="CA16" i="1"/>
  <c r="PI10" i="1"/>
  <c r="RO27" i="1"/>
  <c r="PN9" i="1" a="1"/>
  <c r="PN9" i="1"/>
  <c r="PN17" i="1" a="1"/>
  <c r="PN17" i="1"/>
  <c r="PM15" i="1"/>
  <c r="RK13" i="1"/>
  <c r="PV10" i="1" a="1"/>
  <c r="PV10" i="1"/>
  <c r="PI9" i="1"/>
  <c r="PV9" i="1" s="1" a="1"/>
  <c r="NT11" i="1" a="1"/>
  <c r="PV9" i="1" l="1"/>
  <c r="NT11" i="1"/>
  <c r="QJ23" i="1"/>
  <c r="QW23" i="1" s="1" a="1"/>
  <c r="PI15" i="1"/>
  <c r="PV15" i="1" s="1" a="1"/>
  <c r="PN10" i="1" a="1"/>
  <c r="PV15" i="1" l="1"/>
  <c r="QW23" i="1"/>
  <c r="PN10" i="1"/>
  <c r="PD17" i="1" a="1"/>
  <c r="PD17" i="1"/>
  <c r="RK27" i="1"/>
  <c r="RX27" i="1" s="1" a="1"/>
  <c r="PD9" i="1" a="1"/>
  <c r="RX27" i="1" l="1"/>
  <c r="PD9" i="1"/>
  <c r="RX13" i="1" a="1"/>
  <c r="RX13" i="1"/>
  <c r="NL11" i="1" a="1"/>
  <c r="NL11" i="1"/>
  <c r="RP13" i="1" a="1"/>
  <c r="RP13" i="1"/>
  <c r="QJ21" i="1"/>
  <c r="PN15" i="1" a="1"/>
  <c r="PN15" i="1"/>
  <c r="QW21" i="1" a="1"/>
  <c r="QW21" i="1"/>
  <c r="QN23" i="1"/>
  <c r="RP27" i="1" a="1"/>
  <c r="RP27" i="1"/>
  <c r="QN21" i="1"/>
  <c r="RO13" i="1"/>
  <c r="CI16" i="1" a="1"/>
  <c r="CI16" i="1"/>
  <c r="NK11" i="1"/>
  <c r="PM10" i="1"/>
  <c r="PM9" i="1"/>
  <c r="PV17" i="1" a="1"/>
  <c r="PV17" i="1"/>
  <c r="PD15" i="1" a="1"/>
  <c r="PD15" i="1"/>
  <c r="KD11" i="1"/>
  <c r="JC8" i="1"/>
  <c r="FZ15" i="1"/>
  <c r="PM19" i="1"/>
  <c r="HE14" i="1"/>
  <c r="LE9" i="1"/>
  <c r="AP10" i="1" a="1"/>
  <c r="AP10" i="1"/>
  <c r="PN20" i="1" a="1"/>
  <c r="PN20" i="1"/>
  <c r="AU13" i="1"/>
  <c r="PD20" i="1" a="1"/>
  <c r="PD20" i="1"/>
  <c r="KD34" i="1"/>
  <c r="QJ12" i="1"/>
  <c r="LI9" i="1"/>
  <c r="CA7" i="1" a="1"/>
  <c r="CA7" i="1"/>
  <c r="PN23" i="1" a="1"/>
  <c r="PN23" i="1"/>
  <c r="KD23" i="1"/>
  <c r="KH11" i="1"/>
  <c r="JG8" i="1"/>
  <c r="GD15" i="1"/>
  <c r="PI20" i="1"/>
  <c r="KH28" i="1"/>
  <c r="AZ13" i="1" a="1"/>
  <c r="AZ13" i="1"/>
  <c r="LJ17" i="1" a="1"/>
  <c r="LJ17" i="1"/>
  <c r="EB16" i="1"/>
  <c r="RO33" i="1"/>
  <c r="KI34" i="1" a="1"/>
  <c r="KI34" i="1"/>
  <c r="DX16" i="1"/>
  <c r="PM23" i="1"/>
  <c r="PI24" i="1"/>
  <c r="PV24" i="1" s="1" a="1"/>
  <c r="QE12" i="1" a="1"/>
  <c r="PV24" i="1" l="1"/>
  <c r="QE12" i="1"/>
  <c r="OC10" i="1" a="1"/>
  <c r="OC10" i="1"/>
  <c r="DS11" i="1" a="1"/>
  <c r="DS11" i="1"/>
  <c r="PN24" i="1" a="1"/>
  <c r="PN24" i="1"/>
  <c r="OL10" i="1"/>
  <c r="EB11" i="1"/>
  <c r="PD19" i="1" a="1"/>
  <c r="PD19" i="1"/>
  <c r="GV14" i="1" a="1"/>
  <c r="GV14" i="1"/>
  <c r="JY11" i="1" a="1"/>
  <c r="JY11" i="1"/>
  <c r="IX8" i="1" a="1"/>
  <c r="IX8" i="1"/>
  <c r="FU15" i="1" a="1"/>
  <c r="FU15" i="1"/>
  <c r="PN19" i="1" a="1"/>
  <c r="PN19" i="1"/>
  <c r="HF14" i="1" a="1"/>
  <c r="HF14" i="1"/>
  <c r="Y29" i="1" a="1"/>
  <c r="Y29" i="1"/>
  <c r="FD24" i="1" a="1"/>
  <c r="FD24" i="1"/>
  <c r="LR9" i="1" a="1"/>
  <c r="LR9" i="1"/>
  <c r="O29" i="1" a="1"/>
  <c r="O29" i="1"/>
  <c r="ET24" i="1" a="1"/>
  <c r="ET24" i="1"/>
  <c r="KQ23" i="1" a="1"/>
  <c r="KQ23" i="1"/>
  <c r="EC16" i="1" a="1"/>
  <c r="EC16" i="1"/>
  <c r="LJ9" i="1" a="1"/>
  <c r="LJ9" i="1"/>
  <c r="KZ17" i="1" a="1"/>
  <c r="KZ17" i="1"/>
  <c r="RK33" i="1"/>
  <c r="KI23" i="1" a="1"/>
  <c r="KI23" i="1"/>
  <c r="X29" i="1"/>
  <c r="FC24" i="1"/>
  <c r="JY34" i="1" a="1"/>
  <c r="JY34" i="1"/>
  <c r="KI28" i="1" a="1"/>
  <c r="KI28" i="1"/>
  <c r="LE17" i="1"/>
  <c r="LR17" i="1" s="1" a="1"/>
  <c r="BZ7" i="1"/>
  <c r="PM24" i="1"/>
  <c r="AP13" i="1" a="1"/>
  <c r="LR17" i="1" l="1"/>
  <c r="AP13" i="1"/>
  <c r="PI23" i="1"/>
  <c r="PV23" i="1" s="1" a="1"/>
  <c r="QJ10" i="1"/>
  <c r="PM20" i="1"/>
  <c r="KD28" i="1"/>
  <c r="KQ28" i="1" s="1" a="1"/>
  <c r="KI11" i="1" a="1"/>
  <c r="KQ28" i="1" l="1"/>
  <c r="PV23" i="1"/>
  <c r="KI11" i="1"/>
  <c r="JH8" i="1" a="1"/>
  <c r="JH8" i="1"/>
  <c r="GE15" i="1" a="1"/>
  <c r="GE15" i="1"/>
  <c r="NG6" i="1"/>
  <c r="MF7" i="1"/>
  <c r="EY17" i="1"/>
  <c r="RP33" i="1" a="1"/>
  <c r="RP33" i="1"/>
  <c r="QN10" i="1"/>
  <c r="KQ34" i="1" a="1"/>
  <c r="KQ34" i="1"/>
  <c r="PI19" i="1"/>
  <c r="HA14" i="1"/>
  <c r="BV7" i="1"/>
  <c r="CI7" i="1" s="1" a="1"/>
  <c r="BH13" i="1" a="1"/>
  <c r="CI7" i="1" l="1"/>
  <c r="BH13" i="1"/>
  <c r="EK16" i="1" a="1"/>
  <c r="EK16" i="1"/>
  <c r="KZ9" i="1" a="1"/>
  <c r="KZ9" i="1"/>
  <c r="PV20" i="1" a="1"/>
  <c r="PV20" i="1"/>
  <c r="JY28" i="1" a="1"/>
  <c r="JY28" i="1"/>
  <c r="LI17" i="1"/>
  <c r="KQ11" i="1" a="1"/>
  <c r="KQ11" i="1"/>
  <c r="JP8" i="1" a="1"/>
  <c r="JP8" i="1"/>
  <c r="GM15" i="1" a="1"/>
  <c r="GM15" i="1"/>
  <c r="DS16" i="1" a="1"/>
  <c r="DS16" i="1"/>
  <c r="BQ7" i="1" a="1"/>
  <c r="BQ7" i="1"/>
  <c r="KH34" i="1"/>
  <c r="PD23" i="1" a="1"/>
  <c r="PD23" i="1"/>
  <c r="PV19" i="1" a="1"/>
  <c r="PV19" i="1"/>
  <c r="HN14" i="1" a="1"/>
  <c r="HN14" i="1"/>
  <c r="OH10" i="1"/>
  <c r="OU10" i="1" s="1" a="1"/>
  <c r="DX11" i="1"/>
  <c r="EK11" i="1" s="1" a="1"/>
  <c r="QW10" i="1" a="1"/>
  <c r="EK11" i="1" l="1"/>
  <c r="OU10" i="1"/>
  <c r="QW10" i="1"/>
  <c r="AY10" i="1"/>
  <c r="QO12" i="1" a="1"/>
  <c r="QO12" i="1"/>
  <c r="KH23" i="1"/>
  <c r="NL6" i="1" a="1"/>
  <c r="NL6" i="1"/>
  <c r="MK7" i="1" a="1"/>
  <c r="MK7" i="1"/>
  <c r="FD17" i="1" a="1"/>
  <c r="FD17" i="1"/>
  <c r="AZ10" i="1" a="1"/>
  <c r="AZ10" i="1"/>
  <c r="T29" i="1"/>
  <c r="EY24" i="1"/>
  <c r="QN12" i="1"/>
  <c r="RX33" i="1" a="1"/>
  <c r="RX33" i="1"/>
  <c r="QE10" i="1" a="1"/>
  <c r="QE10" i="1"/>
  <c r="NK6" i="1"/>
  <c r="MJ7" i="1"/>
  <c r="FC17" i="1"/>
  <c r="AU10" i="1"/>
  <c r="FL24" i="1" a="1"/>
  <c r="FL24" i="1"/>
  <c r="AG29" i="1" a="1"/>
  <c r="AG29" i="1"/>
  <c r="JY23" i="1" a="1"/>
  <c r="JY23" i="1"/>
  <c r="NT6" i="1" a="1"/>
  <c r="NT6" i="1"/>
  <c r="MS7" i="1" a="1"/>
  <c r="MS7" i="1"/>
  <c r="FL17" i="1" a="1"/>
  <c r="FL17" i="1"/>
  <c r="BH10" i="1" a="1"/>
  <c r="BH10" i="1"/>
  <c r="AY13" i="1"/>
  <c r="QW12" i="1" a="1"/>
  <c r="QW12" i="1"/>
  <c r="OM10" i="1" a="1"/>
  <c r="OM10" i="1"/>
  <c r="EC11" i="1" a="1"/>
  <c r="EC11" i="1"/>
  <c r="QO10" i="1" a="1"/>
  <c r="QO10" i="1"/>
  <c r="RF33" i="1" a="1"/>
  <c r="RF33" i="1"/>
  <c r="NB6" i="1" a="1"/>
  <c r="NB6" i="1"/>
  <c r="MA7" i="1" a="1"/>
  <c r="MA7" i="1"/>
  <c r="ET17" i="1" a="1"/>
  <c r="ET17" i="1"/>
  <c r="PD24" i="1" a="1"/>
  <c r="PD24" i="1"/>
  <c r="PM26" i="1"/>
  <c r="HE25" i="1"/>
  <c r="OC32" i="1" a="1"/>
  <c r="OC32" i="1"/>
  <c r="MA39" i="1" a="1"/>
  <c r="MA39" i="1"/>
  <c r="BZ20" i="1"/>
  <c r="CW13" i="1"/>
  <c r="BV10" i="1"/>
  <c r="PD26" i="1" a="1"/>
  <c r="PD26" i="1"/>
  <c r="GV25" i="1" a="1"/>
  <c r="GV25" i="1"/>
  <c r="BV20" i="1"/>
  <c r="IB19" i="1"/>
  <c r="HA19" i="1"/>
  <c r="KD27" i="1"/>
  <c r="AZ12" i="1" a="1"/>
  <c r="AZ12" i="1"/>
  <c r="IG19" i="1" a="1"/>
  <c r="IG19" i="1"/>
  <c r="HF19" i="1" a="1"/>
  <c r="HF19" i="1"/>
  <c r="IG9" i="1" a="1"/>
  <c r="IG9" i="1"/>
  <c r="HF16" i="1" a="1"/>
  <c r="HF16" i="1"/>
  <c r="DJ13" i="1" a="1"/>
  <c r="DJ13" i="1"/>
  <c r="CI10" i="1" a="1"/>
  <c r="CI10" i="1"/>
  <c r="OM32" i="1" a="1"/>
  <c r="OM32" i="1"/>
  <c r="MK39" i="1" a="1"/>
  <c r="MK39" i="1"/>
  <c r="DA13" i="1"/>
  <c r="BZ10" i="1"/>
  <c r="PN26" i="1" a="1"/>
  <c r="PN26" i="1"/>
  <c r="HF25" i="1" a="1"/>
  <c r="HF25" i="1"/>
  <c r="KZ18" i="1" a="1"/>
  <c r="KZ18" i="1"/>
  <c r="CR21" i="1" a="1"/>
  <c r="CR21" i="1"/>
  <c r="HW9" i="1" a="1"/>
  <c r="HW9" i="1"/>
  <c r="GV16" i="1" a="1"/>
  <c r="GV16" i="1"/>
  <c r="LI18" i="1"/>
  <c r="DA21" i="1"/>
  <c r="IB9" i="1"/>
  <c r="HA16" i="1"/>
  <c r="JY27" i="1" a="1"/>
  <c r="JY27" i="1"/>
  <c r="RP34" i="1" a="1"/>
  <c r="RP34" i="1"/>
  <c r="JH26" i="1" a="1"/>
  <c r="JH26" i="1"/>
  <c r="RF34" i="1" a="1"/>
  <c r="RF34" i="1"/>
  <c r="IX26" i="1" a="1"/>
  <c r="IX26" i="1"/>
  <c r="AU12" i="1"/>
  <c r="BH12" i="1" s="1" a="1"/>
  <c r="OH32" i="1"/>
  <c r="MF39" i="1"/>
  <c r="KQ27" i="1" a="1"/>
  <c r="BH12" i="1" l="1"/>
  <c r="KQ27" i="1"/>
  <c r="CR13" i="1" a="1"/>
  <c r="CR13" i="1"/>
  <c r="BQ10" i="1" a="1"/>
  <c r="BQ10" i="1"/>
  <c r="KH27" i="1"/>
  <c r="LJ18" i="1" a="1"/>
  <c r="LJ18" i="1"/>
  <c r="DB21" i="1" a="1"/>
  <c r="DB21" i="1"/>
  <c r="RK34" i="1"/>
  <c r="RX34" i="1" s="1" a="1"/>
  <c r="JC26" i="1"/>
  <c r="JP26" i="1" s="1" a="1"/>
  <c r="AY12" i="1"/>
  <c r="CI20" i="1" a="1"/>
  <c r="JP26" i="1" l="1"/>
  <c r="RX34" i="1"/>
  <c r="CI20" i="1"/>
  <c r="RO34" i="1"/>
  <c r="JG26" i="1"/>
  <c r="BQ20" i="1" a="1"/>
  <c r="BQ20" i="1"/>
  <c r="AP12" i="1" a="1"/>
  <c r="AP12" i="1"/>
  <c r="IF9" i="1"/>
  <c r="HE16" i="1"/>
  <c r="OL32" i="1"/>
  <c r="MJ39" i="1"/>
  <c r="HW19" i="1" a="1"/>
  <c r="HW19" i="1"/>
  <c r="GV19" i="1" a="1"/>
  <c r="GV19" i="1"/>
  <c r="CA20" i="1" a="1"/>
  <c r="CA20" i="1"/>
  <c r="OU32" i="1" a="1"/>
  <c r="OU32" i="1"/>
  <c r="MS39" i="1" a="1"/>
  <c r="MS39" i="1"/>
  <c r="PI26" i="1"/>
  <c r="PV26" i="1" s="1" a="1"/>
  <c r="HA25" i="1"/>
  <c r="HN25" i="1" s="1" a="1"/>
  <c r="LE18" i="1"/>
  <c r="LR18" i="1" s="1" a="1"/>
  <c r="CW21" i="1"/>
  <c r="DJ21" i="1" s="1" a="1"/>
  <c r="DB13" i="1" a="1"/>
  <c r="DJ21" i="1" l="1"/>
  <c r="LR18" i="1"/>
  <c r="HN25" i="1"/>
  <c r="PV26" i="1"/>
  <c r="DB13" i="1"/>
  <c r="CA10" i="1" a="1"/>
  <c r="CA10" i="1"/>
  <c r="KI27" i="1" a="1"/>
  <c r="KI27" i="1"/>
  <c r="IF19" i="1"/>
  <c r="HE19" i="1"/>
  <c r="RK23" i="1"/>
  <c r="KD29" i="1"/>
  <c r="QJ20" i="1"/>
  <c r="RF23" i="1" a="1"/>
  <c r="RF23" i="1"/>
  <c r="JY29" i="1" a="1"/>
  <c r="JY29" i="1"/>
  <c r="NL21" i="1" a="1"/>
  <c r="NL21" i="1"/>
  <c r="PN13" i="1" a="1"/>
  <c r="PN13" i="1"/>
  <c r="QO20" i="1" a="1"/>
  <c r="QO20" i="1"/>
  <c r="HA29" i="1"/>
  <c r="Y11" i="1" a="1"/>
  <c r="Y11" i="1"/>
  <c r="NL23" i="1" a="1"/>
  <c r="NL23" i="1"/>
  <c r="MK27" i="1" a="1"/>
  <c r="MK27" i="1"/>
  <c r="FD10" i="1" a="1"/>
  <c r="FD10" i="1"/>
  <c r="RO23" i="1"/>
  <c r="KH29" i="1"/>
  <c r="CA9" i="1" a="1"/>
  <c r="CA9" i="1"/>
  <c r="QN20" i="1"/>
  <c r="IX19" i="1" a="1"/>
  <c r="IX19" i="1"/>
  <c r="JC19" i="1"/>
  <c r="HF29" i="1" a="1"/>
  <c r="HF29" i="1"/>
  <c r="JP19" i="1" a="1"/>
  <c r="JP19" i="1"/>
  <c r="NK21" i="1"/>
  <c r="GE14" i="1" a="1"/>
  <c r="GE14" i="1"/>
  <c r="HN29" i="1" a="1"/>
  <c r="HN29" i="1"/>
  <c r="JC23" i="1"/>
  <c r="T11" i="1"/>
  <c r="AG11" i="1" s="1" a="1"/>
  <c r="NG23" i="1"/>
  <c r="NT23" i="1" s="1" a="1"/>
  <c r="MF27" i="1"/>
  <c r="MS27" i="1" s="1" a="1"/>
  <c r="EY10" i="1"/>
  <c r="FL10" i="1" s="1" a="1"/>
  <c r="JH19" i="1" a="1"/>
  <c r="FL10" i="1" l="1"/>
  <c r="MS27" i="1"/>
  <c r="NT23" i="1"/>
  <c r="AG11" i="1"/>
  <c r="JH19" i="1"/>
  <c r="JP23" i="1" a="1"/>
  <c r="JP23" i="1"/>
  <c r="JG23" i="1"/>
  <c r="RX23" i="1" a="1"/>
  <c r="RX23" i="1"/>
  <c r="KQ29" i="1" a="1"/>
  <c r="KQ29" i="1"/>
  <c r="NG21" i="1"/>
  <c r="NT21" i="1" s="1" a="1"/>
  <c r="FZ14" i="1"/>
  <c r="GM14" i="1" s="1" a="1"/>
  <c r="X11" i="1"/>
  <c r="NK23" i="1"/>
  <c r="MJ27" i="1"/>
  <c r="FC10" i="1"/>
  <c r="QW20" i="1" a="1"/>
  <c r="GM14" i="1" l="1"/>
  <c r="NT21" i="1"/>
  <c r="QW20" i="1"/>
  <c r="FU14" i="1" a="1"/>
  <c r="FU14" i="1"/>
  <c r="PD13" i="1" a="1"/>
  <c r="PD13" i="1"/>
  <c r="BQ9" i="1" a="1"/>
  <c r="BQ9" i="1"/>
  <c r="PM13" i="1"/>
  <c r="BV9" i="1"/>
  <c r="CI9" i="1" s="1" a="1"/>
  <c r="IX23" i="1" a="1"/>
  <c r="CI9" i="1" l="1"/>
  <c r="IX23" i="1"/>
  <c r="PI13" i="1"/>
  <c r="PV13" i="1" s="1" a="1"/>
  <c r="HE29" i="1"/>
  <c r="BZ9" i="1"/>
  <c r="JG19" i="1"/>
  <c r="RP23" i="1" a="1"/>
  <c r="PV13" i="1" l="1"/>
  <c r="RP23" i="1"/>
  <c r="KI29" i="1" a="1"/>
  <c r="KI29" i="1"/>
  <c r="O11" i="1" a="1"/>
  <c r="O11" i="1"/>
  <c r="NB23" i="1" a="1"/>
  <c r="NB23" i="1"/>
  <c r="MA27" i="1" a="1"/>
  <c r="MA27" i="1"/>
  <c r="ET10" i="1" a="1"/>
  <c r="ET10" i="1"/>
  <c r="JH23" i="1" a="1"/>
  <c r="JH23" i="1"/>
  <c r="NB21" i="1" a="1"/>
  <c r="NB21" i="1"/>
  <c r="QE20" i="1" a="1"/>
  <c r="QE20" i="1"/>
  <c r="GD14" i="1"/>
  <c r="GV29" i="1" a="1"/>
  <c r="GV29" i="1"/>
  <c r="OM31" i="1" a="1"/>
  <c r="OM31" i="1"/>
  <c r="MK38" i="1" a="1"/>
  <c r="MK38" i="1"/>
  <c r="EC25" i="1" a="1"/>
  <c r="EC25" i="1"/>
  <c r="GV21" i="1" a="1"/>
  <c r="GV21" i="1"/>
  <c r="HF38" i="1" a="1"/>
  <c r="HF38" i="1"/>
  <c r="QJ22" i="1"/>
  <c r="X17" i="1"/>
  <c r="JG18" i="1"/>
  <c r="GD22" i="1"/>
  <c r="FC15" i="1"/>
  <c r="RO25" i="1"/>
  <c r="LI20" i="1"/>
  <c r="DA24" i="1"/>
  <c r="QN22" i="1"/>
  <c r="HA38" i="1"/>
  <c r="X30" i="1"/>
  <c r="QN9" i="1"/>
  <c r="NK10" i="1"/>
  <c r="JG11" i="1"/>
  <c r="GD18" i="1"/>
  <c r="FC25" i="1"/>
  <c r="T17" i="1"/>
  <c r="JC18" i="1"/>
  <c r="FZ22" i="1"/>
  <c r="EY15" i="1"/>
  <c r="T30" i="1"/>
  <c r="AG30" i="1" s="1" a="1"/>
  <c r="QJ9" i="1"/>
  <c r="QW9" i="1" s="1" a="1"/>
  <c r="NG10" i="1"/>
  <c r="NT10" i="1" s="1" a="1"/>
  <c r="JC11" i="1"/>
  <c r="JP11" i="1" s="1" a="1"/>
  <c r="FZ18" i="1"/>
  <c r="GM18" i="1" s="1" a="1"/>
  <c r="EY25" i="1"/>
  <c r="FL25" i="1" s="1" a="1"/>
  <c r="FL25" i="1" l="1"/>
  <c r="GM18" i="1"/>
  <c r="JP11" i="1"/>
  <c r="NT10" i="1"/>
  <c r="QW9" i="1"/>
  <c r="AG30" i="1"/>
  <c r="QE22" i="1" a="1"/>
  <c r="QE22" i="1"/>
  <c r="OH31" i="1"/>
  <c r="OU31" i="1" s="1" a="1"/>
  <c r="MF38" i="1"/>
  <c r="MS38" i="1" s="1" a="1"/>
  <c r="DX25" i="1"/>
  <c r="EK25" i="1" s="1" a="1"/>
  <c r="OL31" i="1"/>
  <c r="MJ38" i="1"/>
  <c r="EB25" i="1"/>
  <c r="HF21" i="1" a="1"/>
  <c r="EK25" i="1" l="1"/>
  <c r="MS38" i="1"/>
  <c r="OU31" i="1"/>
  <c r="HF21" i="1"/>
  <c r="RK25" i="1"/>
  <c r="HE38" i="1"/>
  <c r="JP18" i="1" a="1"/>
  <c r="JP18" i="1"/>
  <c r="GM22" i="1" a="1"/>
  <c r="GM22" i="1"/>
  <c r="FL15" i="1" a="1"/>
  <c r="FL15" i="1"/>
  <c r="AG17" i="1" a="1"/>
  <c r="AG17" i="1"/>
  <c r="RX25" i="1" a="1"/>
  <c r="RX25" i="1"/>
  <c r="Y17" i="1" a="1"/>
  <c r="Y17" i="1"/>
  <c r="JH18" i="1" a="1"/>
  <c r="JH18" i="1"/>
  <c r="GE22" i="1" a="1"/>
  <c r="GE22" i="1"/>
  <c r="FD15" i="1" a="1"/>
  <c r="FD15" i="1"/>
  <c r="HA21" i="1"/>
  <c r="QW22" i="1" a="1"/>
  <c r="QW22" i="1"/>
  <c r="RP32" i="1" a="1"/>
  <c r="RP32" i="1"/>
  <c r="QE9" i="1" a="1"/>
  <c r="QE9" i="1"/>
  <c r="O30" i="1" a="1"/>
  <c r="O30" i="1"/>
  <c r="NB10" i="1" a="1"/>
  <c r="NB10" i="1"/>
  <c r="IX11" i="1" a="1"/>
  <c r="IX11" i="1"/>
  <c r="FU18" i="1" a="1"/>
  <c r="FU18" i="1"/>
  <c r="ET25" i="1" a="1"/>
  <c r="ET25" i="1"/>
  <c r="RK32" i="1"/>
  <c r="RX32" i="1" s="1" a="1"/>
  <c r="KZ20" i="1" a="1"/>
  <c r="RX32" i="1" l="1"/>
  <c r="KZ20" i="1"/>
  <c r="CR24" i="1" a="1"/>
  <c r="CR24" i="1"/>
  <c r="O21" i="1" a="1"/>
  <c r="O21" i="1"/>
  <c r="ET16" i="1" a="1"/>
  <c r="ET16" i="1"/>
  <c r="LE20" i="1"/>
  <c r="LR20" i="1" s="1" a="1"/>
  <c r="CW24" i="1"/>
  <c r="DJ24" i="1" s="1" a="1"/>
  <c r="RF25" i="1" a="1"/>
  <c r="DJ24" i="1" l="1"/>
  <c r="LR20" i="1"/>
  <c r="RF25" i="1"/>
  <c r="RF32" i="1" a="1"/>
  <c r="RF32" i="1"/>
  <c r="X21" i="1"/>
  <c r="FC16" i="1"/>
  <c r="HE21" i="1"/>
  <c r="QO22" i="1" a="1"/>
  <c r="QO22" i="1"/>
  <c r="HN21" i="1" a="1"/>
  <c r="HN21" i="1"/>
  <c r="GV38" i="1" a="1"/>
  <c r="GV38" i="1"/>
  <c r="OC31" i="1" a="1"/>
  <c r="OC31" i="1"/>
  <c r="MA38" i="1" a="1"/>
  <c r="MA38" i="1"/>
  <c r="DS25" i="1" a="1"/>
  <c r="DS25" i="1"/>
  <c r="O17" i="1" a="1"/>
  <c r="O17" i="1"/>
  <c r="IX18" i="1" a="1"/>
  <c r="IX18" i="1"/>
  <c r="FU22" i="1" a="1"/>
  <c r="FU22" i="1"/>
  <c r="ET15" i="1" a="1"/>
  <c r="ET15" i="1"/>
  <c r="T21" i="1"/>
  <c r="AG21" i="1" s="1" a="1"/>
  <c r="EY16" i="1"/>
  <c r="FL16" i="1" s="1" a="1"/>
  <c r="Y30" i="1" a="1"/>
  <c r="FL16" i="1" l="1"/>
  <c r="AG21" i="1"/>
  <c r="Y30" i="1"/>
  <c r="QO9" i="1" a="1"/>
  <c r="QO9" i="1"/>
  <c r="NL10" i="1" a="1"/>
  <c r="NL10" i="1"/>
  <c r="JH11" i="1" a="1"/>
  <c r="JH11" i="1"/>
  <c r="GE18" i="1" a="1"/>
  <c r="GE18" i="1"/>
  <c r="FD25" i="1" a="1"/>
  <c r="FD25" i="1"/>
  <c r="RO32" i="1"/>
  <c r="LJ20" i="1" a="1"/>
  <c r="LJ20" i="1"/>
  <c r="DB24" i="1" a="1"/>
  <c r="DB24" i="1"/>
  <c r="RP25" i="1" a="1"/>
  <c r="RP25" i="1"/>
  <c r="Y21" i="1" a="1"/>
  <c r="Y21" i="1"/>
  <c r="FD16" i="1" a="1"/>
  <c r="FD16" i="1"/>
  <c r="NK19" i="1"/>
  <c r="MJ21" i="1"/>
  <c r="KI35" i="1" a="1"/>
  <c r="KI35" i="1"/>
  <c r="HF33" i="1" a="1"/>
  <c r="HF33" i="1"/>
  <c r="QO24" i="1" a="1"/>
  <c r="QO24" i="1"/>
  <c r="RP12" i="1" a="1"/>
  <c r="RP12" i="1"/>
  <c r="KI18" i="1" a="1"/>
  <c r="KI18" i="1"/>
  <c r="JY35" i="1" a="1"/>
  <c r="JY35" i="1"/>
  <c r="RK12" i="1"/>
  <c r="KD18" i="1"/>
  <c r="NL20" i="1" a="1"/>
  <c r="NL20" i="1"/>
  <c r="AZ17" i="1" a="1"/>
  <c r="AZ17" i="1"/>
  <c r="QJ14" i="1"/>
  <c r="NG19" i="1"/>
  <c r="MF21" i="1"/>
  <c r="NK31" i="1"/>
  <c r="QJ24" i="1"/>
  <c r="HA33" i="1"/>
  <c r="X10" i="1"/>
  <c r="FC9" i="1"/>
  <c r="QO14" i="1" a="1"/>
  <c r="QO14" i="1"/>
  <c r="NK20" i="1"/>
  <c r="AY17" i="1"/>
  <c r="HE33" i="1"/>
  <c r="KH35" i="1"/>
  <c r="NL19" i="1" a="1"/>
  <c r="NL19" i="1"/>
  <c r="MK21" i="1" a="1"/>
  <c r="MK21" i="1"/>
  <c r="NL31" i="1" a="1"/>
  <c r="NL31" i="1"/>
  <c r="Y10" i="1" a="1"/>
  <c r="Y10" i="1"/>
  <c r="FD9" i="1" a="1"/>
  <c r="FD9" i="1"/>
  <c r="KD10" i="1"/>
  <c r="HA8" i="1"/>
  <c r="FZ13" i="1"/>
  <c r="NB20" i="1" a="1"/>
  <c r="NB20" i="1"/>
  <c r="AP17" i="1" a="1"/>
  <c r="AP17" i="1"/>
  <c r="JY10" i="1" a="1"/>
  <c r="JY10" i="1"/>
  <c r="GV8" i="1" a="1"/>
  <c r="GV8" i="1"/>
  <c r="FU13" i="1" a="1"/>
  <c r="FU13" i="1"/>
  <c r="KI10" i="1" a="1"/>
  <c r="KI10" i="1"/>
  <c r="HF8" i="1" a="1"/>
  <c r="HF8" i="1"/>
  <c r="GE13" i="1" a="1"/>
  <c r="GE13" i="1"/>
  <c r="T10" i="1"/>
  <c r="EY9" i="1"/>
  <c r="RO12" i="1"/>
  <c r="KH18" i="1"/>
  <c r="NT19" i="1" a="1"/>
  <c r="NT19" i="1"/>
  <c r="MS21" i="1" a="1"/>
  <c r="MS21" i="1"/>
  <c r="NG31" i="1"/>
  <c r="NT31" i="1" s="1" a="1"/>
  <c r="QE14" i="1" a="1"/>
  <c r="NT31" i="1" l="1"/>
  <c r="QE14" i="1"/>
  <c r="QE24" i="1" a="1"/>
  <c r="QE24" i="1"/>
  <c r="QW24" i="1" a="1"/>
  <c r="QW24" i="1"/>
  <c r="KQ10" i="1" a="1"/>
  <c r="KQ10" i="1"/>
  <c r="HN8" i="1" a="1"/>
  <c r="HN8" i="1"/>
  <c r="GM13" i="1" a="1"/>
  <c r="GM13" i="1"/>
  <c r="QN14" i="1"/>
  <c r="KH10" i="1"/>
  <c r="HE8" i="1"/>
  <c r="GD13" i="1"/>
  <c r="NB31" i="1" a="1"/>
  <c r="NB31" i="1"/>
  <c r="NB19" i="1" a="1"/>
  <c r="NB19" i="1"/>
  <c r="MA21" i="1" a="1"/>
  <c r="MA21" i="1"/>
  <c r="KD35" i="1"/>
  <c r="KQ35" i="1" s="1" a="1"/>
  <c r="O10" i="1" a="1"/>
  <c r="KQ35" i="1" l="1"/>
  <c r="O10" i="1"/>
  <c r="ET9" i="1" a="1"/>
  <c r="ET9" i="1"/>
  <c r="FL9" i="1" a="1"/>
  <c r="FL9" i="1"/>
  <c r="AG10" i="1" a="1"/>
  <c r="AG10" i="1"/>
  <c r="RF12" i="1" a="1"/>
  <c r="RF12" i="1"/>
  <c r="JY18" i="1" a="1"/>
  <c r="JY18" i="1"/>
  <c r="NG20" i="1"/>
  <c r="NT20" i="1" s="1" a="1"/>
  <c r="AU17" i="1"/>
  <c r="BH17" i="1" s="1" a="1"/>
  <c r="QW14" i="1" a="1"/>
  <c r="BH17" i="1" l="1"/>
  <c r="NT20" i="1"/>
  <c r="QW14" i="1"/>
  <c r="QN24" i="1"/>
  <c r="GV33" i="1" a="1"/>
  <c r="GV33" i="1"/>
  <c r="HE6" i="1"/>
  <c r="GD7" i="1"/>
  <c r="JC15" i="1"/>
  <c r="GE34" i="1" a="1"/>
  <c r="GE34" i="1"/>
  <c r="BV11" i="1"/>
  <c r="CI11" i="1" a="1"/>
  <c r="CI11" i="1"/>
  <c r="JH24" i="1" a="1"/>
  <c r="JH24" i="1"/>
  <c r="GE29" i="1" a="1"/>
  <c r="GE29" i="1"/>
  <c r="DS15" i="1" a="1"/>
  <c r="DS15" i="1"/>
  <c r="HF37" i="1" a="1"/>
  <c r="HF37" i="1"/>
  <c r="X8" i="1"/>
  <c r="GD23" i="1"/>
  <c r="FC8" i="1"/>
  <c r="IX15" i="1" a="1"/>
  <c r="IX15" i="1"/>
  <c r="GD34" i="1"/>
  <c r="HE37" i="1"/>
  <c r="RP7" i="1" a="1"/>
  <c r="RP7" i="1"/>
  <c r="IX24" i="1" a="1"/>
  <c r="IX24" i="1"/>
  <c r="FU29" i="1" a="1"/>
  <c r="FU29" i="1"/>
  <c r="JG15" i="1"/>
  <c r="EB15" i="1"/>
  <c r="T8" i="1"/>
  <c r="FZ23" i="1"/>
  <c r="EY8" i="1"/>
  <c r="BQ11" i="1" a="1"/>
  <c r="BQ11" i="1"/>
  <c r="OL20" i="1"/>
  <c r="Y8" i="1" a="1"/>
  <c r="Y8" i="1"/>
  <c r="GE23" i="1" a="1"/>
  <c r="GE23" i="1"/>
  <c r="FD8" i="1" a="1"/>
  <c r="FD8" i="1"/>
  <c r="OC16" i="1" a="1"/>
  <c r="OC16" i="1"/>
  <c r="JC24" i="1"/>
  <c r="FZ29" i="1"/>
  <c r="LE15" i="1"/>
  <c r="CW19" i="1"/>
  <c r="GE35" i="1" a="1"/>
  <c r="GE35" i="1"/>
  <c r="GV10" i="1" a="1"/>
  <c r="GV10" i="1"/>
  <c r="RO7" i="1"/>
  <c r="HA6" i="1"/>
  <c r="FZ7" i="1"/>
  <c r="PI16" i="1"/>
  <c r="PV16" i="1" s="1" a="1"/>
  <c r="AP14" i="1" a="1"/>
  <c r="PV16" i="1" l="1"/>
  <c r="AP14" i="1"/>
  <c r="KZ7" i="1" a="1"/>
  <c r="KZ7" i="1"/>
  <c r="CR7" i="1" a="1"/>
  <c r="CR7" i="1"/>
  <c r="FU35" i="1" a="1"/>
  <c r="FU35" i="1"/>
  <c r="KZ15" i="1" a="1"/>
  <c r="KZ15" i="1"/>
  <c r="CR19" i="1" a="1"/>
  <c r="CR19" i="1"/>
  <c r="HA37" i="1"/>
  <c r="OH16" i="1"/>
  <c r="OL16" i="1"/>
  <c r="LI7" i="1"/>
  <c r="DA7" i="1"/>
  <c r="GV37" i="1" a="1"/>
  <c r="GV37" i="1"/>
  <c r="PN16" i="1" a="1"/>
  <c r="PN16" i="1"/>
  <c r="X41" i="1"/>
  <c r="JG6" i="1"/>
  <c r="GD6" i="1"/>
  <c r="FC34" i="1"/>
  <c r="IF24" i="1"/>
  <c r="JP24" i="1" a="1"/>
  <c r="JP24" i="1"/>
  <c r="GM29" i="1" a="1"/>
  <c r="GM29" i="1"/>
  <c r="FZ35" i="1"/>
  <c r="HW24" i="1" a="1"/>
  <c r="HW24" i="1"/>
  <c r="CA11" i="1" a="1"/>
  <c r="CA11" i="1"/>
  <c r="O41" i="1" a="1"/>
  <c r="O41" i="1"/>
  <c r="IX6" i="1" a="1"/>
  <c r="IX6" i="1"/>
  <c r="FU6" i="1" a="1"/>
  <c r="FU6" i="1"/>
  <c r="ET34" i="1" a="1"/>
  <c r="ET34" i="1"/>
  <c r="LI15" i="1"/>
  <c r="DA19" i="1"/>
  <c r="FU34" i="1" a="1"/>
  <c r="FU34" i="1"/>
  <c r="OM16" i="1" a="1"/>
  <c r="OM16" i="1"/>
  <c r="RK7" i="1"/>
  <c r="RX7" i="1" a="1"/>
  <c r="RX7" i="1"/>
  <c r="HF6" i="1" a="1"/>
  <c r="HF6" i="1"/>
  <c r="GE7" i="1" a="1"/>
  <c r="GE7" i="1"/>
  <c r="EC15" i="1" a="1"/>
  <c r="EC15" i="1"/>
  <c r="HF10" i="1" a="1"/>
  <c r="HF10" i="1"/>
  <c r="HE10" i="1"/>
  <c r="OM20" i="1" a="1"/>
  <c r="OM20" i="1"/>
  <c r="LJ15" i="1" a="1"/>
  <c r="LJ15" i="1"/>
  <c r="DB19" i="1" a="1"/>
  <c r="DB19" i="1"/>
  <c r="GM23" i="1" a="1"/>
  <c r="GM23" i="1"/>
  <c r="FL8" i="1" a="1"/>
  <c r="FL8" i="1"/>
  <c r="AG8" i="1" a="1"/>
  <c r="AG8" i="1"/>
  <c r="O8" i="1" a="1"/>
  <c r="O8" i="1"/>
  <c r="FU23" i="1" a="1"/>
  <c r="FU23" i="1"/>
  <c r="ET8" i="1" a="1"/>
  <c r="ET8" i="1"/>
  <c r="OC20" i="1" a="1"/>
  <c r="OC20" i="1"/>
  <c r="LR15" i="1" a="1"/>
  <c r="LR15" i="1"/>
  <c r="DJ19" i="1" a="1"/>
  <c r="DJ19" i="1"/>
  <c r="JG24" i="1"/>
  <c r="GD29" i="1"/>
  <c r="GV6" i="1" a="1"/>
  <c r="GV6" i="1"/>
  <c r="FU7" i="1" a="1"/>
  <c r="FU7" i="1"/>
  <c r="DX15" i="1"/>
  <c r="EK15" i="1" s="1" a="1"/>
  <c r="RF7" i="1" a="1"/>
  <c r="EK15" i="1" l="1"/>
  <c r="RF7" i="1"/>
  <c r="BZ11" i="1"/>
  <c r="HN37" i="1" a="1"/>
  <c r="HN37" i="1"/>
  <c r="JH15" i="1" a="1"/>
  <c r="JH15" i="1"/>
  <c r="OU16" i="1" a="1"/>
  <c r="OU16" i="1"/>
  <c r="PD16" i="1" a="1"/>
  <c r="PD16" i="1"/>
  <c r="GD35" i="1"/>
  <c r="MK20" i="1" a="1"/>
  <c r="MK20" i="1"/>
  <c r="IG25" i="1" a="1"/>
  <c r="IG25" i="1"/>
  <c r="MF20" i="1"/>
  <c r="IB25" i="1"/>
  <c r="LJ7" i="1" a="1"/>
  <c r="LJ7" i="1" l="1"/>
  <c r="DB7" i="1" a="1"/>
  <c r="DB7" i="1"/>
  <c r="IB24" i="1"/>
  <c r="AU14" i="1"/>
  <c r="BH14" i="1" s="1" a="1"/>
  <c r="BH14" i="1" l="1"/>
  <c r="AZ14" i="1" a="1"/>
  <c r="AZ14" i="1"/>
  <c r="MA20" i="1" a="1"/>
  <c r="MA20" i="1"/>
  <c r="HW25" i="1" a="1"/>
  <c r="HW25" i="1"/>
  <c r="Y41" i="1" a="1"/>
  <c r="Y41" i="1"/>
  <c r="JH6" i="1" a="1"/>
  <c r="JH6" i="1"/>
  <c r="GE6" i="1" a="1"/>
  <c r="GE6" i="1"/>
  <c r="FD34" i="1" a="1"/>
  <c r="FD34" i="1"/>
  <c r="GM35" i="1" a="1"/>
  <c r="GM35" i="1"/>
  <c r="PM16" i="1"/>
  <c r="IG24" i="1" a="1"/>
  <c r="IG24" i="1"/>
  <c r="OH20" i="1"/>
  <c r="OU20" i="1" s="1" a="1"/>
  <c r="T41" i="1"/>
  <c r="JC6" i="1"/>
  <c r="JP6" i="1" s="1" a="1"/>
  <c r="FZ6" i="1"/>
  <c r="GM6" i="1" s="1" a="1"/>
  <c r="EY34" i="1"/>
  <c r="FL34" i="1" s="1" a="1"/>
  <c r="AY14" i="1"/>
  <c r="FZ34" i="1"/>
  <c r="GM34" i="1" s="1" a="1"/>
  <c r="HA10" i="1"/>
  <c r="HN10" i="1" s="1" a="1"/>
  <c r="MJ20" i="1"/>
  <c r="IF25" i="1"/>
  <c r="LE7" i="1"/>
  <c r="LR7" i="1" s="1" a="1"/>
  <c r="CW7" i="1"/>
  <c r="DJ7" i="1" s="1" a="1"/>
  <c r="DJ7" i="1" l="1"/>
  <c r="LR7" i="1"/>
  <c r="HN10" i="1"/>
  <c r="GM34" i="1"/>
  <c r="FL34" i="1"/>
  <c r="GM6" i="1"/>
  <c r="JP6" i="1"/>
  <c r="OU20" i="1"/>
  <c r="IF16" i="1"/>
  <c r="QN13" i="1"/>
  <c r="GD20" i="1"/>
  <c r="T33" i="1"/>
  <c r="NG18" i="1"/>
  <c r="JC16" i="1"/>
  <c r="FZ21" i="1"/>
  <c r="EY28" i="1"/>
  <c r="MK10" i="1" a="1"/>
  <c r="MK10" i="1"/>
  <c r="HF11" i="1" a="1"/>
  <c r="HF11" i="1"/>
  <c r="QJ13" i="1"/>
  <c r="FZ20" i="1"/>
  <c r="RP38" i="1" a="1"/>
  <c r="RP38" i="1"/>
  <c r="RF38" i="1" a="1"/>
  <c r="RF38" i="1"/>
  <c r="KH19" i="1"/>
  <c r="IG16" i="1" a="1"/>
  <c r="IG16" i="1"/>
  <c r="NG28" i="1"/>
  <c r="NT28" i="1" s="1" a="1"/>
  <c r="O33" i="1" a="1"/>
  <c r="NT28" i="1" l="1"/>
  <c r="O33" i="1"/>
  <c r="NB18" i="1" a="1"/>
  <c r="NB18" i="1"/>
  <c r="IX16" i="1" a="1"/>
  <c r="IX16" i="1"/>
  <c r="FU21" i="1" a="1"/>
  <c r="FU21" i="1"/>
  <c r="ET28" i="1" a="1"/>
  <c r="ET28" i="1"/>
  <c r="IB16" i="1"/>
  <c r="RF21" i="1" a="1"/>
  <c r="RF21" i="1"/>
  <c r="OL9" i="1"/>
  <c r="MJ8" i="1"/>
  <c r="MF10" i="1"/>
  <c r="MS10" i="1" s="1" a="1"/>
  <c r="HA11" i="1"/>
  <c r="HN11" i="1" s="1" a="1"/>
  <c r="T7" i="1"/>
  <c r="FZ12" i="1"/>
  <c r="EY7" i="1"/>
  <c r="NK28" i="1"/>
  <c r="KI19" i="1" a="1"/>
  <c r="HN11" i="1" l="1"/>
  <c r="MS10" i="1"/>
  <c r="KI19" i="1"/>
  <c r="RK21" i="1"/>
  <c r="QW13" i="1" a="1"/>
  <c r="QW13" i="1"/>
  <c r="GM20" i="1" a="1"/>
  <c r="GM20" i="1"/>
  <c r="Y33" i="1" a="1"/>
  <c r="Y33" i="1"/>
  <c r="NL18" i="1" a="1"/>
  <c r="NL18" i="1"/>
  <c r="JH16" i="1" a="1"/>
  <c r="JH16" i="1"/>
  <c r="GE21" i="1" a="1"/>
  <c r="GE21" i="1"/>
  <c r="FD28" i="1" a="1"/>
  <c r="FD28" i="1"/>
  <c r="OC9" i="1" a="1"/>
  <c r="OC9" i="1"/>
  <c r="MA8" i="1" a="1"/>
  <c r="MA8" i="1"/>
  <c r="NB28" i="1" a="1"/>
  <c r="NB28" i="1"/>
  <c r="QO13" i="1" a="1"/>
  <c r="QO13" i="1"/>
  <c r="GE20" i="1" a="1"/>
  <c r="GE20" i="1"/>
  <c r="O7" i="1" a="1"/>
  <c r="O7" i="1"/>
  <c r="FU12" i="1" a="1"/>
  <c r="FU12" i="1"/>
  <c r="ET7" i="1" a="1"/>
  <c r="ET7" i="1"/>
  <c r="RK38" i="1"/>
  <c r="RX21" i="1" a="1"/>
  <c r="RX21" i="1"/>
  <c r="JY19" i="1" a="1"/>
  <c r="JY19" i="1"/>
  <c r="RP21" i="1" a="1"/>
  <c r="RP21" i="1"/>
  <c r="GM12" i="1" a="1"/>
  <c r="GM12" i="1"/>
  <c r="FL7" i="1" a="1"/>
  <c r="FL7" i="1"/>
  <c r="AG7" i="1" a="1"/>
  <c r="AG7" i="1"/>
  <c r="MA10" i="1" a="1"/>
  <c r="MA10" i="1"/>
  <c r="GV11" i="1" a="1"/>
  <c r="GV11" i="1"/>
  <c r="OH9" i="1"/>
  <c r="OU9" i="1" s="1" a="1"/>
  <c r="MF8" i="1"/>
  <c r="MS8" i="1" s="1" a="1"/>
  <c r="NT18" i="1" a="1"/>
  <c r="MS8" i="1" l="1"/>
  <c r="OU9" i="1"/>
  <c r="NT18" i="1"/>
  <c r="JP16" i="1" a="1"/>
  <c r="JP16" i="1"/>
  <c r="GM21" i="1" a="1"/>
  <c r="GM21" i="1"/>
  <c r="FL28" i="1" a="1"/>
  <c r="FL28" i="1"/>
  <c r="AG33" i="1" a="1"/>
  <c r="AG33" i="1"/>
  <c r="Y7" i="1" a="1"/>
  <c r="Y7" i="1"/>
  <c r="GE12" i="1" a="1"/>
  <c r="GE12" i="1"/>
  <c r="FD7" i="1" a="1"/>
  <c r="FD7" i="1"/>
  <c r="RO21" i="1"/>
  <c r="X33" i="1"/>
  <c r="NK18" i="1"/>
  <c r="JG16" i="1"/>
  <c r="GD21" i="1"/>
  <c r="FC28" i="1"/>
  <c r="KD19" i="1"/>
  <c r="KQ19" i="1" s="1" a="1"/>
  <c r="X7" i="1"/>
  <c r="GD12" i="1"/>
  <c r="FC7" i="1"/>
  <c r="RX38" i="1" a="1"/>
  <c r="KQ19" i="1" l="1"/>
  <c r="RX38" i="1"/>
  <c r="RO38" i="1"/>
  <c r="HW16" i="1" a="1"/>
  <c r="HW16" i="1"/>
  <c r="MJ10" i="1"/>
  <c r="HE11" i="1"/>
  <c r="NL28" i="1" a="1"/>
  <c r="NL28" i="1"/>
  <c r="OM9" i="1" a="1"/>
  <c r="OM9" i="1"/>
  <c r="MK8" i="1" a="1"/>
  <c r="MK8" i="1"/>
  <c r="QE13" i="1" a="1"/>
  <c r="QE13" i="1"/>
  <c r="FU20" i="1" a="1"/>
  <c r="FU20" i="1"/>
  <c r="NL30" i="1" a="1"/>
  <c r="NL30" i="1"/>
  <c r="MK37" i="1" a="1"/>
  <c r="MK37" i="1"/>
  <c r="LJ19" i="1" a="1"/>
  <c r="LJ19" i="1"/>
  <c r="DB23" i="1" a="1"/>
  <c r="DB23" i="1"/>
  <c r="T20" i="1"/>
  <c r="OH22" i="1"/>
  <c r="MF23" i="1"/>
  <c r="AU18" i="1"/>
  <c r="KZ6" i="1" a="1"/>
  <c r="KZ6" i="1"/>
  <c r="CR6" i="1" a="1"/>
  <c r="CR6" i="1"/>
  <c r="NK30" i="1"/>
  <c r="MJ37" i="1"/>
  <c r="LI19" i="1"/>
  <c r="DA23" i="1"/>
  <c r="OU22" i="1" a="1"/>
  <c r="OU22" i="1"/>
  <c r="MS23" i="1" a="1"/>
  <c r="MS23" i="1"/>
  <c r="BH18" i="1" a="1"/>
  <c r="BH18" i="1"/>
  <c r="AG20" i="1" a="1"/>
  <c r="AG20" i="1"/>
  <c r="IF14" i="1"/>
  <c r="NG30" i="1"/>
  <c r="MF37" i="1"/>
  <c r="LE19" i="1"/>
  <c r="CW23" i="1"/>
  <c r="OM14" i="1" a="1"/>
  <c r="OM14" i="1"/>
  <c r="OC14" i="1" a="1"/>
  <c r="OC14" i="1"/>
  <c r="LE6" i="1"/>
  <c r="CW6" i="1"/>
  <c r="Y20" i="1" a="1"/>
  <c r="Y20" i="1"/>
  <c r="OM22" i="1" a="1"/>
  <c r="OM22" i="1"/>
  <c r="MK23" i="1" a="1"/>
  <c r="MK23" i="1"/>
  <c r="AZ18" i="1" a="1"/>
  <c r="AZ18" i="1"/>
  <c r="KD8" i="1"/>
  <c r="KQ8" i="1" s="1" a="1"/>
  <c r="OH14" i="1"/>
  <c r="IB14" i="1"/>
  <c r="JG32" i="1"/>
  <c r="JC32" i="1"/>
  <c r="JP32" i="1" s="1" a="1"/>
  <c r="JP32" i="1" l="1"/>
  <c r="KQ8" i="1"/>
  <c r="KI8" i="1" a="1"/>
  <c r="KI8" i="1"/>
  <c r="LJ6" i="1" a="1"/>
  <c r="LJ6" i="1"/>
  <c r="DB6" i="1" a="1"/>
  <c r="DB6" i="1"/>
  <c r="RP9" i="1" a="1"/>
  <c r="RP9" i="1"/>
  <c r="RO9" i="1"/>
  <c r="JH32" i="1" a="1"/>
  <c r="JH32" i="1"/>
  <c r="NT30" i="1" a="1"/>
  <c r="NT30" i="1"/>
  <c r="MS37" i="1" a="1"/>
  <c r="MS37" i="1"/>
  <c r="LR19" i="1" a="1"/>
  <c r="LR19" i="1"/>
  <c r="DJ23" i="1" a="1"/>
  <c r="DJ23" i="1"/>
  <c r="IG26" i="1" a="1"/>
  <c r="IG26" i="1"/>
  <c r="KH8" i="1"/>
  <c r="LI6" i="1"/>
  <c r="DA6" i="1"/>
  <c r="HW14" i="1" a="1"/>
  <c r="HW14" i="1"/>
  <c r="HW26" i="1" a="1"/>
  <c r="HW26" i="1"/>
  <c r="IB27" i="1"/>
  <c r="IF27" i="1"/>
  <c r="RF9" i="1" a="1"/>
  <c r="RF9" i="1" l="1"/>
  <c r="OC22" i="1" a="1"/>
  <c r="OC22" i="1"/>
  <c r="O20" i="1" a="1"/>
  <c r="O20" i="1"/>
  <c r="MA23" i="1" a="1"/>
  <c r="MA23" i="1"/>
  <c r="AP18" i="1" a="1"/>
  <c r="AP18" i="1"/>
  <c r="OL14" i="1"/>
  <c r="IF26" i="1"/>
  <c r="HW27" i="1" a="1"/>
  <c r="HW27" i="1"/>
  <c r="NB30" i="1" a="1"/>
  <c r="NB30" i="1"/>
  <c r="MA37" i="1" a="1"/>
  <c r="MA37" i="1"/>
  <c r="KZ19" i="1" a="1"/>
  <c r="KZ19" i="1"/>
  <c r="CR23" i="1" a="1"/>
  <c r="CR23" i="1"/>
  <c r="JY8" i="1" a="1"/>
  <c r="JY8" i="1"/>
  <c r="IG27" i="1" a="1"/>
  <c r="IG27" i="1"/>
  <c r="IX32" i="1" a="1"/>
  <c r="IX32" i="1"/>
  <c r="RK9" i="1"/>
  <c r="RX9" i="1" s="1" a="1"/>
  <c r="X20" i="1"/>
  <c r="OL22" i="1"/>
  <c r="MJ23" i="1"/>
  <c r="AY18" i="1"/>
  <c r="IG14" i="1" a="1"/>
  <c r="RX9" i="1" l="1"/>
  <c r="IG14" i="1"/>
  <c r="IB26" i="1"/>
  <c r="OU14" i="1" a="1"/>
  <c r="OU14" i="1" l="1"/>
  <c r="LR6" i="1" a="1"/>
  <c r="LR6" i="1"/>
  <c r="DJ6" i="1" a="1"/>
  <c r="DJ6" i="1"/>
  <c r="QO26" i="1" a="1"/>
  <c r="QO26" i="1"/>
  <c r="JY24" i="1" a="1"/>
  <c r="JY24" i="1"/>
  <c r="RO39" i="1"/>
  <c r="PN7" i="1" a="1"/>
  <c r="PN7" i="1"/>
  <c r="GV39" i="1" a="1"/>
  <c r="GV39" i="1"/>
  <c r="RK35" i="1"/>
  <c r="JC28" i="1"/>
  <c r="FU26" i="1" a="1"/>
  <c r="FU26" i="1"/>
  <c r="RK39" i="1"/>
  <c r="QN26" i="1"/>
  <c r="X18" i="1"/>
  <c r="FC31" i="1"/>
  <c r="JY14" i="1" a="1"/>
  <c r="JY14" i="1"/>
  <c r="RX35" i="1" a="1"/>
  <c r="RX35" i="1"/>
  <c r="JP28" i="1" a="1"/>
  <c r="JP28" i="1"/>
  <c r="KD14" i="1"/>
  <c r="KQ14" i="1" s="1" a="1"/>
  <c r="KD24" i="1"/>
  <c r="RO35" i="1"/>
  <c r="JG28" i="1"/>
  <c r="KQ14" i="1" l="1"/>
  <c r="T18" i="1"/>
  <c r="EY31" i="1"/>
  <c r="HA39" i="1"/>
  <c r="KI14" i="1" a="1"/>
  <c r="KI14" i="1" l="1"/>
  <c r="PI7" i="1"/>
  <c r="PV7" i="1" s="1" a="1"/>
  <c r="T24" i="1"/>
  <c r="AG24" i="1" s="1" a="1"/>
  <c r="EY19" i="1"/>
  <c r="FL19" i="1" s="1" a="1"/>
  <c r="Y18" i="1" a="1"/>
  <c r="FL19" i="1" l="1"/>
  <c r="AG24" i="1"/>
  <c r="PV7" i="1"/>
  <c r="Y18" i="1"/>
  <c r="FD31" i="1" a="1"/>
  <c r="FD31" i="1"/>
  <c r="RF35" i="1" a="1"/>
  <c r="RF35" i="1"/>
  <c r="IX28" i="1" a="1"/>
  <c r="IX28" i="1"/>
  <c r="GD26" i="1"/>
  <c r="HE39" i="1"/>
  <c r="FZ26" i="1"/>
  <c r="GE26" i="1" a="1"/>
  <c r="GE26" i="1"/>
  <c r="KQ24" i="1" a="1"/>
  <c r="KQ24" i="1"/>
  <c r="KI24" i="1" a="1"/>
  <c r="KI24" i="1"/>
  <c r="RP39" i="1" a="1"/>
  <c r="RP39" i="1"/>
  <c r="O24" i="1" a="1"/>
  <c r="O24" i="1"/>
  <c r="ET19" i="1" a="1"/>
  <c r="ET19" i="1"/>
  <c r="QE26" i="1" a="1"/>
  <c r="QE26" i="1"/>
  <c r="O18" i="1" a="1"/>
  <c r="O18" i="1"/>
  <c r="ET31" i="1" a="1"/>
  <c r="ET31" i="1"/>
  <c r="PD7" i="1" a="1"/>
  <c r="PD7" i="1"/>
  <c r="X24" i="1"/>
  <c r="FC19" i="1"/>
  <c r="Y24" i="1" a="1"/>
  <c r="Y24" i="1"/>
  <c r="FD19" i="1" a="1"/>
  <c r="FD19" i="1"/>
  <c r="RP35" i="1" a="1"/>
  <c r="RP35" i="1"/>
  <c r="JH28" i="1" a="1"/>
  <c r="JH28" i="1"/>
  <c r="PM7" i="1"/>
  <c r="KH24" i="1"/>
  <c r="GM26" i="1" a="1"/>
  <c r="GM26" i="1"/>
  <c r="HF39" i="1" a="1"/>
  <c r="HF39" i="1"/>
  <c r="RF39" i="1" a="1"/>
  <c r="RF39" i="1"/>
  <c r="QJ26" i="1"/>
  <c r="QW26" i="1" s="1" a="1"/>
  <c r="FL31" i="1" a="1"/>
  <c r="QW26" i="1" l="1"/>
  <c r="FL31" i="1"/>
  <c r="AG18" i="1" a="1"/>
  <c r="AG18" i="1"/>
  <c r="KH14" i="1"/>
  <c r="O26" i="1" a="1"/>
  <c r="O26" i="1"/>
  <c r="JY36" i="1" a="1"/>
  <c r="JY36" i="1"/>
  <c r="FU32" i="1" a="1"/>
  <c r="FU32" i="1"/>
  <c r="ET21" i="1" a="1"/>
  <c r="ET21" i="1"/>
  <c r="RF8" i="1" a="1"/>
  <c r="RF8" i="1"/>
  <c r="JY9" i="1" a="1"/>
  <c r="JY9" i="1"/>
  <c r="HF32" i="1" a="1"/>
  <c r="HF32" i="1"/>
  <c r="AZ21" i="1" a="1"/>
  <c r="AZ21" i="1"/>
  <c r="AU22" i="1"/>
  <c r="RP8" i="1" a="1"/>
  <c r="RP8" i="1"/>
  <c r="KI9" i="1" a="1"/>
  <c r="KI9" i="1"/>
  <c r="EC8" i="1" a="1"/>
  <c r="EC8" i="1"/>
  <c r="AZ8" i="1" a="1"/>
  <c r="AZ8" i="1"/>
  <c r="JG31" i="1"/>
  <c r="AY25" i="1"/>
  <c r="GE25" i="1" a="1"/>
  <c r="GE25" i="1"/>
  <c r="BH22" i="1" a="1"/>
  <c r="BH22" i="1"/>
  <c r="RO8" i="1"/>
  <c r="KH9" i="1"/>
  <c r="JH31" i="1" a="1"/>
  <c r="JH31" i="1"/>
  <c r="AZ25" i="1" a="1"/>
  <c r="AZ25" i="1"/>
  <c r="FU25" i="1" a="1"/>
  <c r="FU25" i="1"/>
  <c r="AY22" i="1"/>
  <c r="DX8" i="1"/>
  <c r="EK8" i="1" s="1" a="1"/>
  <c r="AU8" i="1"/>
  <c r="BH8" i="1" s="1" a="1"/>
  <c r="JC31" i="1"/>
  <c r="JP31" i="1" s="1" a="1"/>
  <c r="AU25" i="1"/>
  <c r="BH25" i="1" s="1" a="1"/>
  <c r="HE32" i="1"/>
  <c r="AY21" i="1"/>
  <c r="PM21" i="1"/>
  <c r="GD16" i="1"/>
  <c r="EC10" i="1" a="1"/>
  <c r="BH25" i="1" l="1"/>
  <c r="JP31" i="1"/>
  <c r="BH8" i="1"/>
  <c r="EK8" i="1"/>
  <c r="EC10" i="1"/>
  <c r="PN21" i="1" a="1"/>
  <c r="PN21" i="1"/>
  <c r="FU16" i="1" a="1"/>
  <c r="FU16" i="1"/>
  <c r="X26" i="1"/>
  <c r="KH36" i="1"/>
  <c r="GD32" i="1"/>
  <c r="FC21" i="1"/>
  <c r="PI21" i="1"/>
  <c r="PV21" i="1" s="1" a="1"/>
  <c r="Y26" i="1" a="1"/>
  <c r="PV21" i="1" l="1"/>
  <c r="Y26" i="1"/>
  <c r="KI36" i="1" a="1"/>
  <c r="KI36" i="1"/>
  <c r="GE32" i="1" a="1"/>
  <c r="GE32" i="1"/>
  <c r="FD21" i="1" a="1"/>
  <c r="FD21" i="1"/>
  <c r="DS8" i="1" a="1"/>
  <c r="DS8" i="1"/>
  <c r="AP8" i="1" a="1"/>
  <c r="AP8" i="1"/>
  <c r="EB10" i="1"/>
  <c r="DX10" i="1"/>
  <c r="EK10" i="1" s="1" a="1"/>
  <c r="AP22" i="1" a="1"/>
  <c r="EK10" i="1" l="1"/>
  <c r="AP22" i="1"/>
  <c r="FZ16" i="1"/>
  <c r="GM16" i="1" s="1" a="1"/>
  <c r="GV32" i="1" a="1"/>
  <c r="GM16" i="1" l="1"/>
  <c r="GV32" i="1"/>
  <c r="AP21" i="1" a="1"/>
  <c r="AP21" i="1"/>
  <c r="GD25" i="1"/>
  <c r="FZ25" i="1"/>
  <c r="HA32" i="1"/>
  <c r="HN32" i="1" s="1" a="1"/>
  <c r="AU21" i="1"/>
  <c r="BH21" i="1" s="1" a="1"/>
  <c r="T26" i="1"/>
  <c r="AG26" i="1" s="1" a="1"/>
  <c r="KD36" i="1"/>
  <c r="KQ36" i="1" s="1" a="1"/>
  <c r="FZ32" i="1"/>
  <c r="GM32" i="1" s="1" a="1"/>
  <c r="EY21" i="1"/>
  <c r="FL21" i="1" s="1" a="1"/>
  <c r="AZ22" i="1" a="1"/>
  <c r="FL21" i="1" l="1"/>
  <c r="GM32" i="1"/>
  <c r="KQ36" i="1"/>
  <c r="AG26" i="1"/>
  <c r="BH21" i="1"/>
  <c r="HN32" i="1"/>
  <c r="AZ22" i="1"/>
  <c r="IX31" i="1" a="1"/>
  <c r="IX31" i="1"/>
  <c r="AP25" i="1" a="1"/>
  <c r="AP25" i="1"/>
  <c r="DS10" i="1" a="1"/>
  <c r="DS10" i="1"/>
  <c r="PD21" i="1" a="1"/>
  <c r="PD21" i="1"/>
  <c r="EB8" i="1"/>
  <c r="AY8" i="1"/>
  <c r="GE16" i="1" a="1"/>
  <c r="GE16" i="1"/>
  <c r="GM25" i="1" a="1"/>
  <c r="GM25" i="1"/>
  <c r="RK8" i="1"/>
  <c r="RX8" i="1" s="1" a="1"/>
  <c r="KD9" i="1"/>
  <c r="KQ9" i="1" s="1" a="1"/>
  <c r="OL18" i="1"/>
  <c r="EB14" i="1"/>
  <c r="AY24" i="1"/>
  <c r="AP6" i="1" a="1"/>
  <c r="KQ9" i="1" l="1"/>
  <c r="RX8" i="1"/>
  <c r="AP6" i="1"/>
  <c r="HA30" i="1"/>
  <c r="FZ27" i="1"/>
  <c r="RP14" i="1" a="1"/>
  <c r="RP14" i="1"/>
  <c r="OH18" i="1"/>
  <c r="DX14" i="1"/>
  <c r="BQ18" i="1" a="1"/>
  <c r="BQ18" i="1"/>
  <c r="GV30" i="1" a="1"/>
  <c r="GV30" i="1"/>
  <c r="FU27" i="1" a="1"/>
  <c r="FU27" i="1"/>
  <c r="AY6" i="1"/>
  <c r="HF26" i="1" a="1"/>
  <c r="HF26" i="1"/>
  <c r="NB24" i="1" a="1"/>
  <c r="NB24" i="1"/>
  <c r="MA28" i="1" a="1"/>
  <c r="MA28" i="1"/>
  <c r="KZ12" i="1" a="1"/>
  <c r="KZ12" i="1"/>
  <c r="AZ24" i="1" a="1"/>
  <c r="AZ24" i="1"/>
  <c r="CA18" i="1" a="1"/>
  <c r="CA18" i="1"/>
  <c r="AU6" i="1"/>
  <c r="BH6" i="1" s="1" a="1"/>
  <c r="PI6" i="1"/>
  <c r="NL24" i="1" a="1"/>
  <c r="BH6" i="1" l="1"/>
  <c r="NL24" i="1"/>
  <c r="MK28" i="1" a="1"/>
  <c r="MK28" i="1"/>
  <c r="HA26" i="1"/>
  <c r="OU18" i="1" a="1"/>
  <c r="OU18" i="1"/>
  <c r="EK14" i="1" a="1"/>
  <c r="EK14" i="1"/>
  <c r="HE30" i="1"/>
  <c r="GD27" i="1"/>
  <c r="HF30" i="1" a="1"/>
  <c r="HF30" i="1"/>
  <c r="GE27" i="1" a="1"/>
  <c r="GE27" i="1"/>
  <c r="HN26" i="1" a="1"/>
  <c r="HN26" i="1"/>
  <c r="NG24" i="1"/>
  <c r="NT24" i="1" s="1" a="1"/>
  <c r="MF28" i="1"/>
  <c r="MS28" i="1" s="1" a="1"/>
  <c r="PN6" i="1" a="1"/>
  <c r="MS28" i="1" l="1"/>
  <c r="NT24" i="1"/>
  <c r="PN6" i="1"/>
  <c r="PD6" i="1" a="1"/>
  <c r="PD6" i="1"/>
  <c r="LJ12" i="1" a="1"/>
  <c r="LJ12" i="1"/>
  <c r="PM6" i="1"/>
  <c r="AP24" i="1" a="1"/>
  <c r="AP24" i="1"/>
  <c r="RF14" i="1" a="1"/>
  <c r="RF14" i="1"/>
  <c r="LI12" i="1"/>
  <c r="OC18" i="1" a="1"/>
  <c r="OC18" i="1"/>
  <c r="DS14" i="1" a="1"/>
  <c r="DS14" i="1"/>
  <c r="HE26" i="1"/>
  <c r="BZ18" i="1"/>
  <c r="RO14" i="1"/>
  <c r="AZ6" i="1" a="1"/>
  <c r="AZ6" i="1"/>
  <c r="OM18" i="1" a="1"/>
  <c r="OM18" i="1"/>
  <c r="EC14" i="1" a="1"/>
  <c r="EC14" i="1"/>
  <c r="HN30" i="1" a="1"/>
  <c r="HN30" i="1"/>
  <c r="GM27" i="1" a="1"/>
  <c r="GM27" i="1"/>
  <c r="NK24" i="1"/>
  <c r="MJ28" i="1"/>
  <c r="GV26" i="1" a="1"/>
  <c r="GV26" i="1"/>
  <c r="AU24" i="1"/>
  <c r="BH24" i="1" s="1" a="1"/>
  <c r="PV6" i="1" a="1"/>
  <c r="BH24" i="1" l="1"/>
  <c r="PV6" i="1"/>
  <c r="BV18" i="1"/>
  <c r="CI18" i="1" s="1" a="1"/>
  <c r="LE12" i="1"/>
  <c r="LR12" i="1" s="1" a="1"/>
  <c r="RK14" i="1"/>
  <c r="RX14" i="1" s="1" a="1"/>
  <c r="DB14" i="1" a="1"/>
  <c r="RX14" i="1" l="1"/>
  <c r="LR12" i="1"/>
  <c r="CI18" i="1"/>
  <c r="DB14" i="1"/>
  <c r="RF15" i="1" a="1"/>
  <c r="RF15" i="1"/>
  <c r="LI13" i="1"/>
  <c r="DA17" i="1"/>
  <c r="Y6" i="1" a="1"/>
  <c r="Y6" i="1"/>
  <c r="JH7" i="1" a="1"/>
  <c r="JH7" i="1"/>
  <c r="GE8" i="1" a="1"/>
  <c r="GE8" i="1"/>
  <c r="FD6" i="1" a="1"/>
  <c r="FD6" i="1"/>
  <c r="QE7" i="1" a="1"/>
  <c r="QE7" i="1"/>
  <c r="RK40" i="1"/>
  <c r="RK15" i="1"/>
  <c r="DX19" i="1"/>
  <c r="LJ13" i="1" a="1"/>
  <c r="LJ13" i="1"/>
  <c r="DB17" i="1" a="1"/>
  <c r="DB17" i="1"/>
  <c r="RX15" i="1" a="1"/>
  <c r="RX15" i="1"/>
  <c r="JH25" i="1" a="1"/>
  <c r="JH25" i="1"/>
  <c r="X6" i="1"/>
  <c r="JG7" i="1"/>
  <c r="GD8" i="1"/>
  <c r="FC6" i="1"/>
  <c r="HF17" i="1" a="1"/>
  <c r="HF17" i="1"/>
  <c r="DA14" i="1"/>
  <c r="CW14" i="1"/>
  <c r="DJ14" i="1" s="1" a="1"/>
  <c r="HA17" i="1"/>
  <c r="HN17" i="1" s="1" a="1"/>
  <c r="RF40" i="1" a="1"/>
  <c r="HN17" i="1" l="1"/>
  <c r="DJ14" i="1"/>
  <c r="RF40" i="1"/>
  <c r="EK19" i="1" a="1"/>
  <c r="EK19" i="1"/>
  <c r="JG25" i="1"/>
  <c r="DS19" i="1" a="1"/>
  <c r="DS19" i="1"/>
  <c r="RF16" i="1" a="1"/>
  <c r="RF16" i="1"/>
  <c r="GV17" i="1" a="1"/>
  <c r="GV17" i="1"/>
  <c r="RK16" i="1"/>
  <c r="RX16" i="1" s="1" a="1"/>
  <c r="RO16" i="1"/>
  <c r="RO40" i="1"/>
  <c r="RX16" i="1" l="1"/>
  <c r="KZ13" i="1" a="1"/>
  <c r="KZ13" i="1"/>
  <c r="CR17" i="1" a="1"/>
  <c r="CR17" i="1"/>
  <c r="O6" i="1" a="1"/>
  <c r="O6" i="1"/>
  <c r="IX7" i="1" a="1"/>
  <c r="IX7" i="1"/>
  <c r="FU8" i="1" a="1"/>
  <c r="FU8" i="1"/>
  <c r="ET6" i="1" a="1"/>
  <c r="ET6" i="1"/>
  <c r="RO15" i="1"/>
  <c r="EC19" i="1" a="1"/>
  <c r="EC19" i="1"/>
  <c r="QO7" i="1" a="1"/>
  <c r="QO7" i="1"/>
  <c r="QJ7" i="1"/>
  <c r="QW7" i="1" s="1" a="1"/>
  <c r="JC25" i="1"/>
  <c r="JP25" i="1" s="1" a="1"/>
  <c r="IX25" i="1" a="1"/>
  <c r="JP25" i="1" l="1"/>
  <c r="QW7" i="1"/>
  <c r="IX25" i="1"/>
  <c r="RP15" i="1" a="1"/>
  <c r="RP15" i="1"/>
  <c r="HE17" i="1"/>
  <c r="QN7" i="1"/>
  <c r="RP16" i="1" a="1"/>
  <c r="RP16" i="1"/>
  <c r="EB19" i="1"/>
  <c r="RP40" i="1" a="1"/>
  <c r="RP40" i="1"/>
  <c r="T6" i="1"/>
  <c r="AG6" i="1" s="1" a="1"/>
  <c r="JC7" i="1"/>
  <c r="JP7" i="1" s="1" a="1"/>
  <c r="FZ8" i="1"/>
  <c r="GM8" i="1" s="1" a="1"/>
  <c r="EY6" i="1"/>
  <c r="FL6" i="1" s="1" a="1"/>
  <c r="LE13" i="1"/>
  <c r="LR13" i="1" s="1" a="1"/>
  <c r="CW17" i="1"/>
  <c r="DJ17" i="1" s="1" a="1"/>
  <c r="CR14" i="1" a="1"/>
  <c r="DJ17" i="1" l="1"/>
  <c r="LR13" i="1"/>
  <c r="FL6" i="1"/>
  <c r="GM8" i="1"/>
  <c r="JP7" i="1"/>
  <c r="AG6" i="1"/>
  <c r="CR14" i="1"/>
  <c r="HE9" i="1"/>
  <c r="HE18" i="1"/>
  <c r="Y39" i="1" a="1"/>
  <c r="Y39" i="1"/>
  <c r="FD33" i="1" a="1"/>
  <c r="FD33" i="1"/>
  <c r="JH13" i="1" a="1"/>
  <c r="JH13" i="1"/>
  <c r="JY22" i="1" a="1"/>
  <c r="JY22" i="1"/>
  <c r="IF11" i="1"/>
  <c r="HW11" i="1" a="1"/>
  <c r="HW11" i="1"/>
  <c r="JC13" i="1"/>
  <c r="GV9" i="1" a="1"/>
  <c r="GV9" i="1"/>
  <c r="JP13" i="1" a="1"/>
  <c r="JP13" i="1"/>
  <c r="QE15" i="1" a="1"/>
  <c r="QE15" i="1"/>
  <c r="QN8" i="1"/>
  <c r="KH16" i="1"/>
  <c r="JG10" i="1"/>
  <c r="GD17" i="1"/>
  <c r="OC19" i="1" a="1"/>
  <c r="OC19" i="1"/>
  <c r="HE22" i="1"/>
  <c r="AY16" i="1"/>
  <c r="JY30" i="1" a="1"/>
  <c r="JY30" i="1"/>
  <c r="KI30" i="1" a="1"/>
  <c r="KI30" i="1"/>
  <c r="KD30" i="1"/>
  <c r="OM19" i="1" a="1"/>
  <c r="OM19" i="1"/>
  <c r="FD23" i="1" a="1"/>
  <c r="FD23" i="1"/>
  <c r="OL19" i="1"/>
  <c r="MJ22" i="1"/>
  <c r="X39" i="1"/>
  <c r="FC33" i="1"/>
  <c r="KI22" i="1" a="1"/>
  <c r="KI22" i="1"/>
  <c r="LE8" i="1"/>
  <c r="CW11" i="1"/>
  <c r="HF9" i="1" a="1"/>
  <c r="HF9" i="1"/>
  <c r="O39" i="1" a="1"/>
  <c r="O39" i="1"/>
  <c r="ET33" i="1" a="1"/>
  <c r="ET33" i="1"/>
  <c r="GE33" i="1" a="1"/>
  <c r="GE33" i="1"/>
  <c r="FZ33" i="1"/>
  <c r="OM17" i="1" a="1"/>
  <c r="OM17" i="1"/>
  <c r="MK19" i="1" a="1"/>
  <c r="MK19" i="1"/>
  <c r="EC12" i="1" a="1"/>
  <c r="EC12" i="1"/>
  <c r="AZ11" i="1" a="1"/>
  <c r="AZ11" i="1"/>
  <c r="AZ16" i="1" a="1"/>
  <c r="AZ16" i="1"/>
  <c r="GV22" i="1" a="1"/>
  <c r="GV22" i="1"/>
  <c r="GM33" i="1" a="1"/>
  <c r="GM33" i="1"/>
  <c r="LI16" i="1"/>
  <c r="QJ8" i="1"/>
  <c r="QW8" i="1" s="1" a="1"/>
  <c r="KD16" i="1"/>
  <c r="KQ16" i="1" s="1" a="1"/>
  <c r="JC10" i="1"/>
  <c r="JP10" i="1" s="1" a="1"/>
  <c r="FZ17" i="1"/>
  <c r="GM17" i="1" s="1" a="1"/>
  <c r="GM17" i="1" l="1"/>
  <c r="JP10" i="1"/>
  <c r="KQ16" i="1"/>
  <c r="QW8" i="1"/>
  <c r="MA22" i="1" a="1"/>
  <c r="MA22" i="1"/>
  <c r="OH19" i="1"/>
  <c r="LJ8" i="1" a="1"/>
  <c r="LJ8" i="1"/>
  <c r="DB11" i="1" a="1"/>
  <c r="DB11" i="1"/>
  <c r="LI8" i="1"/>
  <c r="DA11" i="1"/>
  <c r="ET23" i="1" a="1"/>
  <c r="ET23" i="1"/>
  <c r="AU16" i="1"/>
  <c r="BH16" i="1" s="1" a="1"/>
  <c r="CW10" i="1"/>
  <c r="DJ10" i="1" s="1" a="1"/>
  <c r="BV8" i="1"/>
  <c r="CI8" i="1" s="1" a="1"/>
  <c r="KH22" i="1"/>
  <c r="CI8" i="1" l="1"/>
  <c r="DJ10" i="1"/>
  <c r="BH16" i="1"/>
  <c r="HF18" i="1" a="1"/>
  <c r="HF18" i="1"/>
  <c r="FC23" i="1"/>
  <c r="KH30" i="1"/>
  <c r="DB10" i="1" a="1"/>
  <c r="DB10" i="1"/>
  <c r="CA8" i="1" a="1"/>
  <c r="CA8" i="1"/>
  <c r="T39" i="1"/>
  <c r="EY33" i="1"/>
  <c r="IG11" i="1" a="1"/>
  <c r="IG11" i="1"/>
  <c r="OC17" i="1" a="1"/>
  <c r="OC17" i="1"/>
  <c r="MA19" i="1" a="1"/>
  <c r="MA19" i="1"/>
  <c r="DS12" i="1" a="1"/>
  <c r="DS12" i="1"/>
  <c r="AP11" i="1" a="1"/>
  <c r="AP11" i="1"/>
  <c r="GV18" i="1" a="1"/>
  <c r="GV18" i="1"/>
  <c r="CR10" i="1" a="1"/>
  <c r="CR10" i="1"/>
  <c r="BQ8" i="1" a="1"/>
  <c r="BQ8" i="1"/>
  <c r="IX13" i="1" a="1"/>
  <c r="IX13" i="1"/>
  <c r="QO15" i="1" a="1"/>
  <c r="QO15" i="1"/>
  <c r="LJ16" i="1" a="1"/>
  <c r="LJ16" i="1"/>
  <c r="QN15" i="1"/>
  <c r="HA22" i="1"/>
  <c r="KZ16" i="1" a="1"/>
  <c r="KZ16" i="1" l="1"/>
  <c r="LR8" i="1" a="1"/>
  <c r="LR8" i="1"/>
  <c r="DJ11" i="1" a="1"/>
  <c r="DJ11" i="1"/>
  <c r="HA9" i="1"/>
  <c r="QJ15" i="1"/>
  <c r="QW15" i="1" s="1" a="1"/>
  <c r="JG13" i="1"/>
  <c r="KD22" i="1"/>
  <c r="KQ22" i="1" s="1" a="1"/>
  <c r="IB11" i="1"/>
  <c r="EY23" i="1"/>
  <c r="FL23" i="1" s="1" a="1"/>
  <c r="KZ8" i="1" a="1"/>
  <c r="FL23" i="1" l="1"/>
  <c r="KQ22" i="1"/>
  <c r="QW15" i="1"/>
  <c r="KZ8" i="1"/>
  <c r="CR11" i="1" a="1"/>
  <c r="CR11" i="1"/>
  <c r="DA10" i="1"/>
  <c r="BZ8" i="1"/>
  <c r="HF22" i="1" a="1"/>
  <c r="HF22" i="1"/>
  <c r="AP16" i="1" a="1"/>
  <c r="AP16" i="1"/>
  <c r="LE16" i="1"/>
  <c r="LR16" i="1" s="1" a="1"/>
  <c r="O15" i="1" a="1"/>
  <c r="LR16" i="1" l="1"/>
  <c r="O15" i="1"/>
  <c r="JY7" i="1" a="1"/>
  <c r="JY7" i="1"/>
  <c r="ET13" i="1" a="1"/>
  <c r="ET13" i="1"/>
  <c r="AP7" i="1" a="1"/>
  <c r="AP7" i="1"/>
  <c r="OH17" i="1"/>
  <c r="OU17" i="1" s="1" a="1"/>
  <c r="MF19" i="1"/>
  <c r="MS19" i="1" s="1" a="1"/>
  <c r="DX12" i="1"/>
  <c r="EK12" i="1" s="1" a="1"/>
  <c r="AU11" i="1"/>
  <c r="BH11" i="1" s="1" a="1"/>
  <c r="X15" i="1"/>
  <c r="KH7" i="1"/>
  <c r="FC13" i="1"/>
  <c r="AY7" i="1"/>
  <c r="MK22" i="1" a="1"/>
  <c r="BH11" i="1" l="1"/>
  <c r="EK12" i="1"/>
  <c r="MS19" i="1"/>
  <c r="OU17" i="1"/>
  <c r="MK22" i="1"/>
  <c r="QE8" i="1" a="1"/>
  <c r="QE8" i="1"/>
  <c r="JY16" i="1" a="1"/>
  <c r="JY16" i="1"/>
  <c r="IX10" i="1" a="1"/>
  <c r="IX10" i="1"/>
  <c r="FU17" i="1" a="1"/>
  <c r="FU17" i="1"/>
  <c r="FU33" i="1" a="1"/>
  <c r="FU33" i="1"/>
  <c r="T15" i="1"/>
  <c r="AG15" i="1" s="1" a="1"/>
  <c r="KD7" i="1"/>
  <c r="KQ7" i="1" s="1" a="1"/>
  <c r="EY13" i="1"/>
  <c r="FL13" i="1" s="1" a="1"/>
  <c r="AU7" i="1"/>
  <c r="BH7" i="1" s="1" a="1"/>
  <c r="FL33" i="1" a="1"/>
  <c r="BH7" i="1" l="1"/>
  <c r="FL13" i="1"/>
  <c r="KQ7" i="1"/>
  <c r="AG15" i="1"/>
  <c r="FL33" i="1"/>
  <c r="AG39" i="1" a="1"/>
  <c r="AG39" i="1"/>
  <c r="OU19" i="1" a="1"/>
  <c r="OU19" i="1"/>
  <c r="GD33" i="1"/>
  <c r="QO8" i="1" a="1"/>
  <c r="QO8" i="1"/>
  <c r="KI16" i="1" a="1"/>
  <c r="KI16" i="1"/>
  <c r="JH10" i="1" a="1"/>
  <c r="JH10" i="1"/>
  <c r="GE17" i="1" a="1"/>
  <c r="GE17" i="1"/>
  <c r="Y15" i="1" a="1"/>
  <c r="Y15" i="1"/>
  <c r="KI7" i="1" a="1"/>
  <c r="KI7" i="1"/>
  <c r="FD13" i="1" a="1"/>
  <c r="FD13" i="1"/>
  <c r="AZ7" i="1" a="1"/>
  <c r="AZ7" i="1"/>
  <c r="MF22" i="1"/>
  <c r="MS22" i="1" s="1" a="1"/>
  <c r="MS22" i="1" l="1"/>
  <c r="HA18" i="1"/>
  <c r="HN18" i="1" s="1" a="1"/>
  <c r="KQ30" i="1" a="1"/>
  <c r="HN18" i="1" l="1"/>
  <c r="KQ30" i="1"/>
  <c r="OL17" i="1"/>
  <c r="MJ19" i="1"/>
  <c r="EB12" i="1"/>
  <c r="AY11" i="1"/>
  <c r="DB8" i="1" a="1"/>
  <c r="DB8" i="1"/>
  <c r="KD15" i="1"/>
  <c r="OC21" i="1" a="1"/>
  <c r="OC21" i="1"/>
  <c r="OL27" i="1"/>
  <c r="MJ31" i="1"/>
  <c r="AY20" i="1"/>
  <c r="RP11" i="1" a="1"/>
  <c r="RP11" i="1"/>
  <c r="KI12" i="1" a="1"/>
  <c r="KI12" i="1"/>
  <c r="JH9" i="1" a="1"/>
  <c r="JH9" i="1"/>
  <c r="AU23" i="1"/>
  <c r="AY23" i="1"/>
  <c r="RO26" i="1"/>
  <c r="JG21" i="1"/>
  <c r="OL21" i="1"/>
  <c r="RO11" i="1"/>
  <c r="KH12" i="1"/>
  <c r="JG9" i="1"/>
  <c r="OM25" i="1" a="1"/>
  <c r="OM25" i="1"/>
  <c r="EC20" i="1" a="1"/>
  <c r="EC20" i="1"/>
  <c r="DA8" i="1"/>
  <c r="RF11" i="1" a="1"/>
  <c r="RF11" i="1"/>
  <c r="JY12" i="1" a="1"/>
  <c r="JY12" i="1"/>
  <c r="IX9" i="1" a="1"/>
  <c r="IX9" i="1"/>
  <c r="ET20" i="1" a="1"/>
  <c r="ET20" i="1"/>
  <c r="OH27" i="1"/>
  <c r="MF31" i="1"/>
  <c r="AU20" i="1"/>
  <c r="AZ23" i="1" a="1"/>
  <c r="AZ23" i="1"/>
  <c r="FC20" i="1"/>
  <c r="T13" i="1"/>
  <c r="AG13" i="1" s="1" a="1"/>
  <c r="OH15" i="1"/>
  <c r="OU15" i="1" s="1" a="1"/>
  <c r="MF16" i="1"/>
  <c r="MS16" i="1" s="1" a="1"/>
  <c r="KQ15" i="1" a="1"/>
  <c r="MS16" i="1" l="1"/>
  <c r="OU15" i="1"/>
  <c r="AG13" i="1"/>
  <c r="KQ15" i="1"/>
  <c r="RK11" i="1"/>
  <c r="KD12" i="1"/>
  <c r="JC9" i="1"/>
  <c r="OH25" i="1"/>
  <c r="OU25" i="1" s="1" a="1"/>
  <c r="DX20" i="1"/>
  <c r="EK20" i="1" s="1" a="1"/>
  <c r="OH21" i="1"/>
  <c r="X13" i="1"/>
  <c r="OL15" i="1"/>
  <c r="MJ16" i="1"/>
  <c r="KI15" i="1" a="1"/>
  <c r="EK20" i="1" l="1"/>
  <c r="OU25" i="1"/>
  <c r="KI15" i="1"/>
  <c r="OU27" i="1" a="1"/>
  <c r="OU27" i="1"/>
  <c r="MS31" i="1" a="1"/>
  <c r="MS31" i="1"/>
  <c r="BH20" i="1" a="1"/>
  <c r="BH20" i="1"/>
  <c r="EY20" i="1"/>
  <c r="FL20" i="1" s="1" a="1"/>
  <c r="CR8" i="1" a="1"/>
  <c r="FL20" i="1" l="1"/>
  <c r="CR8" i="1"/>
  <c r="OC15" i="1" a="1"/>
  <c r="OC15" i="1"/>
  <c r="O13" i="1" a="1"/>
  <c r="O13" i="1"/>
  <c r="MA16" i="1" a="1"/>
  <c r="MA16" i="1"/>
  <c r="JY15" i="1" a="1"/>
  <c r="JY15" i="1"/>
  <c r="OM21" i="1" a="1"/>
  <c r="OM21" i="1"/>
  <c r="BH23" i="1" a="1"/>
  <c r="BH23" i="1"/>
  <c r="CW8" i="1"/>
  <c r="OC27" i="1" a="1"/>
  <c r="OC27" i="1"/>
  <c r="MA31" i="1" a="1"/>
  <c r="MA31" i="1"/>
  <c r="AP20" i="1" a="1"/>
  <c r="AP20" i="1"/>
  <c r="RF26" i="1" a="1"/>
  <c r="RF26" i="1"/>
  <c r="IX21" i="1" a="1"/>
  <c r="IX21" i="1"/>
  <c r="RP26" i="1" a="1"/>
  <c r="RP26" i="1"/>
  <c r="JH21" i="1" a="1"/>
  <c r="JH21" i="1"/>
  <c r="OL25" i="1"/>
  <c r="EB20" i="1"/>
  <c r="RX11" i="1" a="1"/>
  <c r="RX11" i="1"/>
  <c r="KQ12" i="1" a="1"/>
  <c r="KQ12" i="1"/>
  <c r="JP9" i="1" a="1"/>
  <c r="JP9" i="1"/>
  <c r="RK26" i="1"/>
  <c r="JC21" i="1"/>
  <c r="AP23" i="1" a="1"/>
  <c r="AP23" i="1"/>
  <c r="FD20" i="1" a="1"/>
  <c r="FD20" i="1"/>
  <c r="KH15" i="1"/>
  <c r="OM27" i="1" a="1"/>
  <c r="OM27" i="1"/>
  <c r="MK31" i="1" a="1"/>
  <c r="MK31" i="1"/>
  <c r="AZ20" i="1" a="1"/>
  <c r="AZ20" i="1"/>
  <c r="DJ8" i="1" a="1"/>
  <c r="DJ8" i="1"/>
  <c r="OC25" i="1" a="1"/>
  <c r="OC25" i="1"/>
  <c r="DS20" i="1" a="1"/>
  <c r="DS20" i="1"/>
  <c r="Y13" i="1" a="1"/>
  <c r="Y13" i="1"/>
  <c r="OM15" i="1" a="1"/>
  <c r="OM15" i="1"/>
  <c r="MK16" i="1" a="1"/>
  <c r="MK16" i="1"/>
  <c r="RX26" i="1" a="1"/>
  <c r="RX26" i="1"/>
  <c r="JP21" i="1" a="1"/>
  <c r="JP21" i="1"/>
  <c r="OU21" i="1" a="1"/>
  <c r="OU21" i="1"/>
  <c r="RK37" i="1"/>
  <c r="RF37" i="1" a="1"/>
  <c r="RF37" i="1"/>
  <c r="X9" i="1"/>
  <c r="OL28" i="1"/>
  <c r="MJ32" i="1"/>
  <c r="EB22" i="1"/>
  <c r="T9" i="1"/>
  <c r="OH28" i="1"/>
  <c r="MF32" i="1"/>
  <c r="DX22" i="1"/>
  <c r="NG22" i="1"/>
  <c r="MF26" i="1"/>
  <c r="KH39" i="1"/>
  <c r="NT22" i="1" a="1"/>
  <c r="NT22" i="1"/>
  <c r="MS26" i="1" a="1"/>
  <c r="MS26" i="1"/>
  <c r="FZ31" i="1"/>
  <c r="GM31" i="1" s="1" a="1"/>
  <c r="EB21" i="1"/>
  <c r="KI39" i="1" a="1"/>
  <c r="GM31" i="1" l="1"/>
  <c r="KI39" i="1"/>
  <c r="OU28" i="1" a="1"/>
  <c r="OU28" i="1"/>
  <c r="MS32" i="1" a="1"/>
  <c r="MS32" i="1"/>
  <c r="EK22" i="1" a="1"/>
  <c r="EK22" i="1"/>
  <c r="AG9" i="1" a="1"/>
  <c r="AG9" i="1"/>
  <c r="NL7" i="1" a="1"/>
  <c r="NL7" i="1"/>
  <c r="PM12" i="1"/>
  <c r="HE35" i="1"/>
  <c r="GD31" i="1"/>
  <c r="RO37" i="1"/>
  <c r="NB22" i="1" a="1"/>
  <c r="NB22" i="1"/>
  <c r="MA26" i="1" a="1"/>
  <c r="MA26" i="1"/>
  <c r="NK22" i="1"/>
  <c r="MJ26" i="1"/>
  <c r="HW6" i="1" a="1"/>
  <c r="HW6" i="1"/>
  <c r="PN12" i="1" a="1"/>
  <c r="PN12" i="1"/>
  <c r="HF35" i="1" a="1"/>
  <c r="HF35" i="1"/>
  <c r="OC28" i="1" a="1"/>
  <c r="OC28" i="1"/>
  <c r="O9" i="1" a="1"/>
  <c r="O9" i="1"/>
  <c r="MA32" i="1" a="1"/>
  <c r="MA32" i="1"/>
  <c r="DS22" i="1" a="1"/>
  <c r="DS22" i="1"/>
  <c r="DX21" i="1"/>
  <c r="EK21" i="1" s="1" a="1"/>
  <c r="RK17" i="1"/>
  <c r="RX37" i="1" a="1"/>
  <c r="EK21" i="1" l="1"/>
  <c r="RX37" i="1"/>
  <c r="NK7" i="1"/>
  <c r="JY39" i="1" a="1"/>
  <c r="JY39" i="1"/>
  <c r="PI12" i="1"/>
  <c r="HA35" i="1"/>
  <c r="RP17" i="1" a="1"/>
  <c r="RP17" i="1"/>
  <c r="FU31" i="1" a="1"/>
  <c r="FU31" i="1"/>
  <c r="EC21" i="1" a="1"/>
  <c r="EC21" i="1"/>
  <c r="PD12" i="1" a="1"/>
  <c r="PD12" i="1"/>
  <c r="GV35" i="1" a="1"/>
  <c r="GV35" i="1"/>
  <c r="IF6" i="1"/>
  <c r="IG6" i="1" a="1"/>
  <c r="IG6" i="1"/>
  <c r="NB7" i="1" a="1"/>
  <c r="NB7" i="1"/>
  <c r="RO17" i="1"/>
  <c r="RF17" i="1" a="1"/>
  <c r="RF17" i="1"/>
  <c r="IB6" i="1"/>
  <c r="NG7" i="1"/>
  <c r="NT7" i="1" s="1" a="1"/>
  <c r="Y9" i="1" a="1"/>
  <c r="NT7" i="1" l="1"/>
  <c r="Y9" i="1"/>
  <c r="OM28" i="1" a="1"/>
  <c r="OM28" i="1"/>
  <c r="MK32" i="1" a="1"/>
  <c r="MK32" i="1"/>
  <c r="EC22" i="1" a="1"/>
  <c r="EC22" i="1"/>
  <c r="PV12" i="1" a="1"/>
  <c r="PV12" i="1"/>
  <c r="HN35" i="1" a="1"/>
  <c r="HN35" i="1"/>
  <c r="KD39" i="1"/>
  <c r="KQ39" i="1" s="1" a="1"/>
  <c r="GE31" i="1" a="1"/>
  <c r="KQ39" i="1" l="1"/>
  <c r="GE31" i="1"/>
  <c r="DS21" i="1" a="1"/>
  <c r="DS21" i="1"/>
  <c r="NL22" i="1" a="1"/>
  <c r="NL22" i="1"/>
  <c r="MK26" i="1" a="1"/>
  <c r="MK26" i="1"/>
  <c r="RP37" i="1" a="1"/>
  <c r="RP37" i="1"/>
  <c r="X16" i="1"/>
  <c r="FC14" i="1"/>
  <c r="IG8" i="1" a="1"/>
  <c r="IG8" i="1"/>
  <c r="X19" i="1"/>
  <c r="HE36" i="1"/>
  <c r="OC12" i="1" a="1"/>
  <c r="OC12" i="1"/>
  <c r="MA14" i="1" a="1"/>
  <c r="MA14" i="1"/>
  <c r="OM12" i="1" a="1"/>
  <c r="OM12" i="1"/>
  <c r="MK14" i="1" a="1"/>
  <c r="MK14" i="1"/>
  <c r="IF23" i="1"/>
  <c r="IB23" i="1"/>
  <c r="JC27" i="1"/>
  <c r="O16" i="1" a="1"/>
  <c r="O16" i="1"/>
  <c r="ET14" i="1" a="1"/>
  <c r="ET14" i="1"/>
  <c r="T19" i="1"/>
  <c r="HA36" i="1"/>
  <c r="DS9" i="1" a="1"/>
  <c r="DS9" i="1"/>
  <c r="RK22" i="1"/>
  <c r="RO36" i="1"/>
  <c r="JG30" i="1"/>
  <c r="RX22" i="1" a="1"/>
  <c r="RX22" i="1"/>
  <c r="X27" i="1"/>
  <c r="OL26" i="1"/>
  <c r="MJ30" i="1"/>
  <c r="AY19" i="1"/>
  <c r="DX9" i="1"/>
  <c r="RP22" i="1" a="1"/>
  <c r="RP22" i="1"/>
  <c r="JP27" i="1" a="1"/>
  <c r="JP27" i="1"/>
  <c r="HW8" i="1" a="1"/>
  <c r="HW8" i="1"/>
  <c r="OC26" i="1" a="1"/>
  <c r="OC26" i="1"/>
  <c r="O27" i="1" a="1"/>
  <c r="O27" i="1"/>
  <c r="MA30" i="1" a="1"/>
  <c r="MA30" i="1"/>
  <c r="AP19" i="1" a="1"/>
  <c r="AP19" i="1"/>
  <c r="IG23" i="1" a="1"/>
  <c r="IG23" i="1"/>
  <c r="EK9" i="1" a="1"/>
  <c r="EK9" i="1"/>
  <c r="HW23" i="1" a="1"/>
  <c r="HW23" i="1"/>
  <c r="RF36" i="1" a="1"/>
  <c r="RF36" i="1"/>
  <c r="IX30" i="1" a="1"/>
  <c r="IX30" i="1"/>
  <c r="OH12" i="1"/>
  <c r="MF14" i="1"/>
  <c r="JH27" i="1" a="1"/>
  <c r="JH27" i="1"/>
  <c r="JG27" i="1"/>
  <c r="T16" i="1"/>
  <c r="AG16" i="1" s="1" a="1"/>
  <c r="EY14" i="1"/>
  <c r="FL14" i="1" s="1" a="1"/>
  <c r="EB9" i="1"/>
  <c r="RO22" i="1"/>
  <c r="O19" i="1" a="1"/>
  <c r="FL14" i="1" l="1"/>
  <c r="AG16" i="1"/>
  <c r="O19" i="1"/>
  <c r="GV36" i="1" a="1"/>
  <c r="GV36" i="1"/>
  <c r="RK36" i="1"/>
  <c r="JC30" i="1"/>
  <c r="OL12" i="1"/>
  <c r="MJ14" i="1"/>
  <c r="IF8" i="1"/>
  <c r="Y27" i="1" a="1"/>
  <c r="Y27" i="1" l="1"/>
  <c r="OM26" i="1" a="1"/>
  <c r="OM26" i="1"/>
  <c r="MK30" i="1" a="1"/>
  <c r="MK30" i="1"/>
  <c r="AZ19" i="1" a="1"/>
  <c r="AZ19" i="1"/>
  <c r="OU12" i="1" a="1"/>
  <c r="OU12" i="1"/>
  <c r="MS14" i="1" a="1"/>
  <c r="MS14" i="1"/>
  <c r="RF22" i="1" a="1"/>
  <c r="RF22" i="1"/>
  <c r="T27" i="1"/>
  <c r="AG27" i="1" s="1" a="1"/>
  <c r="OH26" i="1"/>
  <c r="OU26" i="1" s="1" a="1"/>
  <c r="MF30" i="1"/>
  <c r="MS30" i="1" s="1" a="1"/>
  <c r="AU19" i="1"/>
  <c r="BH19" i="1" s="1" a="1"/>
  <c r="RP36" i="1" a="1"/>
  <c r="BH19" i="1" l="1"/>
  <c r="MS30" i="1"/>
  <c r="OU26" i="1"/>
  <c r="AG27" i="1"/>
  <c r="RP36" i="1"/>
  <c r="JH30" i="1" a="1"/>
  <c r="JH30" i="1"/>
  <c r="IB8" i="1"/>
  <c r="IX27" i="1" a="1"/>
  <c r="IX27" i="1" l="1"/>
  <c r="Y19" i="1" a="1"/>
  <c r="Y19" i="1"/>
  <c r="HF36" i="1" a="1"/>
  <c r="HF36" i="1"/>
  <c r="EC9" i="1" a="1"/>
  <c r="EC9" i="1"/>
  <c r="Y16" i="1" a="1"/>
  <c r="Y16" i="1"/>
  <c r="FD14" i="1" a="1"/>
  <c r="FD14" i="1"/>
  <c r="PD11" i="1" a="1"/>
  <c r="PD11" i="1"/>
  <c r="KI17" i="1" a="1"/>
  <c r="KI17" i="1"/>
  <c r="GE19" i="1" a="1"/>
  <c r="GE19" i="1"/>
  <c r="FD26" i="1" a="1"/>
  <c r="FD26" i="1"/>
  <c r="CW22" i="1"/>
  <c r="BV19" i="1"/>
  <c r="PN11" i="1" a="1"/>
  <c r="PN11" i="1"/>
  <c r="KH17" i="1"/>
  <c r="GD19" i="1"/>
  <c r="FC26" i="1"/>
  <c r="BZ6" i="1"/>
  <c r="DJ22" i="1" a="1"/>
  <c r="DJ22" i="1"/>
  <c r="CI19" i="1" a="1"/>
  <c r="CI19" i="1"/>
  <c r="AP15" i="1" a="1"/>
  <c r="AP15" i="1"/>
  <c r="X22" i="1"/>
  <c r="FC18" i="1"/>
  <c r="BQ6" i="1" a="1"/>
  <c r="BQ6" i="1"/>
  <c r="EC23" i="1" a="1"/>
  <c r="EC23" i="1"/>
  <c r="DB22" i="1" a="1"/>
  <c r="DB22" i="1"/>
  <c r="CA19" i="1" a="1"/>
  <c r="CA19" i="1"/>
  <c r="KZ10" i="1" a="1"/>
  <c r="KZ10" i="1"/>
  <c r="CR12" i="1" a="1"/>
  <c r="CR12" i="1"/>
  <c r="DS23" i="1" a="1"/>
  <c r="DS23" i="1"/>
  <c r="LJ10" i="1" a="1"/>
  <c r="LJ10" i="1"/>
  <c r="DB12" i="1" a="1"/>
  <c r="DB12" i="1"/>
  <c r="KD20" i="1"/>
  <c r="JY20" i="1" a="1"/>
  <c r="JY20" i="1"/>
  <c r="AU15" i="1"/>
  <c r="KQ20" i="1" a="1"/>
  <c r="KQ20" i="1"/>
  <c r="O22" i="1" a="1"/>
  <c r="O22" i="1"/>
  <c r="ET18" i="1" a="1"/>
  <c r="ET18" i="1"/>
  <c r="JY17" i="1" a="1"/>
  <c r="JY17" i="1"/>
  <c r="FU19" i="1" a="1"/>
  <c r="FU19" i="1"/>
  <c r="ET26" i="1" a="1"/>
  <c r="ET26" i="1"/>
  <c r="PI11" i="1"/>
  <c r="CA6" i="1" a="1"/>
  <c r="CA6" i="1"/>
  <c r="KD17" i="1"/>
  <c r="FZ19" i="1"/>
  <c r="EY26" i="1"/>
  <c r="AY15" i="1"/>
  <c r="KQ17" i="1" a="1"/>
  <c r="KQ17" i="1"/>
  <c r="GM19" i="1" a="1"/>
  <c r="GM19" i="1"/>
  <c r="FL26" i="1" a="1"/>
  <c r="FL26" i="1"/>
  <c r="AZ15" i="1" a="1"/>
  <c r="AZ15" i="1"/>
  <c r="PV11" i="1" a="1"/>
  <c r="PV11" i="1"/>
  <c r="LE10" i="1"/>
  <c r="LR10" i="1" s="1" a="1"/>
  <c r="CW12" i="1"/>
  <c r="DJ12" i="1" s="1" a="1"/>
  <c r="T22" i="1"/>
  <c r="EY18" i="1"/>
  <c r="LI10" i="1"/>
  <c r="DA12" i="1"/>
  <c r="DX23" i="1"/>
  <c r="EK23" i="1" s="1" a="1"/>
  <c r="BV6" i="1"/>
  <c r="EB23" i="1"/>
  <c r="CR22" i="1" a="1"/>
  <c r="EK23" i="1" l="1"/>
  <c r="DJ12" i="1"/>
  <c r="LR10" i="1"/>
  <c r="CR22" i="1"/>
  <c r="BQ19" i="1" a="1"/>
  <c r="BQ19" i="1"/>
  <c r="DA22" i="1"/>
  <c r="BZ19" i="1"/>
  <c r="KH20" i="1"/>
  <c r="BH15" i="1" a="1"/>
  <c r="BH15" i="1"/>
  <c r="FL18" i="1" a="1"/>
  <c r="FL18" i="1"/>
  <c r="AG22" i="1" a="1"/>
  <c r="AG22" i="1"/>
  <c r="PM11" i="1"/>
  <c r="CI6" i="1" a="1"/>
  <c r="CI6" i="1"/>
  <c r="Y22" i="1" a="1"/>
  <c r="Y22" i="1"/>
  <c r="FD18" i="1" a="1"/>
  <c r="FD18" i="1"/>
  <c r="KI20" i="1" a="1"/>
  <c r="KI20" i="1"/>
  <c r="KZ14" i="1" a="1"/>
  <c r="KZ14" i="1"/>
  <c r="CR18" i="1" a="1"/>
  <c r="CR18" i="1"/>
  <c r="DS13" i="1" a="1"/>
  <c r="DS13" i="1"/>
  <c r="X12" i="1"/>
  <c r="GD10" i="1"/>
  <c r="FC11" i="1"/>
  <c r="HW15" i="1" a="1"/>
  <c r="HW15" i="1"/>
  <c r="IF15" i="1"/>
  <c r="Y12" i="1" a="1"/>
  <c r="Y12" i="1"/>
  <c r="GE10" i="1" a="1"/>
  <c r="GE10" i="1"/>
  <c r="FD11" i="1" a="1"/>
  <c r="FD11" i="1"/>
  <c r="QE16" i="1" a="1"/>
  <c r="QE16" i="1"/>
  <c r="T36" i="1"/>
  <c r="NG8" i="1"/>
  <c r="MF11" i="1"/>
  <c r="EY30" i="1"/>
  <c r="LI14" i="1"/>
  <c r="DA18" i="1"/>
  <c r="CA14" i="1" a="1"/>
  <c r="CA14" i="1"/>
  <c r="NL16" i="1" a="1"/>
  <c r="NL16" i="1"/>
  <c r="MK18" i="1" a="1"/>
  <c r="MK18" i="1"/>
  <c r="NB16" i="1" a="1"/>
  <c r="NB16" i="1"/>
  <c r="MA18" i="1" a="1"/>
  <c r="MA18" i="1"/>
  <c r="NG16" i="1"/>
  <c r="MF18" i="1"/>
  <c r="EC13" i="1" a="1"/>
  <c r="EC13" i="1"/>
  <c r="T12" i="1"/>
  <c r="FZ10" i="1"/>
  <c r="EY11" i="1"/>
  <c r="QO16" i="1" a="1"/>
  <c r="QO16" i="1"/>
  <c r="IG18" i="1" a="1"/>
  <c r="IG18" i="1"/>
  <c r="IF18" i="1"/>
  <c r="GV13" i="1" a="1"/>
  <c r="GV13" i="1"/>
  <c r="BV14" i="1"/>
  <c r="CI14" i="1" s="1" a="1"/>
  <c r="LJ14" i="1" a="1"/>
  <c r="CI14" i="1" l="1"/>
  <c r="LJ14" i="1"/>
  <c r="DB18" i="1" a="1"/>
  <c r="DB18" i="1"/>
  <c r="O12" i="1" a="1"/>
  <c r="O12" i="1"/>
  <c r="FU10" i="1" a="1"/>
  <c r="FU10" i="1"/>
  <c r="ET11" i="1" a="1"/>
  <c r="ET11" i="1"/>
  <c r="Y36" i="1" a="1"/>
  <c r="Y36" i="1"/>
  <c r="NL8" i="1" a="1"/>
  <c r="NL8" i="1"/>
  <c r="MK11" i="1" a="1"/>
  <c r="MK11" i="1"/>
  <c r="FD30" i="1" a="1"/>
  <c r="FD30" i="1"/>
  <c r="X36" i="1"/>
  <c r="NK8" i="1"/>
  <c r="MJ11" i="1"/>
  <c r="FC30" i="1"/>
  <c r="IB15" i="1"/>
  <c r="DX13" i="1"/>
  <c r="BQ14" i="1" a="1"/>
  <c r="BQ14" i="1"/>
  <c r="QN16" i="1"/>
  <c r="HF13" i="1" a="1"/>
  <c r="HF13" i="1"/>
  <c r="EK13" i="1" a="1"/>
  <c r="EK13" i="1"/>
  <c r="HA13" i="1"/>
  <c r="IB18" i="1"/>
  <c r="NK16" i="1"/>
  <c r="MJ18" i="1"/>
  <c r="NT8" i="1" a="1"/>
  <c r="NT8" i="1"/>
  <c r="MS11" i="1" a="1"/>
  <c r="MS11" i="1"/>
  <c r="FL30" i="1" a="1"/>
  <c r="FL30" i="1"/>
  <c r="AG36" i="1" a="1"/>
  <c r="AG36" i="1"/>
  <c r="QJ16" i="1"/>
  <c r="QW16" i="1" s="1" a="1"/>
  <c r="LE14" i="1"/>
  <c r="LR14" i="1" s="1" a="1"/>
  <c r="CW18" i="1"/>
  <c r="DJ18" i="1" s="1" a="1"/>
  <c r="IG15" i="1" a="1"/>
  <c r="DJ18" i="1" l="1"/>
  <c r="LR14" i="1"/>
  <c r="QW16" i="1"/>
  <c r="IG15" i="1"/>
  <c r="NT16" i="1" a="1"/>
  <c r="NT16" i="1"/>
  <c r="MS18" i="1" a="1"/>
  <c r="MS18" i="1"/>
  <c r="EB13" i="1"/>
  <c r="GM10" i="1" a="1"/>
  <c r="GM10" i="1"/>
  <c r="FL11" i="1" a="1"/>
  <c r="FL11" i="1"/>
  <c r="AG12" i="1" a="1"/>
  <c r="AG12" i="1"/>
  <c r="HW18" i="1" a="1"/>
  <c r="HW18" i="1"/>
  <c r="BZ14" i="1"/>
  <c r="O36" i="1" a="1"/>
  <c r="O36" i="1"/>
  <c r="NB8" i="1" a="1"/>
  <c r="NB8" i="1"/>
  <c r="MA11" i="1" a="1"/>
  <c r="MA11" i="1"/>
  <c r="ET30" i="1" a="1"/>
  <c r="ET30" i="1"/>
  <c r="HE13" i="1"/>
  <c r="KD31" i="1"/>
  <c r="RF24" i="1" a="1"/>
  <c r="RF24" i="1"/>
  <c r="IX20" i="1" a="1"/>
  <c r="IX20" i="1"/>
  <c r="JY31" i="1" a="1"/>
  <c r="JY31" i="1"/>
  <c r="RK19" i="1"/>
  <c r="KD26" i="1"/>
  <c r="JC17" i="1"/>
  <c r="HF34" i="1" a="1"/>
  <c r="HF34" i="1"/>
  <c r="O31" i="1" a="1"/>
  <c r="O31" i="1"/>
  <c r="FU24" i="1" a="1"/>
  <c r="FU24" i="1"/>
  <c r="T37" i="1"/>
  <c r="HA34" i="1"/>
  <c r="NL15" i="1" a="1"/>
  <c r="NL15" i="1"/>
  <c r="RP19" i="1" a="1"/>
  <c r="RP19" i="1"/>
  <c r="KI26" i="1" a="1"/>
  <c r="KI26" i="1"/>
  <c r="JH17" i="1" a="1"/>
  <c r="JH17" i="1"/>
  <c r="AG37" i="1" a="1"/>
  <c r="AG37" i="1"/>
  <c r="HW17" i="1" a="1"/>
  <c r="HW17" i="1"/>
  <c r="NG15" i="1"/>
  <c r="NT15" i="1" a="1"/>
  <c r="NT15" i="1"/>
  <c r="GV34" i="1" a="1"/>
  <c r="GV34" i="1"/>
  <c r="RK24" i="1"/>
  <c r="JC20" i="1"/>
  <c r="RF19" i="1" a="1"/>
  <c r="RF19" i="1"/>
  <c r="JY26" i="1" a="1"/>
  <c r="JY26" i="1"/>
  <c r="IX17" i="1" a="1"/>
  <c r="IX17" i="1"/>
  <c r="NB9" i="1" a="1"/>
  <c r="NB9" i="1"/>
  <c r="RO24" i="1"/>
  <c r="JG20" i="1"/>
  <c r="NG9" i="1"/>
  <c r="NB15" i="1" a="1"/>
  <c r="NB15" i="1"/>
  <c r="O37" i="1" a="1"/>
  <c r="O37" i="1"/>
  <c r="OH29" i="1"/>
  <c r="MF34" i="1"/>
  <c r="T31" i="1"/>
  <c r="FZ24" i="1"/>
  <c r="IF17" i="1"/>
  <c r="HE34" i="1"/>
  <c r="NK9" i="1"/>
  <c r="X31" i="1"/>
  <c r="GD24" i="1"/>
  <c r="X37" i="1"/>
  <c r="OC29" i="1" a="1"/>
  <c r="OC29" i="1"/>
  <c r="MA34" i="1" a="1"/>
  <c r="MA34" i="1"/>
  <c r="KI31" i="1" a="1"/>
  <c r="KI31" i="1"/>
  <c r="NL9" i="1" a="1"/>
  <c r="NL9" i="1"/>
  <c r="OM29" i="1" a="1"/>
  <c r="OM29" i="1"/>
  <c r="MK34" i="1" a="1"/>
  <c r="MK34" i="1"/>
  <c r="RO19" i="1"/>
  <c r="KH26" i="1"/>
  <c r="JG17" i="1"/>
  <c r="RX24" i="1" a="1"/>
  <c r="RX24" i="1"/>
  <c r="JP20" i="1" a="1"/>
  <c r="JP20" i="1"/>
  <c r="KH31" i="1"/>
  <c r="IB17" i="1"/>
  <c r="OL29" i="1"/>
  <c r="MJ34" i="1"/>
  <c r="IG17" i="1" a="1"/>
  <c r="IG17" i="1" l="1"/>
  <c r="Y37" i="1" a="1"/>
  <c r="Y37" i="1"/>
  <c r="RX19" i="1" a="1"/>
  <c r="RX19" i="1"/>
  <c r="KQ26" i="1" a="1"/>
  <c r="KQ26" i="1"/>
  <c r="JP17" i="1" a="1"/>
  <c r="JP17" i="1"/>
  <c r="Y31" i="1" a="1"/>
  <c r="Y31" i="1"/>
  <c r="GE24" i="1" a="1"/>
  <c r="GE24" i="1"/>
  <c r="RP24" i="1" a="1"/>
  <c r="RP24" i="1"/>
  <c r="JH20" i="1" a="1"/>
  <c r="JH20" i="1"/>
  <c r="KQ31" i="1" a="1"/>
  <c r="KQ31" i="1"/>
  <c r="OU29" i="1" a="1"/>
  <c r="OU29" i="1"/>
  <c r="MS34" i="1" a="1"/>
  <c r="MS34" i="1"/>
  <c r="NK15" i="1"/>
  <c r="NT9" i="1" a="1"/>
  <c r="NT9" i="1"/>
  <c r="EC6" i="1" a="1"/>
  <c r="EC6" i="1"/>
  <c r="DB15" i="1" a="1"/>
  <c r="DB15" i="1"/>
  <c r="CR15" i="1" a="1"/>
  <c r="CR15" i="1"/>
  <c r="HF15" i="1" a="1"/>
  <c r="HF15" i="1"/>
  <c r="FZ11" i="1"/>
  <c r="RO6" i="1"/>
  <c r="KH6" i="1"/>
  <c r="OC24" i="1" a="1"/>
  <c r="OC24" i="1"/>
  <c r="MA29" i="1" a="1"/>
  <c r="MA29" i="1"/>
  <c r="RK18" i="1"/>
  <c r="HW21" i="1" a="1"/>
  <c r="HW21" i="1"/>
  <c r="OL24" i="1"/>
  <c r="MJ29" i="1"/>
  <c r="OH24" i="1"/>
  <c r="MF29" i="1"/>
  <c r="RP6" i="1" a="1"/>
  <c r="RP6" i="1"/>
  <c r="KI6" i="1" a="1"/>
  <c r="KI6" i="1"/>
  <c r="DS6" i="1" a="1"/>
  <c r="DS6" i="1"/>
  <c r="RO18" i="1"/>
  <c r="RK6" i="1"/>
  <c r="KD6" i="1"/>
  <c r="CW15" i="1"/>
  <c r="DJ15" i="1" a="1"/>
  <c r="DJ15" i="1"/>
  <c r="GE11" i="1" a="1"/>
  <c r="GE11" i="1"/>
  <c r="RF6" i="1" a="1"/>
  <c r="RF6" i="1"/>
  <c r="JY6" i="1" a="1"/>
  <c r="JY6" i="1"/>
  <c r="IG21" i="1" a="1"/>
  <c r="IG21" i="1"/>
  <c r="IF21" i="1"/>
  <c r="DX6" i="1"/>
  <c r="EK6" i="1" s="1" a="1"/>
  <c r="KI13" i="1" a="1"/>
  <c r="EK6" i="1" l="1"/>
  <c r="KI13" i="1"/>
  <c r="GM11" i="1" a="1"/>
  <c r="GM11" i="1"/>
  <c r="CR16" i="1" a="1"/>
  <c r="CR16" i="1"/>
  <c r="BQ15" i="1" a="1"/>
  <c r="BQ15" i="1"/>
  <c r="KD13" i="1"/>
  <c r="KQ13" i="1" s="1" a="1"/>
  <c r="GV15" i="1" a="1"/>
  <c r="KQ13" i="1" l="1"/>
  <c r="GV15" i="1"/>
  <c r="RP18" i="1" a="1"/>
  <c r="RP18" i="1"/>
  <c r="HE15" i="1"/>
  <c r="FU11" i="1" a="1"/>
  <c r="FU11" i="1"/>
  <c r="OM24" i="1" a="1"/>
  <c r="OM24" i="1"/>
  <c r="MK29" i="1" a="1"/>
  <c r="MK29" i="1"/>
  <c r="DB16" i="1" a="1"/>
  <c r="DB16" i="1"/>
  <c r="CA15" i="1" a="1"/>
  <c r="CA15" i="1"/>
  <c r="JY13" i="1" a="1"/>
  <c r="JY13" i="1"/>
  <c r="RX18" i="1" a="1"/>
  <c r="RX18" i="1"/>
  <c r="DA16" i="1"/>
  <c r="BZ15" i="1"/>
  <c r="KH13" i="1"/>
  <c r="RX6" i="1" a="1"/>
  <c r="RX6" i="1"/>
  <c r="KQ6" i="1" a="1"/>
  <c r="KQ6" i="1"/>
  <c r="IB21" i="1"/>
  <c r="HA15" i="1"/>
  <c r="HN15" i="1" s="1" a="1"/>
  <c r="GD11" i="1"/>
  <c r="DA15" i="1"/>
  <c r="EB6" i="1"/>
  <c r="RF18" i="1" a="1"/>
  <c r="HN15" i="1" l="1"/>
  <c r="RF18" i="1"/>
  <c r="OU24" i="1" a="1"/>
  <c r="OU24" i="1"/>
  <c r="MS29" i="1" a="1"/>
  <c r="MS29" i="1"/>
  <c r="CW16" i="1"/>
  <c r="DJ16" i="1" s="1" a="1"/>
  <c r="BV15" i="1"/>
  <c r="CI15" i="1" s="1" a="1"/>
  <c r="O34" i="1" a="1"/>
  <c r="CI15" i="1" l="1"/>
  <c r="DJ16" i="1"/>
  <c r="O34" i="1"/>
  <c r="ET29" i="1" a="1"/>
  <c r="ET29" i="1"/>
  <c r="EB18" i="1"/>
  <c r="DB20" i="1" a="1"/>
  <c r="DB20" i="1"/>
  <c r="IG20" i="1" a="1"/>
  <c r="IG20" i="1"/>
  <c r="QE25" i="1" a="1"/>
  <c r="QE25" i="1"/>
  <c r="OC7" i="1" a="1"/>
  <c r="OC7" i="1"/>
  <c r="O23" i="1" a="1"/>
  <c r="O23" i="1"/>
  <c r="MA6" i="1" a="1"/>
  <c r="MA6" i="1"/>
  <c r="NB27" i="1" a="1"/>
  <c r="NB27" i="1"/>
  <c r="RK20" i="1"/>
  <c r="X38" i="1"/>
  <c r="OL11" i="1"/>
  <c r="T38" i="1"/>
  <c r="OH11" i="1"/>
  <c r="NK27" i="1"/>
  <c r="BV13" i="1"/>
  <c r="CI13" i="1" a="1"/>
  <c r="CI13" i="1"/>
  <c r="IF20" i="1"/>
  <c r="HW20" i="1" a="1"/>
  <c r="HW20" i="1"/>
  <c r="CR20" i="1" a="1"/>
  <c r="CR20" i="1"/>
  <c r="CA13" i="1" a="1"/>
  <c r="CA13" i="1"/>
  <c r="RP20" i="1" a="1"/>
  <c r="RP20" i="1"/>
  <c r="QN25" i="1"/>
  <c r="X34" i="1"/>
  <c r="FC29" i="1"/>
  <c r="DS18" i="1" a="1"/>
  <c r="DS18" i="1"/>
  <c r="T34" i="1"/>
  <c r="EY29" i="1"/>
  <c r="DX18" i="1"/>
  <c r="EK18" i="1" s="1" a="1"/>
  <c r="BQ13" i="1" a="1"/>
  <c r="EK18" i="1" l="1"/>
  <c r="BQ13" i="1"/>
  <c r="RO20" i="1"/>
  <c r="CW20" i="1"/>
  <c r="QJ25" i="1"/>
  <c r="OU11" i="1" a="1"/>
  <c r="OU11" i="1"/>
  <c r="AG38" i="1" a="1"/>
  <c r="AG38" i="1"/>
  <c r="T23" i="1"/>
  <c r="AG23" i="1" s="1" a="1"/>
  <c r="OH7" i="1"/>
  <c r="OU7" i="1" s="1" a="1"/>
  <c r="MF6" i="1"/>
  <c r="MS6" i="1" s="1" a="1"/>
  <c r="FL29" i="1" a="1"/>
  <c r="MS6" i="1" l="1"/>
  <c r="OU7" i="1"/>
  <c r="AG23" i="1"/>
  <c r="FL29" i="1"/>
  <c r="AG34" i="1" a="1"/>
  <c r="AG34" i="1"/>
  <c r="NL27" i="1" a="1"/>
  <c r="NL27" i="1"/>
  <c r="X23" i="1"/>
  <c r="OL7" i="1"/>
  <c r="MJ6" i="1"/>
  <c r="DA20" i="1"/>
  <c r="OC11" i="1" a="1"/>
  <c r="OC11" i="1"/>
  <c r="O38" i="1" a="1"/>
  <c r="O38" i="1"/>
  <c r="QO25" i="1" a="1"/>
  <c r="QO25" i="1"/>
  <c r="RF20" i="1" a="1"/>
  <c r="RF20" i="1"/>
  <c r="IB20" i="1"/>
  <c r="NG27" i="1"/>
  <c r="NT27" i="1" s="1" a="1"/>
  <c r="EC18" i="1" a="1"/>
  <c r="NT27" i="1" l="1"/>
  <c r="EC18" i="1"/>
  <c r="BZ13" i="1"/>
  <c r="RX20" i="1" a="1"/>
  <c r="RX20" i="1"/>
  <c r="Y23" i="1" a="1"/>
  <c r="Y23" i="1"/>
  <c r="OM7" i="1" a="1"/>
  <c r="OM7" i="1"/>
  <c r="MK6" i="1" a="1"/>
  <c r="MK6" i="1"/>
  <c r="QW25" i="1" a="1"/>
  <c r="QW25" i="1"/>
  <c r="Y34" i="1" a="1"/>
  <c r="Y34" i="1"/>
  <c r="FD29" i="1" a="1"/>
  <c r="FD29" i="1"/>
  <c r="DJ20" i="1" a="1"/>
  <c r="DJ20" i="1"/>
  <c r="Y38" i="1" a="1"/>
  <c r="Y38" i="1"/>
  <c r="OM11" i="1" a="1"/>
  <c r="OM11" i="1"/>
  <c r="PM29" i="1"/>
  <c r="BZ21" i="1"/>
  <c r="IF28" i="1"/>
  <c r="CL4" i="3"/>
  <c r="CM4" i="3"/>
  <c r="CN4" i="3"/>
  <c r="CT4" i="3"/>
  <c r="CL5" i="3"/>
  <c r="CM5" i="3"/>
  <c r="CN5" i="3"/>
  <c r="CT5" i="3"/>
  <c r="CL6" i="3"/>
  <c r="CM6" i="3"/>
  <c r="CN6" i="3"/>
  <c r="CT6" i="3"/>
  <c r="CL7" i="3"/>
  <c r="CM7" i="3"/>
  <c r="CN7" i="3"/>
  <c r="CT7" i="3"/>
  <c r="CL8" i="3"/>
  <c r="CM8" i="3"/>
  <c r="CN8" i="3"/>
  <c r="CT8" i="3"/>
  <c r="CL9" i="3"/>
  <c r="CM9" i="3"/>
  <c r="CN9" i="3"/>
  <c r="CT9" i="3"/>
  <c r="CL10" i="3"/>
  <c r="CM10" i="3"/>
  <c r="CN10" i="3"/>
  <c r="CT10" i="3"/>
  <c r="CL11" i="3"/>
  <c r="CM11" i="3"/>
  <c r="CN11" i="3"/>
  <c r="CT11" i="3"/>
  <c r="CL12" i="3"/>
  <c r="CM12" i="3"/>
  <c r="CN12" i="3"/>
  <c r="CT12" i="3"/>
  <c r="CL13" i="3"/>
  <c r="CM13" i="3"/>
  <c r="CN13" i="3"/>
  <c r="CT13" i="3"/>
  <c r="CL14" i="3"/>
  <c r="CM14" i="3"/>
  <c r="CN14" i="3"/>
  <c r="CT14" i="3"/>
  <c r="CL15" i="3"/>
  <c r="CM15" i="3"/>
  <c r="CN15" i="3"/>
  <c r="CT15" i="3"/>
  <c r="CL16" i="3"/>
  <c r="CM16" i="3"/>
  <c r="CN16" i="3"/>
  <c r="CT16" i="3"/>
  <c r="CL17" i="3"/>
  <c r="CM17" i="3"/>
  <c r="CN17" i="3"/>
  <c r="CT17" i="3"/>
  <c r="CL18" i="3"/>
  <c r="CM18" i="3"/>
  <c r="CN18" i="3"/>
  <c r="CT18" i="3"/>
  <c r="CL19" i="3"/>
  <c r="CM19" i="3"/>
  <c r="CN19" i="3"/>
  <c r="CT19" i="3"/>
  <c r="CL20" i="3"/>
  <c r="CM20" i="3"/>
  <c r="CN20" i="3"/>
  <c r="CT20" i="3"/>
  <c r="CL21" i="3"/>
  <c r="CM21" i="3"/>
  <c r="CN21" i="3"/>
  <c r="CT21" i="3"/>
  <c r="CL22" i="3"/>
  <c r="CM22" i="3"/>
  <c r="CN22" i="3"/>
  <c r="CT22" i="3"/>
  <c r="CL23" i="3"/>
  <c r="CM23" i="3"/>
  <c r="CN23" i="3"/>
  <c r="CT23" i="3"/>
  <c r="IM14" i="1" l="1"/>
  <c r="IP14" i="1" l="1"/>
  <c r="IV14" i="1" l="1"/>
  <c r="J37" i="3" l="1"/>
  <c r="J36" i="3"/>
  <c r="EL35" i="3"/>
  <c r="DP35" i="3"/>
  <c r="CI33" i="3"/>
  <c r="J33" i="3"/>
  <c r="EL32" i="3"/>
  <c r="DP32" i="3"/>
  <c r="CI32" i="3"/>
  <c r="J31" i="3"/>
  <c r="EL30" i="3"/>
  <c r="DP30" i="3"/>
  <c r="J30" i="3"/>
  <c r="EL29" i="3"/>
  <c r="CI29" i="3"/>
  <c r="EL28" i="3"/>
  <c r="DP28" i="3"/>
  <c r="CI28" i="3"/>
  <c r="BM28" i="3"/>
  <c r="BB17" i="3"/>
  <c r="DP27" i="3"/>
  <c r="DE27" i="3"/>
  <c r="J27" i="3"/>
  <c r="FH26" i="3"/>
  <c r="EL26" i="3"/>
  <c r="J26" i="3"/>
  <c r="EL25" i="3"/>
  <c r="DP25" i="3"/>
  <c r="CI25" i="3"/>
  <c r="BX25" i="3"/>
  <c r="BM25" i="3"/>
  <c r="FH24" i="3"/>
  <c r="EL24" i="3"/>
  <c r="DP24" i="3"/>
  <c r="BX24" i="3"/>
  <c r="BM24" i="3"/>
  <c r="J24" i="3"/>
  <c r="DP23" i="3"/>
  <c r="DE23" i="3"/>
  <c r="BX23" i="3"/>
  <c r="BM23" i="3"/>
  <c r="FH22" i="3"/>
  <c r="DP22" i="3"/>
  <c r="DE22" i="3"/>
  <c r="BX22" i="3"/>
  <c r="EL21" i="3"/>
  <c r="CI21" i="3"/>
  <c r="BX21" i="3"/>
  <c r="EL20" i="3"/>
  <c r="FS19" i="3"/>
  <c r="FH19" i="3"/>
  <c r="DP19" i="3"/>
  <c r="DE19" i="3"/>
  <c r="U19" i="3"/>
  <c r="FH18" i="3"/>
  <c r="EL18" i="3"/>
  <c r="J18" i="3"/>
  <c r="EW17" i="3"/>
  <c r="CI17" i="3"/>
  <c r="DE16" i="3"/>
  <c r="CI16" i="3"/>
  <c r="BX16" i="3"/>
  <c r="BM16" i="3"/>
  <c r="BB16" i="3"/>
  <c r="AF16" i="3"/>
  <c r="EL15" i="3"/>
  <c r="CI15" i="3"/>
  <c r="BX15" i="3"/>
  <c r="BM15" i="3"/>
  <c r="U15" i="3"/>
  <c r="J15" i="3"/>
  <c r="GD14" i="3"/>
  <c r="FH14" i="3"/>
  <c r="EL14" i="3"/>
  <c r="DP14" i="3"/>
  <c r="AF14" i="3"/>
  <c r="U14" i="3"/>
  <c r="J14" i="3"/>
  <c r="GD13" i="3"/>
  <c r="FH13" i="3"/>
  <c r="EW13" i="3"/>
  <c r="EL13" i="3"/>
  <c r="BX13" i="3"/>
  <c r="BM13" i="3"/>
  <c r="AF13" i="3"/>
  <c r="U13" i="3"/>
  <c r="FH12" i="3"/>
  <c r="DP12" i="3"/>
  <c r="DE12" i="3"/>
  <c r="CI12" i="3"/>
  <c r="BX12" i="3"/>
  <c r="BB12" i="3"/>
  <c r="AF12" i="3"/>
  <c r="U12" i="3"/>
  <c r="J12" i="3"/>
  <c r="EL11" i="3"/>
  <c r="DP11" i="3"/>
  <c r="BM11" i="3"/>
  <c r="BB11" i="3"/>
  <c r="FH10" i="3"/>
  <c r="EW10" i="3"/>
  <c r="CI10" i="3"/>
  <c r="BX10" i="3"/>
  <c r="FS9" i="3"/>
  <c r="EA9" i="3"/>
  <c r="DP9" i="3"/>
  <c r="DE9" i="3"/>
  <c r="AF9" i="3"/>
  <c r="EL8" i="3"/>
  <c r="DE8" i="3"/>
  <c r="CI8" i="3"/>
  <c r="BX8" i="3"/>
  <c r="BM8" i="3"/>
  <c r="BB8" i="3"/>
  <c r="AF8" i="3"/>
  <c r="DP7" i="3"/>
  <c r="BX7" i="3"/>
  <c r="BM7" i="3"/>
  <c r="BB7" i="3"/>
  <c r="AF7" i="3"/>
  <c r="EL6" i="3"/>
  <c r="J6" i="3"/>
  <c r="GD5" i="3"/>
  <c r="FS5" i="3"/>
  <c r="FH5" i="3"/>
  <c r="CI5" i="3"/>
  <c r="AQ5" i="3"/>
  <c r="AF5" i="3"/>
  <c r="U5" i="3"/>
  <c r="J5" i="3"/>
  <c r="GD4" i="3"/>
  <c r="FH4" i="3"/>
  <c r="EA4" i="3"/>
  <c r="DP4" i="3"/>
  <c r="AF4" i="3"/>
  <c r="U4" i="3"/>
  <c r="GD3" i="3"/>
  <c r="FH3" i="3"/>
  <c r="MB14" i="30"/>
  <c r="LQ14" i="30"/>
  <c r="LQ13" i="30"/>
  <c r="MB9" i="30"/>
  <c r="LQ9" i="30"/>
  <c r="MB8" i="30"/>
  <c r="KU8" i="30"/>
  <c r="MB7" i="30"/>
  <c r="LQ6" i="30"/>
  <c r="MB4" i="30"/>
  <c r="LF4" i="30"/>
  <c r="KU3" i="30"/>
  <c r="KJ16" i="30"/>
  <c r="JY16" i="30"/>
  <c r="KJ15" i="30"/>
  <c r="JY15" i="30"/>
  <c r="KJ14" i="30"/>
  <c r="JY14" i="30"/>
  <c r="KJ13" i="30"/>
  <c r="JN11" i="30"/>
  <c r="KJ10" i="30"/>
  <c r="JC10" i="30"/>
  <c r="KJ9" i="30"/>
  <c r="JY6" i="30"/>
  <c r="JC6" i="30"/>
  <c r="JY5" i="30"/>
  <c r="HK9" i="30"/>
  <c r="HK6" i="30"/>
  <c r="HK5" i="30"/>
  <c r="GO10" i="30"/>
  <c r="GO8" i="30"/>
  <c r="FS10" i="30"/>
  <c r="FS8" i="30"/>
  <c r="FS7" i="30"/>
  <c r="FS5" i="30"/>
  <c r="EL8" i="30"/>
  <c r="FH8" i="30"/>
  <c r="EW18" i="30"/>
  <c r="EA18" i="30"/>
  <c r="EW17" i="30"/>
  <c r="FH5" i="30"/>
  <c r="EL15" i="30"/>
  <c r="EL14" i="30"/>
  <c r="FH3" i="30"/>
  <c r="EW13" i="30"/>
  <c r="EL13" i="30"/>
  <c r="EA11" i="30"/>
  <c r="EA10" i="30"/>
  <c r="DP9" i="30"/>
  <c r="EL9" i="30"/>
  <c r="DP5" i="30"/>
  <c r="DP4" i="30"/>
  <c r="EA4" i="30"/>
  <c r="CI8" i="30"/>
  <c r="CI19" i="30"/>
  <c r="BX19" i="30"/>
  <c r="CI18" i="30"/>
  <c r="CI17" i="30"/>
  <c r="DE5" i="30"/>
  <c r="DE4" i="30"/>
  <c r="CT15" i="30"/>
  <c r="BX15" i="30"/>
  <c r="CT14" i="30"/>
  <c r="BX14" i="30"/>
  <c r="BM11" i="30"/>
  <c r="CI10" i="30"/>
  <c r="CT9" i="30"/>
  <c r="CI9" i="30"/>
  <c r="BX9" i="30"/>
  <c r="CT8" i="30"/>
  <c r="CT7" i="30"/>
  <c r="CT6" i="30"/>
  <c r="CT5" i="30"/>
  <c r="BX5" i="30"/>
  <c r="CI4" i="30"/>
  <c r="BX3" i="30"/>
  <c r="BB6" i="30"/>
  <c r="AQ13" i="30"/>
  <c r="AF13" i="30"/>
  <c r="U13" i="30"/>
  <c r="BB3" i="30"/>
  <c r="AF11" i="30"/>
  <c r="AQ9" i="30"/>
  <c r="AQ6" i="30"/>
  <c r="U6" i="30"/>
  <c r="J6" i="30"/>
  <c r="AQ5" i="30"/>
  <c r="U3" i="30"/>
  <c r="D37" i="3"/>
  <c r="C37" i="3"/>
  <c r="B37" i="3"/>
  <c r="D36" i="3"/>
  <c r="C36" i="3"/>
  <c r="B36" i="3"/>
  <c r="EF35" i="3"/>
  <c r="EE35" i="3"/>
  <c r="ED35" i="3"/>
  <c r="DJ35" i="3"/>
  <c r="DI35" i="3"/>
  <c r="DH35" i="3"/>
  <c r="CI35" i="3"/>
  <c r="CC35" i="3"/>
  <c r="CB35" i="3"/>
  <c r="CA35" i="3"/>
  <c r="J35" i="3"/>
  <c r="D35" i="3"/>
  <c r="C35" i="3"/>
  <c r="B35" i="3"/>
  <c r="EL34" i="3"/>
  <c r="EF34" i="3"/>
  <c r="EE34" i="3"/>
  <c r="ED34" i="3"/>
  <c r="DP34" i="3"/>
  <c r="DJ34" i="3"/>
  <c r="DI34" i="3"/>
  <c r="DH34" i="3"/>
  <c r="CC34" i="3"/>
  <c r="CB34" i="3"/>
  <c r="CA34" i="3"/>
  <c r="D34" i="3"/>
  <c r="C34" i="3"/>
  <c r="B34" i="3"/>
  <c r="EF33" i="3"/>
  <c r="EE33" i="3"/>
  <c r="ED33" i="3"/>
  <c r="DP33" i="3"/>
  <c r="DJ33" i="3"/>
  <c r="DI33" i="3"/>
  <c r="DH33" i="3"/>
  <c r="CC33" i="3"/>
  <c r="CB33" i="3"/>
  <c r="CA33" i="3"/>
  <c r="D33" i="3"/>
  <c r="C33" i="3"/>
  <c r="B33" i="3"/>
  <c r="EF32" i="3"/>
  <c r="EE32" i="3"/>
  <c r="ED32" i="3"/>
  <c r="DJ32" i="3"/>
  <c r="DI32" i="3"/>
  <c r="DH32" i="3"/>
  <c r="CC32" i="3"/>
  <c r="CB32" i="3"/>
  <c r="CA32" i="3"/>
  <c r="D32" i="3"/>
  <c r="C32" i="3"/>
  <c r="B32" i="3"/>
  <c r="EL31" i="3"/>
  <c r="EF31" i="3"/>
  <c r="EE31" i="3"/>
  <c r="ED31" i="3"/>
  <c r="DJ31" i="3"/>
  <c r="DI31" i="3"/>
  <c r="DH31" i="3"/>
  <c r="CI31" i="3"/>
  <c r="CC31" i="3"/>
  <c r="CB31" i="3"/>
  <c r="CA31" i="3"/>
  <c r="BR31" i="3"/>
  <c r="BQ31" i="3"/>
  <c r="BP31" i="3"/>
  <c r="D31" i="3"/>
  <c r="C31" i="3"/>
  <c r="B31" i="3"/>
  <c r="EF30" i="3"/>
  <c r="EE30" i="3"/>
  <c r="ED30" i="3"/>
  <c r="DJ30" i="3"/>
  <c r="DI30" i="3"/>
  <c r="DH30" i="3"/>
  <c r="CI30" i="3"/>
  <c r="CC30" i="3"/>
  <c r="CB30" i="3"/>
  <c r="CA30" i="3"/>
  <c r="BR30" i="3"/>
  <c r="BQ30" i="3"/>
  <c r="BP30" i="3"/>
  <c r="BG30" i="3"/>
  <c r="BF30" i="3"/>
  <c r="BE30" i="3"/>
  <c r="D30" i="3"/>
  <c r="C30" i="3"/>
  <c r="B30" i="3"/>
  <c r="EF29" i="3"/>
  <c r="EE29" i="3"/>
  <c r="ED29" i="3"/>
  <c r="DJ29" i="3"/>
  <c r="DI29" i="3"/>
  <c r="DH29" i="3"/>
  <c r="CC29" i="3"/>
  <c r="CB29" i="3"/>
  <c r="CA29" i="3"/>
  <c r="BR29" i="3"/>
  <c r="BQ29" i="3"/>
  <c r="BP29" i="3"/>
  <c r="BG29" i="3"/>
  <c r="BF29" i="3"/>
  <c r="BE29" i="3"/>
  <c r="J29" i="3"/>
  <c r="D29" i="3"/>
  <c r="C29" i="3"/>
  <c r="B29" i="3"/>
  <c r="FB28" i="3"/>
  <c r="FA28" i="3"/>
  <c r="EZ28" i="3"/>
  <c r="EF28" i="3"/>
  <c r="EE28" i="3"/>
  <c r="ED28" i="3"/>
  <c r="DJ28" i="3"/>
  <c r="DI28" i="3"/>
  <c r="DH28" i="3"/>
  <c r="CC28" i="3"/>
  <c r="CB28" i="3"/>
  <c r="CA28" i="3"/>
  <c r="BX28" i="3"/>
  <c r="BR28" i="3"/>
  <c r="BQ28" i="3"/>
  <c r="BP28" i="3"/>
  <c r="BG28" i="3"/>
  <c r="BF28" i="3"/>
  <c r="BE28" i="3"/>
  <c r="J28" i="3"/>
  <c r="D28" i="3"/>
  <c r="C28" i="3"/>
  <c r="B28" i="3"/>
  <c r="FH27" i="3"/>
  <c r="FB27" i="3"/>
  <c r="FA27" i="3"/>
  <c r="EZ27" i="3"/>
  <c r="EQ27" i="3"/>
  <c r="EP27" i="3"/>
  <c r="EO27" i="3"/>
  <c r="EL27" i="3"/>
  <c r="EF27" i="3"/>
  <c r="EE27" i="3"/>
  <c r="ED27" i="3"/>
  <c r="DJ27" i="3"/>
  <c r="DI27" i="3"/>
  <c r="DH27" i="3"/>
  <c r="CY27" i="3"/>
  <c r="CX27" i="3"/>
  <c r="CW27" i="3"/>
  <c r="CC27" i="3"/>
  <c r="CB27" i="3"/>
  <c r="CA27" i="3"/>
  <c r="BR27" i="3"/>
  <c r="BQ27" i="3"/>
  <c r="BP27" i="3"/>
  <c r="BG27" i="3"/>
  <c r="BF27" i="3"/>
  <c r="BE27" i="3"/>
  <c r="D27" i="3"/>
  <c r="C27" i="3"/>
  <c r="B27" i="3"/>
  <c r="FB26" i="3"/>
  <c r="FA26" i="3"/>
  <c r="EZ26" i="3"/>
  <c r="EQ26" i="3"/>
  <c r="EP26" i="3"/>
  <c r="EO26" i="3"/>
  <c r="EF26" i="3"/>
  <c r="EE26" i="3"/>
  <c r="ED26" i="3"/>
  <c r="DP26" i="3"/>
  <c r="DJ26" i="3"/>
  <c r="DI26" i="3"/>
  <c r="DH26" i="3"/>
  <c r="DE26" i="3"/>
  <c r="CY26" i="3"/>
  <c r="CX26" i="3"/>
  <c r="CW26" i="3"/>
  <c r="CC26" i="3"/>
  <c r="CB26" i="3"/>
  <c r="CA26" i="3"/>
  <c r="BR26" i="3"/>
  <c r="BQ26" i="3"/>
  <c r="BP26" i="3"/>
  <c r="BG26" i="3"/>
  <c r="BF26" i="3"/>
  <c r="BE26" i="3"/>
  <c r="D26" i="3"/>
  <c r="C26" i="3"/>
  <c r="B26" i="3"/>
  <c r="FB25" i="3"/>
  <c r="FA25" i="3"/>
  <c r="EZ25" i="3"/>
  <c r="EQ25" i="3"/>
  <c r="EP25" i="3"/>
  <c r="EO25" i="3"/>
  <c r="EF25" i="3"/>
  <c r="EE25" i="3"/>
  <c r="ED25" i="3"/>
  <c r="DJ25" i="3"/>
  <c r="DI25" i="3"/>
  <c r="DH25" i="3"/>
  <c r="DE25" i="3"/>
  <c r="CY25" i="3"/>
  <c r="CX25" i="3"/>
  <c r="CW25" i="3"/>
  <c r="CC25" i="3"/>
  <c r="CB25" i="3"/>
  <c r="CA25" i="3"/>
  <c r="BR25" i="3"/>
  <c r="BQ25" i="3"/>
  <c r="BP25" i="3"/>
  <c r="BG25" i="3"/>
  <c r="BF25" i="3"/>
  <c r="BE25" i="3"/>
  <c r="J25" i="3"/>
  <c r="D25" i="3"/>
  <c r="C25" i="3"/>
  <c r="B25" i="3"/>
  <c r="FM24" i="3"/>
  <c r="FL24" i="3"/>
  <c r="FK24" i="3"/>
  <c r="FB24" i="3"/>
  <c r="FA24" i="3"/>
  <c r="EZ24" i="3"/>
  <c r="EQ24" i="3"/>
  <c r="EP24" i="3"/>
  <c r="EO24" i="3"/>
  <c r="EF24" i="3"/>
  <c r="EE24" i="3"/>
  <c r="ED24" i="3"/>
  <c r="DJ24" i="3"/>
  <c r="DI24" i="3"/>
  <c r="DH24" i="3"/>
  <c r="DE24" i="3"/>
  <c r="CY24" i="3"/>
  <c r="CX24" i="3"/>
  <c r="CW24" i="3"/>
  <c r="CI24" i="3"/>
  <c r="CC24" i="3"/>
  <c r="CB24" i="3"/>
  <c r="CA24" i="3"/>
  <c r="BR24" i="3"/>
  <c r="BQ24" i="3"/>
  <c r="BP24" i="3"/>
  <c r="BG24" i="3"/>
  <c r="BF24" i="3"/>
  <c r="BE24" i="3"/>
  <c r="D24" i="3"/>
  <c r="C24" i="3"/>
  <c r="B24" i="3"/>
  <c r="FM23" i="3"/>
  <c r="FL23" i="3"/>
  <c r="FK23" i="3"/>
  <c r="FB23" i="3"/>
  <c r="FA23" i="3"/>
  <c r="EZ23" i="3"/>
  <c r="EQ23" i="3"/>
  <c r="EP23" i="3"/>
  <c r="EO23" i="3"/>
  <c r="EL23" i="3"/>
  <c r="EF23" i="3"/>
  <c r="EE23" i="3"/>
  <c r="ED23" i="3"/>
  <c r="DJ23" i="3"/>
  <c r="DI23" i="3"/>
  <c r="DH23" i="3"/>
  <c r="CY23" i="3"/>
  <c r="CX23" i="3"/>
  <c r="CW23" i="3"/>
  <c r="CI23" i="3"/>
  <c r="CC23" i="3"/>
  <c r="CB23" i="3"/>
  <c r="CA23" i="3"/>
  <c r="BR23" i="3"/>
  <c r="BQ23" i="3"/>
  <c r="BP23" i="3"/>
  <c r="BG23" i="3"/>
  <c r="BF23" i="3"/>
  <c r="BE23" i="3"/>
  <c r="D23" i="3"/>
  <c r="C23" i="3"/>
  <c r="B23" i="3"/>
  <c r="FX22" i="3"/>
  <c r="FW22" i="3"/>
  <c r="FV22" i="3"/>
  <c r="FM22" i="3"/>
  <c r="FL22" i="3"/>
  <c r="FK22" i="3"/>
  <c r="FB22" i="3"/>
  <c r="FA22" i="3"/>
  <c r="EZ22" i="3"/>
  <c r="EQ22" i="3"/>
  <c r="EP22" i="3"/>
  <c r="EO22" i="3"/>
  <c r="EL22" i="3"/>
  <c r="EF22" i="3"/>
  <c r="EE22" i="3"/>
  <c r="ED22" i="3"/>
  <c r="DJ22" i="3"/>
  <c r="DI22" i="3"/>
  <c r="DH22" i="3"/>
  <c r="CY22" i="3"/>
  <c r="CX22" i="3"/>
  <c r="CW22" i="3"/>
  <c r="CI22" i="3"/>
  <c r="CC22" i="3"/>
  <c r="CB22" i="3"/>
  <c r="CA22" i="3"/>
  <c r="BR22" i="3"/>
  <c r="BQ22" i="3"/>
  <c r="BP22" i="3"/>
  <c r="BG22" i="3"/>
  <c r="BF22" i="3"/>
  <c r="BE22" i="3"/>
  <c r="D22" i="3"/>
  <c r="C22" i="3"/>
  <c r="B22" i="3"/>
  <c r="FX21" i="3"/>
  <c r="FW21" i="3"/>
  <c r="FV21" i="3"/>
  <c r="FM21" i="3"/>
  <c r="FL21" i="3"/>
  <c r="FK21" i="3"/>
  <c r="FB21" i="3"/>
  <c r="FA21" i="3"/>
  <c r="EZ21" i="3"/>
  <c r="EQ21" i="3"/>
  <c r="EP21" i="3"/>
  <c r="EO21" i="3"/>
  <c r="EF21" i="3"/>
  <c r="EE21" i="3"/>
  <c r="ED21" i="3"/>
  <c r="DP21" i="3"/>
  <c r="DJ21" i="3"/>
  <c r="DI21" i="3"/>
  <c r="DH21" i="3"/>
  <c r="DE21" i="3"/>
  <c r="CY21" i="3"/>
  <c r="CX21" i="3"/>
  <c r="CW21" i="3"/>
  <c r="CC21" i="3"/>
  <c r="CB21" i="3"/>
  <c r="CA21" i="3"/>
  <c r="BR21" i="3"/>
  <c r="BQ21" i="3"/>
  <c r="BP21" i="3"/>
  <c r="BG21" i="3"/>
  <c r="BF21" i="3"/>
  <c r="BE21" i="3"/>
  <c r="AV21" i="3"/>
  <c r="AU21" i="3"/>
  <c r="AT21" i="3"/>
  <c r="O21" i="3"/>
  <c r="N21" i="3"/>
  <c r="M21" i="3"/>
  <c r="J21" i="3"/>
  <c r="D21" i="3"/>
  <c r="C21" i="3"/>
  <c r="B21" i="3"/>
  <c r="GD20" i="3"/>
  <c r="FX20" i="3"/>
  <c r="FW20" i="3"/>
  <c r="FV20" i="3"/>
  <c r="FM20" i="3"/>
  <c r="FL20" i="3"/>
  <c r="FK20" i="3"/>
  <c r="FB20" i="3"/>
  <c r="FA20" i="3"/>
  <c r="EZ20" i="3"/>
  <c r="EQ20" i="3"/>
  <c r="EP20" i="3"/>
  <c r="EO20" i="3"/>
  <c r="EF20" i="3"/>
  <c r="EE20" i="3"/>
  <c r="ED20" i="3"/>
  <c r="DJ20" i="3"/>
  <c r="DI20" i="3"/>
  <c r="DH20" i="3"/>
  <c r="DE20" i="3"/>
  <c r="CY20" i="3"/>
  <c r="CX20" i="3"/>
  <c r="CW20" i="3"/>
  <c r="CI20" i="3"/>
  <c r="CC20" i="3"/>
  <c r="CB20" i="3"/>
  <c r="CA20" i="3"/>
  <c r="BR20" i="3"/>
  <c r="BQ20" i="3"/>
  <c r="BP20" i="3"/>
  <c r="BG20" i="3"/>
  <c r="BF20" i="3"/>
  <c r="BE20" i="3"/>
  <c r="AV20" i="3"/>
  <c r="AU20" i="3"/>
  <c r="AT20" i="3"/>
  <c r="AK20" i="3"/>
  <c r="AJ20" i="3"/>
  <c r="AI20" i="3"/>
  <c r="U20" i="3"/>
  <c r="O20" i="3"/>
  <c r="N20" i="3"/>
  <c r="M20" i="3"/>
  <c r="J20" i="3"/>
  <c r="D20" i="3"/>
  <c r="C20" i="3"/>
  <c r="B20" i="3"/>
  <c r="FX19" i="3"/>
  <c r="FW19" i="3"/>
  <c r="FV19" i="3"/>
  <c r="FM19" i="3"/>
  <c r="FL19" i="3"/>
  <c r="FK19" i="3"/>
  <c r="FB19" i="3"/>
  <c r="FA19" i="3"/>
  <c r="EZ19" i="3"/>
  <c r="EQ19" i="3"/>
  <c r="EP19" i="3"/>
  <c r="EO19" i="3"/>
  <c r="EL19" i="3"/>
  <c r="EF19" i="3"/>
  <c r="EE19" i="3"/>
  <c r="ED19" i="3"/>
  <c r="DJ19" i="3"/>
  <c r="DI19" i="3"/>
  <c r="DH19" i="3"/>
  <c r="CY19" i="3"/>
  <c r="CX19" i="3"/>
  <c r="CW19" i="3"/>
  <c r="CC19" i="3"/>
  <c r="CB19" i="3"/>
  <c r="CA19" i="3"/>
  <c r="BR19" i="3"/>
  <c r="BQ19" i="3"/>
  <c r="BP19" i="3"/>
  <c r="BG19" i="3"/>
  <c r="BF19" i="3"/>
  <c r="BE19" i="3"/>
  <c r="AV19" i="3"/>
  <c r="AU19" i="3"/>
  <c r="AT19" i="3"/>
  <c r="AK19" i="3"/>
  <c r="AJ19" i="3"/>
  <c r="AI19" i="3"/>
  <c r="O19" i="3"/>
  <c r="N19" i="3"/>
  <c r="M19" i="3"/>
  <c r="J19" i="3"/>
  <c r="D19" i="3"/>
  <c r="C19" i="3"/>
  <c r="B19" i="3"/>
  <c r="FX18" i="3"/>
  <c r="FW18" i="3"/>
  <c r="FV18" i="3"/>
  <c r="FM18" i="3"/>
  <c r="FL18" i="3"/>
  <c r="FK18" i="3"/>
  <c r="FB18" i="3"/>
  <c r="FA18" i="3"/>
  <c r="EZ18" i="3"/>
  <c r="EQ18" i="3"/>
  <c r="EP18" i="3"/>
  <c r="EO18" i="3"/>
  <c r="EF18" i="3"/>
  <c r="EE18" i="3"/>
  <c r="ED18" i="3"/>
  <c r="DP18" i="3"/>
  <c r="DJ18" i="3"/>
  <c r="DI18" i="3"/>
  <c r="DH18" i="3"/>
  <c r="CY18" i="3"/>
  <c r="CX18" i="3"/>
  <c r="CW18" i="3"/>
  <c r="CI18" i="3"/>
  <c r="CC18" i="3"/>
  <c r="CB18" i="3"/>
  <c r="CA18" i="3"/>
  <c r="BR18" i="3"/>
  <c r="BQ18" i="3"/>
  <c r="BP18" i="3"/>
  <c r="BG18" i="3"/>
  <c r="BF18" i="3"/>
  <c r="BE18" i="3"/>
  <c r="AV18" i="3"/>
  <c r="AU18" i="3"/>
  <c r="AT18" i="3"/>
  <c r="AK18" i="3"/>
  <c r="AJ18" i="3"/>
  <c r="AI18" i="3"/>
  <c r="O18" i="3"/>
  <c r="N18" i="3"/>
  <c r="M18" i="3"/>
  <c r="D18" i="3"/>
  <c r="C18" i="3"/>
  <c r="B18" i="3"/>
  <c r="FX17" i="3"/>
  <c r="FW17" i="3"/>
  <c r="FV17" i="3"/>
  <c r="FM17" i="3"/>
  <c r="FL17" i="3"/>
  <c r="FK17" i="3"/>
  <c r="FH17" i="3"/>
  <c r="FB17" i="3"/>
  <c r="FA17" i="3"/>
  <c r="EZ17" i="3"/>
  <c r="EQ17" i="3"/>
  <c r="EP17" i="3"/>
  <c r="EO17" i="3"/>
  <c r="EL17" i="3"/>
  <c r="EF17" i="3"/>
  <c r="EE17" i="3"/>
  <c r="ED17" i="3"/>
  <c r="DP17" i="3"/>
  <c r="DJ17" i="3"/>
  <c r="DI17" i="3"/>
  <c r="DH17" i="3"/>
  <c r="CY17" i="3"/>
  <c r="CX17" i="3"/>
  <c r="CW17" i="3"/>
  <c r="CC17" i="3"/>
  <c r="CB17" i="3"/>
  <c r="CA17" i="3"/>
  <c r="BX17" i="3"/>
  <c r="BR17" i="3"/>
  <c r="BQ17" i="3"/>
  <c r="BP17" i="3"/>
  <c r="BM17" i="3"/>
  <c r="BG17" i="3"/>
  <c r="BF17" i="3"/>
  <c r="BE17" i="3"/>
  <c r="AV17" i="3"/>
  <c r="AU17" i="3"/>
  <c r="AT17" i="3"/>
  <c r="AK17" i="3"/>
  <c r="AJ17" i="3"/>
  <c r="AI17" i="3"/>
  <c r="O17" i="3"/>
  <c r="N17" i="3"/>
  <c r="M17" i="3"/>
  <c r="J17" i="3"/>
  <c r="D17" i="3"/>
  <c r="C17" i="3"/>
  <c r="B17" i="3"/>
  <c r="FX16" i="3"/>
  <c r="FW16" i="3"/>
  <c r="FV16" i="3"/>
  <c r="FM16" i="3"/>
  <c r="FL16" i="3"/>
  <c r="FK16" i="3"/>
  <c r="FB16" i="3"/>
  <c r="FA16" i="3"/>
  <c r="EZ16" i="3"/>
  <c r="EQ16" i="3"/>
  <c r="EP16" i="3"/>
  <c r="EO16" i="3"/>
  <c r="EL16" i="3"/>
  <c r="EF16" i="3"/>
  <c r="EE16" i="3"/>
  <c r="ED16" i="3"/>
  <c r="DU16" i="3"/>
  <c r="DT16" i="3"/>
  <c r="DS16" i="3"/>
  <c r="DP16" i="3"/>
  <c r="DJ16" i="3"/>
  <c r="DI16" i="3"/>
  <c r="DH16" i="3"/>
  <c r="CY16" i="3"/>
  <c r="CX16" i="3"/>
  <c r="CW16" i="3"/>
  <c r="CC16" i="3"/>
  <c r="CB16" i="3"/>
  <c r="CA16" i="3"/>
  <c r="BR16" i="3"/>
  <c r="BQ16" i="3"/>
  <c r="BP16" i="3"/>
  <c r="BG16" i="3"/>
  <c r="BF16" i="3"/>
  <c r="BE16" i="3"/>
  <c r="AV16" i="3"/>
  <c r="AU16" i="3"/>
  <c r="AT16" i="3"/>
  <c r="AK16" i="3"/>
  <c r="AJ16" i="3"/>
  <c r="AI16" i="3"/>
  <c r="Z16" i="3"/>
  <c r="Y16" i="3"/>
  <c r="X16" i="3"/>
  <c r="O16" i="3"/>
  <c r="N16" i="3"/>
  <c r="M16" i="3"/>
  <c r="D16" i="3"/>
  <c r="C16" i="3"/>
  <c r="B16" i="3"/>
  <c r="FX15" i="3"/>
  <c r="FW15" i="3"/>
  <c r="FV15" i="3"/>
  <c r="FM15" i="3"/>
  <c r="FL15" i="3"/>
  <c r="FK15" i="3"/>
  <c r="FB15" i="3"/>
  <c r="FA15" i="3"/>
  <c r="EZ15" i="3"/>
  <c r="EQ15" i="3"/>
  <c r="EP15" i="3"/>
  <c r="EO15" i="3"/>
  <c r="EF15" i="3"/>
  <c r="EE15" i="3"/>
  <c r="ED15" i="3"/>
  <c r="DU15" i="3"/>
  <c r="DT15" i="3"/>
  <c r="DS15" i="3"/>
  <c r="DP15" i="3"/>
  <c r="DJ15" i="3"/>
  <c r="DI15" i="3"/>
  <c r="DH15" i="3"/>
  <c r="DE15" i="3"/>
  <c r="CY15" i="3"/>
  <c r="CX15" i="3"/>
  <c r="CW15" i="3"/>
  <c r="CC15" i="3"/>
  <c r="CB15" i="3"/>
  <c r="CA15" i="3"/>
  <c r="BR15" i="3"/>
  <c r="BQ15" i="3"/>
  <c r="BP15" i="3"/>
  <c r="BG15" i="3"/>
  <c r="BF15" i="3"/>
  <c r="BE15" i="3"/>
  <c r="AV15" i="3"/>
  <c r="AU15" i="3"/>
  <c r="AT15" i="3"/>
  <c r="AK15" i="3"/>
  <c r="AJ15" i="3"/>
  <c r="AI15" i="3"/>
  <c r="AF15" i="3"/>
  <c r="Z15" i="3"/>
  <c r="Y15" i="3"/>
  <c r="X15" i="3"/>
  <c r="O15" i="3"/>
  <c r="N15" i="3"/>
  <c r="M15" i="3"/>
  <c r="D15" i="3"/>
  <c r="C15" i="3"/>
  <c r="B15" i="3"/>
  <c r="FX14" i="3"/>
  <c r="FW14" i="3"/>
  <c r="FV14" i="3"/>
  <c r="FM14" i="3"/>
  <c r="FL14" i="3"/>
  <c r="FK14" i="3"/>
  <c r="FB14" i="3"/>
  <c r="FA14" i="3"/>
  <c r="EZ14" i="3"/>
  <c r="EQ14" i="3"/>
  <c r="EP14" i="3"/>
  <c r="EO14" i="3"/>
  <c r="EF14" i="3"/>
  <c r="EE14" i="3"/>
  <c r="ED14" i="3"/>
  <c r="DU14" i="3"/>
  <c r="DT14" i="3"/>
  <c r="DS14" i="3"/>
  <c r="DJ14" i="3"/>
  <c r="DI14" i="3"/>
  <c r="DH14" i="3"/>
  <c r="DE14" i="3"/>
  <c r="CY14" i="3"/>
  <c r="CX14" i="3"/>
  <c r="CW14" i="3"/>
  <c r="CC14" i="3"/>
  <c r="CB14" i="3"/>
  <c r="CA14" i="3"/>
  <c r="BR14" i="3"/>
  <c r="BQ14" i="3"/>
  <c r="BP14" i="3"/>
  <c r="BG14" i="3"/>
  <c r="BF14" i="3"/>
  <c r="BE14" i="3"/>
  <c r="AV14" i="3"/>
  <c r="AU14" i="3"/>
  <c r="AT14" i="3"/>
  <c r="AK14" i="3"/>
  <c r="AJ14" i="3"/>
  <c r="AI14" i="3"/>
  <c r="Z14" i="3"/>
  <c r="Y14" i="3"/>
  <c r="X14" i="3"/>
  <c r="O14" i="3"/>
  <c r="N14" i="3"/>
  <c r="M14" i="3"/>
  <c r="D14" i="3"/>
  <c r="C14" i="3"/>
  <c r="B14" i="3"/>
  <c r="FX13" i="3"/>
  <c r="FW13" i="3"/>
  <c r="FV13" i="3"/>
  <c r="FM13" i="3"/>
  <c r="FL13" i="3"/>
  <c r="FK13" i="3"/>
  <c r="FB13" i="3"/>
  <c r="FA13" i="3"/>
  <c r="EZ13" i="3"/>
  <c r="EQ13" i="3"/>
  <c r="EP13" i="3"/>
  <c r="EO13" i="3"/>
  <c r="EF13" i="3"/>
  <c r="EE13" i="3"/>
  <c r="ED13" i="3"/>
  <c r="DU13" i="3"/>
  <c r="DT13" i="3"/>
  <c r="DS13" i="3"/>
  <c r="DJ13" i="3"/>
  <c r="DI13" i="3"/>
  <c r="DH13" i="3"/>
  <c r="CY13" i="3"/>
  <c r="CX13" i="3"/>
  <c r="CW13" i="3"/>
  <c r="CI13" i="3"/>
  <c r="CC13" i="3"/>
  <c r="CB13" i="3"/>
  <c r="CA13" i="3"/>
  <c r="BR13" i="3"/>
  <c r="BQ13" i="3"/>
  <c r="BP13" i="3"/>
  <c r="BG13" i="3"/>
  <c r="BF13" i="3"/>
  <c r="BE13" i="3"/>
  <c r="AV13" i="3"/>
  <c r="AU13" i="3"/>
  <c r="AT13" i="3"/>
  <c r="AK13" i="3"/>
  <c r="AJ13" i="3"/>
  <c r="AI13" i="3"/>
  <c r="Z13" i="3"/>
  <c r="Y13" i="3"/>
  <c r="X13" i="3"/>
  <c r="O13" i="3"/>
  <c r="N13" i="3"/>
  <c r="M13" i="3"/>
  <c r="J13" i="3"/>
  <c r="D13" i="3"/>
  <c r="C13" i="3"/>
  <c r="B13" i="3"/>
  <c r="FX12" i="3"/>
  <c r="FW12" i="3"/>
  <c r="FV12" i="3"/>
  <c r="FM12" i="3"/>
  <c r="FL12" i="3"/>
  <c r="FK12" i="3"/>
  <c r="FB12" i="3"/>
  <c r="FA12" i="3"/>
  <c r="EZ12" i="3"/>
  <c r="EQ12" i="3"/>
  <c r="EP12" i="3"/>
  <c r="EO12" i="3"/>
  <c r="EL12" i="3"/>
  <c r="EF12" i="3"/>
  <c r="EE12" i="3"/>
  <c r="ED12" i="3"/>
  <c r="DU12" i="3"/>
  <c r="DT12" i="3"/>
  <c r="DS12" i="3"/>
  <c r="DJ12" i="3"/>
  <c r="DI12" i="3"/>
  <c r="DH12" i="3"/>
  <c r="CY12" i="3"/>
  <c r="CX12" i="3"/>
  <c r="CW12" i="3"/>
  <c r="CC12" i="3"/>
  <c r="CB12" i="3"/>
  <c r="CA12" i="3"/>
  <c r="BR12" i="3"/>
  <c r="BQ12" i="3"/>
  <c r="BP12" i="3"/>
  <c r="BG12" i="3"/>
  <c r="BF12" i="3"/>
  <c r="BE12" i="3"/>
  <c r="AV12" i="3"/>
  <c r="AU12" i="3"/>
  <c r="AT12" i="3"/>
  <c r="AK12" i="3"/>
  <c r="AJ12" i="3"/>
  <c r="AI12" i="3"/>
  <c r="Z12" i="3"/>
  <c r="Y12" i="3"/>
  <c r="X12" i="3"/>
  <c r="O12" i="3"/>
  <c r="N12" i="3"/>
  <c r="M12" i="3"/>
  <c r="D12" i="3"/>
  <c r="C12" i="3"/>
  <c r="B12" i="3"/>
  <c r="FX11" i="3"/>
  <c r="FW11" i="3"/>
  <c r="FV11" i="3"/>
  <c r="FM11" i="3"/>
  <c r="FL11" i="3"/>
  <c r="FK11" i="3"/>
  <c r="FB11" i="3"/>
  <c r="FA11" i="3"/>
  <c r="EZ11" i="3"/>
  <c r="EQ11" i="3"/>
  <c r="EP11" i="3"/>
  <c r="EO11" i="3"/>
  <c r="EF11" i="3"/>
  <c r="EE11" i="3"/>
  <c r="ED11" i="3"/>
  <c r="DU11" i="3"/>
  <c r="DT11" i="3"/>
  <c r="DS11" i="3"/>
  <c r="DJ11" i="3"/>
  <c r="DI11" i="3"/>
  <c r="DH11" i="3"/>
  <c r="DE11" i="3"/>
  <c r="CY11" i="3"/>
  <c r="CX11" i="3"/>
  <c r="CW11" i="3"/>
  <c r="CI11" i="3"/>
  <c r="CC11" i="3"/>
  <c r="CB11" i="3"/>
  <c r="CA11" i="3"/>
  <c r="BR11" i="3"/>
  <c r="BQ11" i="3"/>
  <c r="BP11" i="3"/>
  <c r="BG11" i="3"/>
  <c r="BF11" i="3"/>
  <c r="BE11" i="3"/>
  <c r="AV11" i="3"/>
  <c r="AU11" i="3"/>
  <c r="AT11" i="3"/>
  <c r="AK11" i="3"/>
  <c r="AJ11" i="3"/>
  <c r="AI11" i="3"/>
  <c r="AF11" i="3"/>
  <c r="Z11" i="3"/>
  <c r="Y11" i="3"/>
  <c r="X11" i="3"/>
  <c r="O11" i="3"/>
  <c r="N11" i="3"/>
  <c r="M11" i="3"/>
  <c r="J11" i="3"/>
  <c r="D11" i="3"/>
  <c r="C11" i="3"/>
  <c r="B11" i="3"/>
  <c r="FX10" i="3"/>
  <c r="FW10" i="3"/>
  <c r="FV10" i="3"/>
  <c r="FM10" i="3"/>
  <c r="FL10" i="3"/>
  <c r="FK10" i="3"/>
  <c r="FB10" i="3"/>
  <c r="FA10" i="3"/>
  <c r="EZ10" i="3"/>
  <c r="EQ10" i="3"/>
  <c r="EP10" i="3"/>
  <c r="EO10" i="3"/>
  <c r="EL10" i="3"/>
  <c r="EF10" i="3"/>
  <c r="EE10" i="3"/>
  <c r="ED10" i="3"/>
  <c r="EA10" i="3"/>
  <c r="DU10" i="3"/>
  <c r="DT10" i="3"/>
  <c r="DS10" i="3"/>
  <c r="DP10" i="3"/>
  <c r="DJ10" i="3"/>
  <c r="DI10" i="3"/>
  <c r="DH10" i="3"/>
  <c r="DE10" i="3"/>
  <c r="CY10" i="3"/>
  <c r="CX10" i="3"/>
  <c r="CW10" i="3"/>
  <c r="CC10" i="3"/>
  <c r="CB10" i="3"/>
  <c r="CA10" i="3"/>
  <c r="BR10" i="3"/>
  <c r="BQ10" i="3"/>
  <c r="BP10" i="3"/>
  <c r="BG10" i="3"/>
  <c r="BF10" i="3"/>
  <c r="BE10" i="3"/>
  <c r="AV10" i="3"/>
  <c r="AU10" i="3"/>
  <c r="AT10" i="3"/>
  <c r="AK10" i="3"/>
  <c r="AJ10" i="3"/>
  <c r="AI10" i="3"/>
  <c r="Z10" i="3"/>
  <c r="Y10" i="3"/>
  <c r="X10" i="3"/>
  <c r="O10" i="3"/>
  <c r="N10" i="3"/>
  <c r="M10" i="3"/>
  <c r="J10" i="3"/>
  <c r="D10" i="3"/>
  <c r="C10" i="3"/>
  <c r="B10" i="3"/>
  <c r="FX9" i="3"/>
  <c r="FW9" i="3"/>
  <c r="FV9" i="3"/>
  <c r="FM9" i="3"/>
  <c r="FL9" i="3"/>
  <c r="FK9" i="3"/>
  <c r="FB9" i="3"/>
  <c r="FA9" i="3"/>
  <c r="EZ9" i="3"/>
  <c r="EQ9" i="3"/>
  <c r="EP9" i="3"/>
  <c r="EO9" i="3"/>
  <c r="EL9" i="3"/>
  <c r="EF9" i="3"/>
  <c r="EE9" i="3"/>
  <c r="ED9" i="3"/>
  <c r="DU9" i="3"/>
  <c r="DT9" i="3"/>
  <c r="DS9" i="3"/>
  <c r="DJ9" i="3"/>
  <c r="DI9" i="3"/>
  <c r="DH9" i="3"/>
  <c r="CY9" i="3"/>
  <c r="CX9" i="3"/>
  <c r="CW9" i="3"/>
  <c r="CC9" i="3"/>
  <c r="CB9" i="3"/>
  <c r="CA9" i="3"/>
  <c r="BR9" i="3"/>
  <c r="BQ9" i="3"/>
  <c r="BP9" i="3"/>
  <c r="BG9" i="3"/>
  <c r="BF9" i="3"/>
  <c r="BE9" i="3"/>
  <c r="AV9" i="3"/>
  <c r="AU9" i="3"/>
  <c r="AT9" i="3"/>
  <c r="AK9" i="3"/>
  <c r="AJ9" i="3"/>
  <c r="AI9" i="3"/>
  <c r="Z9" i="3"/>
  <c r="Y9" i="3"/>
  <c r="X9" i="3"/>
  <c r="U9" i="3"/>
  <c r="O9" i="3"/>
  <c r="N9" i="3"/>
  <c r="M9" i="3"/>
  <c r="J9" i="3"/>
  <c r="D9" i="3"/>
  <c r="C9" i="3"/>
  <c r="B9" i="3"/>
  <c r="FX8" i="3"/>
  <c r="FW8" i="3"/>
  <c r="FV8" i="3"/>
  <c r="FM8" i="3"/>
  <c r="FL8" i="3"/>
  <c r="FK8" i="3"/>
  <c r="FB8" i="3"/>
  <c r="FA8" i="3"/>
  <c r="EZ8" i="3"/>
  <c r="EQ8" i="3"/>
  <c r="EP8" i="3"/>
  <c r="EO8" i="3"/>
  <c r="EF8" i="3"/>
  <c r="EE8" i="3"/>
  <c r="ED8" i="3"/>
  <c r="DU8" i="3"/>
  <c r="DT8" i="3"/>
  <c r="DS8" i="3"/>
  <c r="DJ8" i="3"/>
  <c r="DI8" i="3"/>
  <c r="DH8" i="3"/>
  <c r="CY8" i="3"/>
  <c r="CX8" i="3"/>
  <c r="CW8" i="3"/>
  <c r="CC8" i="3"/>
  <c r="CB8" i="3"/>
  <c r="CA8" i="3"/>
  <c r="BR8" i="3"/>
  <c r="BQ8" i="3"/>
  <c r="BP8" i="3"/>
  <c r="BG8" i="3"/>
  <c r="BF8" i="3"/>
  <c r="BE8" i="3"/>
  <c r="AV8" i="3"/>
  <c r="AU8" i="3"/>
  <c r="AT8" i="3"/>
  <c r="AK8" i="3"/>
  <c r="AJ8" i="3"/>
  <c r="AI8" i="3"/>
  <c r="Z8" i="3"/>
  <c r="Y8" i="3"/>
  <c r="X8" i="3"/>
  <c r="O8" i="3"/>
  <c r="N8" i="3"/>
  <c r="M8" i="3"/>
  <c r="J8" i="3"/>
  <c r="D8" i="3"/>
  <c r="C8" i="3"/>
  <c r="B8" i="3"/>
  <c r="FX7" i="3"/>
  <c r="FW7" i="3"/>
  <c r="FV7" i="3"/>
  <c r="FM7" i="3"/>
  <c r="FL7" i="3"/>
  <c r="FK7" i="3"/>
  <c r="FB7" i="3"/>
  <c r="FA7" i="3"/>
  <c r="EZ7" i="3"/>
  <c r="EQ7" i="3"/>
  <c r="EP7" i="3"/>
  <c r="EO7" i="3"/>
  <c r="EL7" i="3"/>
  <c r="EF7" i="3"/>
  <c r="EE7" i="3"/>
  <c r="ED7" i="3"/>
  <c r="DU7" i="3"/>
  <c r="DT7" i="3"/>
  <c r="DS7" i="3"/>
  <c r="DJ7" i="3"/>
  <c r="DI7" i="3"/>
  <c r="DH7" i="3"/>
  <c r="DE7" i="3"/>
  <c r="CY7" i="3"/>
  <c r="CX7" i="3"/>
  <c r="CW7" i="3"/>
  <c r="CI7" i="3"/>
  <c r="CC7" i="3"/>
  <c r="CB7" i="3"/>
  <c r="CA7" i="3"/>
  <c r="BR7" i="3"/>
  <c r="BQ7" i="3"/>
  <c r="BP7" i="3"/>
  <c r="BG7" i="3"/>
  <c r="BF7" i="3"/>
  <c r="BE7" i="3"/>
  <c r="AV7" i="3"/>
  <c r="AU7" i="3"/>
  <c r="AT7" i="3"/>
  <c r="AQ7" i="3"/>
  <c r="AK7" i="3"/>
  <c r="AJ7" i="3"/>
  <c r="AI7" i="3"/>
  <c r="Z7" i="3"/>
  <c r="Y7" i="3"/>
  <c r="X7" i="3"/>
  <c r="O7" i="3"/>
  <c r="N7" i="3"/>
  <c r="M7" i="3"/>
  <c r="D7" i="3"/>
  <c r="C7" i="3"/>
  <c r="B7" i="3"/>
  <c r="FX6" i="3"/>
  <c r="FW6" i="3"/>
  <c r="FV6" i="3"/>
  <c r="FM6" i="3"/>
  <c r="FL6" i="3"/>
  <c r="FK6" i="3"/>
  <c r="FB6" i="3"/>
  <c r="FA6" i="3"/>
  <c r="EZ6" i="3"/>
  <c r="EQ6" i="3"/>
  <c r="EP6" i="3"/>
  <c r="EO6" i="3"/>
  <c r="EF6" i="3"/>
  <c r="EE6" i="3"/>
  <c r="ED6" i="3"/>
  <c r="DU6" i="3"/>
  <c r="DT6" i="3"/>
  <c r="DS6" i="3"/>
  <c r="DP6" i="3"/>
  <c r="DJ6" i="3"/>
  <c r="DI6" i="3"/>
  <c r="DH6" i="3"/>
  <c r="DE6" i="3"/>
  <c r="CY6" i="3"/>
  <c r="CX6" i="3"/>
  <c r="CW6" i="3"/>
  <c r="CI6" i="3"/>
  <c r="CC6" i="3"/>
  <c r="CB6" i="3"/>
  <c r="CA6" i="3"/>
  <c r="BX6" i="3"/>
  <c r="BR6" i="3"/>
  <c r="BQ6" i="3"/>
  <c r="BP6" i="3"/>
  <c r="BM6" i="3"/>
  <c r="BG6" i="3"/>
  <c r="BF6" i="3"/>
  <c r="BE6" i="3"/>
  <c r="AV6" i="3"/>
  <c r="AU6" i="3"/>
  <c r="AT6" i="3"/>
  <c r="AK6" i="3"/>
  <c r="AJ6" i="3"/>
  <c r="AI6" i="3"/>
  <c r="AF6" i="3"/>
  <c r="Z6" i="3"/>
  <c r="Y6" i="3"/>
  <c r="X6" i="3"/>
  <c r="U6" i="3"/>
  <c r="O6" i="3"/>
  <c r="N6" i="3"/>
  <c r="M6" i="3"/>
  <c r="D6" i="3"/>
  <c r="C6" i="3"/>
  <c r="B6" i="3"/>
  <c r="FX5" i="3"/>
  <c r="FW5" i="3"/>
  <c r="FV5" i="3"/>
  <c r="FM5" i="3"/>
  <c r="FL5" i="3"/>
  <c r="FK5" i="3"/>
  <c r="FB5" i="3"/>
  <c r="FA5" i="3"/>
  <c r="EZ5" i="3"/>
  <c r="EQ5" i="3"/>
  <c r="EP5" i="3"/>
  <c r="EO5" i="3"/>
  <c r="EL5" i="3"/>
  <c r="EF5" i="3"/>
  <c r="EE5" i="3"/>
  <c r="ED5" i="3"/>
  <c r="DU5" i="3"/>
  <c r="DT5" i="3"/>
  <c r="DS5" i="3"/>
  <c r="DP5" i="3"/>
  <c r="DJ5" i="3"/>
  <c r="DI5" i="3"/>
  <c r="DH5" i="3"/>
  <c r="DE5" i="3"/>
  <c r="CY5" i="3"/>
  <c r="CX5" i="3"/>
  <c r="CW5" i="3"/>
  <c r="CC5" i="3"/>
  <c r="CB5" i="3"/>
  <c r="CA5" i="3"/>
  <c r="BR5" i="3"/>
  <c r="BQ5" i="3"/>
  <c r="BP5" i="3"/>
  <c r="BG5" i="3"/>
  <c r="BF5" i="3"/>
  <c r="BE5" i="3"/>
  <c r="AV5" i="3"/>
  <c r="AU5" i="3"/>
  <c r="AT5" i="3"/>
  <c r="AK5" i="3"/>
  <c r="AJ5" i="3"/>
  <c r="AI5" i="3"/>
  <c r="Z5" i="3"/>
  <c r="Y5" i="3"/>
  <c r="X5" i="3"/>
  <c r="O5" i="3"/>
  <c r="N5" i="3"/>
  <c r="M5" i="3"/>
  <c r="D5" i="3"/>
  <c r="C5" i="3"/>
  <c r="B5" i="3"/>
  <c r="FX4" i="3"/>
  <c r="FW4" i="3"/>
  <c r="FV4" i="3"/>
  <c r="FM4" i="3"/>
  <c r="FL4" i="3"/>
  <c r="FK4" i="3"/>
  <c r="FB4" i="3"/>
  <c r="FA4" i="3"/>
  <c r="EZ4" i="3"/>
  <c r="EQ4" i="3"/>
  <c r="EP4" i="3"/>
  <c r="EO4" i="3"/>
  <c r="EF4" i="3"/>
  <c r="EE4" i="3"/>
  <c r="ED4" i="3"/>
  <c r="DU4" i="3"/>
  <c r="DT4" i="3"/>
  <c r="DS4" i="3"/>
  <c r="DJ4" i="3"/>
  <c r="DI4" i="3"/>
  <c r="DH4" i="3"/>
  <c r="CY4" i="3"/>
  <c r="CX4" i="3"/>
  <c r="CW4" i="3"/>
  <c r="CI4" i="3"/>
  <c r="CC4" i="3"/>
  <c r="CB4" i="3"/>
  <c r="CA4" i="3"/>
  <c r="BR4" i="3"/>
  <c r="BQ4" i="3"/>
  <c r="BP4" i="3"/>
  <c r="BG4" i="3"/>
  <c r="BF4" i="3"/>
  <c r="BE4" i="3"/>
  <c r="AV4" i="3"/>
  <c r="AU4" i="3"/>
  <c r="AT4" i="3"/>
  <c r="AK4" i="3"/>
  <c r="AJ4" i="3"/>
  <c r="AI4" i="3"/>
  <c r="Z4" i="3"/>
  <c r="Y4" i="3"/>
  <c r="X4" i="3"/>
  <c r="O4" i="3"/>
  <c r="N4" i="3"/>
  <c r="M4" i="3"/>
  <c r="J4" i="3"/>
  <c r="D4" i="3"/>
  <c r="C4" i="3"/>
  <c r="B4" i="3"/>
  <c r="FX3" i="3"/>
  <c r="FW3" i="3"/>
  <c r="FV3" i="3"/>
  <c r="FM3" i="3"/>
  <c r="FL3" i="3"/>
  <c r="FK3" i="3"/>
  <c r="FB3" i="3"/>
  <c r="FA3" i="3"/>
  <c r="EZ3" i="3"/>
  <c r="EQ3" i="3"/>
  <c r="EP3" i="3"/>
  <c r="EO3" i="3"/>
  <c r="EL3" i="3"/>
  <c r="EF3" i="3"/>
  <c r="EE3" i="3"/>
  <c r="ED3" i="3"/>
  <c r="DU3" i="3"/>
  <c r="DT3" i="3"/>
  <c r="DS3" i="3"/>
  <c r="DP3" i="3"/>
  <c r="DJ3" i="3"/>
  <c r="DI3" i="3"/>
  <c r="DH3" i="3"/>
  <c r="DE3" i="3"/>
  <c r="CY3" i="3"/>
  <c r="CX3" i="3"/>
  <c r="CW3" i="3"/>
  <c r="CN3" i="3"/>
  <c r="CM3" i="3"/>
  <c r="CL3" i="3"/>
  <c r="CI3" i="3"/>
  <c r="CC3" i="3"/>
  <c r="CB3" i="3"/>
  <c r="CA3" i="3"/>
  <c r="BR3" i="3"/>
  <c r="BQ3" i="3"/>
  <c r="BP3" i="3"/>
  <c r="BG3" i="3"/>
  <c r="BF3" i="3"/>
  <c r="BE3" i="3"/>
  <c r="AV3" i="3"/>
  <c r="AU3" i="3"/>
  <c r="AT3" i="3"/>
  <c r="AK3" i="3"/>
  <c r="AJ3" i="3"/>
  <c r="AI3" i="3"/>
  <c r="AF3" i="3"/>
  <c r="Z3" i="3"/>
  <c r="Y3" i="3"/>
  <c r="X3" i="3"/>
  <c r="U3" i="3"/>
  <c r="O3" i="3"/>
  <c r="N3" i="3"/>
  <c r="M3" i="3"/>
  <c r="D3" i="3"/>
  <c r="C3" i="3"/>
  <c r="B3" i="3"/>
  <c r="FX2" i="3"/>
  <c r="FW2" i="3"/>
  <c r="FV2" i="3"/>
  <c r="FM2" i="3"/>
  <c r="FL2" i="3"/>
  <c r="FK2" i="3"/>
  <c r="FB2" i="3"/>
  <c r="FA2" i="3"/>
  <c r="EZ2" i="3"/>
  <c r="EQ2" i="3"/>
  <c r="EP2" i="3"/>
  <c r="EO2" i="3"/>
  <c r="EF2" i="3"/>
  <c r="EE2" i="3"/>
  <c r="ED2" i="3"/>
  <c r="DU2" i="3"/>
  <c r="DT2" i="3"/>
  <c r="DS2" i="3"/>
  <c r="DJ2" i="3"/>
  <c r="DI2" i="3"/>
  <c r="DH2" i="3"/>
  <c r="DE2" i="3"/>
  <c r="CY2" i="3"/>
  <c r="CX2" i="3"/>
  <c r="CW2" i="3"/>
  <c r="CN2" i="3"/>
  <c r="CM2" i="3"/>
  <c r="CL2" i="3"/>
  <c r="CC2" i="3"/>
  <c r="CB2" i="3"/>
  <c r="CA2" i="3"/>
  <c r="BX2" i="3"/>
  <c r="BR2" i="3"/>
  <c r="BQ2" i="3"/>
  <c r="BP2" i="3"/>
  <c r="BG2" i="3"/>
  <c r="BF2" i="3"/>
  <c r="BE2" i="3"/>
  <c r="AV2" i="3"/>
  <c r="AU2" i="3"/>
  <c r="AT2" i="3"/>
  <c r="AK2" i="3"/>
  <c r="AJ2" i="3"/>
  <c r="AI2" i="3"/>
  <c r="AF2" i="3"/>
  <c r="Z2" i="3"/>
  <c r="Y2" i="3"/>
  <c r="X2" i="3"/>
  <c r="O2" i="3"/>
  <c r="N2" i="3"/>
  <c r="M2" i="3"/>
  <c r="D2" i="3"/>
  <c r="C2" i="3"/>
  <c r="B2" i="3"/>
  <c r="CT19" i="30"/>
  <c r="CN19" i="30"/>
  <c r="CM19" i="30"/>
  <c r="CL19" i="30"/>
  <c r="CC19" i="30"/>
  <c r="CB19" i="30"/>
  <c r="CA19" i="30"/>
  <c r="BR19" i="30"/>
  <c r="BQ19" i="30"/>
  <c r="BP19" i="30"/>
  <c r="EQ18" i="30"/>
  <c r="EP18" i="30"/>
  <c r="EO18" i="30"/>
  <c r="EF18" i="30"/>
  <c r="EE18" i="30"/>
  <c r="ED18" i="30"/>
  <c r="DU18" i="30"/>
  <c r="DT18" i="30"/>
  <c r="DS18" i="30"/>
  <c r="CN18" i="30"/>
  <c r="CM18" i="30"/>
  <c r="CL18" i="30"/>
  <c r="CC18" i="30"/>
  <c r="CB18" i="30"/>
  <c r="CA18" i="30"/>
  <c r="BR18" i="30"/>
  <c r="BQ18" i="30"/>
  <c r="BP18" i="30"/>
  <c r="KD17" i="30"/>
  <c r="KC17" i="30"/>
  <c r="KB17" i="30"/>
  <c r="JS17" i="30"/>
  <c r="JR17" i="30"/>
  <c r="JQ17" i="30"/>
  <c r="JH17" i="30"/>
  <c r="JG17" i="30"/>
  <c r="JF17" i="30"/>
  <c r="IL17" i="30"/>
  <c r="IK17" i="30"/>
  <c r="IJ17" i="30"/>
  <c r="IA17" i="30"/>
  <c r="HZ17" i="30"/>
  <c r="HY17" i="30"/>
  <c r="HP17" i="30"/>
  <c r="HO17" i="30"/>
  <c r="HN17" i="30"/>
  <c r="EQ17" i="30"/>
  <c r="EP17" i="30"/>
  <c r="EO17" i="30"/>
  <c r="EF17" i="30"/>
  <c r="EE17" i="30"/>
  <c r="ED17" i="30"/>
  <c r="DU17" i="30"/>
  <c r="DT17" i="30"/>
  <c r="DS17" i="30"/>
  <c r="CN17" i="30"/>
  <c r="CM17" i="30"/>
  <c r="CL17" i="30"/>
  <c r="CC17" i="30"/>
  <c r="CB17" i="30"/>
  <c r="CA17" i="30"/>
  <c r="BR17" i="30"/>
  <c r="BQ17" i="30"/>
  <c r="BP17" i="30"/>
  <c r="AK17" i="30"/>
  <c r="AJ17" i="30"/>
  <c r="AI17" i="30"/>
  <c r="Z17" i="30"/>
  <c r="Y17" i="30"/>
  <c r="X17" i="30"/>
  <c r="O17" i="30"/>
  <c r="N17" i="30"/>
  <c r="M17" i="30"/>
  <c r="KD16" i="30"/>
  <c r="KC16" i="30"/>
  <c r="KB16" i="30"/>
  <c r="JS16" i="30"/>
  <c r="JR16" i="30"/>
  <c r="JQ16" i="30"/>
  <c r="JH16" i="30"/>
  <c r="JG16" i="30"/>
  <c r="JF16" i="30"/>
  <c r="IL16" i="30"/>
  <c r="IK16" i="30"/>
  <c r="IJ16" i="30"/>
  <c r="IA16" i="30"/>
  <c r="HZ16" i="30"/>
  <c r="HY16" i="30"/>
  <c r="HP16" i="30"/>
  <c r="HO16" i="30"/>
  <c r="HN16" i="30"/>
  <c r="EQ16" i="30"/>
  <c r="EP16" i="30"/>
  <c r="EO16" i="30"/>
  <c r="EF16" i="30"/>
  <c r="EE16" i="30"/>
  <c r="ED16" i="30"/>
  <c r="DU16" i="30"/>
  <c r="DT16" i="30"/>
  <c r="DS16" i="30"/>
  <c r="CN16" i="30"/>
  <c r="CM16" i="30"/>
  <c r="CL16" i="30"/>
  <c r="CC16" i="30"/>
  <c r="CB16" i="30"/>
  <c r="CA16" i="30"/>
  <c r="BR16" i="30"/>
  <c r="BQ16" i="30"/>
  <c r="BP16" i="30"/>
  <c r="AQ16" i="30"/>
  <c r="AK16" i="30"/>
  <c r="AJ16" i="30"/>
  <c r="AI16" i="30"/>
  <c r="Z16" i="30"/>
  <c r="Y16" i="30"/>
  <c r="X16" i="30"/>
  <c r="O16" i="30"/>
  <c r="N16" i="30"/>
  <c r="M16" i="30"/>
  <c r="KD15" i="30"/>
  <c r="KC15" i="30"/>
  <c r="KB15" i="30"/>
  <c r="JS15" i="30"/>
  <c r="JR15" i="30"/>
  <c r="JQ15" i="30"/>
  <c r="JH15" i="30"/>
  <c r="JG15" i="30"/>
  <c r="JF15" i="30"/>
  <c r="IL15" i="30"/>
  <c r="IK15" i="30"/>
  <c r="IJ15" i="30"/>
  <c r="IA15" i="30"/>
  <c r="HZ15" i="30"/>
  <c r="HY15" i="30"/>
  <c r="HP15" i="30"/>
  <c r="HO15" i="30"/>
  <c r="HN15" i="30"/>
  <c r="EQ15" i="30"/>
  <c r="EP15" i="30"/>
  <c r="EO15" i="30"/>
  <c r="EF15" i="30"/>
  <c r="EE15" i="30"/>
  <c r="ED15" i="30"/>
  <c r="DU15" i="30"/>
  <c r="DT15" i="30"/>
  <c r="DS15" i="30"/>
  <c r="CN15" i="30"/>
  <c r="CM15" i="30"/>
  <c r="CL15" i="30"/>
  <c r="CC15" i="30"/>
  <c r="CB15" i="30"/>
  <c r="CA15" i="30"/>
  <c r="BR15" i="30"/>
  <c r="BQ15" i="30"/>
  <c r="BP15" i="30"/>
  <c r="AQ15" i="30"/>
  <c r="AK15" i="30"/>
  <c r="AJ15" i="30"/>
  <c r="AI15" i="30"/>
  <c r="AF15" i="30"/>
  <c r="Z15" i="30"/>
  <c r="Y15" i="30"/>
  <c r="X15" i="30"/>
  <c r="O15" i="30"/>
  <c r="N15" i="30"/>
  <c r="M15" i="30"/>
  <c r="LV14" i="30"/>
  <c r="LU14" i="30"/>
  <c r="LT14" i="30"/>
  <c r="LK14" i="30"/>
  <c r="LJ14" i="30"/>
  <c r="LI14" i="30"/>
  <c r="KZ14" i="30"/>
  <c r="KY14" i="30"/>
  <c r="KX14" i="30"/>
  <c r="KD14" i="30"/>
  <c r="KC14" i="30"/>
  <c r="KB14" i="30"/>
  <c r="JS14" i="30"/>
  <c r="JR14" i="30"/>
  <c r="JQ14" i="30"/>
  <c r="JH14" i="30"/>
  <c r="JG14" i="30"/>
  <c r="JF14" i="30"/>
  <c r="IL14" i="30"/>
  <c r="IK14" i="30"/>
  <c r="IJ14" i="30"/>
  <c r="IA14" i="30"/>
  <c r="HZ14" i="30"/>
  <c r="HY14" i="30"/>
  <c r="HP14" i="30"/>
  <c r="HO14" i="30"/>
  <c r="HN14" i="30"/>
  <c r="EQ14" i="30"/>
  <c r="EP14" i="30"/>
  <c r="EO14" i="30"/>
  <c r="EF14" i="30"/>
  <c r="EE14" i="30"/>
  <c r="ED14" i="30"/>
  <c r="DU14" i="30"/>
  <c r="DT14" i="30"/>
  <c r="DS14" i="30"/>
  <c r="CN14" i="30"/>
  <c r="CM14" i="30"/>
  <c r="CL14" i="30"/>
  <c r="CC14" i="30"/>
  <c r="CB14" i="30"/>
  <c r="CA14" i="30"/>
  <c r="BR14" i="30"/>
  <c r="BQ14" i="30"/>
  <c r="BP14" i="30"/>
  <c r="AQ14" i="30"/>
  <c r="AK14" i="30"/>
  <c r="AJ14" i="30"/>
  <c r="AI14" i="30"/>
  <c r="Z14" i="30"/>
  <c r="Y14" i="30"/>
  <c r="X14" i="30"/>
  <c r="O14" i="30"/>
  <c r="N14" i="30"/>
  <c r="M14" i="30"/>
  <c r="MB13" i="30"/>
  <c r="LV13" i="30"/>
  <c r="LU13" i="30"/>
  <c r="LT13" i="30"/>
  <c r="LK13" i="30"/>
  <c r="LJ13" i="30"/>
  <c r="LI13" i="30"/>
  <c r="LF13" i="30"/>
  <c r="KZ13" i="30"/>
  <c r="KY13" i="30"/>
  <c r="KX13" i="30"/>
  <c r="KD13" i="30"/>
  <c r="KC13" i="30"/>
  <c r="KB13" i="30"/>
  <c r="JY13" i="30"/>
  <c r="JS13" i="30"/>
  <c r="JR13" i="30"/>
  <c r="JQ13" i="30"/>
  <c r="JH13" i="30"/>
  <c r="JG13" i="30"/>
  <c r="JF13" i="30"/>
  <c r="IL13" i="30"/>
  <c r="IK13" i="30"/>
  <c r="IJ13" i="30"/>
  <c r="IA13" i="30"/>
  <c r="HZ13" i="30"/>
  <c r="HY13" i="30"/>
  <c r="HP13" i="30"/>
  <c r="HO13" i="30"/>
  <c r="HN13" i="30"/>
  <c r="EQ13" i="30"/>
  <c r="EP13" i="30"/>
  <c r="EO13" i="30"/>
  <c r="EF13" i="30"/>
  <c r="EE13" i="30"/>
  <c r="ED13" i="30"/>
  <c r="EA13" i="30"/>
  <c r="DU13" i="30"/>
  <c r="DT13" i="30"/>
  <c r="DS13" i="30"/>
  <c r="CN13" i="30"/>
  <c r="CM13" i="30"/>
  <c r="CL13" i="30"/>
  <c r="CC13" i="30"/>
  <c r="CB13" i="30"/>
  <c r="CA13" i="30"/>
  <c r="BR13" i="30"/>
  <c r="BQ13" i="30"/>
  <c r="BP13" i="30"/>
  <c r="AK13" i="30"/>
  <c r="AJ13" i="30"/>
  <c r="AI13" i="30"/>
  <c r="Z13" i="30"/>
  <c r="Y13" i="30"/>
  <c r="X13" i="30"/>
  <c r="O13" i="30"/>
  <c r="N13" i="30"/>
  <c r="M13" i="30"/>
  <c r="MB12" i="30"/>
  <c r="LV12" i="30"/>
  <c r="LU12" i="30"/>
  <c r="LT12" i="30"/>
  <c r="LQ12" i="30"/>
  <c r="LK12" i="30"/>
  <c r="LJ12" i="30"/>
  <c r="LI12" i="30"/>
  <c r="KZ12" i="30"/>
  <c r="KY12" i="30"/>
  <c r="KX12" i="30"/>
  <c r="KD12" i="30"/>
  <c r="KC12" i="30"/>
  <c r="KB12" i="30"/>
  <c r="JS12" i="30"/>
  <c r="JR12" i="30"/>
  <c r="JQ12" i="30"/>
  <c r="JH12" i="30"/>
  <c r="JG12" i="30"/>
  <c r="JF12" i="30"/>
  <c r="IL12" i="30"/>
  <c r="IK12" i="30"/>
  <c r="IJ12" i="30"/>
  <c r="IA12" i="30"/>
  <c r="HZ12" i="30"/>
  <c r="HY12" i="30"/>
  <c r="HP12" i="30"/>
  <c r="HO12" i="30"/>
  <c r="HN12" i="30"/>
  <c r="EQ12" i="30"/>
  <c r="EP12" i="30"/>
  <c r="EO12" i="30"/>
  <c r="EF12" i="30"/>
  <c r="EE12" i="30"/>
  <c r="ED12" i="30"/>
  <c r="DU12" i="30"/>
  <c r="DT12" i="30"/>
  <c r="DS12" i="30"/>
  <c r="CN12" i="30"/>
  <c r="CM12" i="30"/>
  <c r="CL12" i="30"/>
  <c r="CC12" i="30"/>
  <c r="CB12" i="30"/>
  <c r="CA12" i="30"/>
  <c r="BR12" i="30"/>
  <c r="BQ12" i="30"/>
  <c r="BP12" i="30"/>
  <c r="AK12" i="30"/>
  <c r="AJ12" i="30"/>
  <c r="AI12" i="30"/>
  <c r="Z12" i="30"/>
  <c r="Y12" i="30"/>
  <c r="X12" i="30"/>
  <c r="O12" i="30"/>
  <c r="N12" i="30"/>
  <c r="M12" i="30"/>
  <c r="MB11" i="30"/>
  <c r="LV11" i="30"/>
  <c r="LU11" i="30"/>
  <c r="LT11" i="30"/>
  <c r="LQ11" i="30"/>
  <c r="LK11" i="30"/>
  <c r="LJ11" i="30"/>
  <c r="LI11" i="30"/>
  <c r="KZ11" i="30"/>
  <c r="KY11" i="30"/>
  <c r="KX11" i="30"/>
  <c r="KD11" i="30"/>
  <c r="KC11" i="30"/>
  <c r="KB11" i="30"/>
  <c r="JY11" i="30"/>
  <c r="JS11" i="30"/>
  <c r="JR11" i="30"/>
  <c r="JQ11" i="30"/>
  <c r="JH11" i="30"/>
  <c r="JG11" i="30"/>
  <c r="JF11" i="30"/>
  <c r="IL11" i="30"/>
  <c r="IK11" i="30"/>
  <c r="IJ11" i="30"/>
  <c r="IA11" i="30"/>
  <c r="HZ11" i="30"/>
  <c r="HY11" i="30"/>
  <c r="HP11" i="30"/>
  <c r="HO11" i="30"/>
  <c r="HN11" i="30"/>
  <c r="EQ11" i="30"/>
  <c r="EP11" i="30"/>
  <c r="EO11" i="30"/>
  <c r="EF11" i="30"/>
  <c r="EE11" i="30"/>
  <c r="ED11" i="30"/>
  <c r="DU11" i="30"/>
  <c r="DT11" i="30"/>
  <c r="DS11" i="30"/>
  <c r="CN11" i="30"/>
  <c r="CM11" i="30"/>
  <c r="CL11" i="30"/>
  <c r="CC11" i="30"/>
  <c r="CB11" i="30"/>
  <c r="CA11" i="30"/>
  <c r="BR11" i="30"/>
  <c r="BQ11" i="30"/>
  <c r="BP11" i="30"/>
  <c r="BG11" i="30"/>
  <c r="BF11" i="30"/>
  <c r="BE11" i="30"/>
  <c r="AK11" i="30"/>
  <c r="AJ11" i="30"/>
  <c r="AI11" i="30"/>
  <c r="Z11" i="30"/>
  <c r="Y11" i="30"/>
  <c r="X11" i="30"/>
  <c r="O11" i="30"/>
  <c r="N11" i="30"/>
  <c r="M11" i="30"/>
  <c r="MB10" i="30"/>
  <c r="LV10" i="30"/>
  <c r="LU10" i="30"/>
  <c r="LT10" i="30"/>
  <c r="LK10" i="30"/>
  <c r="LJ10" i="30"/>
  <c r="LI10" i="30"/>
  <c r="KZ10" i="30"/>
  <c r="KY10" i="30"/>
  <c r="KX10" i="30"/>
  <c r="KD10" i="30"/>
  <c r="KC10" i="30"/>
  <c r="KB10" i="30"/>
  <c r="JS10" i="30"/>
  <c r="JR10" i="30"/>
  <c r="JQ10" i="30"/>
  <c r="JH10" i="30"/>
  <c r="JG10" i="30"/>
  <c r="JF10" i="30"/>
  <c r="IW10" i="30"/>
  <c r="IV10" i="30"/>
  <c r="IU10" i="30"/>
  <c r="IL10" i="30"/>
  <c r="IK10" i="30"/>
  <c r="IJ10" i="30"/>
  <c r="IA10" i="30"/>
  <c r="HZ10" i="30"/>
  <c r="HY10" i="30"/>
  <c r="HP10" i="30"/>
  <c r="HO10" i="30"/>
  <c r="HN10" i="30"/>
  <c r="HE10" i="30"/>
  <c r="HD10" i="30"/>
  <c r="HC10" i="30"/>
  <c r="GI10" i="30"/>
  <c r="GH10" i="30"/>
  <c r="GG10" i="30"/>
  <c r="FM10" i="30"/>
  <c r="FL10" i="30"/>
  <c r="FK10" i="30"/>
  <c r="EQ10" i="30"/>
  <c r="EP10" i="30"/>
  <c r="EO10" i="30"/>
  <c r="EL10" i="30"/>
  <c r="EF10" i="30"/>
  <c r="EE10" i="30"/>
  <c r="ED10" i="30"/>
  <c r="DU10" i="30"/>
  <c r="DT10" i="30"/>
  <c r="DS10" i="30"/>
  <c r="DJ10" i="30"/>
  <c r="DI10" i="30"/>
  <c r="DH10" i="30"/>
  <c r="CN10" i="30"/>
  <c r="CM10" i="30"/>
  <c r="CL10" i="30"/>
  <c r="CC10" i="30"/>
  <c r="CB10" i="30"/>
  <c r="CA10" i="30"/>
  <c r="BR10" i="30"/>
  <c r="BQ10" i="30"/>
  <c r="BP10" i="30"/>
  <c r="BG10" i="30"/>
  <c r="BF10" i="30"/>
  <c r="BE10" i="30"/>
  <c r="AK10" i="30"/>
  <c r="AJ10" i="30"/>
  <c r="AI10" i="30"/>
  <c r="AF10" i="30"/>
  <c r="Z10" i="30"/>
  <c r="Y10" i="30"/>
  <c r="X10" i="30"/>
  <c r="O10" i="30"/>
  <c r="N10" i="30"/>
  <c r="M10" i="30"/>
  <c r="LV9" i="30"/>
  <c r="LU9" i="30"/>
  <c r="LT9" i="30"/>
  <c r="LK9" i="30"/>
  <c r="LJ9" i="30"/>
  <c r="LI9" i="30"/>
  <c r="KZ9" i="30"/>
  <c r="KY9" i="30"/>
  <c r="KX9" i="30"/>
  <c r="KO9" i="30"/>
  <c r="KN9" i="30"/>
  <c r="KM9" i="30"/>
  <c r="KD9" i="30"/>
  <c r="KC9" i="30"/>
  <c r="KB9" i="30"/>
  <c r="JY9" i="30"/>
  <c r="JS9" i="30"/>
  <c r="JR9" i="30"/>
  <c r="JQ9" i="30"/>
  <c r="JH9" i="30"/>
  <c r="JG9" i="30"/>
  <c r="JF9" i="30"/>
  <c r="IW9" i="30"/>
  <c r="IV9" i="30"/>
  <c r="IU9" i="30"/>
  <c r="IL9" i="30"/>
  <c r="IK9" i="30"/>
  <c r="IJ9" i="30"/>
  <c r="IA9" i="30"/>
  <c r="HZ9" i="30"/>
  <c r="HY9" i="30"/>
  <c r="HP9" i="30"/>
  <c r="HO9" i="30"/>
  <c r="HN9" i="30"/>
  <c r="HE9" i="30"/>
  <c r="HD9" i="30"/>
  <c r="HC9" i="30"/>
  <c r="GI9" i="30"/>
  <c r="GH9" i="30"/>
  <c r="GG9" i="30"/>
  <c r="FS9" i="30"/>
  <c r="FM9" i="30"/>
  <c r="FL9" i="30"/>
  <c r="FK9" i="30"/>
  <c r="EQ9" i="30"/>
  <c r="EP9" i="30"/>
  <c r="EO9" i="30"/>
  <c r="EF9" i="30"/>
  <c r="EE9" i="30"/>
  <c r="ED9" i="30"/>
  <c r="DU9" i="30"/>
  <c r="DT9" i="30"/>
  <c r="DS9" i="30"/>
  <c r="DJ9" i="30"/>
  <c r="DI9" i="30"/>
  <c r="DH9" i="30"/>
  <c r="CN9" i="30"/>
  <c r="CM9" i="30"/>
  <c r="CL9" i="30"/>
  <c r="CC9" i="30"/>
  <c r="CB9" i="30"/>
  <c r="CA9" i="30"/>
  <c r="BR9" i="30"/>
  <c r="BQ9" i="30"/>
  <c r="BP9" i="30"/>
  <c r="BG9" i="30"/>
  <c r="BF9" i="30"/>
  <c r="BE9" i="30"/>
  <c r="AK9" i="30"/>
  <c r="AJ9" i="30"/>
  <c r="AI9" i="30"/>
  <c r="Z9" i="30"/>
  <c r="Y9" i="30"/>
  <c r="X9" i="30"/>
  <c r="U9" i="30"/>
  <c r="O9" i="30"/>
  <c r="N9" i="30"/>
  <c r="M9" i="30"/>
  <c r="D9" i="30"/>
  <c r="C9" i="30"/>
  <c r="B9" i="30"/>
  <c r="LV8" i="30"/>
  <c r="LU8" i="30"/>
  <c r="LT8" i="30"/>
  <c r="LQ8" i="30"/>
  <c r="LK8" i="30"/>
  <c r="LJ8" i="30"/>
  <c r="LI8" i="30"/>
  <c r="KZ8" i="30"/>
  <c r="KY8" i="30"/>
  <c r="KX8" i="30"/>
  <c r="KO8" i="30"/>
  <c r="KN8" i="30"/>
  <c r="KM8" i="30"/>
  <c r="KJ8" i="30"/>
  <c r="KD8" i="30"/>
  <c r="KC8" i="30"/>
  <c r="KB8" i="30"/>
  <c r="JY8" i="30"/>
  <c r="JS8" i="30"/>
  <c r="JR8" i="30"/>
  <c r="JQ8" i="30"/>
  <c r="JH8" i="30"/>
  <c r="JG8" i="30"/>
  <c r="JF8" i="30"/>
  <c r="IW8" i="30"/>
  <c r="IV8" i="30"/>
  <c r="IU8" i="30"/>
  <c r="IL8" i="30"/>
  <c r="IK8" i="30"/>
  <c r="IJ8" i="30"/>
  <c r="IA8" i="30"/>
  <c r="HZ8" i="30"/>
  <c r="HY8" i="30"/>
  <c r="HP8" i="30"/>
  <c r="HO8" i="30"/>
  <c r="HN8" i="30"/>
  <c r="HE8" i="30"/>
  <c r="HD8" i="30"/>
  <c r="HC8" i="30"/>
  <c r="GT8" i="30"/>
  <c r="GS8" i="30"/>
  <c r="GR8" i="30"/>
  <c r="GI8" i="30"/>
  <c r="GH8" i="30"/>
  <c r="GG8" i="30"/>
  <c r="FX8" i="30"/>
  <c r="FW8" i="30"/>
  <c r="FV8" i="30"/>
  <c r="FM8" i="30"/>
  <c r="FL8" i="30"/>
  <c r="FK8" i="30"/>
  <c r="FB8" i="30"/>
  <c r="FA8" i="30"/>
  <c r="EZ8" i="30"/>
  <c r="EQ8" i="30"/>
  <c r="EP8" i="30"/>
  <c r="EO8" i="30"/>
  <c r="EF8" i="30"/>
  <c r="EE8" i="30"/>
  <c r="ED8" i="30"/>
  <c r="DU8" i="30"/>
  <c r="DT8" i="30"/>
  <c r="DS8" i="30"/>
  <c r="DJ8" i="30"/>
  <c r="DI8" i="30"/>
  <c r="DH8" i="30"/>
  <c r="DE8" i="30"/>
  <c r="CY8" i="30"/>
  <c r="CX8" i="30"/>
  <c r="CW8" i="30"/>
  <c r="CN8" i="30"/>
  <c r="CM8" i="30"/>
  <c r="CL8" i="30"/>
  <c r="CC8" i="30"/>
  <c r="CB8" i="30"/>
  <c r="CA8" i="30"/>
  <c r="BR8" i="30"/>
  <c r="BQ8" i="30"/>
  <c r="BP8" i="30"/>
  <c r="BG8" i="30"/>
  <c r="BF8" i="30"/>
  <c r="BE8" i="30"/>
  <c r="AV8" i="30"/>
  <c r="AU8" i="30"/>
  <c r="AT8" i="30"/>
  <c r="AQ8" i="30"/>
  <c r="AK8" i="30"/>
  <c r="AJ8" i="30"/>
  <c r="AI8" i="30"/>
  <c r="Z8" i="30"/>
  <c r="Y8" i="30"/>
  <c r="X8" i="30"/>
  <c r="O8" i="30"/>
  <c r="N8" i="30"/>
  <c r="M8" i="30"/>
  <c r="D8" i="30"/>
  <c r="C8" i="30"/>
  <c r="B8" i="30"/>
  <c r="LV7" i="30"/>
  <c r="LU7" i="30"/>
  <c r="LT7" i="30"/>
  <c r="LK7" i="30"/>
  <c r="LJ7" i="30"/>
  <c r="LI7" i="30"/>
  <c r="KZ7" i="30"/>
  <c r="KY7" i="30"/>
  <c r="KX7" i="30"/>
  <c r="KO7" i="30"/>
  <c r="KN7" i="30"/>
  <c r="KM7" i="30"/>
  <c r="KD7" i="30"/>
  <c r="KC7" i="30"/>
  <c r="KB7" i="30"/>
  <c r="JS7" i="30"/>
  <c r="JR7" i="30"/>
  <c r="JQ7" i="30"/>
  <c r="JH7" i="30"/>
  <c r="JG7" i="30"/>
  <c r="JF7" i="30"/>
  <c r="IW7" i="30"/>
  <c r="IV7" i="30"/>
  <c r="IU7" i="30"/>
  <c r="IL7" i="30"/>
  <c r="IK7" i="30"/>
  <c r="IJ7" i="30"/>
  <c r="IA7" i="30"/>
  <c r="HZ7" i="30"/>
  <c r="HY7" i="30"/>
  <c r="HP7" i="30"/>
  <c r="HO7" i="30"/>
  <c r="HN7" i="30"/>
  <c r="HE7" i="30"/>
  <c r="HD7" i="30"/>
  <c r="HC7" i="30"/>
  <c r="GT7" i="30"/>
  <c r="GS7" i="30"/>
  <c r="GR7" i="30"/>
  <c r="GI7" i="30"/>
  <c r="GH7" i="30"/>
  <c r="GG7" i="30"/>
  <c r="FX7" i="30"/>
  <c r="FW7" i="30"/>
  <c r="FV7" i="30"/>
  <c r="FM7" i="30"/>
  <c r="FL7" i="30"/>
  <c r="FK7" i="30"/>
  <c r="FB7" i="30"/>
  <c r="FA7" i="30"/>
  <c r="EZ7" i="30"/>
  <c r="EQ7" i="30"/>
  <c r="EP7" i="30"/>
  <c r="EO7" i="30"/>
  <c r="EF7" i="30"/>
  <c r="EE7" i="30"/>
  <c r="ED7" i="30"/>
  <c r="DU7" i="30"/>
  <c r="DT7" i="30"/>
  <c r="DS7" i="30"/>
  <c r="DJ7" i="30"/>
  <c r="DI7" i="30"/>
  <c r="DH7" i="30"/>
  <c r="CY7" i="30"/>
  <c r="CX7" i="30"/>
  <c r="CW7" i="30"/>
  <c r="CN7" i="30"/>
  <c r="CM7" i="30"/>
  <c r="CL7" i="30"/>
  <c r="CC7" i="30"/>
  <c r="CB7" i="30"/>
  <c r="CA7" i="30"/>
  <c r="BR7" i="30"/>
  <c r="BQ7" i="30"/>
  <c r="BP7" i="30"/>
  <c r="BG7" i="30"/>
  <c r="BF7" i="30"/>
  <c r="BE7" i="30"/>
  <c r="BB7" i="30"/>
  <c r="AV7" i="30"/>
  <c r="AU7" i="30"/>
  <c r="AT7" i="30"/>
  <c r="AK7" i="30"/>
  <c r="AJ7" i="30"/>
  <c r="AI7" i="30"/>
  <c r="Z7" i="30"/>
  <c r="Y7" i="30"/>
  <c r="X7" i="30"/>
  <c r="O7" i="30"/>
  <c r="N7" i="30"/>
  <c r="M7" i="30"/>
  <c r="D7" i="30"/>
  <c r="C7" i="30"/>
  <c r="B7" i="30"/>
  <c r="MB6" i="30"/>
  <c r="LV6" i="30"/>
  <c r="LU6" i="30"/>
  <c r="LT6" i="30"/>
  <c r="LK6" i="30"/>
  <c r="LJ6" i="30"/>
  <c r="LI6" i="30"/>
  <c r="KZ6" i="30"/>
  <c r="KY6" i="30"/>
  <c r="KX6" i="30"/>
  <c r="KO6" i="30"/>
  <c r="KN6" i="30"/>
  <c r="KM6" i="30"/>
  <c r="KD6" i="30"/>
  <c r="KC6" i="30"/>
  <c r="KB6" i="30"/>
  <c r="JS6" i="30"/>
  <c r="JR6" i="30"/>
  <c r="JQ6" i="30"/>
  <c r="JH6" i="30"/>
  <c r="JG6" i="30"/>
  <c r="JF6" i="30"/>
  <c r="IW6" i="30"/>
  <c r="IV6" i="30"/>
  <c r="IU6" i="30"/>
  <c r="IL6" i="30"/>
  <c r="IK6" i="30"/>
  <c r="IJ6" i="30"/>
  <c r="IA6" i="30"/>
  <c r="HZ6" i="30"/>
  <c r="HY6" i="30"/>
  <c r="HP6" i="30"/>
  <c r="HO6" i="30"/>
  <c r="HN6" i="30"/>
  <c r="HE6" i="30"/>
  <c r="HD6" i="30"/>
  <c r="HC6" i="30"/>
  <c r="GT6" i="30"/>
  <c r="GS6" i="30"/>
  <c r="GR6" i="30"/>
  <c r="GI6" i="30"/>
  <c r="GH6" i="30"/>
  <c r="GG6" i="30"/>
  <c r="FX6" i="30"/>
  <c r="FW6" i="30"/>
  <c r="FV6" i="30"/>
  <c r="FM6" i="30"/>
  <c r="FL6" i="30"/>
  <c r="FK6" i="30"/>
  <c r="FB6" i="30"/>
  <c r="FA6" i="30"/>
  <c r="EZ6" i="30"/>
  <c r="EQ6" i="30"/>
  <c r="EP6" i="30"/>
  <c r="EO6" i="30"/>
  <c r="EF6" i="30"/>
  <c r="EE6" i="30"/>
  <c r="ED6" i="30"/>
  <c r="EA6" i="30"/>
  <c r="DU6" i="30"/>
  <c r="DT6" i="30"/>
  <c r="DS6" i="30"/>
  <c r="DJ6" i="30"/>
  <c r="DI6" i="30"/>
  <c r="DH6" i="30"/>
  <c r="CY6" i="30"/>
  <c r="CX6" i="30"/>
  <c r="CW6" i="30"/>
  <c r="CN6" i="30"/>
  <c r="CM6" i="30"/>
  <c r="CL6" i="30"/>
  <c r="CC6" i="30"/>
  <c r="CB6" i="30"/>
  <c r="CA6" i="30"/>
  <c r="BR6" i="30"/>
  <c r="BQ6" i="30"/>
  <c r="BP6" i="30"/>
  <c r="BG6" i="30"/>
  <c r="BF6" i="30"/>
  <c r="BE6" i="30"/>
  <c r="AV6" i="30"/>
  <c r="AU6" i="30"/>
  <c r="AT6" i="30"/>
  <c r="AK6" i="30"/>
  <c r="AJ6" i="30"/>
  <c r="AI6" i="30"/>
  <c r="Z6" i="30"/>
  <c r="Y6" i="30"/>
  <c r="X6" i="30"/>
  <c r="O6" i="30"/>
  <c r="N6" i="30"/>
  <c r="M6" i="30"/>
  <c r="D6" i="30"/>
  <c r="C6" i="30"/>
  <c r="B6" i="30"/>
  <c r="MB5" i="30"/>
  <c r="LV5" i="30"/>
  <c r="LU5" i="30"/>
  <c r="LT5" i="30"/>
  <c r="LQ5" i="30"/>
  <c r="LK5" i="30"/>
  <c r="LJ5" i="30"/>
  <c r="LI5" i="30"/>
  <c r="KZ5" i="30"/>
  <c r="KY5" i="30"/>
  <c r="KX5" i="30"/>
  <c r="KO5" i="30"/>
  <c r="KN5" i="30"/>
  <c r="KM5" i="30"/>
  <c r="KD5" i="30"/>
  <c r="KC5" i="30"/>
  <c r="KB5" i="30"/>
  <c r="JS5" i="30"/>
  <c r="JR5" i="30"/>
  <c r="JQ5" i="30"/>
  <c r="JH5" i="30"/>
  <c r="JG5" i="30"/>
  <c r="JF5" i="30"/>
  <c r="IW5" i="30"/>
  <c r="IV5" i="30"/>
  <c r="IU5" i="30"/>
  <c r="IL5" i="30"/>
  <c r="IK5" i="30"/>
  <c r="IJ5" i="30"/>
  <c r="IA5" i="30"/>
  <c r="HZ5" i="30"/>
  <c r="HY5" i="30"/>
  <c r="HP5" i="30"/>
  <c r="HO5" i="30"/>
  <c r="HN5" i="30"/>
  <c r="HE5" i="30"/>
  <c r="HD5" i="30"/>
  <c r="HC5" i="30"/>
  <c r="GT5" i="30"/>
  <c r="GS5" i="30"/>
  <c r="GR5" i="30"/>
  <c r="GI5" i="30"/>
  <c r="GH5" i="30"/>
  <c r="GG5" i="30"/>
  <c r="FX5" i="30"/>
  <c r="FW5" i="30"/>
  <c r="FV5" i="30"/>
  <c r="FM5" i="30"/>
  <c r="FL5" i="30"/>
  <c r="FK5" i="30"/>
  <c r="FB5" i="30"/>
  <c r="FA5" i="30"/>
  <c r="EZ5" i="30"/>
  <c r="EQ5" i="30"/>
  <c r="EP5" i="30"/>
  <c r="EO5" i="30"/>
  <c r="EF5" i="30"/>
  <c r="EE5" i="30"/>
  <c r="ED5" i="30"/>
  <c r="EA5" i="30"/>
  <c r="DU5" i="30"/>
  <c r="DT5" i="30"/>
  <c r="DS5" i="30"/>
  <c r="DJ5" i="30"/>
  <c r="DI5" i="30"/>
  <c r="DH5" i="30"/>
  <c r="CY5" i="30"/>
  <c r="CX5" i="30"/>
  <c r="CW5" i="30"/>
  <c r="CN5" i="30"/>
  <c r="CM5" i="30"/>
  <c r="CL5" i="30"/>
  <c r="CC5" i="30"/>
  <c r="CB5" i="30"/>
  <c r="CA5" i="30"/>
  <c r="BR5" i="30"/>
  <c r="BQ5" i="30"/>
  <c r="BP5" i="30"/>
  <c r="BG5" i="30"/>
  <c r="BF5" i="30"/>
  <c r="BE5" i="30"/>
  <c r="BB5" i="30"/>
  <c r="AV5" i="30"/>
  <c r="AU5" i="30"/>
  <c r="AT5" i="30"/>
  <c r="AK5" i="30"/>
  <c r="AJ5" i="30"/>
  <c r="AI5" i="30"/>
  <c r="Z5" i="30"/>
  <c r="Y5" i="30"/>
  <c r="X5" i="30"/>
  <c r="O5" i="30"/>
  <c r="N5" i="30"/>
  <c r="M5" i="30"/>
  <c r="D5" i="30"/>
  <c r="C5" i="30"/>
  <c r="B5" i="30"/>
  <c r="LV4" i="30"/>
  <c r="LU4" i="30"/>
  <c r="LT4" i="30"/>
  <c r="LK4" i="30"/>
  <c r="LJ4" i="30"/>
  <c r="LI4" i="30"/>
  <c r="KZ4" i="30"/>
  <c r="KY4" i="30"/>
  <c r="KX4" i="30"/>
  <c r="KO4" i="30"/>
  <c r="KN4" i="30"/>
  <c r="KM4" i="30"/>
  <c r="KD4" i="30"/>
  <c r="KC4" i="30"/>
  <c r="KB4" i="30"/>
  <c r="JS4" i="30"/>
  <c r="JR4" i="30"/>
  <c r="JQ4" i="30"/>
  <c r="JH4" i="30"/>
  <c r="JG4" i="30"/>
  <c r="JF4" i="30"/>
  <c r="IW4" i="30"/>
  <c r="IV4" i="30"/>
  <c r="IU4" i="30"/>
  <c r="IL4" i="30"/>
  <c r="IK4" i="30"/>
  <c r="IJ4" i="30"/>
  <c r="IA4" i="30"/>
  <c r="HZ4" i="30"/>
  <c r="HY4" i="30"/>
  <c r="HP4" i="30"/>
  <c r="HO4" i="30"/>
  <c r="HN4" i="30"/>
  <c r="HE4" i="30"/>
  <c r="HD4" i="30"/>
  <c r="HC4" i="30"/>
  <c r="GT4" i="30"/>
  <c r="GS4" i="30"/>
  <c r="GR4" i="30"/>
  <c r="GI4" i="30"/>
  <c r="GH4" i="30"/>
  <c r="GG4" i="30"/>
  <c r="FX4" i="30"/>
  <c r="FW4" i="30"/>
  <c r="FV4" i="30"/>
  <c r="FM4" i="30"/>
  <c r="FL4" i="30"/>
  <c r="FK4" i="30"/>
  <c r="FB4" i="30"/>
  <c r="FA4" i="30"/>
  <c r="EZ4" i="30"/>
  <c r="EQ4" i="30"/>
  <c r="EP4" i="30"/>
  <c r="EO4" i="30"/>
  <c r="EF4" i="30"/>
  <c r="EE4" i="30"/>
  <c r="ED4" i="30"/>
  <c r="DU4" i="30"/>
  <c r="DT4" i="30"/>
  <c r="DS4" i="30"/>
  <c r="DJ4" i="30"/>
  <c r="DI4" i="30"/>
  <c r="DH4" i="30"/>
  <c r="CY4" i="30"/>
  <c r="CX4" i="30"/>
  <c r="CW4" i="30"/>
  <c r="CN4" i="30"/>
  <c r="CM4" i="30"/>
  <c r="CL4" i="30"/>
  <c r="CC4" i="30"/>
  <c r="CB4" i="30"/>
  <c r="CA4" i="30"/>
  <c r="BR4" i="30"/>
  <c r="BQ4" i="30"/>
  <c r="BP4" i="30"/>
  <c r="BG4" i="30"/>
  <c r="BF4" i="30"/>
  <c r="BE4" i="30"/>
  <c r="AV4" i="30"/>
  <c r="AU4" i="30"/>
  <c r="AT4" i="30"/>
  <c r="AK4" i="30"/>
  <c r="AJ4" i="30"/>
  <c r="AI4" i="30"/>
  <c r="Z4" i="30"/>
  <c r="Y4" i="30"/>
  <c r="X4" i="30"/>
  <c r="O4" i="30"/>
  <c r="N4" i="30"/>
  <c r="M4" i="30"/>
  <c r="D4" i="30"/>
  <c r="C4" i="30"/>
  <c r="B4" i="30"/>
  <c r="MB3" i="30"/>
  <c r="LV3" i="30"/>
  <c r="LU3" i="30"/>
  <c r="LT3" i="30"/>
  <c r="LK3" i="30"/>
  <c r="LJ3" i="30"/>
  <c r="LI3" i="30"/>
  <c r="KZ3" i="30"/>
  <c r="KY3" i="30"/>
  <c r="KX3" i="30"/>
  <c r="KO3" i="30"/>
  <c r="KN3" i="30"/>
  <c r="KM3" i="30"/>
  <c r="KD3" i="30"/>
  <c r="KC3" i="30"/>
  <c r="KB3" i="30"/>
  <c r="JS3" i="30"/>
  <c r="JR3" i="30"/>
  <c r="JQ3" i="30"/>
  <c r="JH3" i="30"/>
  <c r="JG3" i="30"/>
  <c r="JF3" i="30"/>
  <c r="IW3" i="30"/>
  <c r="IV3" i="30"/>
  <c r="IU3" i="30"/>
  <c r="IL3" i="30"/>
  <c r="IK3" i="30"/>
  <c r="IJ3" i="30"/>
  <c r="IA3" i="30"/>
  <c r="HZ3" i="30"/>
  <c r="HY3" i="30"/>
  <c r="HP3" i="30"/>
  <c r="HO3" i="30"/>
  <c r="HN3" i="30"/>
  <c r="HE3" i="30"/>
  <c r="HD3" i="30"/>
  <c r="HC3" i="30"/>
  <c r="GT3" i="30"/>
  <c r="GS3" i="30"/>
  <c r="GR3" i="30"/>
  <c r="GI3" i="30"/>
  <c r="GH3" i="30"/>
  <c r="GG3" i="30"/>
  <c r="FX3" i="30"/>
  <c r="FW3" i="30"/>
  <c r="FV3" i="30"/>
  <c r="FS3" i="30"/>
  <c r="FM3" i="30"/>
  <c r="FL3" i="30"/>
  <c r="FK3" i="30"/>
  <c r="FB3" i="30"/>
  <c r="FA3" i="30"/>
  <c r="EZ3" i="30"/>
  <c r="EQ3" i="30"/>
  <c r="EP3" i="30"/>
  <c r="EO3" i="30"/>
  <c r="EF3" i="30"/>
  <c r="EE3" i="30"/>
  <c r="ED3" i="30"/>
  <c r="DU3" i="30"/>
  <c r="DT3" i="30"/>
  <c r="DS3" i="30"/>
  <c r="DJ3" i="30"/>
  <c r="DI3" i="30"/>
  <c r="DH3" i="30"/>
  <c r="DE3" i="30"/>
  <c r="CY3" i="30"/>
  <c r="CX3" i="30"/>
  <c r="CW3" i="30"/>
  <c r="CN3" i="30"/>
  <c r="CM3" i="30"/>
  <c r="CL3" i="30"/>
  <c r="CI3" i="30"/>
  <c r="CC3" i="30"/>
  <c r="CB3" i="30"/>
  <c r="CA3" i="30"/>
  <c r="BR3" i="30"/>
  <c r="BQ3" i="30"/>
  <c r="BP3" i="30"/>
  <c r="BG3" i="30"/>
  <c r="BF3" i="30"/>
  <c r="BE3" i="30"/>
  <c r="AV3" i="30"/>
  <c r="AU3" i="30"/>
  <c r="AT3" i="30"/>
  <c r="AK3" i="30"/>
  <c r="AJ3" i="30"/>
  <c r="AI3" i="30"/>
  <c r="Z3" i="30"/>
  <c r="Y3" i="30"/>
  <c r="X3" i="30"/>
  <c r="O3" i="30"/>
  <c r="N3" i="30"/>
  <c r="M3" i="30"/>
  <c r="J3" i="30"/>
  <c r="D3" i="30"/>
  <c r="C3" i="30"/>
  <c r="B3" i="30"/>
  <c r="LV2" i="30"/>
  <c r="LU2" i="30"/>
  <c r="LT2" i="30"/>
  <c r="LK2" i="30"/>
  <c r="LJ2" i="30"/>
  <c r="LI2" i="30"/>
  <c r="KZ2" i="30"/>
  <c r="KY2" i="30"/>
  <c r="KX2" i="30"/>
  <c r="KO2" i="30"/>
  <c r="KN2" i="30"/>
  <c r="KM2" i="30"/>
  <c r="KD2" i="30"/>
  <c r="KC2" i="30"/>
  <c r="KB2" i="30"/>
  <c r="JS2" i="30"/>
  <c r="JR2" i="30"/>
  <c r="JQ2" i="30"/>
  <c r="JH2" i="30"/>
  <c r="JG2" i="30"/>
  <c r="JF2" i="30"/>
  <c r="IW2" i="30"/>
  <c r="IV2" i="30"/>
  <c r="IU2" i="30"/>
  <c r="IL2" i="30"/>
  <c r="IK2" i="30"/>
  <c r="IJ2" i="30"/>
  <c r="IA2" i="30"/>
  <c r="HZ2" i="30"/>
  <c r="HY2" i="30"/>
  <c r="HP2" i="30"/>
  <c r="HO2" i="30"/>
  <c r="HN2" i="30"/>
  <c r="HE2" i="30"/>
  <c r="HD2" i="30"/>
  <c r="HC2" i="30"/>
  <c r="GT2" i="30"/>
  <c r="GS2" i="30"/>
  <c r="GR2" i="30"/>
  <c r="GI2" i="30"/>
  <c r="GH2" i="30"/>
  <c r="GG2" i="30"/>
  <c r="FX2" i="30"/>
  <c r="FW2" i="30"/>
  <c r="FV2" i="30"/>
  <c r="FM2" i="30"/>
  <c r="FL2" i="30"/>
  <c r="FK2" i="30"/>
  <c r="FB2" i="30"/>
  <c r="FA2" i="30"/>
  <c r="EZ2" i="30"/>
  <c r="EQ2" i="30"/>
  <c r="EP2" i="30"/>
  <c r="EO2" i="30"/>
  <c r="EF2" i="30"/>
  <c r="EE2" i="30"/>
  <c r="ED2" i="30"/>
  <c r="DU2" i="30"/>
  <c r="DT2" i="30"/>
  <c r="DS2" i="30"/>
  <c r="DJ2" i="30"/>
  <c r="DI2" i="30"/>
  <c r="DH2" i="30"/>
  <c r="CY2" i="30"/>
  <c r="CX2" i="30"/>
  <c r="CW2" i="30"/>
  <c r="CN2" i="30"/>
  <c r="CM2" i="30"/>
  <c r="CL2" i="30"/>
  <c r="CC2" i="30"/>
  <c r="CB2" i="30"/>
  <c r="CA2" i="30"/>
  <c r="BR2" i="30"/>
  <c r="BQ2" i="30"/>
  <c r="BP2" i="30"/>
  <c r="BG2" i="30"/>
  <c r="BF2" i="30"/>
  <c r="BE2" i="30"/>
  <c r="BB2" i="30"/>
  <c r="AV2" i="30"/>
  <c r="AU2" i="30"/>
  <c r="AT2" i="30"/>
  <c r="AQ2" i="30"/>
  <c r="AK2" i="30"/>
  <c r="AJ2" i="30"/>
  <c r="AI2" i="30"/>
  <c r="Z2" i="30"/>
  <c r="Y2" i="30"/>
  <c r="X2" i="30"/>
  <c r="O2" i="30"/>
  <c r="N2" i="30"/>
  <c r="M2" i="30"/>
  <c r="D2" i="30"/>
  <c r="C2" i="30"/>
  <c r="B2" i="30"/>
  <c r="M13" i="33"/>
  <c r="L13" i="33"/>
  <c r="K13" i="33"/>
  <c r="J13" i="33"/>
  <c r="I13" i="33"/>
  <c r="H13" i="33"/>
  <c r="G13" i="33"/>
  <c r="F13" i="33"/>
  <c r="E13" i="33"/>
  <c r="D13" i="33"/>
  <c r="C13" i="33"/>
  <c r="V34" i="25"/>
  <c r="R34" i="25"/>
  <c r="R18" i="25" s="1"/>
  <c r="X33" i="25"/>
  <c r="X34" i="25" s="1"/>
  <c r="X18" i="25" s="1"/>
  <c r="V33" i="25"/>
  <c r="T33" i="25"/>
  <c r="T34" i="25" s="1"/>
  <c r="T18" i="25" s="1"/>
  <c r="R33" i="25"/>
  <c r="X32" i="25"/>
  <c r="V32" i="25"/>
  <c r="T32" i="25"/>
  <c r="R32" i="25"/>
  <c r="W22" i="25"/>
  <c r="U22" i="25"/>
  <c r="S22" i="25"/>
  <c r="Q22" i="25"/>
  <c r="AJ18" i="25"/>
  <c r="AH18" i="25"/>
  <c r="AF18" i="25"/>
  <c r="AD18" i="25"/>
  <c r="V18" i="25"/>
  <c r="X34" i="24"/>
  <c r="X35" i="24" s="1"/>
  <c r="X36" i="24" s="1"/>
  <c r="V34" i="24"/>
  <c r="V35" i="24" s="1"/>
  <c r="V36" i="24" s="1"/>
  <c r="V20" i="24" s="1"/>
  <c r="T34" i="24"/>
  <c r="T35" i="24" s="1"/>
  <c r="T36" i="24" s="1"/>
  <c r="T20" i="24" s="1"/>
  <c r="R34" i="24"/>
  <c r="R35" i="24" s="1"/>
  <c r="R36" i="24" s="1"/>
  <c r="R20" i="24" s="1"/>
  <c r="AJ20" i="24"/>
  <c r="AH20" i="24"/>
  <c r="AF20" i="24"/>
  <c r="AD20" i="24"/>
  <c r="X20" i="24"/>
  <c r="R422" i="22"/>
  <c r="R414" i="22" s="1"/>
  <c r="R420" i="22"/>
  <c r="R421" i="22" s="1"/>
  <c r="R395" i="22"/>
  <c r="R396" i="22" s="1"/>
  <c r="R397" i="22" s="1"/>
  <c r="R373" i="22"/>
  <c r="R374" i="22" s="1"/>
  <c r="R375" i="22" s="1"/>
  <c r="R357" i="22"/>
  <c r="R356" i="22"/>
  <c r="R355" i="22"/>
  <c r="R339" i="22"/>
  <c r="R340" i="22" s="1"/>
  <c r="R338" i="22"/>
  <c r="R322" i="22"/>
  <c r="R314" i="22" s="1"/>
  <c r="R321" i="22"/>
  <c r="R320" i="22"/>
  <c r="R302" i="22"/>
  <c r="R303" i="22" s="1"/>
  <c r="R304" i="22" s="1"/>
  <c r="R296" i="22" s="1"/>
  <c r="R284" i="22"/>
  <c r="R283" i="22"/>
  <c r="R282" i="22"/>
  <c r="R276" i="22"/>
  <c r="R262" i="22"/>
  <c r="R263" i="22" s="1"/>
  <c r="R261" i="22"/>
  <c r="R255" i="22"/>
  <c r="X244" i="22"/>
  <c r="X245" i="22" s="1"/>
  <c r="X233" i="22" s="1"/>
  <c r="V244" i="22"/>
  <c r="V245" i="22" s="1"/>
  <c r="V233" i="22" s="1"/>
  <c r="T244" i="22"/>
  <c r="T245" i="22" s="1"/>
  <c r="T233" i="22" s="1"/>
  <c r="R244" i="22"/>
  <c r="R245" i="22" s="1"/>
  <c r="R233" i="22" s="1"/>
  <c r="X243" i="22"/>
  <c r="V243" i="22"/>
  <c r="T243" i="22"/>
  <c r="R243" i="22"/>
  <c r="T222" i="22"/>
  <c r="T211" i="22" s="1"/>
  <c r="R221" i="22"/>
  <c r="R222" i="22" s="1"/>
  <c r="R211" i="22" s="1"/>
  <c r="T220" i="22"/>
  <c r="T221" i="22" s="1"/>
  <c r="R220" i="22"/>
  <c r="AD209" i="22"/>
  <c r="R198" i="22"/>
  <c r="R199" i="22" s="1"/>
  <c r="R200" i="22" s="1"/>
  <c r="R193" i="22"/>
  <c r="R181" i="22"/>
  <c r="R174" i="22" s="1"/>
  <c r="R180" i="22"/>
  <c r="R179" i="22"/>
  <c r="R161" i="22"/>
  <c r="R162" i="22" s="1"/>
  <c r="R160" i="22"/>
  <c r="R155" i="22"/>
  <c r="R140" i="22"/>
  <c r="R141" i="22" s="1"/>
  <c r="R134" i="22" s="1"/>
  <c r="R139" i="22"/>
  <c r="Z120" i="22"/>
  <c r="Z103" i="22" s="1"/>
  <c r="T120" i="22"/>
  <c r="T103" i="22" s="1"/>
  <c r="R120" i="22"/>
  <c r="R103" i="22" s="1"/>
  <c r="Z119" i="22"/>
  <c r="R119" i="22"/>
  <c r="Z118" i="22"/>
  <c r="X118" i="22"/>
  <c r="X119" i="22" s="1"/>
  <c r="X120" i="22" s="1"/>
  <c r="X103" i="22" s="1"/>
  <c r="V118" i="22"/>
  <c r="V119" i="22" s="1"/>
  <c r="V120" i="22" s="1"/>
  <c r="V103" i="22" s="1"/>
  <c r="T118" i="22"/>
  <c r="T119" i="22" s="1"/>
  <c r="R118" i="22"/>
  <c r="Y111" i="22"/>
  <c r="Y109" i="22"/>
  <c r="Y108" i="22"/>
  <c r="Y107" i="22"/>
  <c r="T80" i="22"/>
  <c r="R80" i="22"/>
  <c r="R63" i="22" s="1"/>
  <c r="Z79" i="22"/>
  <c r="Z80" i="22" s="1"/>
  <c r="X79" i="22"/>
  <c r="X80" i="22" s="1"/>
  <c r="X63" i="22" s="1"/>
  <c r="V79" i="22"/>
  <c r="V80" i="22" s="1"/>
  <c r="V63" i="22" s="1"/>
  <c r="Z78" i="22"/>
  <c r="X78" i="22"/>
  <c r="V78" i="22"/>
  <c r="T78" i="22"/>
  <c r="T79" i="22" s="1"/>
  <c r="R78" i="22"/>
  <c r="R79" i="22" s="1"/>
  <c r="Y69" i="22"/>
  <c r="Y68" i="22"/>
  <c r="Y67" i="22"/>
  <c r="Z63" i="22"/>
  <c r="T63" i="22"/>
  <c r="V38" i="22"/>
  <c r="V39" i="22" s="1"/>
  <c r="V21" i="22" s="1"/>
  <c r="T38" i="22"/>
  <c r="T39" i="22" s="1"/>
  <c r="T21" i="22" s="1"/>
  <c r="Z37" i="22"/>
  <c r="Z38" i="22" s="1"/>
  <c r="Z39" i="22" s="1"/>
  <c r="Z21" i="22" s="1"/>
  <c r="X37" i="22"/>
  <c r="X38" i="22" s="1"/>
  <c r="X39" i="22" s="1"/>
  <c r="V37" i="22"/>
  <c r="T37" i="22"/>
  <c r="R37" i="22"/>
  <c r="R38" i="22" s="1"/>
  <c r="R39" i="22" s="1"/>
  <c r="R21" i="22" s="1"/>
  <c r="Y27" i="22"/>
  <c r="Y26" i="22"/>
  <c r="Y25" i="22"/>
  <c r="X21" i="22"/>
  <c r="X36" i="23"/>
  <c r="X20" i="23" s="1"/>
  <c r="X35" i="23"/>
  <c r="T35" i="23"/>
  <c r="T36" i="23" s="1"/>
  <c r="T20" i="23" s="1"/>
  <c r="R35" i="23"/>
  <c r="R36" i="23" s="1"/>
  <c r="R20" i="23" s="1"/>
  <c r="X34" i="23"/>
  <c r="V34" i="23"/>
  <c r="V35" i="23" s="1"/>
  <c r="V36" i="23" s="1"/>
  <c r="V20" i="23" s="1"/>
  <c r="T34" i="23"/>
  <c r="R34" i="23"/>
  <c r="AJ20" i="23"/>
  <c r="AH20" i="23"/>
  <c r="AF20" i="23"/>
  <c r="AD20" i="23"/>
  <c r="AA48" i="1"/>
  <c r="AA49" i="1" s="1"/>
  <c r="AA42" i="1" s="1"/>
  <c r="AA47" i="1"/>
  <c r="RR46" i="1"/>
  <c r="RR47" i="1" s="1"/>
  <c r="RR48" i="1" s="1"/>
  <c r="RR41" i="1" s="1"/>
  <c r="MM45" i="1"/>
  <c r="MM46" i="1" s="1"/>
  <c r="MM47" i="1" s="1"/>
  <c r="KK45" i="1"/>
  <c r="KK46" i="1" s="1"/>
  <c r="KK47" i="1" s="1"/>
  <c r="KK40" i="1" s="1"/>
  <c r="HH45" i="1"/>
  <c r="HH46" i="1" s="1"/>
  <c r="HH47" i="1" s="1"/>
  <c r="HH40" i="1" s="1"/>
  <c r="GG42" i="1"/>
  <c r="GG43" i="1" s="1"/>
  <c r="GG36" i="1" s="1"/>
  <c r="GG41" i="1"/>
  <c r="MM40" i="1"/>
  <c r="FF40" i="1"/>
  <c r="FF41" i="1" s="1"/>
  <c r="FF42" i="1" s="1"/>
  <c r="FF35" i="1" s="1"/>
  <c r="OO39" i="1"/>
  <c r="OO40" i="1" s="1"/>
  <c r="OO33" i="1" s="1"/>
  <c r="NN39" i="1"/>
  <c r="NN32" i="1" s="1"/>
  <c r="JJ39" i="1"/>
  <c r="JJ40" i="1" s="1"/>
  <c r="JJ33" i="1" s="1"/>
  <c r="OO38" i="1"/>
  <c r="NN38" i="1"/>
  <c r="JJ38" i="1"/>
  <c r="NN37" i="1"/>
  <c r="PP34" i="1"/>
  <c r="PP35" i="1" s="1"/>
  <c r="PP36" i="1" s="1"/>
  <c r="PP29" i="1" s="1"/>
  <c r="II33" i="1"/>
  <c r="II34" i="1" s="1"/>
  <c r="II35" i="1" s="1"/>
  <c r="II28" i="1" s="1"/>
  <c r="QQ32" i="1"/>
  <c r="QQ33" i="1" s="1"/>
  <c r="QQ34" i="1" s="1"/>
  <c r="EE32" i="1"/>
  <c r="EE33" i="1" s="1"/>
  <c r="EE26" i="1" s="1"/>
  <c r="DD32" i="1"/>
  <c r="DD25" i="1" s="1"/>
  <c r="BB32" i="1"/>
  <c r="BB33" i="1" s="1"/>
  <c r="EE31" i="1"/>
  <c r="DD31" i="1"/>
  <c r="BB31" i="1"/>
  <c r="PW29" i="1"/>
  <c r="QC29" i="1" s="1"/>
  <c r="PT29" i="1"/>
  <c r="DD30" i="1"/>
  <c r="IP28" i="1"/>
  <c r="IM28" i="1"/>
  <c r="QQ27" i="1"/>
  <c r="LL27" i="1"/>
  <c r="LL28" i="1" s="1"/>
  <c r="LL21" i="1" s="1"/>
  <c r="CC27" i="1"/>
  <c r="CC28" i="1" s="1"/>
  <c r="CC21" i="1" s="1"/>
  <c r="LL26" i="1"/>
  <c r="EL26" i="1"/>
  <c r="ER26" i="1" s="1"/>
  <c r="EI26" i="1"/>
  <c r="CC26" i="1"/>
  <c r="BB26" i="1"/>
  <c r="LS21" i="1"/>
  <c r="LP21" i="1"/>
  <c r="CJ21" i="1"/>
  <c r="CP21" i="1" s="1"/>
  <c r="CG21" i="1"/>
  <c r="MO18" i="1" a="1"/>
  <c r="MO28" i="1" a="1"/>
  <c r="MO17" i="1" a="1"/>
  <c r="MO21" i="1" a="1"/>
  <c r="MO26" i="1" a="1"/>
  <c r="MO13" i="1" a="1"/>
  <c r="MO13" i="1" l="1"/>
  <c r="MO26" i="1"/>
  <c r="MO21" i="1"/>
  <c r="MO17" i="1"/>
  <c r="MO28" i="1"/>
  <c r="MO18" i="1"/>
  <c r="EI8" i="1"/>
  <c r="EI6" i="1"/>
  <c r="CG6" i="1"/>
  <c r="CG8" i="1"/>
  <c r="PT10" i="1"/>
  <c r="EI14" i="1"/>
  <c r="IM17" i="1"/>
  <c r="LP6" i="1"/>
  <c r="EI7" i="1"/>
  <c r="IM11" i="1"/>
  <c r="IM6" i="1"/>
  <c r="LP10" i="1"/>
  <c r="PT9" i="1"/>
  <c r="IM13" i="1"/>
  <c r="IM12" i="1"/>
  <c r="LP9" i="1"/>
  <c r="LP11" i="1"/>
  <c r="PT8" i="1"/>
  <c r="CG14" i="1"/>
  <c r="PT14" i="1"/>
  <c r="CG11" i="1"/>
  <c r="CG15" i="1"/>
  <c r="EI9" i="1"/>
  <c r="IM10" i="1"/>
  <c r="EI10" i="1"/>
  <c r="EI17" i="1"/>
  <c r="PT6" i="1"/>
  <c r="CG10" i="1"/>
  <c r="CG7" i="1"/>
  <c r="PT7" i="1"/>
  <c r="IM9" i="1"/>
  <c r="EI12" i="1"/>
  <c r="EI18" i="1"/>
  <c r="IM20" i="1"/>
  <c r="CG16" i="1"/>
  <c r="CG12" i="1"/>
  <c r="LP19" i="1"/>
  <c r="CG13" i="1"/>
  <c r="PT16" i="1"/>
  <c r="EI21" i="1"/>
  <c r="EI15" i="1"/>
  <c r="EI13" i="1"/>
  <c r="IM15" i="1"/>
  <c r="EI20" i="1"/>
  <c r="CG9" i="1"/>
  <c r="EI11" i="1"/>
  <c r="PT15" i="1"/>
  <c r="LP8" i="1"/>
  <c r="LP13" i="1"/>
  <c r="EI22" i="1"/>
  <c r="IM8" i="1"/>
  <c r="LP15" i="1"/>
  <c r="PT17" i="1"/>
  <c r="LP20" i="1"/>
  <c r="EI16" i="1"/>
  <c r="LP7" i="1"/>
  <c r="LP12" i="1"/>
  <c r="IM7" i="1"/>
  <c r="PT13" i="1"/>
  <c r="PT11" i="1"/>
  <c r="IM27" i="1"/>
  <c r="CG18" i="1"/>
  <c r="EI25" i="1"/>
  <c r="IM21" i="1"/>
  <c r="CG19" i="1"/>
  <c r="IM19" i="1"/>
  <c r="LP16" i="1"/>
  <c r="CG17" i="1"/>
  <c r="LP18" i="1"/>
  <c r="PT19" i="1"/>
  <c r="LP14" i="1"/>
  <c r="PT22" i="1"/>
  <c r="PT24" i="1"/>
  <c r="IM16" i="1"/>
  <c r="LP17" i="1"/>
  <c r="IM23" i="1"/>
  <c r="PT12" i="1"/>
  <c r="PT26" i="1"/>
  <c r="CG20" i="1"/>
  <c r="IM25" i="1"/>
  <c r="PT28" i="1"/>
  <c r="PT21" i="1"/>
  <c r="PT20" i="1"/>
  <c r="EI23" i="1"/>
  <c r="PT18" i="1"/>
  <c r="IM18" i="1"/>
  <c r="IM26" i="1"/>
  <c r="PT27" i="1"/>
  <c r="PT25" i="1"/>
  <c r="IM22" i="1"/>
  <c r="PT23" i="1"/>
  <c r="EI24" i="1"/>
  <c r="IM24" i="1"/>
  <c r="EI19" i="1"/>
  <c r="AH12" i="22"/>
  <c r="AF12" i="22"/>
  <c r="AJ12" i="22"/>
  <c r="LY21" i="1"/>
  <c r="GD5" i="30"/>
  <c r="GD7" i="30"/>
  <c r="IG10" i="30"/>
  <c r="IG3" i="30"/>
  <c r="IG11" i="30"/>
  <c r="IG16" i="30"/>
  <c r="IG13" i="30"/>
  <c r="IG17" i="30"/>
  <c r="IG4" i="30"/>
  <c r="IG9" i="30"/>
  <c r="IG14" i="30"/>
  <c r="IG6" i="30"/>
  <c r="IG12" i="30"/>
  <c r="GZ8" i="30"/>
  <c r="GZ6" i="30"/>
  <c r="GZ3" i="30"/>
  <c r="DP8" i="30"/>
  <c r="HV15" i="30"/>
  <c r="HV17" i="30"/>
  <c r="HV11" i="30"/>
  <c r="HV4" i="30"/>
  <c r="HV8" i="30"/>
  <c r="HV13" i="30"/>
  <c r="HV5" i="30"/>
  <c r="HV16" i="30"/>
  <c r="HV9" i="30"/>
  <c r="EA9" i="30"/>
  <c r="IR7" i="30"/>
  <c r="IR11" i="30"/>
  <c r="IR12" i="30"/>
  <c r="IR17" i="30"/>
  <c r="IR4" i="30"/>
  <c r="IR15" i="30"/>
  <c r="IR8" i="30"/>
  <c r="CI5" i="30"/>
  <c r="AF6" i="30"/>
  <c r="GO4" i="30"/>
  <c r="GO3" i="30"/>
  <c r="GO9" i="30"/>
  <c r="GO6" i="30"/>
  <c r="GO5" i="30"/>
  <c r="KJ5" i="30"/>
  <c r="GO7" i="30"/>
  <c r="JN5" i="30"/>
  <c r="EW8" i="30"/>
  <c r="EW11" i="30"/>
  <c r="EW4" i="30"/>
  <c r="EW12" i="30"/>
  <c r="EW7" i="30"/>
  <c r="IR13" i="30"/>
  <c r="EW12" i="3"/>
  <c r="EW7" i="3"/>
  <c r="EW14" i="3"/>
  <c r="EW21" i="3"/>
  <c r="EW25" i="3"/>
  <c r="EW20" i="3"/>
  <c r="EW8" i="3"/>
  <c r="EW24" i="3"/>
  <c r="EW19" i="3"/>
  <c r="EW5" i="3"/>
  <c r="EW9" i="30"/>
  <c r="EA2" i="3"/>
  <c r="EL2" i="3"/>
  <c r="GD3" i="30"/>
  <c r="IR14" i="30"/>
  <c r="FH9" i="3"/>
  <c r="IG8" i="30"/>
  <c r="IG15" i="30"/>
  <c r="FS16" i="3"/>
  <c r="FS11" i="3"/>
  <c r="FS23" i="3"/>
  <c r="FS22" i="3"/>
  <c r="FS17" i="3"/>
  <c r="FS4" i="3"/>
  <c r="U8" i="30"/>
  <c r="U14" i="30"/>
  <c r="U12" i="30"/>
  <c r="U11" i="30"/>
  <c r="U10" i="30"/>
  <c r="EL5" i="30"/>
  <c r="GD2" i="3"/>
  <c r="EW15" i="30"/>
  <c r="AF9" i="30"/>
  <c r="BM2" i="30"/>
  <c r="BM8" i="30"/>
  <c r="BM6" i="30"/>
  <c r="EW5" i="30"/>
  <c r="EW10" i="30"/>
  <c r="J3" i="3"/>
  <c r="FS12" i="3"/>
  <c r="EW27" i="3"/>
  <c r="IR16" i="30"/>
  <c r="U17" i="30"/>
  <c r="FS6" i="30"/>
  <c r="FS4" i="30"/>
  <c r="JC7" i="30"/>
  <c r="JC8" i="30"/>
  <c r="JC4" i="30"/>
  <c r="JC9" i="30"/>
  <c r="KU7" i="30"/>
  <c r="KU6" i="30"/>
  <c r="KU4" i="30"/>
  <c r="AF17" i="30"/>
  <c r="CT16" i="30"/>
  <c r="JN15" i="30"/>
  <c r="JN4" i="30"/>
  <c r="JN17" i="30"/>
  <c r="LF12" i="30"/>
  <c r="LF11" i="30"/>
  <c r="EW18" i="3"/>
  <c r="U4" i="30"/>
  <c r="AQ17" i="30"/>
  <c r="BM9" i="30"/>
  <c r="BX7" i="30"/>
  <c r="BX11" i="30"/>
  <c r="BX6" i="30"/>
  <c r="BX8" i="30"/>
  <c r="BX12" i="30"/>
  <c r="IR9" i="30"/>
  <c r="BB15" i="3"/>
  <c r="BB21" i="3"/>
  <c r="BB10" i="3"/>
  <c r="BB19" i="3"/>
  <c r="BB4" i="3"/>
  <c r="JN9" i="30"/>
  <c r="AQ6" i="3"/>
  <c r="AQ15" i="3"/>
  <c r="AQ20" i="3"/>
  <c r="AQ8" i="3"/>
  <c r="AQ9" i="3"/>
  <c r="AQ17" i="3"/>
  <c r="CI14" i="30"/>
  <c r="CI11" i="30"/>
  <c r="CI15" i="30"/>
  <c r="CI12" i="30"/>
  <c r="GZ4" i="30"/>
  <c r="JN16" i="30"/>
  <c r="EL4" i="3"/>
  <c r="AQ16" i="3"/>
  <c r="BM4" i="30"/>
  <c r="KJ4" i="30"/>
  <c r="U5" i="30"/>
  <c r="BM10" i="30"/>
  <c r="BX16" i="30"/>
  <c r="GZ7" i="30"/>
  <c r="LF8" i="30"/>
  <c r="CT3" i="3"/>
  <c r="BX4" i="30"/>
  <c r="JC5" i="30"/>
  <c r="FS14" i="3"/>
  <c r="EA8" i="3"/>
  <c r="EA3" i="3"/>
  <c r="EA15" i="3"/>
  <c r="EA5" i="3"/>
  <c r="BX10" i="30"/>
  <c r="CI16" i="30"/>
  <c r="JN10" i="30"/>
  <c r="LF3" i="30"/>
  <c r="J8" i="30"/>
  <c r="J5" i="30"/>
  <c r="J4" i="30"/>
  <c r="AF14" i="30"/>
  <c r="AF4" i="30"/>
  <c r="AF12" i="30"/>
  <c r="AF8" i="30"/>
  <c r="AF3" i="30"/>
  <c r="AF16" i="30"/>
  <c r="FH4" i="30"/>
  <c r="FH7" i="30"/>
  <c r="JN6" i="30"/>
  <c r="KU9" i="30"/>
  <c r="FS13" i="3"/>
  <c r="U15" i="30"/>
  <c r="DP7" i="30"/>
  <c r="DP10" i="30"/>
  <c r="DP3" i="30"/>
  <c r="HK7" i="30"/>
  <c r="HK4" i="30"/>
  <c r="HK8" i="30"/>
  <c r="LF9" i="30"/>
  <c r="EW9" i="3"/>
  <c r="EW22" i="3"/>
  <c r="CT10" i="30"/>
  <c r="CT3" i="30"/>
  <c r="CT4" i="30"/>
  <c r="CT11" i="30"/>
  <c r="EL6" i="30"/>
  <c r="DE6" i="30"/>
  <c r="EW6" i="30"/>
  <c r="EA16" i="30"/>
  <c r="GZ5" i="30"/>
  <c r="HK10" i="30"/>
  <c r="KU5" i="30"/>
  <c r="CI7" i="30"/>
  <c r="DP2" i="30"/>
  <c r="DP6" i="30"/>
  <c r="EL16" i="30"/>
  <c r="HV10" i="30"/>
  <c r="LF5" i="30"/>
  <c r="EW4" i="3"/>
  <c r="BB18" i="3"/>
  <c r="GD11" i="3"/>
  <c r="GD6" i="3"/>
  <c r="U16" i="30"/>
  <c r="EA12" i="30"/>
  <c r="EW16" i="30"/>
  <c r="IG5" i="30"/>
  <c r="JN14" i="30"/>
  <c r="J7" i="30"/>
  <c r="CT12" i="30"/>
  <c r="IR10" i="30"/>
  <c r="BB6" i="3"/>
  <c r="U7" i="30"/>
  <c r="AQ11" i="30"/>
  <c r="EL7" i="30"/>
  <c r="FH6" i="30"/>
  <c r="IR5" i="30"/>
  <c r="EW3" i="3"/>
  <c r="GD12" i="3"/>
  <c r="CT18" i="30"/>
  <c r="GD8" i="3"/>
  <c r="AF7" i="30"/>
  <c r="BM3" i="30"/>
  <c r="EA17" i="30"/>
  <c r="EA11" i="3"/>
  <c r="AQ7" i="30"/>
  <c r="DE7" i="30"/>
  <c r="HV12" i="30"/>
  <c r="EA3" i="30"/>
  <c r="EL17" i="30"/>
  <c r="KJ17" i="30"/>
  <c r="KJ7" i="30"/>
  <c r="KJ11" i="30"/>
  <c r="FS3" i="3"/>
  <c r="GD10" i="3"/>
  <c r="GD19" i="3"/>
  <c r="FH28" i="3"/>
  <c r="FH7" i="3"/>
  <c r="FH16" i="3"/>
  <c r="FS18" i="3"/>
  <c r="FH8" i="3"/>
  <c r="EA12" i="3"/>
  <c r="GD18" i="3"/>
  <c r="FS24" i="3"/>
  <c r="EW26" i="3"/>
  <c r="LF10" i="30"/>
  <c r="FS21" i="3"/>
  <c r="BM21" i="3"/>
  <c r="BM10" i="3"/>
  <c r="BM30" i="3"/>
  <c r="BM20" i="3"/>
  <c r="BM5" i="3"/>
  <c r="BM12" i="3"/>
  <c r="BM29" i="3"/>
  <c r="HK3" i="30"/>
  <c r="IG7" i="30"/>
  <c r="JY10" i="30"/>
  <c r="JY3" i="30"/>
  <c r="JY4" i="30"/>
  <c r="JY17" i="30"/>
  <c r="LF6" i="30"/>
  <c r="AQ4" i="3"/>
  <c r="KJ6" i="30"/>
  <c r="GD7" i="3"/>
  <c r="GD17" i="3"/>
  <c r="U16" i="3"/>
  <c r="U11" i="3"/>
  <c r="U21" i="3"/>
  <c r="BX30" i="3"/>
  <c r="BX20" i="3"/>
  <c r="BX5" i="3"/>
  <c r="BX19" i="3"/>
  <c r="BX14" i="3"/>
  <c r="BX18" i="3"/>
  <c r="AQ4" i="30"/>
  <c r="AQ10" i="30"/>
  <c r="EL3" i="30"/>
  <c r="EL12" i="30"/>
  <c r="GD6" i="30"/>
  <c r="JN12" i="30"/>
  <c r="LQ10" i="30"/>
  <c r="LQ3" i="30"/>
  <c r="LQ4" i="30"/>
  <c r="AQ14" i="3"/>
  <c r="BM22" i="3"/>
  <c r="BX31" i="3"/>
  <c r="EW3" i="30"/>
  <c r="JN7" i="30"/>
  <c r="JY12" i="30"/>
  <c r="AQ3" i="3"/>
  <c r="EW6" i="3"/>
  <c r="BB14" i="3"/>
  <c r="FH20" i="3"/>
  <c r="BM27" i="3"/>
  <c r="CI6" i="30"/>
  <c r="GD8" i="30"/>
  <c r="BB3" i="3"/>
  <c r="FH6" i="3"/>
  <c r="U8" i="3"/>
  <c r="BB9" i="3"/>
  <c r="EW11" i="3"/>
  <c r="BM14" i="3"/>
  <c r="U18" i="3"/>
  <c r="FS20" i="3"/>
  <c r="EW23" i="3"/>
  <c r="BX27" i="3"/>
  <c r="EA8" i="30"/>
  <c r="EA15" i="30"/>
  <c r="JY7" i="30"/>
  <c r="JN13" i="30"/>
  <c r="LF7" i="30"/>
  <c r="BM3" i="3"/>
  <c r="FS6" i="3"/>
  <c r="BM9" i="3"/>
  <c r="FH11" i="3"/>
  <c r="FH23" i="3"/>
  <c r="BX29" i="3"/>
  <c r="AQ12" i="30"/>
  <c r="EL11" i="30"/>
  <c r="EL4" i="30"/>
  <c r="EL18" i="30"/>
  <c r="BX9" i="3"/>
  <c r="J9" i="30"/>
  <c r="BX2" i="30"/>
  <c r="BM7" i="30"/>
  <c r="JC3" i="30"/>
  <c r="LQ7" i="30"/>
  <c r="AQ13" i="3"/>
  <c r="EW15" i="3"/>
  <c r="U17" i="3"/>
  <c r="HV14" i="30"/>
  <c r="JN3" i="30"/>
  <c r="JN8" i="30"/>
  <c r="U7" i="3"/>
  <c r="BM18" i="3"/>
  <c r="FS10" i="3"/>
  <c r="EA16" i="3"/>
  <c r="BB20" i="3"/>
  <c r="BB13" i="3"/>
  <c r="EA14" i="30"/>
  <c r="GD4" i="30"/>
  <c r="HV6" i="30"/>
  <c r="BB5" i="3"/>
  <c r="AQ12" i="3"/>
  <c r="EW16" i="3"/>
  <c r="FH25" i="3"/>
  <c r="AF5" i="30"/>
  <c r="EW14" i="30"/>
  <c r="IR6" i="30"/>
  <c r="KJ3" i="30"/>
  <c r="EA7" i="3"/>
  <c r="GD9" i="3"/>
  <c r="AQ11" i="3"/>
  <c r="GD16" i="3"/>
  <c r="GD22" i="3"/>
  <c r="CI34" i="3"/>
  <c r="CI19" i="3"/>
  <c r="CI14" i="3"/>
  <c r="CI26" i="3"/>
  <c r="CI9" i="3"/>
  <c r="CI27" i="3"/>
  <c r="BB8" i="30"/>
  <c r="BX17" i="30"/>
  <c r="FS8" i="3"/>
  <c r="EA14" i="3"/>
  <c r="AQ19" i="3"/>
  <c r="DP13" i="3"/>
  <c r="DP8" i="3"/>
  <c r="DP31" i="3"/>
  <c r="BM5" i="30"/>
  <c r="BX13" i="30"/>
  <c r="HV7" i="30"/>
  <c r="BM4" i="3"/>
  <c r="FH21" i="3"/>
  <c r="BM26" i="3"/>
  <c r="EA7" i="30"/>
  <c r="BX4" i="3"/>
  <c r="U10" i="3"/>
  <c r="FH15" i="3"/>
  <c r="BM19" i="3"/>
  <c r="DP20" i="3"/>
  <c r="BX26" i="3"/>
  <c r="DP29" i="3"/>
  <c r="CI13" i="30"/>
  <c r="CT17" i="30"/>
  <c r="HV3" i="30"/>
  <c r="KJ12" i="30"/>
  <c r="EA6" i="3"/>
  <c r="FS7" i="3"/>
  <c r="AF10" i="3"/>
  <c r="EA13" i="3"/>
  <c r="FS15" i="3"/>
  <c r="LF14" i="30"/>
  <c r="AQ10" i="3"/>
  <c r="BX11" i="3"/>
  <c r="GD15" i="3"/>
  <c r="GD21" i="3"/>
  <c r="BX18" i="30"/>
  <c r="IR3" i="30"/>
  <c r="AQ18" i="3"/>
  <c r="DE18" i="3"/>
  <c r="DE13" i="3"/>
  <c r="DE17" i="3"/>
  <c r="J32" i="3"/>
  <c r="J7" i="3"/>
  <c r="J34" i="3"/>
  <c r="J23" i="3"/>
  <c r="J16" i="3"/>
  <c r="J22" i="3"/>
  <c r="CT13" i="30"/>
  <c r="EL33" i="3"/>
  <c r="AB345" i="22" a="1"/>
  <c r="AB189" i="22" a="1"/>
  <c r="AB8" i="25" a="1"/>
  <c r="AB6" i="23" a="1"/>
  <c r="AB12" i="24" a="1"/>
  <c r="AB399" i="22" a="1"/>
  <c r="AB62" i="22" a="1"/>
  <c r="BD25" i="1" a="1"/>
  <c r="AC37" i="1" a="1"/>
  <c r="AC14" i="1" a="1"/>
  <c r="OQ20" i="1" a="1"/>
  <c r="FH14" i="1" a="1"/>
  <c r="JL24" i="1" a="1"/>
  <c r="AC40" i="1" a="1"/>
  <c r="AC26" i="1" a="1"/>
  <c r="GI22" i="1" a="1"/>
  <c r="RT21" i="1" a="1"/>
  <c r="AB188" i="22" a="1"/>
  <c r="AB133" i="22" a="1"/>
  <c r="AB12" i="25" a="1"/>
  <c r="AB7" i="22" a="1"/>
  <c r="AB130" i="22" a="1"/>
  <c r="AB313" i="22" a="1"/>
  <c r="OQ19" i="1" a="1"/>
  <c r="NP28" i="1" a="1"/>
  <c r="QS27" i="1" a="1"/>
  <c r="RT9" i="1" a="1"/>
  <c r="RT26" i="1" a="1"/>
  <c r="KM11" i="1" a="1"/>
  <c r="AB186" i="22" a="1"/>
  <c r="OQ21" i="1" a="1"/>
  <c r="AC18" i="1" a="1"/>
  <c r="NP8" i="1" a="1"/>
  <c r="KM16" i="1" a="1"/>
  <c r="GI20" i="1" a="1"/>
  <c r="NP29" i="1" a="1"/>
  <c r="AB331" i="22" a="1"/>
  <c r="AB16" i="24" a="1"/>
  <c r="KM28" i="1" a="1"/>
  <c r="KM9" i="1" a="1"/>
  <c r="QS14" i="1" a="1"/>
  <c r="AB152" i="22" a="1"/>
  <c r="DF24" i="1" a="1"/>
  <c r="AB50" i="22" a="1"/>
  <c r="AC39" i="1" a="1"/>
  <c r="MO40" i="1" a="1"/>
  <c r="NP18" i="1" a="1"/>
  <c r="QS10" i="1" a="1"/>
  <c r="AB132" i="22" a="1"/>
  <c r="GI8" i="1" a="1"/>
  <c r="NP31" i="1" a="1"/>
  <c r="FH30" i="1" a="1"/>
  <c r="OQ9" i="1" a="1"/>
  <c r="AC11" i="1" a="1"/>
  <c r="AB289" i="22" a="1"/>
  <c r="AB89" i="22" a="1"/>
  <c r="AB150" i="22" a="1"/>
  <c r="AB210" i="22" a="1"/>
  <c r="AB167" i="22" a="1"/>
  <c r="AB19" i="23" a="1"/>
  <c r="AB404" i="22" a="1"/>
  <c r="AB86" i="22" a="1"/>
  <c r="MO37" i="1" a="1"/>
  <c r="AC12" i="1" a="1"/>
  <c r="DF23" i="1" a="1"/>
  <c r="RT18" i="1" a="1"/>
  <c r="DF21" i="1" a="1"/>
  <c r="FH22" i="1" a="1"/>
  <c r="AC24" i="1" a="1"/>
  <c r="FH13" i="1" a="1"/>
  <c r="RT22" i="1" a="1"/>
  <c r="BD7" i="1" a="1"/>
  <c r="RT37" i="1" a="1"/>
  <c r="NP10" i="1" a="1"/>
  <c r="AC29" i="1" a="1"/>
  <c r="NP24" i="1" a="1"/>
  <c r="AB10" i="23" a="1"/>
  <c r="MO11" i="1" a="1"/>
  <c r="AB85" i="22" a="1"/>
  <c r="MO27" i="1" a="1"/>
  <c r="AB232" i="22" a="1"/>
  <c r="AB192" i="22" a="1"/>
  <c r="AB254" i="22" a="1"/>
  <c r="OQ13" i="1" a="1"/>
  <c r="HJ37" i="1" a="1"/>
  <c r="NP30" i="1" a="1"/>
  <c r="GI15" i="1" a="1"/>
  <c r="MO24" i="1" a="1"/>
  <c r="GI16" i="1" a="1"/>
  <c r="AB11" i="23" a="1"/>
  <c r="JL28" i="1" a="1"/>
  <c r="AB407" i="22" a="1"/>
  <c r="FH8" i="1" a="1"/>
  <c r="AB275" i="22" a="1"/>
  <c r="DF19" i="1" a="1"/>
  <c r="FH32" i="1" a="1"/>
  <c r="NP23" i="1" a="1"/>
  <c r="AB170" i="22" a="1"/>
  <c r="AB48" i="22" a="1"/>
  <c r="AB271" i="22" a="1"/>
  <c r="AB53" i="22" a="1"/>
  <c r="AB134" i="22" a="1"/>
  <c r="AB15" i="22" a="1"/>
  <c r="AB16" i="22" a="1"/>
  <c r="NP21" i="1" a="1"/>
  <c r="JL17" i="1" a="1"/>
  <c r="GI34" i="1" a="1"/>
  <c r="NP7" i="1" a="1"/>
  <c r="BD13" i="1" a="1"/>
  <c r="OQ7" i="1" a="1"/>
  <c r="RT19" i="1" a="1"/>
  <c r="RT41" i="1" a="1"/>
  <c r="AB103" i="22" a="1"/>
  <c r="AC32" i="1" a="1"/>
  <c r="AB208" i="22" a="1"/>
  <c r="NP25" i="1" a="1"/>
  <c r="AC17" i="1" a="1"/>
  <c r="AB401" i="22" a="1"/>
  <c r="NP12" i="1" a="1"/>
  <c r="NP9" i="1" a="1"/>
  <c r="AC42" i="1" a="1"/>
  <c r="RT13" i="1" a="1"/>
  <c r="AB272" i="22" a="1"/>
  <c r="JL14" i="1" a="1"/>
  <c r="AB147" i="22" a="1"/>
  <c r="FH6" i="1" a="1"/>
  <c r="JL11" i="1" a="1"/>
  <c r="AB7" i="25" a="1"/>
  <c r="AB45" i="22" a="1"/>
  <c r="AB190" i="22" a="1"/>
  <c r="AB375" i="22" a="1"/>
  <c r="AB9" i="22" a="1"/>
  <c r="AB230" i="22" a="1"/>
  <c r="AB11" i="24" a="1"/>
  <c r="QS15" i="1" a="1"/>
  <c r="AC8" i="1" a="1"/>
  <c r="KM31" i="1" a="1"/>
  <c r="FH24" i="1" a="1"/>
  <c r="KM33" i="1" a="1"/>
  <c r="QS17" i="1" a="1"/>
  <c r="NP13" i="1" a="1"/>
  <c r="HJ31" i="1" a="1"/>
  <c r="AB90" i="22" a="1"/>
  <c r="AB7" i="23" a="1"/>
  <c r="AB328" i="22" a="1"/>
  <c r="AB155" i="22" a="1"/>
  <c r="AB346" i="22" a="1"/>
  <c r="AB46" i="22" a="1"/>
  <c r="AB97" i="22" a="1"/>
  <c r="AB8" i="23" a="1"/>
  <c r="OQ24" i="1" a="1"/>
  <c r="RT8" i="1" a="1"/>
  <c r="AB406" i="22" a="1"/>
  <c r="KM26" i="1" a="1"/>
  <c r="AB228" i="22" a="1"/>
  <c r="FH20" i="1" a="1"/>
  <c r="AB102" i="22" a="1"/>
  <c r="FH9" i="1" a="1"/>
  <c r="AC6" i="1" a="1"/>
  <c r="AB9" i="25" a="1"/>
  <c r="RT31" i="1" a="1"/>
  <c r="AC35" i="1" a="1"/>
  <c r="FH19" i="1" a="1"/>
  <c r="NP11" i="1" a="1"/>
  <c r="QS22" i="1" a="1"/>
  <c r="AB129" i="22" a="1"/>
  <c r="AB402" i="22" a="1"/>
  <c r="AB151" i="22" a="1"/>
  <c r="AB19" i="22" a="1"/>
  <c r="RT20" i="1" a="1"/>
  <c r="RT16" i="1" a="1"/>
  <c r="JL9" i="1" a="1"/>
  <c r="KM25" i="1" a="1"/>
  <c r="QS20" i="1" a="1"/>
  <c r="FH18" i="1" a="1"/>
  <c r="AB125" i="22" a="1"/>
  <c r="AB359" i="22" a="1"/>
  <c r="DF18" i="1" a="1"/>
  <c r="FH26" i="1" a="1"/>
  <c r="QS23" i="1" a="1"/>
  <c r="AB172" i="22" a="1"/>
  <c r="FH33" i="1" a="1"/>
  <c r="GI10" i="1" a="1"/>
  <c r="OQ23" i="1" a="1"/>
  <c r="AB377" i="22" a="1"/>
  <c r="GI12" i="1" a="1"/>
  <c r="JL31" i="1" a="1"/>
  <c r="AB8" i="22" a="1"/>
  <c r="FH12" i="1" a="1"/>
  <c r="BD9" i="1" a="1"/>
  <c r="DF6" i="1" a="1"/>
  <c r="AB56" i="22" a="1"/>
  <c r="AB311" i="22" a="1"/>
  <c r="AB403" i="22" a="1"/>
  <c r="AB310" i="22" a="1"/>
  <c r="AB127" i="22" a="1"/>
  <c r="AB291" i="22" a="1"/>
  <c r="AB5" i="24" a="1"/>
  <c r="AB154" i="22" a="1"/>
  <c r="QS6" i="1" a="1"/>
  <c r="FH10" i="1" a="1"/>
  <c r="FH25" i="1" a="1"/>
  <c r="FH11" i="1" a="1"/>
  <c r="JL15" i="1" a="1"/>
  <c r="NP15" i="1" a="1"/>
  <c r="GI35" i="1" a="1"/>
  <c r="GI18" i="1" a="1"/>
  <c r="OQ12" i="1" a="1"/>
  <c r="AB146" i="22" a="1"/>
  <c r="AB11" i="22" a="1"/>
  <c r="AB211" i="22" a="1"/>
  <c r="AB312" i="22" a="1"/>
  <c r="AB174" i="22" a="1"/>
  <c r="AB400" i="22" a="1"/>
  <c r="AB296" i="22" a="1"/>
  <c r="AB52" i="22" a="1"/>
  <c r="KM21" i="1" a="1"/>
  <c r="KM36" i="1" a="1"/>
  <c r="BD10" i="1" a="1"/>
  <c r="HJ17" i="1" a="1"/>
  <c r="BD14" i="1" a="1"/>
  <c r="AC21" i="1" a="1"/>
  <c r="GI13" i="1" a="1"/>
  <c r="KM39" i="1" a="1"/>
  <c r="AB92" i="22" a="1"/>
  <c r="AB15" i="25" a="1"/>
  <c r="AB405" i="22" a="1"/>
  <c r="BD17" i="1" a="1"/>
  <c r="AB88" i="22" a="1"/>
  <c r="AB20" i="22" a="1"/>
  <c r="AB398" i="22" a="1"/>
  <c r="JL29" i="1" a="1"/>
  <c r="KM8" i="1" a="1"/>
  <c r="FH17" i="1" a="1"/>
  <c r="AB409" i="22" a="1"/>
  <c r="MO7" i="1" a="1"/>
  <c r="AB382" i="22" a="1"/>
  <c r="QS12" i="1" a="1"/>
  <c r="QS11" i="1" a="1"/>
  <c r="AB270" i="22" a="1"/>
  <c r="JL6" i="1" a="1"/>
  <c r="KM19" i="1" a="1"/>
  <c r="AB309" i="22" a="1"/>
  <c r="BD12" i="1" a="1"/>
  <c r="KM17" i="1" a="1"/>
  <c r="AC10" i="1" a="1"/>
  <c r="AB131" i="22" a="1"/>
  <c r="AB9" i="24" a="1"/>
  <c r="JL10" i="1" a="1"/>
  <c r="JL27" i="1" a="1"/>
  <c r="AB16" i="25" a="1"/>
  <c r="GI21" i="1" a="1"/>
  <c r="AB6" i="25" a="1"/>
  <c r="NP20" i="1" a="1"/>
  <c r="AB171" i="22" a="1"/>
  <c r="RT38" i="1" a="1"/>
  <c r="AB153" i="22" a="1"/>
  <c r="AB251" i="22" a="1"/>
  <c r="AB14" i="25" a="1"/>
  <c r="AB329" i="22" a="1"/>
  <c r="AB276" i="22" a="1"/>
  <c r="AB11" i="25" a="1"/>
  <c r="AB4" i="24" a="1"/>
  <c r="AB101" i="22" a="1"/>
  <c r="AB149" i="22" a="1"/>
  <c r="AB327" i="22" a="1"/>
  <c r="AB17" i="25" a="1"/>
  <c r="GI30" i="1" a="1"/>
  <c r="AB227" i="22" a="1"/>
  <c r="AB360" i="22" a="1"/>
  <c r="AB229" i="22" a="1"/>
  <c r="AB9" i="23" a="1"/>
  <c r="HJ40" i="1" a="1"/>
  <c r="AB16" i="23" a="1"/>
  <c r="AB293" i="22" a="1"/>
  <c r="QS26" i="1" a="1"/>
  <c r="KM10" i="1" a="1"/>
  <c r="AC30" i="1" a="1"/>
  <c r="AB18" i="22" a="1"/>
  <c r="AB349" i="22" a="1"/>
  <c r="AB356" i="22" a="1"/>
  <c r="AB8" i="24" a="1"/>
  <c r="AB63" i="22" a="1"/>
  <c r="AB59" i="22" a="1"/>
  <c r="AB207" i="22" a="1"/>
  <c r="AB173" i="22" a="1"/>
  <c r="AB290" i="22" a="1"/>
  <c r="QS18" i="1" a="1"/>
  <c r="RT14" i="1" a="1"/>
  <c r="OQ27" i="1" a="1"/>
  <c r="GI11" i="1" a="1"/>
  <c r="FH27" i="1" a="1"/>
  <c r="DF11" i="1" a="1"/>
  <c r="RT10" i="1" a="1"/>
  <c r="JL32" i="1" a="1"/>
  <c r="AC33" i="1" a="1"/>
  <c r="AB187" i="22" a="1"/>
  <c r="JL18" i="1" a="1"/>
  <c r="AB380" i="22" a="1"/>
  <c r="AB14" i="22" a="1"/>
  <c r="AB61" i="22" a="1"/>
  <c r="AB54" i="22" a="1"/>
  <c r="AC34" i="1" a="1"/>
  <c r="AB57" i="22" a="1"/>
  <c r="AB206" i="22" a="1"/>
  <c r="AB348" i="22" a="1"/>
  <c r="AB233" i="22" a="1"/>
  <c r="AB408" i="22" a="1"/>
  <c r="AB7" i="24" a="1"/>
  <c r="AB10" i="25" a="1"/>
  <c r="JL21" i="1" a="1"/>
  <c r="NP17" i="1" a="1"/>
  <c r="FH16" i="1" a="1"/>
  <c r="RT35" i="1" a="1"/>
  <c r="OQ30" i="1" a="1"/>
  <c r="NP26" i="1" a="1"/>
  <c r="GI32" i="1" a="1"/>
  <c r="NP22" i="1" a="1"/>
  <c r="RT27" i="1" a="1"/>
  <c r="AB250" i="22" a="1"/>
  <c r="AB96" i="22" a="1"/>
  <c r="HJ20" i="1" a="1"/>
  <c r="AB191" i="22" a="1"/>
  <c r="QS13" i="1" a="1"/>
  <c r="GI6" i="1" a="1"/>
  <c r="JL20" i="1" a="1"/>
  <c r="OQ11" i="1" a="1"/>
  <c r="BD6" i="1" a="1"/>
  <c r="QS19" i="1" a="1"/>
  <c r="NP14" i="1" a="1"/>
  <c r="AB294" i="22" a="1"/>
  <c r="AB378" i="22" a="1"/>
  <c r="AB4" i="23" a="1"/>
  <c r="AB51" i="22" a="1"/>
  <c r="AB347" i="22" a="1"/>
  <c r="AB169" i="22" a="1"/>
  <c r="AB98" i="22" a="1"/>
  <c r="QS21" i="1" a="1"/>
  <c r="JL8" i="1" a="1"/>
  <c r="RT25" i="1" a="1"/>
  <c r="DF25" i="1" a="1"/>
  <c r="KM40" i="1" a="1"/>
  <c r="BD26" i="1" a="1"/>
  <c r="AC36" i="1" a="1"/>
  <c r="FH21" i="1" a="1"/>
  <c r="BD15" i="1" a="1"/>
  <c r="AB314" i="22" a="1"/>
  <c r="DF7" i="1" a="1"/>
  <c r="AB384" i="22" a="1"/>
  <c r="AB4" i="22" a="1"/>
  <c r="DF12" i="1" a="1"/>
  <c r="AB383" i="22" a="1"/>
  <c r="AB100" i="22" a="1"/>
  <c r="AB44" i="22" a="1"/>
  <c r="AB91" i="22" a="1"/>
  <c r="AB93" i="22" a="1"/>
  <c r="AB18" i="23" a="1"/>
  <c r="AB330" i="22" a="1"/>
  <c r="NP6" i="1" a="1"/>
  <c r="BD16" i="1" a="1"/>
  <c r="KM7" i="1" a="1"/>
  <c r="JL16" i="1" a="1"/>
  <c r="GI17" i="1" a="1"/>
  <c r="FH34" i="1" a="1"/>
  <c r="JL22" i="1" a="1"/>
  <c r="QS7" i="1" a="1"/>
  <c r="FH28" i="1" a="1"/>
  <c r="NP27" i="1" a="1"/>
  <c r="FH23" i="1" a="1"/>
  <c r="KM12" i="1" a="1"/>
  <c r="NP19" i="1" a="1"/>
  <c r="AB332" i="22" a="1"/>
  <c r="OQ33" i="1" a="1"/>
  <c r="AB376" i="22" a="1"/>
  <c r="AB362" i="22" a="1"/>
  <c r="AB58" i="22" a="1"/>
  <c r="AB5" i="23" a="1"/>
  <c r="AB47" i="22" a="1"/>
  <c r="AB379" i="22" a="1"/>
  <c r="AB18" i="24" a="1"/>
  <c r="QS9" i="1" a="1"/>
  <c r="KM32" i="1" a="1"/>
  <c r="AC16" i="1" a="1"/>
  <c r="HJ8" i="1" a="1"/>
  <c r="RT34" i="1" a="1"/>
  <c r="AB49" i="22" a="1"/>
  <c r="AB252" i="22" a="1"/>
  <c r="BD24" i="1" a="1"/>
  <c r="FH31" i="1" a="1"/>
  <c r="AB17" i="24" a="1"/>
  <c r="AB21" i="22" a="1"/>
  <c r="AB99" i="22" a="1"/>
  <c r="AB255" i="22" a="1"/>
  <c r="GI23" i="1" a="1"/>
  <c r="AC15" i="1" a="1"/>
  <c r="FH7" i="1" a="1"/>
  <c r="RT7" i="1" a="1"/>
  <c r="AB19" i="24" a="1"/>
  <c r="AB381" i="22" a="1"/>
  <c r="AB205" i="22" a="1"/>
  <c r="AB4" i="25" a="1"/>
  <c r="AB126" i="22" a="1"/>
  <c r="AB397" i="22" a="1"/>
  <c r="AB168" i="22" a="1"/>
  <c r="AB357" i="22" a="1"/>
  <c r="AB87" i="22" a="1"/>
  <c r="AB6" i="22" a="1"/>
  <c r="AB5" i="22" a="1"/>
  <c r="AB17" i="22" a="1"/>
  <c r="AB5" i="25" a="1"/>
  <c r="AB6" i="24" a="1"/>
  <c r="JL12" i="1" a="1"/>
  <c r="QS8" i="1" a="1"/>
  <c r="FH29" i="1" a="1"/>
  <c r="FH15" i="1" a="1"/>
  <c r="KM27" i="1" a="1"/>
  <c r="AC22" i="1" a="1"/>
  <c r="AC41" i="1" a="1"/>
  <c r="OQ14" i="1" a="1"/>
  <c r="JL7" i="1" a="1"/>
  <c r="NP16" i="1" a="1"/>
  <c r="FH35" i="1" a="1"/>
  <c r="GI27" i="1" a="1"/>
  <c r="RT28" i="1" a="1"/>
  <c r="JL23" i="1" a="1"/>
  <c r="RT29" i="1" a="1"/>
  <c r="JL26" i="1" a="1"/>
  <c r="RT11" i="1" a="1"/>
  <c r="AB10" i="22" a="1"/>
  <c r="AB10" i="24" a="1"/>
  <c r="RT15" i="1" a="1"/>
  <c r="AB193" i="22" a="1"/>
  <c r="MO36" i="1" a="1"/>
  <c r="AB17" i="23" a="1"/>
  <c r="GI36" i="1" a="1"/>
  <c r="RT24" i="1" a="1"/>
  <c r="AB15" i="24" a="1"/>
  <c r="AB15" i="23" a="1"/>
  <c r="AB60" i="22" a="1"/>
  <c r="AB148" i="22" a="1"/>
  <c r="AB361" i="22" a="1"/>
  <c r="AB292" i="22" a="1"/>
  <c r="AB253" i="22" a="1"/>
  <c r="AC7" i="1" a="1"/>
  <c r="DF17" i="1" a="1"/>
  <c r="OQ16" i="1" a="1"/>
  <c r="HJ30" i="1" a="1"/>
  <c r="AB94" i="22" a="1"/>
  <c r="JL33" i="1" a="1"/>
  <c r="AB295" i="22" a="1"/>
  <c r="GI29" i="1" a="1"/>
  <c r="GI28" i="1" a="1"/>
  <c r="GI19" i="1" a="1"/>
  <c r="AD269" i="22" l="1"/>
  <c r="AB17" i="25"/>
  <c r="AB382" i="22"/>
  <c r="AD382" i="22" s="1"/>
  <c r="JL32" i="1"/>
  <c r="JQ32" i="1" s="1"/>
  <c r="AC24" i="1"/>
  <c r="AH24" i="1" s="1"/>
  <c r="AB290" i="22"/>
  <c r="AD290" i="22" s="1"/>
  <c r="AB377" i="22"/>
  <c r="AD377" i="22" s="1"/>
  <c r="HJ31" i="1"/>
  <c r="HO31" i="1" s="1"/>
  <c r="AB101" i="22"/>
  <c r="AC42" i="1"/>
  <c r="AE42" i="1" s="1"/>
  <c r="MQ26" i="1"/>
  <c r="AB16" i="24"/>
  <c r="AB359" i="22"/>
  <c r="AD359" i="22" s="1"/>
  <c r="AB52" i="22"/>
  <c r="AB154" i="22"/>
  <c r="AD154" i="22" s="1"/>
  <c r="AB19" i="22"/>
  <c r="IP23" i="1"/>
  <c r="HO15" i="1"/>
  <c r="AB272" i="22"/>
  <c r="AD272" i="22" s="1"/>
  <c r="AB11" i="24"/>
  <c r="PW27" i="1"/>
  <c r="AB313" i="22"/>
  <c r="AD313" i="22" s="1"/>
  <c r="AB16" i="22"/>
  <c r="AB86" i="22"/>
  <c r="KM21" i="1"/>
  <c r="KO21" i="1" s="1"/>
  <c r="MO27" i="1"/>
  <c r="MT27" i="1" s="1"/>
  <c r="AB62" i="22"/>
  <c r="HO32" i="1"/>
  <c r="KM25" i="1"/>
  <c r="KO25" i="1" s="1"/>
  <c r="AB253" i="22"/>
  <c r="AD253" i="22" s="1"/>
  <c r="AB6" i="24"/>
  <c r="RT37" i="1"/>
  <c r="RY37" i="1" s="1"/>
  <c r="AB168" i="22"/>
  <c r="AD168" i="22" s="1"/>
  <c r="AB314" i="22"/>
  <c r="AD314" i="22" s="1"/>
  <c r="AB252" i="22"/>
  <c r="AD252" i="22" s="1"/>
  <c r="GI23" i="1"/>
  <c r="GK23" i="1" s="1"/>
  <c r="PW22" i="1"/>
  <c r="AB18" i="24"/>
  <c r="AB330" i="22"/>
  <c r="AD330" i="22" s="1"/>
  <c r="AB191" i="22"/>
  <c r="AD191" i="22" s="1"/>
  <c r="MO37" i="1"/>
  <c r="MT37" i="1" s="1"/>
  <c r="NP22" i="1"/>
  <c r="NR22" i="1" s="1"/>
  <c r="AB98" i="22"/>
  <c r="AB293" i="22"/>
  <c r="AD293" i="22" s="1"/>
  <c r="AB6" i="25"/>
  <c r="AB10" i="25"/>
  <c r="KR35" i="1"/>
  <c r="AB10" i="22"/>
  <c r="HO34" i="1"/>
  <c r="NP31" i="1"/>
  <c r="NR31" i="1" s="1"/>
  <c r="KM40" i="1"/>
  <c r="AB9" i="24"/>
  <c r="AB173" i="22"/>
  <c r="AD173" i="22" s="1"/>
  <c r="AB152" i="22"/>
  <c r="AD152" i="22" s="1"/>
  <c r="OQ33" i="1"/>
  <c r="AB4" i="24"/>
  <c r="HL19" i="1"/>
  <c r="AB254" i="22"/>
  <c r="AD254" i="22" s="1"/>
  <c r="AB85" i="22"/>
  <c r="QX25" i="1"/>
  <c r="NP26" i="1"/>
  <c r="NR26" i="1" s="1"/>
  <c r="AB296" i="22"/>
  <c r="AD296" i="22" s="1"/>
  <c r="EL24" i="1"/>
  <c r="AB5" i="24"/>
  <c r="KM33" i="1"/>
  <c r="KR33" i="1" s="1"/>
  <c r="MQ35" i="1"/>
  <c r="AB10" i="23"/>
  <c r="RT29" i="1"/>
  <c r="RY29" i="1" s="1"/>
  <c r="AB186" i="22"/>
  <c r="AD186" i="22" s="1"/>
  <c r="AB230" i="22"/>
  <c r="AB130" i="22"/>
  <c r="AD130" i="22" s="1"/>
  <c r="AB15" i="22"/>
  <c r="OQ21" i="1"/>
  <c r="OV21" i="1" s="1"/>
  <c r="AB404" i="22"/>
  <c r="AD404" i="22" s="1"/>
  <c r="AB399" i="22"/>
  <c r="AD399" i="22" s="1"/>
  <c r="AB292" i="22"/>
  <c r="AD292" i="22" s="1"/>
  <c r="NP24" i="1"/>
  <c r="NR24" i="1" s="1"/>
  <c r="AB5" i="25"/>
  <c r="GI22" i="1"/>
  <c r="GK22" i="1" s="1"/>
  <c r="BI23" i="1"/>
  <c r="AB397" i="22"/>
  <c r="AD397" i="22" s="1"/>
  <c r="AB398" i="22"/>
  <c r="AD398" i="22" s="1"/>
  <c r="AB255" i="22"/>
  <c r="AD255" i="22" s="1"/>
  <c r="AB379" i="22"/>
  <c r="AD379" i="22" s="1"/>
  <c r="AB18" i="23"/>
  <c r="AB171" i="22"/>
  <c r="AD171" i="22" s="1"/>
  <c r="OV25" i="1"/>
  <c r="HL39" i="1"/>
  <c r="AB169" i="22"/>
  <c r="AD169" i="22" s="1"/>
  <c r="AB328" i="22"/>
  <c r="AD328" i="22" s="1"/>
  <c r="AB10" i="24"/>
  <c r="HL36" i="1"/>
  <c r="RT24" i="1"/>
  <c r="RV24" i="1" s="1"/>
  <c r="AB7" i="24"/>
  <c r="AB16" i="25"/>
  <c r="AB103" i="22"/>
  <c r="AB207" i="22"/>
  <c r="RV40" i="1"/>
  <c r="JL33" i="1"/>
  <c r="GK24" i="1"/>
  <c r="PW21" i="1"/>
  <c r="RT14" i="1"/>
  <c r="RV14" i="1" s="1"/>
  <c r="BD25" i="1"/>
  <c r="BF25" i="1" s="1"/>
  <c r="CJ17" i="1"/>
  <c r="CJ19" i="1"/>
  <c r="RT20" i="1"/>
  <c r="RY20" i="1" s="1"/>
  <c r="QS9" i="1"/>
  <c r="QX9" i="1" s="1"/>
  <c r="HJ17" i="1"/>
  <c r="HL17" i="1" s="1"/>
  <c r="DF6" i="1"/>
  <c r="DH6" i="1" s="1"/>
  <c r="KM39" i="1"/>
  <c r="KR39" i="1" s="1"/>
  <c r="KO18" i="1"/>
  <c r="OQ23" i="1"/>
  <c r="OS23" i="1" s="1"/>
  <c r="MQ30" i="1"/>
  <c r="DH14" i="1"/>
  <c r="LS18" i="1"/>
  <c r="BD16" i="1"/>
  <c r="AE19" i="1"/>
  <c r="FH20" i="1"/>
  <c r="FJ20" i="1" s="1"/>
  <c r="HL27" i="1"/>
  <c r="RT22" i="1"/>
  <c r="RV22" i="1" s="1"/>
  <c r="FH13" i="1"/>
  <c r="FJ13" i="1" s="1"/>
  <c r="AC14" i="1"/>
  <c r="AH14" i="1" s="1"/>
  <c r="IP9" i="1"/>
  <c r="MQ8" i="1"/>
  <c r="BD6" i="1"/>
  <c r="BF6" i="1" s="1"/>
  <c r="MQ6" i="1"/>
  <c r="AC15" i="1"/>
  <c r="AH15" i="1" s="1"/>
  <c r="PW10" i="1"/>
  <c r="AC6" i="1"/>
  <c r="AE6" i="1" s="1"/>
  <c r="PW16" i="1"/>
  <c r="IP22" i="1"/>
  <c r="NP19" i="1"/>
  <c r="NU19" i="1" s="1"/>
  <c r="AC36" i="1"/>
  <c r="AE36" i="1" s="1"/>
  <c r="MQ17" i="1"/>
  <c r="DF24" i="1"/>
  <c r="DH24" i="1" s="1"/>
  <c r="OQ13" i="1"/>
  <c r="OV13" i="1" s="1"/>
  <c r="AE9" i="1"/>
  <c r="KM7" i="1"/>
  <c r="KO7" i="1" s="1"/>
  <c r="BD12" i="1"/>
  <c r="BI12" i="1" s="1"/>
  <c r="NP15" i="1"/>
  <c r="NU15" i="1" s="1"/>
  <c r="BD14" i="1"/>
  <c r="BI14" i="1" s="1"/>
  <c r="BF19" i="1"/>
  <c r="IP24" i="1"/>
  <c r="HO24" i="1"/>
  <c r="AB9" i="25"/>
  <c r="AB11" i="25"/>
  <c r="AB331" i="22"/>
  <c r="AD331" i="22" s="1"/>
  <c r="AB405" i="22"/>
  <c r="AD405" i="22" s="1"/>
  <c r="AB400" i="22"/>
  <c r="AD400" i="22" s="1"/>
  <c r="AB291" i="22"/>
  <c r="AD291" i="22" s="1"/>
  <c r="AB151" i="22"/>
  <c r="AD151" i="22" s="1"/>
  <c r="AB8" i="23"/>
  <c r="HO25" i="1"/>
  <c r="AB9" i="22"/>
  <c r="KR24" i="1"/>
  <c r="BD24" i="1"/>
  <c r="BF24" i="1" s="1"/>
  <c r="DF23" i="1"/>
  <c r="DK23" i="1" s="1"/>
  <c r="EL11" i="1"/>
  <c r="IP12" i="1"/>
  <c r="LS13" i="1"/>
  <c r="BF8" i="1"/>
  <c r="KM11" i="1"/>
  <c r="KO11" i="1" s="1"/>
  <c r="NP7" i="1"/>
  <c r="NR7" i="1" s="1"/>
  <c r="AB7" i="22"/>
  <c r="AB134" i="22"/>
  <c r="AD134" i="22" s="1"/>
  <c r="AB19" i="23"/>
  <c r="JL22" i="1"/>
  <c r="JQ22" i="1" s="1"/>
  <c r="KO30" i="1"/>
  <c r="MT34" i="1"/>
  <c r="OQ14" i="1"/>
  <c r="OS14" i="1" s="1"/>
  <c r="FH28" i="1"/>
  <c r="FJ28" i="1" s="1"/>
  <c r="JL18" i="1"/>
  <c r="JN18" i="1" s="1"/>
  <c r="IP19" i="1"/>
  <c r="BI11" i="1"/>
  <c r="BI22" i="1"/>
  <c r="JL6" i="1"/>
  <c r="JN6" i="1" s="1"/>
  <c r="NP11" i="1"/>
  <c r="NR11" i="1" s="1"/>
  <c r="QS6" i="1"/>
  <c r="QU6" i="1" s="1"/>
  <c r="MO7" i="1"/>
  <c r="MT7" i="1" s="1"/>
  <c r="QS10" i="1"/>
  <c r="QX10" i="1" s="1"/>
  <c r="OS10" i="1"/>
  <c r="AB12" i="24"/>
  <c r="AB361" i="22"/>
  <c r="AD361" i="22" s="1"/>
  <c r="KR38" i="1"/>
  <c r="AB17" i="22"/>
  <c r="AD273" i="22"/>
  <c r="AB126" i="22"/>
  <c r="AD126" i="22" s="1"/>
  <c r="AB4" i="22"/>
  <c r="AB99" i="22"/>
  <c r="AB47" i="22"/>
  <c r="OQ24" i="1"/>
  <c r="OS24" i="1" s="1"/>
  <c r="AB93" i="22"/>
  <c r="RV32" i="1"/>
  <c r="HL28" i="1"/>
  <c r="AC33" i="1"/>
  <c r="AE33" i="1" s="1"/>
  <c r="LS14" i="1"/>
  <c r="FH22" i="1"/>
  <c r="FJ22" i="1" s="1"/>
  <c r="AC18" i="1"/>
  <c r="AE18" i="1" s="1"/>
  <c r="GI16" i="1"/>
  <c r="GK16" i="1" s="1"/>
  <c r="FH18" i="1"/>
  <c r="FJ18" i="1" s="1"/>
  <c r="QU16" i="1"/>
  <c r="GI17" i="1"/>
  <c r="GK17" i="1" s="1"/>
  <c r="CJ20" i="1"/>
  <c r="IP8" i="1"/>
  <c r="HL7" i="1"/>
  <c r="RT10" i="1"/>
  <c r="RY10" i="1" s="1"/>
  <c r="AB407" i="22"/>
  <c r="AD407" i="22" s="1"/>
  <c r="AD274" i="22"/>
  <c r="AB347" i="22"/>
  <c r="AD347" i="22" s="1"/>
  <c r="OS28" i="1"/>
  <c r="AB8" i="22"/>
  <c r="AB88" i="22"/>
  <c r="AB408" i="22"/>
  <c r="AD408" i="22" s="1"/>
  <c r="AB208" i="22"/>
  <c r="AB327" i="22"/>
  <c r="AD327" i="22" s="1"/>
  <c r="AB59" i="22"/>
  <c r="GI32" i="1"/>
  <c r="GN32" i="1" s="1"/>
  <c r="GI28" i="1"/>
  <c r="GK28" i="1" s="1"/>
  <c r="MQ28" i="1"/>
  <c r="PW24" i="1"/>
  <c r="KM19" i="1"/>
  <c r="KO19" i="1" s="1"/>
  <c r="KM28" i="1"/>
  <c r="KO28" i="1" s="1"/>
  <c r="EL19" i="1"/>
  <c r="NP10" i="1"/>
  <c r="NR10" i="1" s="1"/>
  <c r="RT9" i="1"/>
  <c r="RV9" i="1" s="1"/>
  <c r="AB409" i="22"/>
  <c r="AD409" i="22" s="1"/>
  <c r="AB276" i="22"/>
  <c r="AD276" i="22" s="1"/>
  <c r="KM36" i="1"/>
  <c r="KO36" i="1" s="1"/>
  <c r="AB192" i="22"/>
  <c r="AD192" i="22" s="1"/>
  <c r="AB270" i="22"/>
  <c r="AD270" i="22" s="1"/>
  <c r="AB174" i="22"/>
  <c r="AD174" i="22" s="1"/>
  <c r="AB127" i="22"/>
  <c r="AD127" i="22" s="1"/>
  <c r="AB7" i="23"/>
  <c r="GI27" i="1"/>
  <c r="GK27" i="1" s="1"/>
  <c r="OV22" i="1"/>
  <c r="NP30" i="1"/>
  <c r="NR30" i="1" s="1"/>
  <c r="AC22" i="1"/>
  <c r="AE22" i="1" s="1"/>
  <c r="JL26" i="1"/>
  <c r="JQ26" i="1" s="1"/>
  <c r="HO29" i="1"/>
  <c r="CJ16" i="1"/>
  <c r="OS18" i="1"/>
  <c r="PW13" i="1"/>
  <c r="GI13" i="1"/>
  <c r="GK13" i="1" s="1"/>
  <c r="RT18" i="1"/>
  <c r="RV18" i="1" s="1"/>
  <c r="FH23" i="1"/>
  <c r="FJ23" i="1" s="1"/>
  <c r="MQ18" i="1"/>
  <c r="EL14" i="1"/>
  <c r="AC10" i="1"/>
  <c r="AE10" i="1" s="1"/>
  <c r="NP17" i="1"/>
  <c r="NU17" i="1" s="1"/>
  <c r="QS11" i="1"/>
  <c r="QU11" i="1" s="1"/>
  <c r="FH6" i="1"/>
  <c r="FM6" i="1" s="1"/>
  <c r="JL14" i="1"/>
  <c r="JN14" i="1" s="1"/>
  <c r="OS6" i="1"/>
  <c r="DF7" i="1"/>
  <c r="DH7" i="1" s="1"/>
  <c r="RT41" i="1"/>
  <c r="RY41" i="1" s="1"/>
  <c r="AB97" i="22"/>
  <c r="QS26" i="1"/>
  <c r="QU26" i="1" s="1"/>
  <c r="JL31" i="1"/>
  <c r="JN31" i="1" s="1"/>
  <c r="MO24" i="1"/>
  <c r="MT24" i="1" s="1"/>
  <c r="KM26" i="1"/>
  <c r="KO26" i="1" s="1"/>
  <c r="AE31" i="1"/>
  <c r="JL15" i="1"/>
  <c r="JQ15" i="1" s="1"/>
  <c r="BD13" i="1"/>
  <c r="BF13" i="1" s="1"/>
  <c r="BI21" i="1"/>
  <c r="KR13" i="1"/>
  <c r="BD7" i="1"/>
  <c r="BI7" i="1" s="1"/>
  <c r="LS10" i="1"/>
  <c r="NP12" i="1"/>
  <c r="NR12" i="1" s="1"/>
  <c r="AC7" i="1"/>
  <c r="AH7" i="1" s="1"/>
  <c r="BF18" i="1"/>
  <c r="AC8" i="1"/>
  <c r="AH8" i="1" s="1"/>
  <c r="NP6" i="1"/>
  <c r="NR6" i="1" s="1"/>
  <c r="OV10" i="1"/>
  <c r="AB375" i="22"/>
  <c r="AD375" i="22" s="1"/>
  <c r="AB12" i="25"/>
  <c r="AB53" i="22"/>
  <c r="AB167" i="22"/>
  <c r="AD167" i="22" s="1"/>
  <c r="AB6" i="23"/>
  <c r="AB148" i="22"/>
  <c r="AD148" i="22" s="1"/>
  <c r="AC41" i="1"/>
  <c r="AH41" i="1" s="1"/>
  <c r="AB5" i="22"/>
  <c r="AC26" i="1"/>
  <c r="AE26" i="1" s="1"/>
  <c r="JL23" i="1"/>
  <c r="JN23" i="1" s="1"/>
  <c r="NP23" i="1"/>
  <c r="NR23" i="1" s="1"/>
  <c r="MQ29" i="1"/>
  <c r="GI12" i="1"/>
  <c r="GN12" i="1" s="1"/>
  <c r="GI36" i="1"/>
  <c r="BD15" i="1"/>
  <c r="BF15" i="1" s="1"/>
  <c r="QS18" i="1"/>
  <c r="QU18" i="1" s="1"/>
  <c r="DH13" i="1"/>
  <c r="BD9" i="1"/>
  <c r="BF9" i="1" s="1"/>
  <c r="LS6" i="1"/>
  <c r="EL15" i="1"/>
  <c r="HL13" i="1"/>
  <c r="AB4" i="25"/>
  <c r="AB275" i="22"/>
  <c r="AD275" i="22" s="1"/>
  <c r="AB49" i="22"/>
  <c r="AB5" i="23"/>
  <c r="AB91" i="22"/>
  <c r="AB147" i="22"/>
  <c r="AD147" i="22" s="1"/>
  <c r="AB51" i="22"/>
  <c r="MO40" i="1"/>
  <c r="AE25" i="1"/>
  <c r="AH25" i="1"/>
  <c r="FH25" i="1"/>
  <c r="FJ25" i="1" s="1"/>
  <c r="OQ19" i="1"/>
  <c r="OS19" i="1" s="1"/>
  <c r="LS20" i="1"/>
  <c r="HL26" i="1"/>
  <c r="DK15" i="1"/>
  <c r="KM10" i="1"/>
  <c r="KO10" i="1" s="1"/>
  <c r="FH7" i="1"/>
  <c r="FJ7" i="1" s="1"/>
  <c r="EL13" i="1"/>
  <c r="NP14" i="1"/>
  <c r="NR14" i="1" s="1"/>
  <c r="FH14" i="1"/>
  <c r="FJ14" i="1" s="1"/>
  <c r="AB193" i="22"/>
  <c r="AD193" i="22" s="1"/>
  <c r="AB132" i="22"/>
  <c r="AD132" i="22" s="1"/>
  <c r="AB233" i="22"/>
  <c r="AB54" i="22"/>
  <c r="AB50" i="22"/>
  <c r="AD268" i="22"/>
  <c r="AB63" i="22"/>
  <c r="AC40" i="1"/>
  <c r="AH40" i="1" s="1"/>
  <c r="HJ30" i="1"/>
  <c r="HL30" i="1" s="1"/>
  <c r="AC35" i="1"/>
  <c r="AH35" i="1" s="1"/>
  <c r="AB11" i="23"/>
  <c r="AH28" i="1"/>
  <c r="HJ20" i="1"/>
  <c r="HL20" i="1" s="1"/>
  <c r="IP20" i="1"/>
  <c r="JQ19" i="1"/>
  <c r="GI15" i="1"/>
  <c r="GN15" i="1" s="1"/>
  <c r="GK14" i="1"/>
  <c r="GI20" i="1"/>
  <c r="GK20" i="1" s="1"/>
  <c r="HO10" i="1"/>
  <c r="FH17" i="1"/>
  <c r="FJ17" i="1" s="1"/>
  <c r="KM12" i="1"/>
  <c r="KO12" i="1" s="1"/>
  <c r="PW14" i="1"/>
  <c r="NP8" i="1"/>
  <c r="NR8" i="1" s="1"/>
  <c r="JL10" i="1"/>
  <c r="JN10" i="1" s="1"/>
  <c r="GK7" i="1"/>
  <c r="IP7" i="1"/>
  <c r="AB329" i="22"/>
  <c r="AD329" i="22" s="1"/>
  <c r="AB172" i="22"/>
  <c r="AD172" i="22" s="1"/>
  <c r="AB125" i="22"/>
  <c r="AD125" i="22" s="1"/>
  <c r="AB312" i="22"/>
  <c r="AD312" i="22" s="1"/>
  <c r="AB310" i="22"/>
  <c r="AD310" i="22" s="1"/>
  <c r="AD128" i="22"/>
  <c r="AB90" i="22"/>
  <c r="AB46" i="22"/>
  <c r="AB190" i="22"/>
  <c r="AD190" i="22" s="1"/>
  <c r="AB133" i="22"/>
  <c r="AD133" i="22" s="1"/>
  <c r="AB271" i="22"/>
  <c r="AD271" i="22" s="1"/>
  <c r="HO36" i="1"/>
  <c r="AB210" i="22"/>
  <c r="DF25" i="1"/>
  <c r="JL24" i="1"/>
  <c r="JQ24" i="1" s="1"/>
  <c r="IP27" i="1"/>
  <c r="MQ19" i="1"/>
  <c r="RT13" i="1"/>
  <c r="RV13" i="1" s="1"/>
  <c r="PW25" i="1"/>
  <c r="DF19" i="1"/>
  <c r="DH19" i="1" s="1"/>
  <c r="OQ16" i="1"/>
  <c r="OS16" i="1" s="1"/>
  <c r="JL8" i="1"/>
  <c r="JN8" i="1" s="1"/>
  <c r="DH8" i="1"/>
  <c r="AB8" i="25"/>
  <c r="AB60" i="22"/>
  <c r="AB6" i="22"/>
  <c r="AB205" i="22"/>
  <c r="AB18" i="22"/>
  <c r="AB332" i="22"/>
  <c r="AD332" i="22" s="1"/>
  <c r="AB58" i="22"/>
  <c r="AB44" i="22"/>
  <c r="AB20" i="22"/>
  <c r="OS32" i="1"/>
  <c r="OV32" i="1"/>
  <c r="AH23" i="1"/>
  <c r="GN24" i="1"/>
  <c r="QS23" i="1"/>
  <c r="QU23" i="1" s="1"/>
  <c r="NP13" i="1"/>
  <c r="NR13" i="1" s="1"/>
  <c r="HO18" i="1"/>
  <c r="QS17" i="1"/>
  <c r="QU17" i="1" s="1"/>
  <c r="OV17" i="1"/>
  <c r="IP21" i="1"/>
  <c r="IP13" i="1"/>
  <c r="EL10" i="1"/>
  <c r="DF21" i="1"/>
  <c r="DH21" i="1" s="1"/>
  <c r="FH26" i="1"/>
  <c r="FJ26" i="1" s="1"/>
  <c r="CJ9" i="1"/>
  <c r="MQ16" i="1"/>
  <c r="LS11" i="1"/>
  <c r="JL28" i="1"/>
  <c r="JN28" i="1" s="1"/>
  <c r="FH10" i="1"/>
  <c r="FJ10" i="1" s="1"/>
  <c r="EL20" i="1"/>
  <c r="JL17" i="1"/>
  <c r="JQ17" i="1" s="1"/>
  <c r="EL22" i="1"/>
  <c r="IP18" i="1"/>
  <c r="IP16" i="1"/>
  <c r="QS21" i="1"/>
  <c r="QX21" i="1" s="1"/>
  <c r="OV8" i="1"/>
  <c r="FH9" i="1"/>
  <c r="FJ9" i="1" s="1"/>
  <c r="CJ18" i="1"/>
  <c r="JL16" i="1"/>
  <c r="JN16" i="1" s="1"/>
  <c r="OQ11" i="1"/>
  <c r="OS11" i="1" s="1"/>
  <c r="EL7" i="1"/>
  <c r="AB4" i="23"/>
  <c r="KM32" i="1"/>
  <c r="KO32" i="1" s="1"/>
  <c r="EL23" i="1"/>
  <c r="MT28" i="1"/>
  <c r="FH24" i="1"/>
  <c r="FJ24" i="1" s="1"/>
  <c r="AC37" i="1"/>
  <c r="AE37" i="1" s="1"/>
  <c r="MQ23" i="1"/>
  <c r="LS19" i="1"/>
  <c r="AC17" i="1"/>
  <c r="AE17" i="1" s="1"/>
  <c r="JL11" i="1"/>
  <c r="JN11" i="1" s="1"/>
  <c r="QS12" i="1"/>
  <c r="QX12" i="1" s="1"/>
  <c r="CJ10" i="1"/>
  <c r="CJ11" i="1"/>
  <c r="PW9" i="1"/>
  <c r="FH15" i="1"/>
  <c r="FJ15" i="1" s="1"/>
  <c r="EL8" i="1"/>
  <c r="LS8" i="1"/>
  <c r="HL12" i="1"/>
  <c r="AB227" i="22"/>
  <c r="JL29" i="1"/>
  <c r="JN29" i="1" s="1"/>
  <c r="AB94" i="22"/>
  <c r="AC39" i="1"/>
  <c r="AE39" i="1" s="1"/>
  <c r="AB348" i="22"/>
  <c r="AD348" i="22" s="1"/>
  <c r="AB61" i="22"/>
  <c r="AB131" i="22"/>
  <c r="AD131" i="22" s="1"/>
  <c r="KR30" i="1"/>
  <c r="AC32" i="1"/>
  <c r="AE32" i="1" s="1"/>
  <c r="KR37" i="1"/>
  <c r="OS29" i="1"/>
  <c r="MO36" i="1"/>
  <c r="MQ36" i="1" s="1"/>
  <c r="FH27" i="1"/>
  <c r="FJ27" i="1" s="1"/>
  <c r="KO34" i="1"/>
  <c r="CJ13" i="1"/>
  <c r="RT26" i="1"/>
  <c r="RV26" i="1" s="1"/>
  <c r="LS16" i="1"/>
  <c r="OQ20" i="1"/>
  <c r="OV20" i="1" s="1"/>
  <c r="IP15" i="1"/>
  <c r="HO11" i="1"/>
  <c r="FH16" i="1"/>
  <c r="FJ16" i="1" s="1"/>
  <c r="PW8" i="1"/>
  <c r="GI10" i="1"/>
  <c r="GK10" i="1" s="1"/>
  <c r="MT10" i="1"/>
  <c r="MQ32" i="1"/>
  <c r="LS17" i="1"/>
  <c r="JL12" i="1"/>
  <c r="JN12" i="1" s="1"/>
  <c r="AC12" i="1"/>
  <c r="AH12" i="1" s="1"/>
  <c r="EL16" i="1"/>
  <c r="CJ8" i="1"/>
  <c r="MQ15" i="1"/>
  <c r="PW18" i="1"/>
  <c r="GI6" i="1"/>
  <c r="GK6" i="1" s="1"/>
  <c r="RT16" i="1"/>
  <c r="RV16" i="1" s="1"/>
  <c r="AB8" i="24"/>
  <c r="AB9" i="23"/>
  <c r="NP28" i="1"/>
  <c r="NR28" i="1" s="1"/>
  <c r="GI34" i="1"/>
  <c r="GK34" i="1" s="1"/>
  <c r="RT28" i="1"/>
  <c r="RV28" i="1" s="1"/>
  <c r="RT21" i="1"/>
  <c r="RV21" i="1" s="1"/>
  <c r="JL20" i="1"/>
  <c r="JN20" i="1" s="1"/>
  <c r="FH29" i="1"/>
  <c r="FJ29" i="1" s="1"/>
  <c r="KO29" i="1"/>
  <c r="GK33" i="1"/>
  <c r="NP16" i="1"/>
  <c r="NR16" i="1" s="1"/>
  <c r="GN31" i="1"/>
  <c r="IP25" i="1"/>
  <c r="EL18" i="1"/>
  <c r="PW11" i="1"/>
  <c r="RT7" i="1"/>
  <c r="RY7" i="1" s="1"/>
  <c r="FH34" i="1"/>
  <c r="FJ34" i="1" s="1"/>
  <c r="RT15" i="1"/>
  <c r="RY15" i="1" s="1"/>
  <c r="QS13" i="1"/>
  <c r="QU13" i="1" s="1"/>
  <c r="KM16" i="1"/>
  <c r="KO16" i="1" s="1"/>
  <c r="HJ8" i="1"/>
  <c r="HO8" i="1" s="1"/>
  <c r="CJ12" i="1"/>
  <c r="QS7" i="1"/>
  <c r="QU7" i="1" s="1"/>
  <c r="GI35" i="1"/>
  <c r="GK35" i="1" s="1"/>
  <c r="AC29" i="1"/>
  <c r="AE29" i="1" s="1"/>
  <c r="EL21" i="1"/>
  <c r="AB14" i="25"/>
  <c r="AB102" i="22"/>
  <c r="FH35" i="1"/>
  <c r="AB15" i="25"/>
  <c r="AB211" i="22"/>
  <c r="AB403" i="22"/>
  <c r="AD403" i="22" s="1"/>
  <c r="AB402" i="22"/>
  <c r="AD402" i="22" s="1"/>
  <c r="AB346" i="22"/>
  <c r="AD346" i="22" s="1"/>
  <c r="AB45" i="22"/>
  <c r="AB401" i="22"/>
  <c r="AD401" i="22" s="1"/>
  <c r="KM31" i="1"/>
  <c r="KO31" i="1" s="1"/>
  <c r="AB48" i="22"/>
  <c r="AB150" i="22"/>
  <c r="AD150" i="22" s="1"/>
  <c r="AB189" i="22"/>
  <c r="AD189" i="22" s="1"/>
  <c r="QS27" i="1"/>
  <c r="QX27" i="1" s="1"/>
  <c r="RT35" i="1"/>
  <c r="RV35" i="1" s="1"/>
  <c r="AC34" i="1"/>
  <c r="AE34" i="1" s="1"/>
  <c r="AB15" i="23"/>
  <c r="BF20" i="1"/>
  <c r="RT31" i="1"/>
  <c r="RV31" i="1" s="1"/>
  <c r="OQ30" i="1"/>
  <c r="OS30" i="1" s="1"/>
  <c r="NP18" i="1"/>
  <c r="NR18" i="1" s="1"/>
  <c r="KR23" i="1"/>
  <c r="RT27" i="1"/>
  <c r="RV27" i="1" s="1"/>
  <c r="GI11" i="1"/>
  <c r="GK11" i="1" s="1"/>
  <c r="MO11" i="1"/>
  <c r="MQ11" i="1" s="1"/>
  <c r="PW15" i="1"/>
  <c r="MQ12" i="1"/>
  <c r="AC11" i="1"/>
  <c r="AE11" i="1" s="1"/>
  <c r="BD10" i="1"/>
  <c r="BF10" i="1" s="1"/>
  <c r="FH8" i="1"/>
  <c r="FM8" i="1" s="1"/>
  <c r="PW6" i="1"/>
  <c r="AB87" i="22"/>
  <c r="AB381" i="22"/>
  <c r="AD381" i="22" s="1"/>
  <c r="AB129" i="22"/>
  <c r="AD129" i="22" s="1"/>
  <c r="AB21" i="22"/>
  <c r="AB362" i="22"/>
  <c r="AD362" i="22" s="1"/>
  <c r="AB100" i="22"/>
  <c r="HL33" i="1"/>
  <c r="FH33" i="1"/>
  <c r="FJ33" i="1" s="1"/>
  <c r="AE38" i="1"/>
  <c r="QS19" i="1"/>
  <c r="QU19" i="1" s="1"/>
  <c r="KO20" i="1"/>
  <c r="GI30" i="1"/>
  <c r="GK30" i="1" s="1"/>
  <c r="HL29" i="1"/>
  <c r="EL17" i="1"/>
  <c r="HL9" i="1"/>
  <c r="QS20" i="1"/>
  <c r="QU20" i="1" s="1"/>
  <c r="MT12" i="1"/>
  <c r="BD17" i="1"/>
  <c r="BF17" i="1" s="1"/>
  <c r="OQ12" i="1"/>
  <c r="OS12" i="1" s="1"/>
  <c r="RT8" i="1"/>
  <c r="RV8" i="1" s="1"/>
  <c r="RY9" i="1"/>
  <c r="FH12" i="1"/>
  <c r="FM12" i="1" s="1"/>
  <c r="IP6" i="1"/>
  <c r="KO6" i="1"/>
  <c r="CJ6" i="1"/>
  <c r="AB384" i="22"/>
  <c r="AD384" i="22" s="1"/>
  <c r="FH32" i="1"/>
  <c r="FJ32" i="1" s="1"/>
  <c r="AB378" i="22"/>
  <c r="AD378" i="22" s="1"/>
  <c r="AB295" i="22"/>
  <c r="AD295" i="22" s="1"/>
  <c r="AB250" i="22"/>
  <c r="AD250" i="22" s="1"/>
  <c r="AB206" i="22"/>
  <c r="AB14" i="22"/>
  <c r="AB149" i="22"/>
  <c r="AD149" i="22" s="1"/>
  <c r="PW26" i="1"/>
  <c r="NP25" i="1"/>
  <c r="NU25" i="1" s="1"/>
  <c r="MT35" i="1"/>
  <c r="HJ37" i="1"/>
  <c r="HL37" i="1" s="1"/>
  <c r="MT20" i="1"/>
  <c r="DH22" i="1"/>
  <c r="IP17" i="1"/>
  <c r="AC21" i="1"/>
  <c r="AH21" i="1" s="1"/>
  <c r="FH21" i="1"/>
  <c r="FJ21" i="1" s="1"/>
  <c r="PW20" i="1"/>
  <c r="MT22" i="1"/>
  <c r="RT25" i="1"/>
  <c r="RV25" i="1" s="1"/>
  <c r="EL9" i="1"/>
  <c r="LS12" i="1"/>
  <c r="AH13" i="1"/>
  <c r="KM8" i="1"/>
  <c r="KO8" i="1" s="1"/>
  <c r="NP9" i="1"/>
  <c r="NR9" i="1" s="1"/>
  <c r="OQ7" i="1"/>
  <c r="OV7" i="1" s="1"/>
  <c r="MQ39" i="1"/>
  <c r="AB356" i="22"/>
  <c r="AD356" i="22" s="1"/>
  <c r="AB229" i="22"/>
  <c r="AB251" i="22"/>
  <c r="AD251" i="22" s="1"/>
  <c r="AB232" i="22"/>
  <c r="AB228" i="22"/>
  <c r="AB11" i="22"/>
  <c r="HJ40" i="1"/>
  <c r="AB311" i="22"/>
  <c r="AD311" i="22" s="1"/>
  <c r="FH31" i="1"/>
  <c r="FJ31" i="1" s="1"/>
  <c r="NP29" i="1"/>
  <c r="NR29" i="1" s="1"/>
  <c r="RT34" i="1"/>
  <c r="RV34" i="1" s="1"/>
  <c r="HL35" i="1"/>
  <c r="PW28" i="1"/>
  <c r="DK16" i="1"/>
  <c r="NP20" i="1"/>
  <c r="NR20" i="1" s="1"/>
  <c r="EL25" i="1"/>
  <c r="DF12" i="1"/>
  <c r="DH12" i="1" s="1"/>
  <c r="GI21" i="1"/>
  <c r="GK21" i="1" s="1"/>
  <c r="IP11" i="1"/>
  <c r="PW12" i="1"/>
  <c r="JL7" i="1"/>
  <c r="JN7" i="1" s="1"/>
  <c r="AB406" i="22"/>
  <c r="AD406" i="22" s="1"/>
  <c r="AB155" i="22"/>
  <c r="AD155" i="22" s="1"/>
  <c r="AB7" i="25"/>
  <c r="AB188" i="22"/>
  <c r="AD188" i="22" s="1"/>
  <c r="AB170" i="22"/>
  <c r="AD170" i="22" s="1"/>
  <c r="AC30" i="1"/>
  <c r="AE30" i="1" s="1"/>
  <c r="AB89" i="22"/>
  <c r="AH27" i="1"/>
  <c r="FH30" i="1"/>
  <c r="FJ30" i="1" s="1"/>
  <c r="FH19" i="1"/>
  <c r="FJ19" i="1" s="1"/>
  <c r="JN25" i="1"/>
  <c r="RT19" i="1"/>
  <c r="RV19" i="1" s="1"/>
  <c r="HO16" i="1"/>
  <c r="KM27" i="1"/>
  <c r="KO27" i="1" s="1"/>
  <c r="QS15" i="1"/>
  <c r="QU15" i="1" s="1"/>
  <c r="NP21" i="1"/>
  <c r="NR21" i="1" s="1"/>
  <c r="PW23" i="1"/>
  <c r="AE28" i="1"/>
  <c r="RV17" i="1"/>
  <c r="DF17" i="1"/>
  <c r="DH17" i="1" s="1"/>
  <c r="KO14" i="1"/>
  <c r="FH11" i="1"/>
  <c r="FJ11" i="1" s="1"/>
  <c r="IP10" i="1"/>
  <c r="JL9" i="1"/>
  <c r="JN9" i="1" s="1"/>
  <c r="HO12" i="1"/>
  <c r="AB345" i="22"/>
  <c r="AD345" i="22" s="1"/>
  <c r="AB15" i="24"/>
  <c r="AB357" i="22"/>
  <c r="AD357" i="22" s="1"/>
  <c r="AB19" i="24"/>
  <c r="RY39" i="1"/>
  <c r="AB289" i="22"/>
  <c r="AD289" i="22" s="1"/>
  <c r="AB17" i="24"/>
  <c r="AB376" i="22"/>
  <c r="AD376" i="22" s="1"/>
  <c r="RT38" i="1"/>
  <c r="RY38" i="1" s="1"/>
  <c r="OQ27" i="1"/>
  <c r="OV27" i="1" s="1"/>
  <c r="MT31" i="1"/>
  <c r="NP27" i="1"/>
  <c r="NR27" i="1" s="1"/>
  <c r="LS15" i="1"/>
  <c r="PW19" i="1"/>
  <c r="QS22" i="1"/>
  <c r="QU22" i="1" s="1"/>
  <c r="JL27" i="1"/>
  <c r="JN27" i="1" s="1"/>
  <c r="DH20" i="1"/>
  <c r="KM17" i="1"/>
  <c r="KO17" i="1" s="1"/>
  <c r="KM9" i="1"/>
  <c r="KO9" i="1" s="1"/>
  <c r="AC16" i="1"/>
  <c r="AE16" i="1" s="1"/>
  <c r="GI8" i="1"/>
  <c r="GK8" i="1" s="1"/>
  <c r="EL12" i="1"/>
  <c r="DF11" i="1"/>
  <c r="DH11" i="1" s="1"/>
  <c r="PW7" i="1"/>
  <c r="DK10" i="1"/>
  <c r="LS7" i="1"/>
  <c r="AB383" i="22"/>
  <c r="AD383" i="22" s="1"/>
  <c r="AB17" i="23"/>
  <c r="AB294" i="22"/>
  <c r="AD294" i="22" s="1"/>
  <c r="AB16" i="23"/>
  <c r="HL38" i="1"/>
  <c r="RY30" i="1"/>
  <c r="AB96" i="22"/>
  <c r="DF18" i="1"/>
  <c r="DH18" i="1" s="1"/>
  <c r="QU24" i="1"/>
  <c r="GI19" i="1"/>
  <c r="GK19" i="1" s="1"/>
  <c r="QS8" i="1"/>
  <c r="QU8" i="1" s="1"/>
  <c r="CJ7" i="1"/>
  <c r="HO9" i="1"/>
  <c r="JL21" i="1"/>
  <c r="JN21" i="1" s="1"/>
  <c r="RT11" i="1"/>
  <c r="RY11" i="1" s="1"/>
  <c r="OQ9" i="1"/>
  <c r="OS9" i="1" s="1"/>
  <c r="CJ14" i="1"/>
  <c r="LS9" i="1"/>
  <c r="HL6" i="1"/>
  <c r="EL6" i="1"/>
  <c r="AB57" i="22"/>
  <c r="AB380" i="22"/>
  <c r="AD380" i="22" s="1"/>
  <c r="AB187" i="22"/>
  <c r="AD187" i="22" s="1"/>
  <c r="AB349" i="22"/>
  <c r="AD349" i="22" s="1"/>
  <c r="AB360" i="22"/>
  <c r="AD360" i="22" s="1"/>
  <c r="AB153" i="22"/>
  <c r="AD153" i="22" s="1"/>
  <c r="AB309" i="22"/>
  <c r="AD309" i="22" s="1"/>
  <c r="AB92" i="22"/>
  <c r="GI29" i="1"/>
  <c r="GK29" i="1" s="1"/>
  <c r="AB146" i="22"/>
  <c r="AD146" i="22" s="1"/>
  <c r="RV36" i="1"/>
  <c r="GK26" i="1"/>
  <c r="MT25" i="1"/>
  <c r="AB56" i="22"/>
  <c r="GI18" i="1"/>
  <c r="GK18" i="1" s="1"/>
  <c r="IP26" i="1"/>
  <c r="RY33" i="1"/>
  <c r="MT33" i="1"/>
  <c r="CJ15" i="1"/>
  <c r="GK25" i="1"/>
  <c r="QS14" i="1"/>
  <c r="QU14" i="1" s="1"/>
  <c r="BD26" i="1"/>
  <c r="JN30" i="1"/>
  <c r="RV6" i="1"/>
  <c r="PW17" i="1"/>
  <c r="JQ13" i="1"/>
  <c r="HL14" i="1"/>
  <c r="MQ13" i="1"/>
  <c r="EW2" i="3"/>
  <c r="AQ3" i="30"/>
  <c r="EW2" i="30"/>
  <c r="FS2" i="3"/>
  <c r="DE4" i="3"/>
  <c r="BB4" i="30"/>
  <c r="HV2" i="30"/>
  <c r="DH16" i="1"/>
  <c r="CT2" i="3"/>
  <c r="FS2" i="30"/>
  <c r="CI2" i="3"/>
  <c r="JC2" i="30"/>
  <c r="RV39" i="1"/>
  <c r="BM2" i="3"/>
  <c r="DP2" i="3"/>
  <c r="BX3" i="3"/>
  <c r="MQ38" i="1"/>
  <c r="FH2" i="3"/>
  <c r="RV23" i="1"/>
  <c r="GZ2" i="30"/>
  <c r="Q27" i="24"/>
  <c r="EL2" i="30"/>
  <c r="U2" i="30"/>
  <c r="Q25" i="25"/>
  <c r="JY2" i="30"/>
  <c r="J2" i="3"/>
  <c r="LQ2" i="30"/>
  <c r="BF11" i="1"/>
  <c r="JN2" i="30"/>
  <c r="AE27" i="1"/>
  <c r="MQ25" i="1"/>
  <c r="HL32" i="1"/>
  <c r="KO15" i="1"/>
  <c r="MQ14" i="1"/>
  <c r="J2" i="30"/>
  <c r="Q27" i="23"/>
  <c r="AE20" i="1"/>
  <c r="OS22" i="1"/>
  <c r="RV33" i="1"/>
  <c r="LP22" i="1"/>
  <c r="LK21" i="1" s="1"/>
  <c r="Y106" i="22"/>
  <c r="HL22" i="1"/>
  <c r="JN19" i="1"/>
  <c r="MQ10" i="1"/>
  <c r="KO24" i="1"/>
  <c r="BF16" i="1"/>
  <c r="IM29" i="1"/>
  <c r="CG22" i="1"/>
  <c r="CB21" i="1" s="1"/>
  <c r="HL31" i="1"/>
  <c r="OS15" i="1"/>
  <c r="AE13" i="1"/>
  <c r="MQ22" i="1"/>
  <c r="BF14" i="1"/>
  <c r="MQ31" i="1"/>
  <c r="OS8" i="1"/>
  <c r="GD2" i="30"/>
  <c r="KO38" i="1"/>
  <c r="PT30" i="1"/>
  <c r="PO29" i="1" s="1"/>
  <c r="DH15" i="1"/>
  <c r="JN13" i="1"/>
  <c r="KU2" i="30"/>
  <c r="HL11" i="1"/>
  <c r="EI27" i="1"/>
  <c r="ED26" i="1" s="1"/>
  <c r="OS17" i="1"/>
  <c r="DH10" i="1"/>
  <c r="HL18" i="1"/>
  <c r="BF22" i="1"/>
  <c r="DH9" i="1"/>
  <c r="AE23" i="1"/>
  <c r="HL21" i="1"/>
  <c r="BF21" i="1"/>
  <c r="MQ9" i="1"/>
  <c r="MQ21" i="1"/>
  <c r="MQ20" i="1"/>
  <c r="BB2" i="3"/>
  <c r="U2" i="3"/>
  <c r="Y29" i="22"/>
  <c r="Q28" i="22"/>
  <c r="Y24" i="22"/>
  <c r="FH2" i="30"/>
  <c r="EA2" i="30"/>
  <c r="HK2" i="30"/>
  <c r="RV12" i="1"/>
  <c r="MB2" i="30"/>
  <c r="AF2" i="30"/>
  <c r="KO23" i="1"/>
  <c r="OS26" i="1"/>
  <c r="KO13" i="1"/>
  <c r="CT2" i="30"/>
  <c r="IG2" i="30"/>
  <c r="KJ18" i="30"/>
  <c r="KJ2" i="30"/>
  <c r="OS31" i="1"/>
  <c r="MQ33" i="1"/>
  <c r="HL24" i="1"/>
  <c r="IR2" i="30"/>
  <c r="DE2" i="30"/>
  <c r="CI2" i="30"/>
  <c r="NU32" i="1"/>
  <c r="NR32" i="1"/>
  <c r="HL15" i="1"/>
  <c r="GO2" i="30"/>
  <c r="KO22" i="1"/>
  <c r="AQ2" i="3"/>
  <c r="LF2" i="30"/>
  <c r="Y66" i="22"/>
  <c r="Y71" i="22"/>
  <c r="Q70" i="22"/>
  <c r="HL34" i="1"/>
  <c r="HL23" i="1"/>
  <c r="MQ34" i="1"/>
  <c r="HL10" i="1"/>
  <c r="KO37" i="1"/>
  <c r="BF23" i="1"/>
  <c r="GK9" i="1"/>
  <c r="AE24" i="1" l="1"/>
  <c r="JN32" i="1"/>
  <c r="QU12" i="1"/>
  <c r="RV37" i="1"/>
  <c r="AH34" i="1"/>
  <c r="HL8" i="1"/>
  <c r="BI15" i="1"/>
  <c r="NR15" i="1"/>
  <c r="GN27" i="1"/>
  <c r="GT27" i="1" s="1"/>
  <c r="NU26" i="1"/>
  <c r="NR17" i="1"/>
  <c r="JQ8" i="1"/>
  <c r="JW8" i="1" s="1"/>
  <c r="DK7" i="1"/>
  <c r="KR25" i="1"/>
  <c r="KX25" i="1" s="1"/>
  <c r="KR17" i="1"/>
  <c r="KX17" i="1" s="1"/>
  <c r="JQ11" i="1"/>
  <c r="KR7" i="1"/>
  <c r="KX7" i="1" s="1"/>
  <c r="OS20" i="1"/>
  <c r="BF12" i="1"/>
  <c r="BI6" i="1"/>
  <c r="BO6" i="1" s="1"/>
  <c r="NR25" i="1"/>
  <c r="QX6" i="1"/>
  <c r="RD6" i="1" s="1"/>
  <c r="RV11" i="1"/>
  <c r="QX19" i="1"/>
  <c r="RD19" i="1" s="1"/>
  <c r="IH28" i="1"/>
  <c r="IQ28" i="1" s="1"/>
  <c r="IR28" i="1" s="1"/>
  <c r="IS28" i="1" s="1"/>
  <c r="IH14" i="1"/>
  <c r="RV29" i="1"/>
  <c r="KO39" i="1"/>
  <c r="GK32" i="1"/>
  <c r="JN15" i="1"/>
  <c r="OS27" i="1"/>
  <c r="NU8" i="1"/>
  <c r="AH36" i="1"/>
  <c r="AN36" i="1" s="1"/>
  <c r="GN18" i="1"/>
  <c r="GT18" i="1" s="1"/>
  <c r="OS13" i="1"/>
  <c r="QU21" i="1"/>
  <c r="AE7" i="1"/>
  <c r="FM23" i="1"/>
  <c r="FS23" i="1" s="1"/>
  <c r="JN26" i="1"/>
  <c r="NU12" i="1"/>
  <c r="OA12" i="1" s="1"/>
  <c r="GK12" i="1"/>
  <c r="BI10" i="1"/>
  <c r="BO10" i="1" s="1"/>
  <c r="FJ12" i="1"/>
  <c r="DK24" i="1"/>
  <c r="DQ24" i="1" s="1"/>
  <c r="HL25" i="1"/>
  <c r="JN17" i="1"/>
  <c r="KR16" i="1"/>
  <c r="KX16" i="1" s="1"/>
  <c r="DK12" i="1"/>
  <c r="DQ12" i="1" s="1"/>
  <c r="BF7" i="1"/>
  <c r="OV24" i="1"/>
  <c r="PB24" i="1" s="1"/>
  <c r="FM18" i="1"/>
  <c r="FS18" i="1" s="1"/>
  <c r="HL16" i="1"/>
  <c r="RY27" i="1"/>
  <c r="SE27" i="1" s="1"/>
  <c r="KR26" i="1"/>
  <c r="KX26" i="1" s="1"/>
  <c r="AE12" i="1"/>
  <c r="RY16" i="1"/>
  <c r="SE16" i="1" s="1"/>
  <c r="GN22" i="1"/>
  <c r="GT22" i="1" s="1"/>
  <c r="GK15" i="1"/>
  <c r="GN16" i="1"/>
  <c r="GT16" i="1" s="1"/>
  <c r="JQ14" i="1"/>
  <c r="JW14" i="1" s="1"/>
  <c r="KR36" i="1"/>
  <c r="KX36" i="1" s="1"/>
  <c r="AE8" i="1"/>
  <c r="AE14" i="1"/>
  <c r="OV14" i="1"/>
  <c r="PB14" i="1" s="1"/>
  <c r="AE40" i="1"/>
  <c r="AH10" i="1"/>
  <c r="AN10" i="1" s="1"/>
  <c r="MQ37" i="1"/>
  <c r="FM13" i="1"/>
  <c r="FS13" i="1" s="1"/>
  <c r="KR21" i="1"/>
  <c r="KX21" i="1" s="1"/>
  <c r="BI24" i="1"/>
  <c r="BO24" i="1" s="1"/>
  <c r="QX11" i="1"/>
  <c r="RD11" i="1" s="1"/>
  <c r="FM17" i="1"/>
  <c r="FS17" i="1" s="1"/>
  <c r="KR32" i="1"/>
  <c r="KX32" i="1" s="1"/>
  <c r="NU11" i="1"/>
  <c r="OA11" i="1" s="1"/>
  <c r="JN24" i="1"/>
  <c r="AE21" i="1"/>
  <c r="RV15" i="1"/>
  <c r="RV38" i="1"/>
  <c r="OV9" i="1"/>
  <c r="PB9" i="1" s="1"/>
  <c r="JQ31" i="1"/>
  <c r="JW31" i="1" s="1"/>
  <c r="RV20" i="1"/>
  <c r="NU21" i="1"/>
  <c r="OA21" i="1" s="1"/>
  <c r="OS21" i="1"/>
  <c r="AE15" i="1"/>
  <c r="DH23" i="1"/>
  <c r="KR34" i="1"/>
  <c r="KX34" i="1" s="1"/>
  <c r="FJ8" i="1"/>
  <c r="FM9" i="1"/>
  <c r="FS9" i="1" s="1"/>
  <c r="GN28" i="1"/>
  <c r="GT28" i="1" s="1"/>
  <c r="MQ27" i="1"/>
  <c r="MT29" i="1"/>
  <c r="MZ29" i="1" s="1"/>
  <c r="AH22" i="1"/>
  <c r="AN22" i="1" s="1"/>
  <c r="MT11" i="1"/>
  <c r="MZ11" i="1" s="1"/>
  <c r="GK31" i="1"/>
  <c r="KR27" i="1"/>
  <c r="KX27" i="1" s="1"/>
  <c r="FJ6" i="1"/>
  <c r="DK21" i="1"/>
  <c r="DQ21" i="1" s="1"/>
  <c r="DK17" i="1"/>
  <c r="DQ17" i="1" s="1"/>
  <c r="AH9" i="1"/>
  <c r="AN9" i="1" s="1"/>
  <c r="NU7" i="1"/>
  <c r="OA7" i="1" s="1"/>
  <c r="MQ24" i="1"/>
  <c r="ED22" i="1"/>
  <c r="EM22" i="1" s="1"/>
  <c r="EN22" i="1" s="1"/>
  <c r="EO22" i="1" s="1"/>
  <c r="GN7" i="1"/>
  <c r="GT7" i="1" s="1"/>
  <c r="NR19" i="1"/>
  <c r="OS25" i="1"/>
  <c r="QX15" i="1"/>
  <c r="RD15" i="1" s="1"/>
  <c r="KR10" i="1"/>
  <c r="KX10" i="1" s="1"/>
  <c r="QX24" i="1"/>
  <c r="RD24" i="1" s="1"/>
  <c r="KR18" i="1"/>
  <c r="KX18" i="1" s="1"/>
  <c r="KR31" i="1"/>
  <c r="KX31" i="1" s="1"/>
  <c r="RY26" i="1"/>
  <c r="SE26" i="1" s="1"/>
  <c r="CB15" i="1"/>
  <c r="CK15" i="1" s="1"/>
  <c r="CL15" i="1" s="1"/>
  <c r="CM15" i="1" s="1"/>
  <c r="JN22" i="1"/>
  <c r="DK19" i="1"/>
  <c r="DQ19" i="1" s="1"/>
  <c r="HO39" i="1"/>
  <c r="HU39" i="1" s="1"/>
  <c r="KO35" i="1"/>
  <c r="ED14" i="1"/>
  <c r="EM14" i="1" s="1"/>
  <c r="EN14" i="1" s="1"/>
  <c r="EO14" i="1" s="1"/>
  <c r="HO37" i="1"/>
  <c r="HU37" i="1" s="1"/>
  <c r="NU31" i="1"/>
  <c r="OA31" i="1" s="1"/>
  <c r="CB13" i="1"/>
  <c r="CC13" i="1" s="1"/>
  <c r="DK8" i="1"/>
  <c r="DQ8" i="1" s="1"/>
  <c r="RV7" i="1"/>
  <c r="HO33" i="1"/>
  <c r="HU33" i="1" s="1"/>
  <c r="OV12" i="1"/>
  <c r="PB12" i="1" s="1"/>
  <c r="HO26" i="1"/>
  <c r="HU26" i="1" s="1"/>
  <c r="PO6" i="1"/>
  <c r="PP6" i="1" s="1"/>
  <c r="HO30" i="1"/>
  <c r="HU30" i="1" s="1"/>
  <c r="CB18" i="1"/>
  <c r="CK18" i="1" s="1"/>
  <c r="CL18" i="1" s="1"/>
  <c r="CM18" i="1" s="1"/>
  <c r="ED17" i="1"/>
  <c r="EQ17" i="1" s="1"/>
  <c r="CB8" i="1"/>
  <c r="CO8" i="1" s="1"/>
  <c r="JQ16" i="1"/>
  <c r="JW16" i="1" s="1"/>
  <c r="AH11" i="1"/>
  <c r="AN11" i="1" s="1"/>
  <c r="NU23" i="1"/>
  <c r="OA23" i="1" s="1"/>
  <c r="QU25" i="1"/>
  <c r="NU27" i="1"/>
  <c r="OA27" i="1" s="1"/>
  <c r="OS7" i="1"/>
  <c r="CB12" i="1"/>
  <c r="CK12" i="1" s="1"/>
  <c r="CL12" i="1" s="1"/>
  <c r="CM12" i="1" s="1"/>
  <c r="CB7" i="1"/>
  <c r="CO7" i="1" s="1"/>
  <c r="ED12" i="1"/>
  <c r="EM12" i="1" s="1"/>
  <c r="EN12" i="1" s="1"/>
  <c r="EO12" i="1" s="1"/>
  <c r="ED25" i="1"/>
  <c r="EM25" i="1" s="1"/>
  <c r="EN25" i="1" s="1"/>
  <c r="EO25" i="1" s="1"/>
  <c r="BI9" i="1"/>
  <c r="BO9" i="1" s="1"/>
  <c r="JQ12" i="1"/>
  <c r="JW12" i="1" s="1"/>
  <c r="RV30" i="1"/>
  <c r="FM27" i="1"/>
  <c r="FS27" i="1" s="1"/>
  <c r="KO33" i="1"/>
  <c r="QX18" i="1"/>
  <c r="RD18" i="1" s="1"/>
  <c r="QU9" i="1"/>
  <c r="LK6" i="1"/>
  <c r="LX6" i="1" s="1"/>
  <c r="HO28" i="1"/>
  <c r="HU28" i="1" s="1"/>
  <c r="RY25" i="1"/>
  <c r="SE25" i="1" s="1"/>
  <c r="PO15" i="1"/>
  <c r="PX15" i="1" s="1"/>
  <c r="PY15" i="1" s="1"/>
  <c r="PZ15" i="1" s="1"/>
  <c r="CB16" i="1"/>
  <c r="CK16" i="1" s="1"/>
  <c r="CL16" i="1" s="1"/>
  <c r="CM16" i="1" s="1"/>
  <c r="CB10" i="1"/>
  <c r="CK10" i="1" s="1"/>
  <c r="CL10" i="1" s="1"/>
  <c r="CM10" i="1" s="1"/>
  <c r="LK19" i="1"/>
  <c r="LL19" i="1" s="1"/>
  <c r="ED13" i="1"/>
  <c r="EE13" i="1" s="1"/>
  <c r="IH6" i="1"/>
  <c r="IH13" i="1"/>
  <c r="IU13" i="1" s="1"/>
  <c r="IH7" i="1"/>
  <c r="IU7" i="1" s="1"/>
  <c r="QU10" i="1"/>
  <c r="IH10" i="1"/>
  <c r="IQ10" i="1" s="1"/>
  <c r="IR10" i="1" s="1"/>
  <c r="IS10" i="1" s="1"/>
  <c r="LK8" i="1"/>
  <c r="LX8" i="1" s="1"/>
  <c r="ED23" i="1"/>
  <c r="EM23" i="1" s="1"/>
  <c r="EN23" i="1" s="1"/>
  <c r="EO23" i="1" s="1"/>
  <c r="PO9" i="1"/>
  <c r="QB9" i="1" s="1"/>
  <c r="AE35" i="1"/>
  <c r="IH8" i="1"/>
  <c r="IQ8" i="1" s="1"/>
  <c r="IR8" i="1" s="1"/>
  <c r="IS8" i="1" s="1"/>
  <c r="IH9" i="1"/>
  <c r="IU9" i="1" s="1"/>
  <c r="LK7" i="1"/>
  <c r="LT7" i="1" s="1"/>
  <c r="LU7" i="1" s="1"/>
  <c r="LV7" i="1" s="1"/>
  <c r="OV6" i="1"/>
  <c r="PB6" i="1" s="1"/>
  <c r="IH17" i="1"/>
  <c r="IH11" i="1"/>
  <c r="IQ11" i="1" s="1"/>
  <c r="IR11" i="1" s="1"/>
  <c r="IS11" i="1" s="1"/>
  <c r="PO8" i="1"/>
  <c r="QB8" i="1" s="1"/>
  <c r="LK14" i="1"/>
  <c r="LX14" i="1" s="1"/>
  <c r="GN34" i="1"/>
  <c r="GT34" i="1" s="1"/>
  <c r="OV23" i="1"/>
  <c r="PB23" i="1" s="1"/>
  <c r="PO28" i="1"/>
  <c r="QB28" i="1" s="1"/>
  <c r="AH39" i="1"/>
  <c r="AN39" i="1" s="1"/>
  <c r="BI18" i="1"/>
  <c r="BO18" i="1" s="1"/>
  <c r="LK12" i="1"/>
  <c r="LT12" i="1" s="1"/>
  <c r="LU12" i="1" s="1"/>
  <c r="LV12" i="1" s="1"/>
  <c r="LK18" i="1"/>
  <c r="LL18" i="1" s="1"/>
  <c r="ED8" i="1"/>
  <c r="EM8" i="1" s="1"/>
  <c r="EN8" i="1" s="1"/>
  <c r="EO8" i="1" s="1"/>
  <c r="MQ7" i="1"/>
  <c r="OV19" i="1"/>
  <c r="PB19" i="1" s="1"/>
  <c r="ED19" i="1"/>
  <c r="EQ19" i="1" s="1"/>
  <c r="RV10" i="1"/>
  <c r="ED11" i="1"/>
  <c r="EE11" i="1" s="1"/>
  <c r="ED18" i="1"/>
  <c r="EM18" i="1" s="1"/>
  <c r="EN18" i="1" s="1"/>
  <c r="EO18" i="1" s="1"/>
  <c r="LK16" i="1"/>
  <c r="LX16" i="1" s="1"/>
  <c r="ED9" i="1"/>
  <c r="EM9" i="1" s="1"/>
  <c r="EN9" i="1" s="1"/>
  <c r="EO9" i="1" s="1"/>
  <c r="LK15" i="1"/>
  <c r="LL15" i="1" s="1"/>
  <c r="LK13" i="1"/>
  <c r="LX13" i="1" s="1"/>
  <c r="IH15" i="1"/>
  <c r="IU15" i="1" s="1"/>
  <c r="PO16" i="1"/>
  <c r="QB16" i="1" s="1"/>
  <c r="PO11" i="1"/>
  <c r="QB11" i="1" s="1"/>
  <c r="PO17" i="1"/>
  <c r="QB17" i="1" s="1"/>
  <c r="PO18" i="1"/>
  <c r="QB18" i="1" s="1"/>
  <c r="PO21" i="1"/>
  <c r="QB21" i="1" s="1"/>
  <c r="PO13" i="1"/>
  <c r="PX13" i="1" s="1"/>
  <c r="PY13" i="1" s="1"/>
  <c r="PZ13" i="1" s="1"/>
  <c r="PO24" i="1"/>
  <c r="PX24" i="1" s="1"/>
  <c r="PY24" i="1" s="1"/>
  <c r="PZ24" i="1" s="1"/>
  <c r="PO7" i="1"/>
  <c r="QB7" i="1" s="1"/>
  <c r="PO23" i="1"/>
  <c r="PX23" i="1" s="1"/>
  <c r="PY23" i="1" s="1"/>
  <c r="PZ23" i="1" s="1"/>
  <c r="PO10" i="1"/>
  <c r="PX10" i="1" s="1"/>
  <c r="PY10" i="1" s="1"/>
  <c r="PZ10" i="1" s="1"/>
  <c r="PO12" i="1"/>
  <c r="QB12" i="1" s="1"/>
  <c r="PO27" i="1"/>
  <c r="QB27" i="1" s="1"/>
  <c r="PO26" i="1"/>
  <c r="QB26" i="1" s="1"/>
  <c r="PO19" i="1"/>
  <c r="PX19" i="1" s="1"/>
  <c r="PY19" i="1" s="1"/>
  <c r="PZ19" i="1" s="1"/>
  <c r="PO20" i="1"/>
  <c r="QB20" i="1" s="1"/>
  <c r="ED16" i="1"/>
  <c r="EM16" i="1" s="1"/>
  <c r="EN16" i="1" s="1"/>
  <c r="EO16" i="1" s="1"/>
  <c r="QU27" i="1"/>
  <c r="BO7" i="1"/>
  <c r="GN29" i="1"/>
  <c r="GT31" i="1"/>
  <c r="NU20" i="1"/>
  <c r="AN13" i="1"/>
  <c r="AD206" i="22"/>
  <c r="AF206" i="22"/>
  <c r="OA17" i="1"/>
  <c r="AD211" i="22"/>
  <c r="AF211" i="22"/>
  <c r="MT21" i="1"/>
  <c r="RY21" i="1"/>
  <c r="BI8" i="1"/>
  <c r="GN6" i="1"/>
  <c r="MT40" i="1"/>
  <c r="MQ40" i="1"/>
  <c r="FM29" i="1"/>
  <c r="RY31" i="1"/>
  <c r="AL7" i="22"/>
  <c r="AH7" i="22"/>
  <c r="AF7" i="22"/>
  <c r="AD7" i="22"/>
  <c r="AJ7" i="22"/>
  <c r="JQ30" i="1"/>
  <c r="CP19" i="1"/>
  <c r="ER24" i="1"/>
  <c r="GT15" i="1"/>
  <c r="ER12" i="1"/>
  <c r="AH17" i="24"/>
  <c r="AD17" i="24"/>
  <c r="AF17" i="24"/>
  <c r="AJ17" i="24"/>
  <c r="AD256" i="22"/>
  <c r="Q252" i="22" s="1"/>
  <c r="AF15" i="25"/>
  <c r="AD15" i="25"/>
  <c r="AJ15" i="25"/>
  <c r="AH15" i="25"/>
  <c r="SE33" i="1"/>
  <c r="FS8" i="1"/>
  <c r="AH51" i="22"/>
  <c r="AF51" i="22"/>
  <c r="AD51" i="22"/>
  <c r="AL51" i="22"/>
  <c r="AJ51" i="22"/>
  <c r="HU16" i="1"/>
  <c r="AL59" i="22"/>
  <c r="AF59" i="22"/>
  <c r="AJ59" i="22"/>
  <c r="AH59" i="22"/>
  <c r="AD59" i="22"/>
  <c r="DQ23" i="1"/>
  <c r="GT12" i="1"/>
  <c r="DK22" i="1"/>
  <c r="AL98" i="22"/>
  <c r="AH98" i="22"/>
  <c r="AJ98" i="22"/>
  <c r="AF98" i="22"/>
  <c r="AD98" i="22"/>
  <c r="QC27" i="1"/>
  <c r="MZ25" i="1"/>
  <c r="KX13" i="1"/>
  <c r="ER14" i="1"/>
  <c r="AD333" i="22"/>
  <c r="Q328" i="22" s="1"/>
  <c r="OA26" i="1"/>
  <c r="BI20" i="1"/>
  <c r="AD18" i="23"/>
  <c r="AF18" i="23"/>
  <c r="AH18" i="23"/>
  <c r="AJ18" i="23"/>
  <c r="AH11" i="24"/>
  <c r="AF11" i="24"/>
  <c r="AD11" i="24"/>
  <c r="AJ11" i="24"/>
  <c r="BO12" i="1"/>
  <c r="MZ37" i="1"/>
  <c r="CP7" i="1"/>
  <c r="SE39" i="1"/>
  <c r="SE38" i="1"/>
  <c r="LY12" i="1"/>
  <c r="AL102" i="22"/>
  <c r="AF102" i="22"/>
  <c r="AD102" i="22"/>
  <c r="AJ102" i="22"/>
  <c r="AH102" i="22"/>
  <c r="MZ10" i="1"/>
  <c r="MZ28" i="1"/>
  <c r="AN23" i="1"/>
  <c r="MZ7" i="1"/>
  <c r="AL91" i="22"/>
  <c r="AH91" i="22"/>
  <c r="AJ91" i="22"/>
  <c r="AF91" i="22"/>
  <c r="AD91" i="22"/>
  <c r="BO21" i="1"/>
  <c r="RY22" i="1"/>
  <c r="CP17" i="1"/>
  <c r="HU15" i="1"/>
  <c r="AJ14" i="25"/>
  <c r="AD14" i="25"/>
  <c r="AH14" i="25"/>
  <c r="AF14" i="25"/>
  <c r="KX30" i="1"/>
  <c r="LY11" i="1"/>
  <c r="AJ5" i="23"/>
  <c r="AH5" i="23"/>
  <c r="AF5" i="23"/>
  <c r="AD5" i="23"/>
  <c r="AH5" i="22"/>
  <c r="AJ5" i="22"/>
  <c r="AF5" i="22"/>
  <c r="AD5" i="22"/>
  <c r="AL5" i="22"/>
  <c r="SE15" i="1"/>
  <c r="AF208" i="22"/>
  <c r="AD208" i="22"/>
  <c r="LY14" i="1"/>
  <c r="BO22" i="1"/>
  <c r="LY13" i="1"/>
  <c r="AF11" i="25"/>
  <c r="AD11" i="25"/>
  <c r="AH11" i="25"/>
  <c r="AJ11" i="25"/>
  <c r="FM20" i="1"/>
  <c r="HU31" i="1"/>
  <c r="AH32" i="1"/>
  <c r="AD156" i="22"/>
  <c r="Q150" i="22" s="1"/>
  <c r="MZ31" i="1"/>
  <c r="GN8" i="1"/>
  <c r="ER23" i="1"/>
  <c r="IV27" i="1"/>
  <c r="HU10" i="1"/>
  <c r="ER13" i="1"/>
  <c r="AJ49" i="22"/>
  <c r="AD49" i="22"/>
  <c r="AL49" i="22"/>
  <c r="AF49" i="22"/>
  <c r="AH49" i="22"/>
  <c r="AN41" i="1"/>
  <c r="MT9" i="1"/>
  <c r="RD10" i="1"/>
  <c r="IV12" i="1"/>
  <c r="AJ9" i="25"/>
  <c r="AH9" i="25"/>
  <c r="AF9" i="25"/>
  <c r="AD9" i="25"/>
  <c r="AJ15" i="24"/>
  <c r="AF15" i="24"/>
  <c r="AD15" i="24"/>
  <c r="AH15" i="24"/>
  <c r="AN27" i="1"/>
  <c r="MZ22" i="1"/>
  <c r="RD25" i="1"/>
  <c r="KX23" i="1"/>
  <c r="JW22" i="1"/>
  <c r="AN15" i="1"/>
  <c r="AL61" i="22"/>
  <c r="AJ61" i="22"/>
  <c r="AH61" i="22"/>
  <c r="AF61" i="22"/>
  <c r="AD61" i="22"/>
  <c r="AN34" i="1"/>
  <c r="RD12" i="1"/>
  <c r="AD88" i="22"/>
  <c r="AL88" i="22"/>
  <c r="AJ88" i="22"/>
  <c r="AH88" i="22"/>
  <c r="AF88" i="22"/>
  <c r="AH16" i="1"/>
  <c r="HU24" i="1"/>
  <c r="LY18" i="1"/>
  <c r="AD410" i="22"/>
  <c r="Q410" i="22" s="1"/>
  <c r="AF14" i="23"/>
  <c r="AH14" i="23"/>
  <c r="AJ14" i="23"/>
  <c r="AD14" i="23"/>
  <c r="IV23" i="1"/>
  <c r="AF92" i="22"/>
  <c r="AJ92" i="22"/>
  <c r="AH92" i="22"/>
  <c r="AL92" i="22"/>
  <c r="AD92" i="22"/>
  <c r="AD350" i="22"/>
  <c r="Q346" i="22" s="1"/>
  <c r="R346" i="22" s="1"/>
  <c r="JQ25" i="1"/>
  <c r="QC20" i="1"/>
  <c r="ER21" i="1"/>
  <c r="JQ9" i="1"/>
  <c r="FM11" i="1"/>
  <c r="PB32" i="1"/>
  <c r="DK25" i="1"/>
  <c r="DH25" i="1"/>
  <c r="RY6" i="1"/>
  <c r="AF4" i="25"/>
  <c r="AD4" i="25"/>
  <c r="AJ4" i="25"/>
  <c r="AH4" i="25"/>
  <c r="JW15" i="1"/>
  <c r="AL8" i="22"/>
  <c r="AF8" i="22"/>
  <c r="AJ8" i="22"/>
  <c r="AH8" i="22"/>
  <c r="AD8" i="22"/>
  <c r="GN13" i="1"/>
  <c r="AH30" i="1"/>
  <c r="BO23" i="1"/>
  <c r="AH85" i="22"/>
  <c r="AF85" i="22"/>
  <c r="AD85" i="22"/>
  <c r="AL85" i="22"/>
  <c r="AJ85" i="22"/>
  <c r="AJ18" i="24"/>
  <c r="AH18" i="24"/>
  <c r="AF18" i="24"/>
  <c r="AD18" i="24"/>
  <c r="AF19" i="22"/>
  <c r="AL19" i="22"/>
  <c r="AJ19" i="22"/>
  <c r="AH19" i="22"/>
  <c r="AD19" i="22"/>
  <c r="QC17" i="1"/>
  <c r="SE37" i="1"/>
  <c r="QX7" i="1"/>
  <c r="RD21" i="1"/>
  <c r="CP6" i="1"/>
  <c r="AJ4" i="23"/>
  <c r="AF4" i="23"/>
  <c r="AD4" i="23"/>
  <c r="AH4" i="23"/>
  <c r="AF210" i="22"/>
  <c r="AD210" i="22"/>
  <c r="KR15" i="1"/>
  <c r="AJ6" i="23"/>
  <c r="AH6" i="23"/>
  <c r="AF6" i="23"/>
  <c r="AD6" i="23"/>
  <c r="QC13" i="1"/>
  <c r="NU14" i="1"/>
  <c r="BI17" i="1"/>
  <c r="JQ23" i="1"/>
  <c r="QC21" i="1"/>
  <c r="QC22" i="1"/>
  <c r="AD315" i="22"/>
  <c r="Q313" i="22" s="1"/>
  <c r="HU12" i="1"/>
  <c r="AF89" i="22"/>
  <c r="AH89" i="22"/>
  <c r="AD89" i="22"/>
  <c r="AL89" i="22"/>
  <c r="AJ89" i="22"/>
  <c r="GN10" i="1"/>
  <c r="SE20" i="1"/>
  <c r="HO22" i="1"/>
  <c r="QC8" i="1"/>
  <c r="ER7" i="1"/>
  <c r="CP9" i="1"/>
  <c r="AL20" i="22"/>
  <c r="AJ20" i="22"/>
  <c r="AH20" i="22"/>
  <c r="AF20" i="22"/>
  <c r="AD20" i="22"/>
  <c r="HU36" i="1"/>
  <c r="JW19" i="1"/>
  <c r="ER15" i="1"/>
  <c r="MT39" i="1"/>
  <c r="QX17" i="1"/>
  <c r="AJ14" i="24"/>
  <c r="AH14" i="24"/>
  <c r="AF14" i="24"/>
  <c r="AD14" i="24"/>
  <c r="GN33" i="1"/>
  <c r="HO20" i="1"/>
  <c r="ER11" i="1"/>
  <c r="MT32" i="1"/>
  <c r="JQ18" i="1"/>
  <c r="AD5" i="25"/>
  <c r="AJ5" i="25"/>
  <c r="AH5" i="25"/>
  <c r="AF5" i="25"/>
  <c r="AJ52" i="22"/>
  <c r="AH52" i="22"/>
  <c r="AF52" i="22"/>
  <c r="AL52" i="22"/>
  <c r="AD52" i="22"/>
  <c r="HU9" i="1"/>
  <c r="ER17" i="1"/>
  <c r="IV17" i="1"/>
  <c r="AH94" i="22"/>
  <c r="AL94" i="22"/>
  <c r="AJ94" i="22"/>
  <c r="AD94" i="22"/>
  <c r="AF94" i="22"/>
  <c r="AN7" i="1"/>
  <c r="AF44" i="22"/>
  <c r="AJ44" i="22"/>
  <c r="AH44" i="22"/>
  <c r="AD44" i="22"/>
  <c r="AL44" i="22"/>
  <c r="IV20" i="1"/>
  <c r="LY6" i="1"/>
  <c r="AD175" i="22"/>
  <c r="Q174" i="22" s="1"/>
  <c r="CP16" i="1"/>
  <c r="RY17" i="1"/>
  <c r="MT19" i="1"/>
  <c r="PB21" i="1"/>
  <c r="DK18" i="1"/>
  <c r="FM30" i="1"/>
  <c r="MZ20" i="1"/>
  <c r="GT24" i="1"/>
  <c r="PB20" i="1"/>
  <c r="OA19" i="1"/>
  <c r="GT32" i="1"/>
  <c r="AH38" i="1"/>
  <c r="AD297" i="22"/>
  <c r="Q296" i="22" s="1"/>
  <c r="IH26" i="1"/>
  <c r="IU26" i="1" s="1"/>
  <c r="IV10" i="1"/>
  <c r="HL40" i="1"/>
  <c r="HO40" i="1"/>
  <c r="SE29" i="1"/>
  <c r="AD15" i="23"/>
  <c r="AF15" i="23"/>
  <c r="AH15" i="23"/>
  <c r="AJ15" i="23"/>
  <c r="AJ9" i="23"/>
  <c r="AF9" i="23"/>
  <c r="AH9" i="23"/>
  <c r="AD9" i="23"/>
  <c r="AH227" i="22"/>
  <c r="AF227" i="22"/>
  <c r="AD227" i="22"/>
  <c r="AJ227" i="22"/>
  <c r="JW26" i="1"/>
  <c r="FS12" i="1"/>
  <c r="AJ12" i="25"/>
  <c r="AD12" i="25"/>
  <c r="AH12" i="25"/>
  <c r="AF12" i="25"/>
  <c r="HO17" i="1"/>
  <c r="ER19" i="1"/>
  <c r="IV19" i="1"/>
  <c r="JW17" i="1"/>
  <c r="OV28" i="1"/>
  <c r="IV22" i="1"/>
  <c r="AH12" i="23"/>
  <c r="AF12" i="23"/>
  <c r="AJ12" i="23"/>
  <c r="AD12" i="23"/>
  <c r="NU29" i="1"/>
  <c r="AN24" i="1"/>
  <c r="MT30" i="1"/>
  <c r="LK17" i="1"/>
  <c r="IH19" i="1"/>
  <c r="ED15" i="1"/>
  <c r="EQ15" i="1" s="1"/>
  <c r="RV41" i="1"/>
  <c r="PO14" i="1"/>
  <c r="ED7" i="1"/>
  <c r="GN19" i="1"/>
  <c r="KR28" i="1"/>
  <c r="FM16" i="1"/>
  <c r="AJ7" i="25"/>
  <c r="AF7" i="25"/>
  <c r="AH7" i="25"/>
  <c r="AD7" i="25"/>
  <c r="AJ11" i="22"/>
  <c r="AH11" i="22"/>
  <c r="AF11" i="22"/>
  <c r="AD11" i="22"/>
  <c r="AL11" i="22"/>
  <c r="KR29" i="1"/>
  <c r="KX39" i="1"/>
  <c r="AJ8" i="24"/>
  <c r="AH8" i="24"/>
  <c r="AF8" i="24"/>
  <c r="AD8" i="24"/>
  <c r="IV15" i="1"/>
  <c r="CP18" i="1"/>
  <c r="RY18" i="1"/>
  <c r="AL18" i="22"/>
  <c r="AJ18" i="22"/>
  <c r="AH18" i="22"/>
  <c r="AF18" i="22"/>
  <c r="AD18" i="22"/>
  <c r="JQ27" i="1"/>
  <c r="HO21" i="1"/>
  <c r="AD385" i="22"/>
  <c r="Q382" i="22" s="1"/>
  <c r="R382" i="22" s="1"/>
  <c r="QX16" i="1"/>
  <c r="AH47" i="22"/>
  <c r="AF47" i="22"/>
  <c r="AD47" i="22"/>
  <c r="AJ47" i="22"/>
  <c r="AL47" i="22"/>
  <c r="GN14" i="1"/>
  <c r="BO15" i="1"/>
  <c r="RY24" i="1"/>
  <c r="FM24" i="1"/>
  <c r="AH37" i="1"/>
  <c r="OV33" i="1"/>
  <c r="OS33" i="1"/>
  <c r="MT36" i="1"/>
  <c r="QC19" i="1"/>
  <c r="SE9" i="1"/>
  <c r="HO27" i="1"/>
  <c r="KX33" i="1"/>
  <c r="BO14" i="1"/>
  <c r="LY8" i="1"/>
  <c r="ER10" i="1"/>
  <c r="AF205" i="22"/>
  <c r="AD205" i="22"/>
  <c r="NU24" i="1"/>
  <c r="PB10" i="1"/>
  <c r="AH26" i="1"/>
  <c r="AD99" i="22"/>
  <c r="AJ99" i="22"/>
  <c r="AF99" i="22"/>
  <c r="AL99" i="22"/>
  <c r="AH99" i="22"/>
  <c r="AH18" i="1"/>
  <c r="QC16" i="1"/>
  <c r="RY28" i="1"/>
  <c r="AD16" i="24"/>
  <c r="AH16" i="24"/>
  <c r="AF16" i="24"/>
  <c r="AJ16" i="24"/>
  <c r="CB6" i="1"/>
  <c r="AD57" i="22"/>
  <c r="AJ57" i="22"/>
  <c r="AH57" i="22"/>
  <c r="AF57" i="22"/>
  <c r="AL57" i="22"/>
  <c r="AN21" i="1"/>
  <c r="LY15" i="1"/>
  <c r="AH228" i="22"/>
  <c r="AF228" i="22"/>
  <c r="AJ228" i="22"/>
  <c r="AD228" i="22"/>
  <c r="PB25" i="1"/>
  <c r="KR14" i="1"/>
  <c r="AJ100" i="22"/>
  <c r="AD100" i="22"/>
  <c r="AH100" i="22"/>
  <c r="AF100" i="22"/>
  <c r="AL100" i="22"/>
  <c r="KR9" i="1"/>
  <c r="QX13" i="1"/>
  <c r="AN8" i="1"/>
  <c r="IV13" i="1"/>
  <c r="AL6" i="22"/>
  <c r="AF6" i="22"/>
  <c r="AD6" i="22"/>
  <c r="AJ6" i="22"/>
  <c r="AH6" i="22"/>
  <c r="AJ46" i="22"/>
  <c r="AF46" i="22"/>
  <c r="AD46" i="22"/>
  <c r="AL46" i="22"/>
  <c r="AH46" i="22"/>
  <c r="NU22" i="1"/>
  <c r="LY20" i="1"/>
  <c r="QX14" i="1"/>
  <c r="JQ29" i="1"/>
  <c r="AH4" i="22"/>
  <c r="AD4" i="22"/>
  <c r="AL4" i="22"/>
  <c r="AJ4" i="22"/>
  <c r="AF4" i="22"/>
  <c r="GN30" i="1"/>
  <c r="IV24" i="1"/>
  <c r="JQ28" i="1"/>
  <c r="KX37" i="1"/>
  <c r="AH19" i="24"/>
  <c r="AD19" i="24"/>
  <c r="AF19" i="24"/>
  <c r="AJ19" i="24"/>
  <c r="HU11" i="1"/>
  <c r="DQ15" i="1"/>
  <c r="OA32" i="1"/>
  <c r="OA25" i="1"/>
  <c r="ER6" i="1"/>
  <c r="BO11" i="1"/>
  <c r="AF232" i="22"/>
  <c r="AD232" i="22"/>
  <c r="AJ232" i="22"/>
  <c r="AH232" i="22"/>
  <c r="FM19" i="1"/>
  <c r="MZ33" i="1"/>
  <c r="SE7" i="1"/>
  <c r="ER8" i="1"/>
  <c r="HO14" i="1"/>
  <c r="KR22" i="1"/>
  <c r="AD60" i="22"/>
  <c r="AJ60" i="22"/>
  <c r="AH60" i="22"/>
  <c r="AL60" i="22"/>
  <c r="AF60" i="22"/>
  <c r="AJ90" i="22"/>
  <c r="AH90" i="22"/>
  <c r="AL90" i="22"/>
  <c r="AD90" i="22"/>
  <c r="AF90" i="22"/>
  <c r="AN28" i="1"/>
  <c r="JW32" i="1"/>
  <c r="MT18" i="1"/>
  <c r="IV8" i="1"/>
  <c r="RY23" i="1"/>
  <c r="QC10" i="1"/>
  <c r="AD207" i="22"/>
  <c r="AF207" i="22"/>
  <c r="AJ9" i="24"/>
  <c r="AF9" i="24"/>
  <c r="AD9" i="24"/>
  <c r="AH9" i="24"/>
  <c r="AJ6" i="24"/>
  <c r="AH6" i="24"/>
  <c r="AF6" i="24"/>
  <c r="AD6" i="24"/>
  <c r="AF96" i="22"/>
  <c r="AD96" i="22"/>
  <c r="AL96" i="22"/>
  <c r="AJ96" i="22"/>
  <c r="AH96" i="22"/>
  <c r="CP12" i="1"/>
  <c r="JQ33" i="1"/>
  <c r="JN33" i="1"/>
  <c r="GN20" i="1"/>
  <c r="RD27" i="1"/>
  <c r="MT17" i="1"/>
  <c r="PB8" i="1"/>
  <c r="IV21" i="1"/>
  <c r="AF8" i="25"/>
  <c r="AJ8" i="25"/>
  <c r="AH8" i="25"/>
  <c r="AD8" i="25"/>
  <c r="AJ11" i="23"/>
  <c r="AH11" i="23"/>
  <c r="AD11" i="23"/>
  <c r="AF11" i="23"/>
  <c r="MZ24" i="1"/>
  <c r="KR12" i="1"/>
  <c r="AJ97" i="22"/>
  <c r="AD97" i="22"/>
  <c r="AL97" i="22"/>
  <c r="AH97" i="22"/>
  <c r="AF97" i="22"/>
  <c r="PB22" i="1"/>
  <c r="RY14" i="1"/>
  <c r="GN23" i="1"/>
  <c r="RY34" i="1"/>
  <c r="SE10" i="1"/>
  <c r="RY32" i="1"/>
  <c r="AH15" i="22"/>
  <c r="AF15" i="22"/>
  <c r="AL15" i="22"/>
  <c r="AJ15" i="22"/>
  <c r="AD15" i="22"/>
  <c r="KR40" i="1"/>
  <c r="KO40" i="1"/>
  <c r="AL101" i="22"/>
  <c r="AD101" i="22"/>
  <c r="AJ101" i="22"/>
  <c r="AH101" i="22"/>
  <c r="AF101" i="22"/>
  <c r="QC28" i="1"/>
  <c r="IV6" i="1"/>
  <c r="AL93" i="22"/>
  <c r="AJ93" i="22"/>
  <c r="AH93" i="22"/>
  <c r="AF93" i="22"/>
  <c r="AD93" i="22"/>
  <c r="AH229" i="22"/>
  <c r="AD229" i="22"/>
  <c r="AJ229" i="22"/>
  <c r="AF229" i="22"/>
  <c r="AD21" i="22"/>
  <c r="AJ21" i="22"/>
  <c r="AF21" i="22"/>
  <c r="AH21" i="22"/>
  <c r="AL21" i="22"/>
  <c r="AN40" i="1"/>
  <c r="QC18" i="1"/>
  <c r="GN11" i="1"/>
  <c r="QC9" i="1"/>
  <c r="PB17" i="1"/>
  <c r="AN12" i="1"/>
  <c r="FM10" i="1"/>
  <c r="SE41" i="1"/>
  <c r="MT15" i="1"/>
  <c r="AF17" i="22"/>
  <c r="AD17" i="22"/>
  <c r="AH17" i="22"/>
  <c r="AL17" i="22"/>
  <c r="AJ17" i="22"/>
  <c r="RY36" i="1"/>
  <c r="HO6" i="1"/>
  <c r="AF103" i="22"/>
  <c r="AL103" i="22"/>
  <c r="AD103" i="22"/>
  <c r="AH103" i="22"/>
  <c r="AJ103" i="22"/>
  <c r="AH29" i="1"/>
  <c r="DQ16" i="1"/>
  <c r="CB9" i="1"/>
  <c r="CO9" i="1" s="1"/>
  <c r="BF26" i="1"/>
  <c r="BI26" i="1"/>
  <c r="CP11" i="1"/>
  <c r="IV16" i="1"/>
  <c r="RY13" i="1"/>
  <c r="FS6" i="1"/>
  <c r="FM7" i="1"/>
  <c r="CP20" i="1"/>
  <c r="KX38" i="1"/>
  <c r="MZ34" i="1"/>
  <c r="FM34" i="1"/>
  <c r="RY8" i="1"/>
  <c r="AH16" i="25"/>
  <c r="AF16" i="25"/>
  <c r="AD16" i="25"/>
  <c r="AJ16" i="25"/>
  <c r="AH230" i="22"/>
  <c r="AJ230" i="22"/>
  <c r="AF230" i="22"/>
  <c r="AD230" i="22"/>
  <c r="OV29" i="1"/>
  <c r="HU32" i="1"/>
  <c r="JW24" i="1"/>
  <c r="IH16" i="1"/>
  <c r="HO23" i="1"/>
  <c r="RD9" i="1"/>
  <c r="HU8" i="1"/>
  <c r="FM15" i="1"/>
  <c r="GN35" i="1"/>
  <c r="JQ6" i="1"/>
  <c r="AF7" i="24"/>
  <c r="AJ7" i="24"/>
  <c r="AH7" i="24"/>
  <c r="AD7" i="24"/>
  <c r="AD194" i="22"/>
  <c r="Q187" i="22" s="1"/>
  <c r="HO38" i="1"/>
  <c r="QC15" i="1"/>
  <c r="CB20" i="1"/>
  <c r="CO20" i="1" s="1"/>
  <c r="ED20" i="1"/>
  <c r="EQ20" i="1" s="1"/>
  <c r="LY9" i="1"/>
  <c r="HU25" i="1"/>
  <c r="QC23" i="1"/>
  <c r="MT16" i="1"/>
  <c r="MT6" i="1"/>
  <c r="OV31" i="1"/>
  <c r="AL87" i="22"/>
  <c r="AJ87" i="22"/>
  <c r="AD87" i="22"/>
  <c r="AH87" i="22"/>
  <c r="AF87" i="22"/>
  <c r="AL48" i="22"/>
  <c r="AJ48" i="22"/>
  <c r="AH48" i="22"/>
  <c r="AD48" i="22"/>
  <c r="AF48" i="22"/>
  <c r="CP8" i="1"/>
  <c r="LY16" i="1"/>
  <c r="IV18" i="1"/>
  <c r="AF63" i="22"/>
  <c r="AL63" i="22"/>
  <c r="AH63" i="22"/>
  <c r="AD63" i="22"/>
  <c r="AJ63" i="22"/>
  <c r="OV26" i="1"/>
  <c r="KR8" i="1"/>
  <c r="OV30" i="1"/>
  <c r="QC24" i="1"/>
  <c r="AF12" i="24"/>
  <c r="AD12" i="24"/>
  <c r="AH12" i="24"/>
  <c r="AJ12" i="24"/>
  <c r="KX24" i="1"/>
  <c r="IV9" i="1"/>
  <c r="BI25" i="1"/>
  <c r="HU34" i="1"/>
  <c r="AH62" i="22"/>
  <c r="AF62" i="22"/>
  <c r="AJ62" i="22"/>
  <c r="AL62" i="22"/>
  <c r="AD62" i="22"/>
  <c r="AH31" i="1"/>
  <c r="AL58" i="22"/>
  <c r="AJ58" i="22"/>
  <c r="AD58" i="22"/>
  <c r="AH58" i="22"/>
  <c r="AF58" i="22"/>
  <c r="HU29" i="1"/>
  <c r="AH4" i="24"/>
  <c r="AJ4" i="24"/>
  <c r="AF4" i="24"/>
  <c r="AD4" i="24"/>
  <c r="CK21" i="1"/>
  <c r="CL21" i="1" s="1"/>
  <c r="CM21" i="1" s="1"/>
  <c r="CO21" i="1"/>
  <c r="SE30" i="1"/>
  <c r="AD16" i="23"/>
  <c r="AH16" i="23"/>
  <c r="AJ16" i="23"/>
  <c r="AF16" i="23"/>
  <c r="AJ17" i="23"/>
  <c r="AH17" i="23"/>
  <c r="AF17" i="23"/>
  <c r="AD17" i="23"/>
  <c r="AN35" i="1"/>
  <c r="QC12" i="1"/>
  <c r="MZ12" i="1"/>
  <c r="JQ21" i="1"/>
  <c r="CP10" i="1"/>
  <c r="HU18" i="1"/>
  <c r="CB17" i="1"/>
  <c r="CO17" i="1" s="1"/>
  <c r="ED10" i="1"/>
  <c r="EQ10" i="1" s="1"/>
  <c r="IH20" i="1"/>
  <c r="IU20" i="1" s="1"/>
  <c r="QX22" i="1"/>
  <c r="ED24" i="1"/>
  <c r="EQ24" i="1" s="1"/>
  <c r="CP14" i="1"/>
  <c r="HO7" i="1"/>
  <c r="RY19" i="1"/>
  <c r="IV11" i="1"/>
  <c r="NU6" i="1"/>
  <c r="PB27" i="1"/>
  <c r="OA15" i="1"/>
  <c r="QC6" i="1"/>
  <c r="QC11" i="1"/>
  <c r="ER16" i="1"/>
  <c r="AN14" i="1"/>
  <c r="DK13" i="1"/>
  <c r="NU18" i="1"/>
  <c r="AD277" i="22"/>
  <c r="Q272" i="22" s="1"/>
  <c r="AN25" i="1"/>
  <c r="FM14" i="1"/>
  <c r="BI16" i="1"/>
  <c r="OV16" i="1"/>
  <c r="AD10" i="23"/>
  <c r="AF10" i="23"/>
  <c r="AJ10" i="23"/>
  <c r="AH10" i="23"/>
  <c r="AJ10" i="22"/>
  <c r="AH10" i="22"/>
  <c r="AF10" i="22"/>
  <c r="AD10" i="22"/>
  <c r="AL10" i="22"/>
  <c r="NU28" i="1"/>
  <c r="JW13" i="1"/>
  <c r="IH27" i="1"/>
  <c r="IU27" i="1" s="1"/>
  <c r="LK10" i="1"/>
  <c r="LX10" i="1" s="1"/>
  <c r="CP15" i="1"/>
  <c r="JQ7" i="1"/>
  <c r="SE11" i="1"/>
  <c r="AE41" i="1"/>
  <c r="CB11" i="1"/>
  <c r="CO11" i="1" s="1"/>
  <c r="IH22" i="1"/>
  <c r="IU22" i="1" s="1"/>
  <c r="PO22" i="1"/>
  <c r="QB22" i="1" s="1"/>
  <c r="IV26" i="1"/>
  <c r="RY12" i="1"/>
  <c r="LY7" i="1"/>
  <c r="GN26" i="1"/>
  <c r="MT14" i="1"/>
  <c r="OV11" i="1"/>
  <c r="FM31" i="1"/>
  <c r="GN21" i="1"/>
  <c r="ER18" i="1"/>
  <c r="CP13" i="1"/>
  <c r="AH17" i="1"/>
  <c r="ER22" i="1"/>
  <c r="QX20" i="1"/>
  <c r="RY40" i="1"/>
  <c r="IV7" i="1"/>
  <c r="AF50" i="22"/>
  <c r="AJ50" i="22"/>
  <c r="AH50" i="22"/>
  <c r="AD50" i="22"/>
  <c r="AL50" i="22"/>
  <c r="AH6" i="1"/>
  <c r="AH7" i="23"/>
  <c r="AD7" i="23"/>
  <c r="AJ7" i="23"/>
  <c r="AF7" i="23"/>
  <c r="DK20" i="1"/>
  <c r="HO35" i="1"/>
  <c r="FM25" i="1"/>
  <c r="MT13" i="1"/>
  <c r="MT26" i="1"/>
  <c r="PB13" i="1"/>
  <c r="ER9" i="1"/>
  <c r="AD135" i="22"/>
  <c r="Q130" i="22" s="1"/>
  <c r="MZ27" i="1"/>
  <c r="DK9" i="1"/>
  <c r="DQ7" i="1"/>
  <c r="BI13" i="1"/>
  <c r="PO25" i="1"/>
  <c r="ED6" i="1"/>
  <c r="EQ6" i="1" s="1"/>
  <c r="DQ10" i="1"/>
  <c r="QC26" i="1"/>
  <c r="AD45" i="22"/>
  <c r="AL45" i="22"/>
  <c r="AJ45" i="22"/>
  <c r="AH45" i="22"/>
  <c r="AF45" i="22"/>
  <c r="IV25" i="1"/>
  <c r="JQ20" i="1"/>
  <c r="NU30" i="1"/>
  <c r="BI19" i="1"/>
  <c r="HO13" i="1"/>
  <c r="AJ54" i="22"/>
  <c r="AL54" i="22"/>
  <c r="AH54" i="22"/>
  <c r="AF54" i="22"/>
  <c r="AD54" i="22"/>
  <c r="GK36" i="1"/>
  <c r="GN36" i="1"/>
  <c r="NU10" i="1"/>
  <c r="AD19" i="23"/>
  <c r="AJ19" i="23"/>
  <c r="AF19" i="23"/>
  <c r="AH19" i="23"/>
  <c r="AJ9" i="22"/>
  <c r="AH9" i="22"/>
  <c r="AF9" i="22"/>
  <c r="AD9" i="22"/>
  <c r="AL9" i="22"/>
  <c r="KR19" i="1"/>
  <c r="GN17" i="1"/>
  <c r="AH10" i="24"/>
  <c r="AJ10" i="24"/>
  <c r="AD10" i="24"/>
  <c r="AF10" i="24"/>
  <c r="AH10" i="25"/>
  <c r="AF10" i="25"/>
  <c r="AJ10" i="25"/>
  <c r="AD10" i="25"/>
  <c r="FM35" i="1"/>
  <c r="FJ35" i="1"/>
  <c r="AF53" i="22"/>
  <c r="AJ53" i="22"/>
  <c r="AD53" i="22"/>
  <c r="AH53" i="22"/>
  <c r="AL53" i="22"/>
  <c r="IH18" i="1"/>
  <c r="IU18" i="1" s="1"/>
  <c r="LK20" i="1"/>
  <c r="IH23" i="1"/>
  <c r="IU23" i="1" s="1"/>
  <c r="KR20" i="1"/>
  <c r="PX29" i="1"/>
  <c r="PY29" i="1" s="1"/>
  <c r="PZ29" i="1" s="1"/>
  <c r="QB29" i="1"/>
  <c r="EM26" i="1"/>
  <c r="EN26" i="1" s="1"/>
  <c r="EO26" i="1" s="1"/>
  <c r="EQ26" i="1"/>
  <c r="CB19" i="1"/>
  <c r="CO19" i="1" s="1"/>
  <c r="AF56" i="22"/>
  <c r="AL56" i="22"/>
  <c r="AH56" i="22"/>
  <c r="AD56" i="22"/>
  <c r="AJ56" i="22"/>
  <c r="PB7" i="1"/>
  <c r="FM21" i="1"/>
  <c r="JW11" i="1"/>
  <c r="OV15" i="1"/>
  <c r="FM22" i="1"/>
  <c r="GN25" i="1"/>
  <c r="AJ233" i="22"/>
  <c r="AH233" i="22"/>
  <c r="AD233" i="22"/>
  <c r="AF233" i="22"/>
  <c r="DK6" i="1"/>
  <c r="JQ10" i="1"/>
  <c r="QX26" i="1"/>
  <c r="AJ6" i="25"/>
  <c r="AD6" i="25"/>
  <c r="AH6" i="25"/>
  <c r="AF6" i="25"/>
  <c r="BF27" i="1"/>
  <c r="BA14" i="1" s="1"/>
  <c r="IH21" i="1"/>
  <c r="IU21" i="1" s="1"/>
  <c r="LT21" i="1"/>
  <c r="LU21" i="1" s="1"/>
  <c r="LV21" i="1" s="1"/>
  <c r="LX21" i="1"/>
  <c r="FM28" i="1"/>
  <c r="DK14" i="1"/>
  <c r="QX8" i="1"/>
  <c r="AF14" i="22"/>
  <c r="AL14" i="22"/>
  <c r="AD14" i="22"/>
  <c r="AJ14" i="22"/>
  <c r="AH14" i="22"/>
  <c r="GN9" i="1"/>
  <c r="LY17" i="1"/>
  <c r="MT23" i="1"/>
  <c r="MT38" i="1"/>
  <c r="NU13" i="1"/>
  <c r="FM33" i="1"/>
  <c r="AD8" i="23"/>
  <c r="AF8" i="23"/>
  <c r="AH8" i="23"/>
  <c r="AJ8" i="23"/>
  <c r="QX23" i="1"/>
  <c r="NU9" i="1"/>
  <c r="RY35" i="1"/>
  <c r="AH86" i="22"/>
  <c r="AF86" i="22"/>
  <c r="AL86" i="22"/>
  <c r="AD86" i="22"/>
  <c r="AJ86" i="22"/>
  <c r="OA8" i="1"/>
  <c r="IH25" i="1"/>
  <c r="IU25" i="1" s="1"/>
  <c r="LK9" i="1"/>
  <c r="LX9" i="1" s="1"/>
  <c r="KR11" i="1"/>
  <c r="IH24" i="1"/>
  <c r="IU24" i="1" s="1"/>
  <c r="LK11" i="1"/>
  <c r="LX11" i="1" s="1"/>
  <c r="AD363" i="22"/>
  <c r="Q364" i="22" s="1"/>
  <c r="R364" i="22" s="1"/>
  <c r="MZ35" i="1"/>
  <c r="IH12" i="1"/>
  <c r="IU12" i="1" s="1"/>
  <c r="ED21" i="1"/>
  <c r="EQ21" i="1" s="1"/>
  <c r="CB14" i="1"/>
  <c r="CO14" i="1" s="1"/>
  <c r="KR6" i="1"/>
  <c r="QC7" i="1"/>
  <c r="AH20" i="1"/>
  <c r="ER25" i="1"/>
  <c r="MT8" i="1"/>
  <c r="FM32" i="1"/>
  <c r="DK11" i="1"/>
  <c r="HO19" i="1"/>
  <c r="LY19" i="1"/>
  <c r="ER20" i="1"/>
  <c r="FM26" i="1"/>
  <c r="QC25" i="1"/>
  <c r="QC14" i="1"/>
  <c r="KX35" i="1"/>
  <c r="LY10" i="1"/>
  <c r="AH33" i="1"/>
  <c r="NU16" i="1"/>
  <c r="OV18" i="1"/>
  <c r="AD5" i="24"/>
  <c r="AH5" i="24"/>
  <c r="AJ5" i="24"/>
  <c r="AF5" i="24"/>
  <c r="AH19" i="1"/>
  <c r="AL16" i="22"/>
  <c r="AJ16" i="22"/>
  <c r="AH16" i="22"/>
  <c r="AF16" i="22"/>
  <c r="AD16" i="22"/>
  <c r="AH17" i="25"/>
  <c r="AF17" i="25"/>
  <c r="AD17" i="25"/>
  <c r="AJ17" i="25"/>
  <c r="II17" i="1" l="1"/>
  <c r="LT13" i="1"/>
  <c r="LU13" i="1" s="1"/>
  <c r="LV13" i="1" s="1"/>
  <c r="Q409" i="22"/>
  <c r="EM17" i="1"/>
  <c r="EN17" i="1" s="1"/>
  <c r="EO17" i="1" s="1"/>
  <c r="EE17" i="1"/>
  <c r="Q362" i="22"/>
  <c r="R362" i="22" s="1"/>
  <c r="Q289" i="22"/>
  <c r="R289" i="22" s="1"/>
  <c r="LX19" i="1"/>
  <c r="Q147" i="22"/>
  <c r="NR33" i="1"/>
  <c r="NM10" i="1" s="1"/>
  <c r="NZ10" i="1" s="1"/>
  <c r="OS34" i="1"/>
  <c r="ON19" i="1" s="1"/>
  <c r="PA19" i="1" s="1"/>
  <c r="HL41" i="1"/>
  <c r="HG37" i="1" s="1"/>
  <c r="HP37" i="1" s="1"/>
  <c r="HQ37" i="1" s="1"/>
  <c r="HR37" i="1" s="1"/>
  <c r="DH26" i="1"/>
  <c r="DC17" i="1" s="1"/>
  <c r="DL17" i="1" s="1"/>
  <c r="DM17" i="1" s="1"/>
  <c r="DN17" i="1" s="1"/>
  <c r="II14" i="1"/>
  <c r="IQ14" i="1"/>
  <c r="IR14" i="1" s="1"/>
  <c r="IS14" i="1" s="1"/>
  <c r="IU14" i="1"/>
  <c r="FJ36" i="1"/>
  <c r="FE29" i="1" s="1"/>
  <c r="FR29" i="1" s="1"/>
  <c r="AE43" i="1"/>
  <c r="Z16" i="1" s="1"/>
  <c r="AM16" i="1" s="1"/>
  <c r="KO41" i="1"/>
  <c r="KJ29" i="1" s="1"/>
  <c r="KS29" i="1" s="1"/>
  <c r="KT29" i="1" s="1"/>
  <c r="KU29" i="1" s="1"/>
  <c r="QU28" i="1"/>
  <c r="QP12" i="1" s="1"/>
  <c r="RV42" i="1"/>
  <c r="RQ30" i="1" s="1"/>
  <c r="RZ30" i="1" s="1"/>
  <c r="SA30" i="1" s="1"/>
  <c r="SB30" i="1" s="1"/>
  <c r="GK37" i="1"/>
  <c r="GF7" i="1" s="1"/>
  <c r="GO7" i="1" s="1"/>
  <c r="GP7" i="1" s="1"/>
  <c r="GQ7" i="1" s="1"/>
  <c r="MQ41" i="1"/>
  <c r="ML34" i="1" s="1"/>
  <c r="MY34" i="1" s="1"/>
  <c r="EQ22" i="1"/>
  <c r="JN34" i="1"/>
  <c r="JI10" i="1" s="1"/>
  <c r="JR10" i="1" s="1"/>
  <c r="JS10" i="1" s="1"/>
  <c r="JT10" i="1" s="1"/>
  <c r="CK8" i="1"/>
  <c r="CL8" i="1" s="1"/>
  <c r="CM8" i="1" s="1"/>
  <c r="LL13" i="1"/>
  <c r="CO13" i="1"/>
  <c r="EE22" i="1"/>
  <c r="LL8" i="1"/>
  <c r="BA6" i="1"/>
  <c r="BN6" i="1" s="1"/>
  <c r="CO18" i="1"/>
  <c r="CC16" i="1"/>
  <c r="EQ11" i="1"/>
  <c r="CC18" i="1"/>
  <c r="QB6" i="1"/>
  <c r="PX6" i="1"/>
  <c r="PY6" i="1" s="1"/>
  <c r="PZ6" i="1" s="1"/>
  <c r="IV3" i="1"/>
  <c r="CO15" i="1"/>
  <c r="CC15" i="1"/>
  <c r="LY3" i="1"/>
  <c r="QC3" i="1"/>
  <c r="IH29" i="1"/>
  <c r="LL16" i="1"/>
  <c r="CO12" i="1"/>
  <c r="IU11" i="1"/>
  <c r="PO30" i="1"/>
  <c r="EE9" i="1"/>
  <c r="QB23" i="1"/>
  <c r="EQ9" i="1"/>
  <c r="LT16" i="1"/>
  <c r="LU16" i="1" s="1"/>
  <c r="LV16" i="1" s="1"/>
  <c r="QB24" i="1"/>
  <c r="LL14" i="1"/>
  <c r="EQ14" i="1"/>
  <c r="LL6" i="1"/>
  <c r="EE14" i="1"/>
  <c r="CC8" i="1"/>
  <c r="EQ13" i="1"/>
  <c r="CK13" i="1"/>
  <c r="CL13" i="1" s="1"/>
  <c r="CM13" i="1" s="1"/>
  <c r="CC7" i="1"/>
  <c r="CK7" i="1"/>
  <c r="CL7" i="1" s="1"/>
  <c r="CM7" i="1" s="1"/>
  <c r="IU6" i="1"/>
  <c r="IU17" i="1"/>
  <c r="EE25" i="1"/>
  <c r="EQ25" i="1"/>
  <c r="EQ12" i="1"/>
  <c r="LT6" i="1"/>
  <c r="LU6" i="1" s="1"/>
  <c r="LV6" i="1" s="1"/>
  <c r="LK22" i="1"/>
  <c r="EE12" i="1"/>
  <c r="PP23" i="1"/>
  <c r="IQ17" i="1"/>
  <c r="IR17" i="1" s="1"/>
  <c r="IS17" i="1" s="1"/>
  <c r="CC12" i="1"/>
  <c r="ER3" i="1"/>
  <c r="PP28" i="1"/>
  <c r="PP18" i="1"/>
  <c r="PX28" i="1"/>
  <c r="PY28" i="1" s="1"/>
  <c r="PZ28" i="1" s="1"/>
  <c r="PX18" i="1"/>
  <c r="PY18" i="1" s="1"/>
  <c r="PZ18" i="1" s="1"/>
  <c r="EM11" i="1"/>
  <c r="EN11" i="1" s="1"/>
  <c r="EO11" i="1" s="1"/>
  <c r="QB13" i="1"/>
  <c r="PP8" i="1"/>
  <c r="IQ13" i="1"/>
  <c r="IR13" i="1" s="1"/>
  <c r="IS13" i="1" s="1"/>
  <c r="QB15" i="1"/>
  <c r="II13" i="1"/>
  <c r="Q155" i="22"/>
  <c r="PP15" i="1"/>
  <c r="PX8" i="1"/>
  <c r="PY8" i="1" s="1"/>
  <c r="PZ8" i="1" s="1"/>
  <c r="EQ18" i="1"/>
  <c r="EM13" i="1"/>
  <c r="EN13" i="1" s="1"/>
  <c r="EO13" i="1" s="1"/>
  <c r="Q152" i="22"/>
  <c r="Q168" i="22"/>
  <c r="R168" i="22" s="1"/>
  <c r="LT8" i="1"/>
  <c r="LU8" i="1" s="1"/>
  <c r="LV8" i="1" s="1"/>
  <c r="IQ9" i="1"/>
  <c r="IR9" i="1" s="1"/>
  <c r="IS9" i="1" s="1"/>
  <c r="EE23" i="1"/>
  <c r="Q347" i="22"/>
  <c r="R347" i="22" s="1"/>
  <c r="NM20" i="1"/>
  <c r="NV20" i="1" s="1"/>
  <c r="NW20" i="1" s="1"/>
  <c r="NX20" i="1" s="1"/>
  <c r="II9" i="1"/>
  <c r="EQ23" i="1"/>
  <c r="II15" i="1"/>
  <c r="PX17" i="1"/>
  <c r="PY17" i="1" s="1"/>
  <c r="PZ17" i="1" s="1"/>
  <c r="AL22" i="22"/>
  <c r="Y15" i="22" s="1"/>
  <c r="IU10" i="1"/>
  <c r="CO16" i="1"/>
  <c r="LT15" i="1"/>
  <c r="LU15" i="1" s="1"/>
  <c r="LV15" i="1" s="1"/>
  <c r="ON21" i="1"/>
  <c r="OW21" i="1" s="1"/>
  <c r="OX21" i="1" s="1"/>
  <c r="OY21" i="1" s="1"/>
  <c r="PX16" i="1"/>
  <c r="PY16" i="1" s="1"/>
  <c r="PZ16" i="1" s="1"/>
  <c r="IQ15" i="1"/>
  <c r="IR15" i="1" s="1"/>
  <c r="IS15" i="1" s="1"/>
  <c r="PP17" i="1"/>
  <c r="CC10" i="1"/>
  <c r="Q251" i="22"/>
  <c r="PX9" i="1"/>
  <c r="PY9" i="1" s="1"/>
  <c r="PZ9" i="1" s="1"/>
  <c r="AL64" i="22"/>
  <c r="Y59" i="22" s="1"/>
  <c r="Q408" i="22"/>
  <c r="PP9" i="1"/>
  <c r="LX15" i="1"/>
  <c r="Q348" i="22"/>
  <c r="R348" i="22" s="1"/>
  <c r="II7" i="1"/>
  <c r="EE18" i="1"/>
  <c r="Q332" i="22"/>
  <c r="R328" i="22" s="1"/>
  <c r="LT19" i="1"/>
  <c r="LU19" i="1" s="1"/>
  <c r="LV19" i="1" s="1"/>
  <c r="IQ7" i="1"/>
  <c r="IR7" i="1" s="1"/>
  <c r="IS7" i="1" s="1"/>
  <c r="Q268" i="22"/>
  <c r="II6" i="1"/>
  <c r="PP16" i="1"/>
  <c r="IQ6" i="1"/>
  <c r="IR6" i="1" s="1"/>
  <c r="IS6" i="1" s="1"/>
  <c r="ON33" i="1"/>
  <c r="OW33" i="1" s="1"/>
  <c r="OX33" i="1" s="1"/>
  <c r="OY33" i="1" s="1"/>
  <c r="Q349" i="22"/>
  <c r="R349" i="22" s="1"/>
  <c r="CO10" i="1"/>
  <c r="II10" i="1"/>
  <c r="IU8" i="1"/>
  <c r="AL104" i="22"/>
  <c r="Y97" i="22" s="1"/>
  <c r="Q406" i="22"/>
  <c r="Q151" i="22"/>
  <c r="PP21" i="1"/>
  <c r="LL12" i="1"/>
  <c r="NM30" i="1"/>
  <c r="PX21" i="1"/>
  <c r="PY21" i="1" s="1"/>
  <c r="PZ21" i="1" s="1"/>
  <c r="PX20" i="1"/>
  <c r="PY20" i="1" s="1"/>
  <c r="PZ20" i="1" s="1"/>
  <c r="EQ8" i="1"/>
  <c r="PP20" i="1"/>
  <c r="LT18" i="1"/>
  <c r="LU18" i="1" s="1"/>
  <c r="LV18" i="1" s="1"/>
  <c r="PX7" i="1"/>
  <c r="PY7" i="1" s="1"/>
  <c r="PZ7" i="1" s="1"/>
  <c r="Q154" i="22"/>
  <c r="PP7" i="1"/>
  <c r="PP26" i="1"/>
  <c r="EE8" i="1"/>
  <c r="Q345" i="22"/>
  <c r="II8" i="1"/>
  <c r="LX18" i="1"/>
  <c r="LL7" i="1"/>
  <c r="LX7" i="1"/>
  <c r="EM19" i="1"/>
  <c r="EN19" i="1" s="1"/>
  <c r="EO19" i="1" s="1"/>
  <c r="PX26" i="1"/>
  <c r="PY26" i="1" s="1"/>
  <c r="PZ26" i="1" s="1"/>
  <c r="PP24" i="1"/>
  <c r="LT14" i="1"/>
  <c r="LU14" i="1" s="1"/>
  <c r="LV14" i="1" s="1"/>
  <c r="PP13" i="1"/>
  <c r="EE19" i="1"/>
  <c r="PP11" i="1"/>
  <c r="ON8" i="1"/>
  <c r="PA8" i="1" s="1"/>
  <c r="PX27" i="1"/>
  <c r="PY27" i="1" s="1"/>
  <c r="PZ27" i="1" s="1"/>
  <c r="PX11" i="1"/>
  <c r="PY11" i="1" s="1"/>
  <c r="PZ11" i="1" s="1"/>
  <c r="II11" i="1"/>
  <c r="LX12" i="1"/>
  <c r="Q413" i="22"/>
  <c r="Q312" i="22"/>
  <c r="PP27" i="1"/>
  <c r="Q149" i="22"/>
  <c r="Q414" i="22"/>
  <c r="R410" i="22" s="1"/>
  <c r="Q188" i="22"/>
  <c r="PP19" i="1"/>
  <c r="QB19" i="1"/>
  <c r="PP12" i="1"/>
  <c r="PX12" i="1"/>
  <c r="PY12" i="1" s="1"/>
  <c r="PZ12" i="1" s="1"/>
  <c r="Q153" i="22"/>
  <c r="QB10" i="1"/>
  <c r="PP10" i="1"/>
  <c r="EQ16" i="1"/>
  <c r="EE16" i="1"/>
  <c r="Q292" i="22"/>
  <c r="R292" i="22" s="1"/>
  <c r="Q275" i="22"/>
  <c r="Q384" i="22"/>
  <c r="R384" i="22" s="1"/>
  <c r="Q250" i="22"/>
  <c r="Q269" i="22"/>
  <c r="Q386" i="22"/>
  <c r="R386" i="22" s="1"/>
  <c r="Q381" i="22"/>
  <c r="R381" i="22" s="1"/>
  <c r="Q314" i="22"/>
  <c r="R313" i="22" s="1"/>
  <c r="Q311" i="22"/>
  <c r="Q309" i="22"/>
  <c r="Q387" i="22"/>
  <c r="R387" i="22" s="1"/>
  <c r="Q388" i="22"/>
  <c r="R388" i="22" s="1"/>
  <c r="Q380" i="22"/>
  <c r="R380" i="22" s="1"/>
  <c r="Q173" i="22"/>
  <c r="R173" i="22" s="1"/>
  <c r="Q294" i="22"/>
  <c r="R294" i="22" s="1"/>
  <c r="Q295" i="22"/>
  <c r="R295" i="22" s="1"/>
  <c r="BA19" i="1"/>
  <c r="BN19" i="1" s="1"/>
  <c r="Q253" i="22"/>
  <c r="Q403" i="22"/>
  <c r="Q172" i="22"/>
  <c r="R172" i="22" s="1"/>
  <c r="Q293" i="22"/>
  <c r="R293" i="22" s="1"/>
  <c r="Q383" i="22"/>
  <c r="R383" i="22" s="1"/>
  <c r="Q131" i="22"/>
  <c r="Q169" i="22"/>
  <c r="R169" i="22" s="1"/>
  <c r="Q271" i="22"/>
  <c r="Q389" i="22"/>
  <c r="R389" i="22" s="1"/>
  <c r="Q385" i="22"/>
  <c r="R385" i="22" s="1"/>
  <c r="BJ14" i="1"/>
  <c r="BK14" i="1" s="1"/>
  <c r="BL14" i="1" s="1"/>
  <c r="BN14" i="1"/>
  <c r="Q125" i="22"/>
  <c r="OA6" i="1"/>
  <c r="AD21" i="24"/>
  <c r="Q20" i="24" s="1"/>
  <c r="Q28" i="24" s="1"/>
  <c r="HU38" i="1"/>
  <c r="GT19" i="1"/>
  <c r="HU17" i="1"/>
  <c r="FS30" i="1"/>
  <c r="AF64" i="22"/>
  <c r="S57" i="22" s="1"/>
  <c r="MZ39" i="1"/>
  <c r="SE6" i="1"/>
  <c r="HU19" i="1"/>
  <c r="HU13" i="1"/>
  <c r="AF21" i="24"/>
  <c r="S20" i="24" s="1"/>
  <c r="S28" i="24" s="1"/>
  <c r="Q186" i="22"/>
  <c r="Q191" i="22"/>
  <c r="AH21" i="24"/>
  <c r="U20" i="24" s="1"/>
  <c r="U28" i="24" s="1"/>
  <c r="BO19" i="1"/>
  <c r="AN17" i="1"/>
  <c r="AJ21" i="24"/>
  <c r="W20" i="24" s="1"/>
  <c r="W28" i="24" s="1"/>
  <c r="EE7" i="1"/>
  <c r="EM7" i="1"/>
  <c r="EN7" i="1" s="1"/>
  <c r="EO7" i="1" s="1"/>
  <c r="DQ18" i="1"/>
  <c r="DQ25" i="1"/>
  <c r="Q327" i="22"/>
  <c r="JW33" i="1"/>
  <c r="FS32" i="1"/>
  <c r="JW20" i="1"/>
  <c r="OA20" i="1"/>
  <c r="PB31" i="1"/>
  <c r="SE18" i="1"/>
  <c r="PB30" i="1"/>
  <c r="SE13" i="1"/>
  <c r="SE23" i="1"/>
  <c r="IQ19" i="1"/>
  <c r="IR19" i="1" s="1"/>
  <c r="IS19" i="1" s="1"/>
  <c r="II19" i="1"/>
  <c r="KX15" i="1"/>
  <c r="Q331" i="22"/>
  <c r="JW30" i="1"/>
  <c r="FS22" i="1"/>
  <c r="KX8" i="1"/>
  <c r="Q126" i="22"/>
  <c r="AN26" i="1"/>
  <c r="AD104" i="22"/>
  <c r="Q87" i="22" s="1"/>
  <c r="Q276" i="22"/>
  <c r="R272" i="22" s="1"/>
  <c r="BA23" i="1"/>
  <c r="Q291" i="22"/>
  <c r="R291" i="22" s="1"/>
  <c r="AF104" i="22"/>
  <c r="S91" i="22" s="1"/>
  <c r="Q330" i="22"/>
  <c r="GT29" i="1"/>
  <c r="AH104" i="22"/>
  <c r="U97" i="22" s="1"/>
  <c r="JW9" i="1"/>
  <c r="Q363" i="22"/>
  <c r="R363" i="22" s="1"/>
  <c r="BA7" i="1"/>
  <c r="HU40" i="1"/>
  <c r="HU7" i="1"/>
  <c r="MZ6" i="1"/>
  <c r="BO16" i="1"/>
  <c r="FS19" i="1"/>
  <c r="JW6" i="1"/>
  <c r="SE35" i="1"/>
  <c r="AF22" i="22"/>
  <c r="S12" i="22" s="1"/>
  <c r="S29" i="22" s="1"/>
  <c r="SE17" i="1"/>
  <c r="BA17" i="1"/>
  <c r="BN17" i="1" s="1"/>
  <c r="Q366" i="22"/>
  <c r="R366" i="22" s="1"/>
  <c r="IQ24" i="1"/>
  <c r="IR24" i="1" s="1"/>
  <c r="IS24" i="1" s="1"/>
  <c r="II24" i="1"/>
  <c r="LL20" i="1"/>
  <c r="LT20" i="1"/>
  <c r="LU20" i="1" s="1"/>
  <c r="LV20" i="1" s="1"/>
  <c r="MZ13" i="1"/>
  <c r="FS15" i="1"/>
  <c r="BA13" i="1"/>
  <c r="AH21" i="23"/>
  <c r="U20" i="23" s="1"/>
  <c r="U28" i="23" s="1"/>
  <c r="KX6" i="1"/>
  <c r="OA9" i="1"/>
  <c r="Q128" i="22"/>
  <c r="IQ26" i="1"/>
  <c r="IR26" i="1" s="1"/>
  <c r="IS26" i="1" s="1"/>
  <c r="II26" i="1"/>
  <c r="AD21" i="23"/>
  <c r="Q20" i="23" s="1"/>
  <c r="Q28" i="23" s="1"/>
  <c r="MZ9" i="1"/>
  <c r="PB15" i="1"/>
  <c r="JW7" i="1"/>
  <c r="FS28" i="1"/>
  <c r="CB22" i="1"/>
  <c r="CK6" i="1"/>
  <c r="CL6" i="1" s="1"/>
  <c r="CM6" i="1" s="1"/>
  <c r="CC6" i="1"/>
  <c r="LT17" i="1"/>
  <c r="LU17" i="1" s="1"/>
  <c r="LV17" i="1" s="1"/>
  <c r="LL17" i="1"/>
  <c r="PB29" i="1"/>
  <c r="MZ18" i="1"/>
  <c r="AN37" i="1"/>
  <c r="OA16" i="1"/>
  <c r="HU35" i="1"/>
  <c r="GT26" i="1"/>
  <c r="EM24" i="1"/>
  <c r="EN24" i="1" s="1"/>
  <c r="EO24" i="1" s="1"/>
  <c r="EE24" i="1"/>
  <c r="BA9" i="1"/>
  <c r="Q189" i="22"/>
  <c r="AJ22" i="22"/>
  <c r="W12" i="22" s="1"/>
  <c r="W29" i="22" s="1"/>
  <c r="KX9" i="1"/>
  <c r="SE24" i="1"/>
  <c r="AN33" i="1"/>
  <c r="RD23" i="1"/>
  <c r="DQ20" i="1"/>
  <c r="Q329" i="22"/>
  <c r="AN31" i="1"/>
  <c r="EE20" i="1"/>
  <c r="EM20" i="1"/>
  <c r="EN20" i="1" s="1"/>
  <c r="EO20" i="1" s="1"/>
  <c r="Q129" i="22"/>
  <c r="Q310" i="22"/>
  <c r="KX40" i="1"/>
  <c r="Q170" i="22"/>
  <c r="R170" i="22" s="1"/>
  <c r="Q190" i="22"/>
  <c r="OA29" i="1"/>
  <c r="AJ234" i="22"/>
  <c r="W227" i="22" s="1"/>
  <c r="AF21" i="23"/>
  <c r="S20" i="23" s="1"/>
  <c r="S28" i="23" s="1"/>
  <c r="Q402" i="22"/>
  <c r="SE31" i="1"/>
  <c r="KX12" i="1"/>
  <c r="MZ14" i="1"/>
  <c r="FS24" i="1"/>
  <c r="AD22" i="22"/>
  <c r="Q12" i="22" s="1"/>
  <c r="Q29" i="22" s="1"/>
  <c r="AD212" i="22"/>
  <c r="Q207" i="22" s="1"/>
  <c r="AD234" i="22"/>
  <c r="Q230" i="22" s="1"/>
  <c r="Q167" i="22"/>
  <c r="EQ7" i="1"/>
  <c r="AJ21" i="23"/>
  <c r="W20" i="23" s="1"/>
  <c r="W28" i="23" s="1"/>
  <c r="AN30" i="1"/>
  <c r="FS29" i="1"/>
  <c r="FS7" i="1"/>
  <c r="FS11" i="1"/>
  <c r="AN20" i="1"/>
  <c r="GT21" i="1"/>
  <c r="FS31" i="1"/>
  <c r="PB11" i="1"/>
  <c r="GT13" i="1"/>
  <c r="Q146" i="22"/>
  <c r="MZ8" i="1"/>
  <c r="MZ26" i="1"/>
  <c r="OA18" i="1"/>
  <c r="LT9" i="1"/>
  <c r="LU9" i="1" s="1"/>
  <c r="LV9" i="1" s="1"/>
  <c r="LL9" i="1"/>
  <c r="BO26" i="1"/>
  <c r="AH234" i="22"/>
  <c r="U233" i="22" s="1"/>
  <c r="U238" i="22" s="1"/>
  <c r="BA10" i="1"/>
  <c r="MZ40" i="1"/>
  <c r="KX20" i="1"/>
  <c r="PX14" i="1"/>
  <c r="PY14" i="1" s="1"/>
  <c r="PZ14" i="1" s="1"/>
  <c r="PP14" i="1"/>
  <c r="GT25" i="1"/>
  <c r="RD8" i="1"/>
  <c r="MZ19" i="1"/>
  <c r="OA24" i="1"/>
  <c r="GT6" i="1"/>
  <c r="DQ11" i="1"/>
  <c r="KX19" i="1"/>
  <c r="PB18" i="1"/>
  <c r="BO8" i="1"/>
  <c r="AJ104" i="22"/>
  <c r="W97" i="22" s="1"/>
  <c r="FS10" i="1"/>
  <c r="EM21" i="1"/>
  <c r="EN21" i="1" s="1"/>
  <c r="EO21" i="1" s="1"/>
  <c r="EE21" i="1"/>
  <c r="SE8" i="1"/>
  <c r="AN16" i="1"/>
  <c r="DQ22" i="1"/>
  <c r="SE21" i="1"/>
  <c r="AN29" i="1"/>
  <c r="EE15" i="1"/>
  <c r="EM15" i="1"/>
  <c r="EN15" i="1" s="1"/>
  <c r="EO15" i="1" s="1"/>
  <c r="GT8" i="1"/>
  <c r="BA16" i="1"/>
  <c r="BN16" i="1" s="1"/>
  <c r="SE12" i="1"/>
  <c r="DQ13" i="1"/>
  <c r="RD22" i="1"/>
  <c r="HU23" i="1"/>
  <c r="BA26" i="1"/>
  <c r="BJ26" i="1" s="1"/>
  <c r="BK26" i="1" s="1"/>
  <c r="BL26" i="1" s="1"/>
  <c r="Q404" i="22"/>
  <c r="CC9" i="1"/>
  <c r="CK9" i="1"/>
  <c r="CL9" i="1" s="1"/>
  <c r="CM9" i="1" s="1"/>
  <c r="Q255" i="22"/>
  <c r="MZ38" i="1"/>
  <c r="PX25" i="1"/>
  <c r="PY25" i="1" s="1"/>
  <c r="PZ25" i="1" s="1"/>
  <c r="PP25" i="1"/>
  <c r="Q274" i="22"/>
  <c r="Q290" i="22"/>
  <c r="R290" i="22" s="1"/>
  <c r="BO25" i="1"/>
  <c r="MZ17" i="1"/>
  <c r="RD16" i="1"/>
  <c r="HU20" i="1"/>
  <c r="GT10" i="1"/>
  <c r="FS20" i="1"/>
  <c r="BA8" i="1"/>
  <c r="BN8" i="1" s="1"/>
  <c r="SE19" i="1"/>
  <c r="MZ15" i="1"/>
  <c r="IQ16" i="1"/>
  <c r="IR16" i="1" s="1"/>
  <c r="IS16" i="1" s="1"/>
  <c r="II16" i="1"/>
  <c r="FS21" i="1"/>
  <c r="Q192" i="22"/>
  <c r="KX11" i="1"/>
  <c r="IQ18" i="1"/>
  <c r="IR18" i="1" s="1"/>
  <c r="IS18" i="1" s="1"/>
  <c r="II18" i="1"/>
  <c r="CK17" i="1"/>
  <c r="CL17" i="1" s="1"/>
  <c r="CM17" i="1" s="1"/>
  <c r="CC17" i="1"/>
  <c r="HU22" i="1"/>
  <c r="Q270" i="22"/>
  <c r="GT36" i="1"/>
  <c r="SE28" i="1"/>
  <c r="PB28" i="1"/>
  <c r="OA22" i="1"/>
  <c r="GT33" i="1"/>
  <c r="OA30" i="1"/>
  <c r="AN19" i="1"/>
  <c r="GT11" i="1"/>
  <c r="KX14" i="1"/>
  <c r="SE32" i="1"/>
  <c r="RD14" i="1"/>
  <c r="CO6" i="1"/>
  <c r="Q171" i="22"/>
  <c r="R171" i="22" s="1"/>
  <c r="IQ25" i="1"/>
  <c r="IR25" i="1" s="1"/>
  <c r="IS25" i="1" s="1"/>
  <c r="II25" i="1"/>
  <c r="BO13" i="1"/>
  <c r="SE34" i="1"/>
  <c r="CK19" i="1"/>
  <c r="CL19" i="1" s="1"/>
  <c r="CM19" i="1" s="1"/>
  <c r="CC19" i="1"/>
  <c r="GT23" i="1"/>
  <c r="IU19" i="1"/>
  <c r="JW23" i="1"/>
  <c r="RD7" i="1"/>
  <c r="Q148" i="22"/>
  <c r="DC6" i="1"/>
  <c r="DQ14" i="1"/>
  <c r="PB26" i="1"/>
  <c r="IU16" i="1"/>
  <c r="PB33" i="1"/>
  <c r="GT30" i="1"/>
  <c r="BA25" i="1"/>
  <c r="BN25" i="1" s="1"/>
  <c r="BA22" i="1"/>
  <c r="AF234" i="22"/>
  <c r="S229" i="22" s="1"/>
  <c r="EE6" i="1"/>
  <c r="EM6" i="1"/>
  <c r="EN6" i="1" s="1"/>
  <c r="EO6" i="1" s="1"/>
  <c r="JW18" i="1"/>
  <c r="FS33" i="1"/>
  <c r="Q127" i="22"/>
  <c r="AN6" i="1"/>
  <c r="JW29" i="1"/>
  <c r="HU6" i="1"/>
  <c r="Q273" i="22"/>
  <c r="HU27" i="1"/>
  <c r="HU21" i="1"/>
  <c r="BO17" i="1"/>
  <c r="AH19" i="25"/>
  <c r="U18" i="25" s="1"/>
  <c r="U26" i="25" s="1"/>
  <c r="DC8" i="1"/>
  <c r="BA20" i="1"/>
  <c r="BN20" i="1" s="1"/>
  <c r="PB16" i="1"/>
  <c r="Q134" i="22"/>
  <c r="FS25" i="1"/>
  <c r="AH22" i="22"/>
  <c r="U12" i="22" s="1"/>
  <c r="U29" i="22" s="1"/>
  <c r="AF212" i="22"/>
  <c r="S205" i="22" s="1"/>
  <c r="LT10" i="1"/>
  <c r="LU10" i="1" s="1"/>
  <c r="LV10" i="1" s="1"/>
  <c r="LL10" i="1"/>
  <c r="EE10" i="1"/>
  <c r="EM10" i="1"/>
  <c r="EN10" i="1" s="1"/>
  <c r="EO10" i="1" s="1"/>
  <c r="AN32" i="1"/>
  <c r="PP22" i="1"/>
  <c r="PX22" i="1"/>
  <c r="PY22" i="1" s="1"/>
  <c r="PZ22" i="1" s="1"/>
  <c r="BA11" i="1"/>
  <c r="JW25" i="1"/>
  <c r="Q132" i="22"/>
  <c r="JW10" i="1"/>
  <c r="DQ9" i="1"/>
  <c r="SE36" i="1"/>
  <c r="SE14" i="1"/>
  <c r="KX22" i="1"/>
  <c r="Q411" i="22"/>
  <c r="JW27" i="1"/>
  <c r="FS16" i="1"/>
  <c r="Q412" i="22"/>
  <c r="AD64" i="22"/>
  <c r="Q63" i="22" s="1"/>
  <c r="Q72" i="22" s="1"/>
  <c r="AJ19" i="25"/>
  <c r="W18" i="25" s="1"/>
  <c r="W26" i="25" s="1"/>
  <c r="Q405" i="22"/>
  <c r="LT11" i="1"/>
  <c r="LU11" i="1" s="1"/>
  <c r="LV11" i="1" s="1"/>
  <c r="LL11" i="1"/>
  <c r="IQ23" i="1"/>
  <c r="IR23" i="1" s="1"/>
  <c r="IS23" i="1" s="1"/>
  <c r="II23" i="1"/>
  <c r="FS14" i="1"/>
  <c r="GT17" i="1"/>
  <c r="GT35" i="1"/>
  <c r="BA21" i="1"/>
  <c r="RD13" i="1"/>
  <c r="CK14" i="1"/>
  <c r="CL14" i="1" s="1"/>
  <c r="CM14" i="1" s="1"/>
  <c r="CC14" i="1"/>
  <c r="BA15" i="1"/>
  <c r="KX29" i="1"/>
  <c r="OA10" i="1"/>
  <c r="BA18" i="1"/>
  <c r="QB14" i="1"/>
  <c r="II12" i="1"/>
  <c r="IQ12" i="1"/>
  <c r="IR12" i="1" s="1"/>
  <c r="IS12" i="1" s="1"/>
  <c r="IQ21" i="1"/>
  <c r="IR21" i="1" s="1"/>
  <c r="IS21" i="1" s="1"/>
  <c r="II21" i="1"/>
  <c r="Q254" i="22"/>
  <c r="MZ21" i="1"/>
  <c r="OA28" i="1"/>
  <c r="QB25" i="1"/>
  <c r="MZ23" i="1"/>
  <c r="FS26" i="1"/>
  <c r="LX17" i="1"/>
  <c r="Q365" i="22"/>
  <c r="R365" i="22" s="1"/>
  <c r="FS35" i="1"/>
  <c r="SE40" i="1"/>
  <c r="IQ27" i="1"/>
  <c r="IR27" i="1" s="1"/>
  <c r="IS27" i="1" s="1"/>
  <c r="II27" i="1"/>
  <c r="CC20" i="1"/>
  <c r="CK20" i="1"/>
  <c r="CL20" i="1" s="1"/>
  <c r="CM20" i="1" s="1"/>
  <c r="Q367" i="22"/>
  <c r="R367" i="22" s="1"/>
  <c r="HU14" i="1"/>
  <c r="Q133" i="22"/>
  <c r="KX28" i="1"/>
  <c r="AH64" i="22"/>
  <c r="U45" i="22" s="1"/>
  <c r="AD19" i="25"/>
  <c r="Q18" i="25" s="1"/>
  <c r="Q26" i="25" s="1"/>
  <c r="BO20" i="1"/>
  <c r="BA24" i="1"/>
  <c r="MZ16" i="1"/>
  <c r="JW28" i="1"/>
  <c r="MZ36" i="1"/>
  <c r="SE22" i="1"/>
  <c r="MZ30" i="1"/>
  <c r="GT14" i="1"/>
  <c r="IQ20" i="1"/>
  <c r="IR20" i="1" s="1"/>
  <c r="IS20" i="1" s="1"/>
  <c r="II20" i="1"/>
  <c r="BA12" i="1"/>
  <c r="MZ32" i="1"/>
  <c r="Q193" i="22"/>
  <c r="OA13" i="1"/>
  <c r="FS34" i="1"/>
  <c r="LX20" i="1"/>
  <c r="IQ22" i="1"/>
  <c r="IR22" i="1" s="1"/>
  <c r="IS22" i="1" s="1"/>
  <c r="II22" i="1"/>
  <c r="JW21" i="1"/>
  <c r="Q407" i="22"/>
  <c r="GT9" i="1"/>
  <c r="DQ6" i="1"/>
  <c r="RD20" i="1"/>
  <c r="CK11" i="1"/>
  <c r="CL11" i="1" s="1"/>
  <c r="CM11" i="1" s="1"/>
  <c r="CC11" i="1"/>
  <c r="GT20" i="1"/>
  <c r="AN18" i="1"/>
  <c r="AN38" i="1"/>
  <c r="AJ64" i="22"/>
  <c r="W53" i="22" s="1"/>
  <c r="RD17" i="1"/>
  <c r="OA14" i="1"/>
  <c r="AF19" i="25"/>
  <c r="S18" i="25" s="1"/>
  <c r="S26" i="25" s="1"/>
  <c r="ON32" i="1" l="1"/>
  <c r="ON29" i="1"/>
  <c r="PA29" i="1" s="1"/>
  <c r="OW19" i="1"/>
  <c r="OX19" i="1" s="1"/>
  <c r="OY19" i="1" s="1"/>
  <c r="ON16" i="1"/>
  <c r="PA16" i="1" s="1"/>
  <c r="ON27" i="1"/>
  <c r="ON10" i="1"/>
  <c r="ON31" i="1"/>
  <c r="PA31" i="1" s="1"/>
  <c r="FE22" i="1"/>
  <c r="FR22" i="1" s="1"/>
  <c r="DC10" i="1"/>
  <c r="DP10" i="1" s="1"/>
  <c r="ON13" i="1"/>
  <c r="DC13" i="1"/>
  <c r="DP13" i="1" s="1"/>
  <c r="ON23" i="1"/>
  <c r="Y17" i="22"/>
  <c r="ON17" i="1"/>
  <c r="PA17" i="1" s="1"/>
  <c r="HG17" i="1"/>
  <c r="HP17" i="1" s="1"/>
  <c r="HQ17" i="1" s="1"/>
  <c r="HR17" i="1" s="1"/>
  <c r="ON20" i="1"/>
  <c r="OW20" i="1" s="1"/>
  <c r="OX20" i="1" s="1"/>
  <c r="OY20" i="1" s="1"/>
  <c r="ON11" i="1"/>
  <c r="OW11" i="1" s="1"/>
  <c r="OX11" i="1" s="1"/>
  <c r="OY11" i="1" s="1"/>
  <c r="ON25" i="1"/>
  <c r="PA25" i="1" s="1"/>
  <c r="ON30" i="1"/>
  <c r="OW30" i="1" s="1"/>
  <c r="OX30" i="1" s="1"/>
  <c r="OY30" i="1" s="1"/>
  <c r="ON15" i="1"/>
  <c r="PA15" i="1" s="1"/>
  <c r="DC25" i="1"/>
  <c r="DL25" i="1" s="1"/>
  <c r="DM25" i="1" s="1"/>
  <c r="DN25" i="1" s="1"/>
  <c r="ON18" i="1"/>
  <c r="PA18" i="1" s="1"/>
  <c r="ON22" i="1"/>
  <c r="OW22" i="1" s="1"/>
  <c r="OX22" i="1" s="1"/>
  <c r="OY22" i="1" s="1"/>
  <c r="ON28" i="1"/>
  <c r="PA28" i="1" s="1"/>
  <c r="JI27" i="1"/>
  <c r="JR27" i="1" s="1"/>
  <c r="JS27" i="1" s="1"/>
  <c r="JT27" i="1" s="1"/>
  <c r="DC24" i="1"/>
  <c r="DP24" i="1" s="1"/>
  <c r="ON26" i="1"/>
  <c r="PA26" i="1" s="1"/>
  <c r="HG38" i="1"/>
  <c r="HT38" i="1" s="1"/>
  <c r="ML10" i="1"/>
  <c r="MU10" i="1" s="1"/>
  <c r="MV10" i="1" s="1"/>
  <c r="MW10" i="1" s="1"/>
  <c r="ON24" i="1"/>
  <c r="OW24" i="1" s="1"/>
  <c r="OX24" i="1" s="1"/>
  <c r="OY24" i="1" s="1"/>
  <c r="ON6" i="1"/>
  <c r="PA6" i="1" s="1"/>
  <c r="DP17" i="1"/>
  <c r="DC9" i="1"/>
  <c r="DL9" i="1" s="1"/>
  <c r="DM9" i="1" s="1"/>
  <c r="DN9" i="1" s="1"/>
  <c r="DC19" i="1"/>
  <c r="DP19" i="1" s="1"/>
  <c r="DC21" i="1"/>
  <c r="ON14" i="1"/>
  <c r="PA14" i="1" s="1"/>
  <c r="DC14" i="1"/>
  <c r="DL14" i="1" s="1"/>
  <c r="DM14" i="1" s="1"/>
  <c r="DN14" i="1" s="1"/>
  <c r="JI7" i="1"/>
  <c r="JV7" i="1" s="1"/>
  <c r="DC15" i="1"/>
  <c r="DP15" i="1" s="1"/>
  <c r="HG29" i="1"/>
  <c r="HT29" i="1" s="1"/>
  <c r="ON12" i="1"/>
  <c r="OO12" i="1" s="1"/>
  <c r="DC16" i="1"/>
  <c r="DP16" i="1" s="1"/>
  <c r="DC7" i="1"/>
  <c r="DP7" i="1" s="1"/>
  <c r="DC18" i="1"/>
  <c r="DP18" i="1" s="1"/>
  <c r="DC11" i="1"/>
  <c r="DL11" i="1" s="1"/>
  <c r="DM11" i="1" s="1"/>
  <c r="DN11" i="1" s="1"/>
  <c r="ON9" i="1"/>
  <c r="OO9" i="1" s="1"/>
  <c r="NM11" i="1"/>
  <c r="NZ11" i="1" s="1"/>
  <c r="DC12" i="1"/>
  <c r="DP12" i="1" s="1"/>
  <c r="DC20" i="1"/>
  <c r="DL20" i="1" s="1"/>
  <c r="DM20" i="1" s="1"/>
  <c r="DN20" i="1" s="1"/>
  <c r="DC23" i="1"/>
  <c r="DP23" i="1" s="1"/>
  <c r="HG33" i="1"/>
  <c r="HT33" i="1" s="1"/>
  <c r="HG35" i="1"/>
  <c r="HT35" i="1" s="1"/>
  <c r="FE28" i="1"/>
  <c r="FR28" i="1" s="1"/>
  <c r="JI31" i="1"/>
  <c r="JV31" i="1" s="1"/>
  <c r="JI28" i="1"/>
  <c r="JV28" i="1" s="1"/>
  <c r="JI23" i="1"/>
  <c r="JV23" i="1" s="1"/>
  <c r="FE17" i="1"/>
  <c r="FR17" i="1" s="1"/>
  <c r="ON7" i="1"/>
  <c r="PA7" i="1" s="1"/>
  <c r="DC22" i="1"/>
  <c r="DL22" i="1" s="1"/>
  <c r="DM22" i="1" s="1"/>
  <c r="DN22" i="1" s="1"/>
  <c r="FE14" i="1"/>
  <c r="FN14" i="1" s="1"/>
  <c r="FO14" i="1" s="1"/>
  <c r="FP14" i="1" s="1"/>
  <c r="FE23" i="1"/>
  <c r="FN23" i="1" s="1"/>
  <c r="FO23" i="1" s="1"/>
  <c r="FP23" i="1" s="1"/>
  <c r="NM14" i="1"/>
  <c r="NZ14" i="1" s="1"/>
  <c r="JI21" i="1"/>
  <c r="JV21" i="1" s="1"/>
  <c r="JI20" i="1"/>
  <c r="JR20" i="1" s="1"/>
  <c r="JS20" i="1" s="1"/>
  <c r="JT20" i="1" s="1"/>
  <c r="NM31" i="1"/>
  <c r="NZ31" i="1" s="1"/>
  <c r="NM8" i="1"/>
  <c r="NV8" i="1" s="1"/>
  <c r="NW8" i="1" s="1"/>
  <c r="NX8" i="1" s="1"/>
  <c r="FE12" i="1"/>
  <c r="FR12" i="1" s="1"/>
  <c r="FE34" i="1"/>
  <c r="FR34" i="1" s="1"/>
  <c r="NM12" i="1"/>
  <c r="NZ12" i="1" s="1"/>
  <c r="FE26" i="1"/>
  <c r="FR26" i="1" s="1"/>
  <c r="JI19" i="1"/>
  <c r="FE16" i="1"/>
  <c r="FR16" i="1" s="1"/>
  <c r="NV10" i="1"/>
  <c r="NW10" i="1" s="1"/>
  <c r="NX10" i="1" s="1"/>
  <c r="NM16" i="1"/>
  <c r="NZ16" i="1" s="1"/>
  <c r="NM6" i="1"/>
  <c r="NZ6" i="1" s="1"/>
  <c r="FE19" i="1"/>
  <c r="FR19" i="1" s="1"/>
  <c r="FE35" i="1"/>
  <c r="FN35" i="1" s="1"/>
  <c r="FO35" i="1" s="1"/>
  <c r="FP35" i="1" s="1"/>
  <c r="NM9" i="1"/>
  <c r="NZ9" i="1" s="1"/>
  <c r="NM17" i="1"/>
  <c r="NZ17" i="1" s="1"/>
  <c r="NM27" i="1"/>
  <c r="NZ27" i="1" s="1"/>
  <c r="NM24" i="1"/>
  <c r="NV24" i="1" s="1"/>
  <c r="NW24" i="1" s="1"/>
  <c r="NX24" i="1" s="1"/>
  <c r="JI33" i="1"/>
  <c r="JV33" i="1" s="1"/>
  <c r="R405" i="22"/>
  <c r="FE18" i="1"/>
  <c r="FN18" i="1" s="1"/>
  <c r="FO18" i="1" s="1"/>
  <c r="FP18" i="1" s="1"/>
  <c r="NM23" i="1"/>
  <c r="NZ23" i="1" s="1"/>
  <c r="FE30" i="1"/>
  <c r="FR30" i="1" s="1"/>
  <c r="NM22" i="1"/>
  <c r="NV22" i="1" s="1"/>
  <c r="NW22" i="1" s="1"/>
  <c r="NX22" i="1" s="1"/>
  <c r="FE24" i="1"/>
  <c r="FR24" i="1" s="1"/>
  <c r="FE31" i="1"/>
  <c r="FR31" i="1" s="1"/>
  <c r="FE10" i="1"/>
  <c r="FR10" i="1" s="1"/>
  <c r="NM19" i="1"/>
  <c r="NZ19" i="1" s="1"/>
  <c r="FE15" i="1"/>
  <c r="FE20" i="1"/>
  <c r="FR20" i="1" s="1"/>
  <c r="JI16" i="1"/>
  <c r="JI17" i="1"/>
  <c r="JR17" i="1" s="1"/>
  <c r="JS17" i="1" s="1"/>
  <c r="JT17" i="1" s="1"/>
  <c r="JI18" i="1"/>
  <c r="JV18" i="1" s="1"/>
  <c r="NM18" i="1"/>
  <c r="NZ18" i="1" s="1"/>
  <c r="FE27" i="1"/>
  <c r="R404" i="22"/>
  <c r="JI26" i="1"/>
  <c r="JV26" i="1" s="1"/>
  <c r="FE13" i="1"/>
  <c r="FR13" i="1" s="1"/>
  <c r="FE32" i="1"/>
  <c r="FR32" i="1" s="1"/>
  <c r="JI12" i="1"/>
  <c r="JV12" i="1" s="1"/>
  <c r="JI32" i="1"/>
  <c r="JV32" i="1" s="1"/>
  <c r="NM25" i="1"/>
  <c r="NV25" i="1" s="1"/>
  <c r="NW25" i="1" s="1"/>
  <c r="NX25" i="1" s="1"/>
  <c r="NM13" i="1"/>
  <c r="NZ13" i="1" s="1"/>
  <c r="NM29" i="1"/>
  <c r="NV29" i="1" s="1"/>
  <c r="NW29" i="1" s="1"/>
  <c r="NX29" i="1" s="1"/>
  <c r="RQ41" i="1"/>
  <c r="RZ41" i="1" s="1"/>
  <c r="SA41" i="1" s="1"/>
  <c r="SB41" i="1" s="1"/>
  <c r="Z26" i="1"/>
  <c r="AM26" i="1" s="1"/>
  <c r="FE6" i="1"/>
  <c r="FR6" i="1" s="1"/>
  <c r="Z7" i="1"/>
  <c r="AA7" i="1" s="1"/>
  <c r="Z18" i="1"/>
  <c r="AM18" i="1" s="1"/>
  <c r="RQ25" i="1"/>
  <c r="RZ25" i="1" s="1"/>
  <c r="SA25" i="1" s="1"/>
  <c r="SB25" i="1" s="1"/>
  <c r="R152" i="22"/>
  <c r="Z35" i="1"/>
  <c r="AM35" i="1" s="1"/>
  <c r="Z37" i="1"/>
  <c r="AM37" i="1" s="1"/>
  <c r="Z11" i="1"/>
  <c r="AM11" i="1" s="1"/>
  <c r="Z42" i="1"/>
  <c r="AA16" i="1" s="1"/>
  <c r="KJ38" i="1"/>
  <c r="KW38" i="1" s="1"/>
  <c r="R153" i="22"/>
  <c r="Z39" i="1"/>
  <c r="AI39" i="1" s="1"/>
  <c r="AJ39" i="1" s="1"/>
  <c r="AK39" i="1" s="1"/>
  <c r="Z30" i="1"/>
  <c r="AM30" i="1" s="1"/>
  <c r="Y57" i="22"/>
  <c r="Z20" i="1"/>
  <c r="AI20" i="1" s="1"/>
  <c r="AJ20" i="1" s="1"/>
  <c r="AK20" i="1" s="1"/>
  <c r="Z25" i="1"/>
  <c r="AI25" i="1" s="1"/>
  <c r="AJ25" i="1" s="1"/>
  <c r="AK25" i="1" s="1"/>
  <c r="Z29" i="1"/>
  <c r="AM29" i="1" s="1"/>
  <c r="Z31" i="1"/>
  <c r="AM31" i="1" s="1"/>
  <c r="Z19" i="1"/>
  <c r="AM19" i="1" s="1"/>
  <c r="Z40" i="1"/>
  <c r="AI40" i="1" s="1"/>
  <c r="AJ40" i="1" s="1"/>
  <c r="AK40" i="1" s="1"/>
  <c r="Z23" i="1"/>
  <c r="AM23" i="1" s="1"/>
  <c r="Z22" i="1"/>
  <c r="AI22" i="1" s="1"/>
  <c r="AJ22" i="1" s="1"/>
  <c r="AK22" i="1" s="1"/>
  <c r="ML32" i="1"/>
  <c r="MY32" i="1" s="1"/>
  <c r="AI16" i="1"/>
  <c r="AJ16" i="1" s="1"/>
  <c r="AK16" i="1" s="1"/>
  <c r="Z21" i="1"/>
  <c r="AM21" i="1" s="1"/>
  <c r="KJ26" i="1"/>
  <c r="KS26" i="1" s="1"/>
  <c r="KT26" i="1" s="1"/>
  <c r="KU26" i="1" s="1"/>
  <c r="KJ16" i="1"/>
  <c r="Z9" i="1"/>
  <c r="AM9" i="1" s="1"/>
  <c r="Z12" i="1"/>
  <c r="AI12" i="1" s="1"/>
  <c r="AJ12" i="1" s="1"/>
  <c r="AK12" i="1" s="1"/>
  <c r="Z17" i="1"/>
  <c r="AM17" i="1" s="1"/>
  <c r="Z24" i="1"/>
  <c r="AI24" i="1" s="1"/>
  <c r="AJ24" i="1" s="1"/>
  <c r="AK24" i="1" s="1"/>
  <c r="ML16" i="1"/>
  <c r="ML27" i="1"/>
  <c r="MU27" i="1" s="1"/>
  <c r="MV27" i="1" s="1"/>
  <c r="MW27" i="1" s="1"/>
  <c r="ML35" i="1"/>
  <c r="MY35" i="1" s="1"/>
  <c r="R310" i="22"/>
  <c r="ML18" i="1"/>
  <c r="MY18" i="1" s="1"/>
  <c r="Q205" i="22"/>
  <c r="NM26" i="1"/>
  <c r="NZ26" i="1" s="1"/>
  <c r="R311" i="22"/>
  <c r="NM15" i="1"/>
  <c r="NV15" i="1" s="1"/>
  <c r="NW15" i="1" s="1"/>
  <c r="NX15" i="1" s="1"/>
  <c r="R154" i="22"/>
  <c r="R150" i="22"/>
  <c r="NM28" i="1"/>
  <c r="NZ28" i="1" s="1"/>
  <c r="JI6" i="1"/>
  <c r="JV6" i="1" s="1"/>
  <c r="ML9" i="1"/>
  <c r="MY9" i="1" s="1"/>
  <c r="ML15" i="1"/>
  <c r="MY15" i="1" s="1"/>
  <c r="ML26" i="1"/>
  <c r="MY26" i="1" s="1"/>
  <c r="R147" i="22"/>
  <c r="Y21" i="22"/>
  <c r="Y30" i="22" s="1"/>
  <c r="S60" i="22"/>
  <c r="ML13" i="1"/>
  <c r="MY13" i="1" s="1"/>
  <c r="NM32" i="1"/>
  <c r="NV32" i="1" s="1"/>
  <c r="NW32" i="1" s="1"/>
  <c r="NX32" i="1" s="1"/>
  <c r="NM7" i="1"/>
  <c r="NZ7" i="1" s="1"/>
  <c r="S53" i="22"/>
  <c r="ML7" i="1"/>
  <c r="MU7" i="1" s="1"/>
  <c r="MV7" i="1" s="1"/>
  <c r="MW7" i="1" s="1"/>
  <c r="NM21" i="1"/>
  <c r="NZ21" i="1" s="1"/>
  <c r="R330" i="22"/>
  <c r="HG12" i="1"/>
  <c r="HP12" i="1" s="1"/>
  <c r="HQ12" i="1" s="1"/>
  <c r="HR12" i="1" s="1"/>
  <c r="HG9" i="1"/>
  <c r="HT9" i="1" s="1"/>
  <c r="HG31" i="1"/>
  <c r="HT31" i="1" s="1"/>
  <c r="HG10" i="1"/>
  <c r="HP10" i="1" s="1"/>
  <c r="HQ10" i="1" s="1"/>
  <c r="HR10" i="1" s="1"/>
  <c r="HG19" i="1"/>
  <c r="HP19" i="1" s="1"/>
  <c r="HQ19" i="1" s="1"/>
  <c r="HR19" i="1" s="1"/>
  <c r="HG24" i="1"/>
  <c r="HT24" i="1" s="1"/>
  <c r="HG23" i="1"/>
  <c r="HT23" i="1" s="1"/>
  <c r="HG39" i="1"/>
  <c r="HP39" i="1" s="1"/>
  <c r="HQ39" i="1" s="1"/>
  <c r="HR39" i="1" s="1"/>
  <c r="KJ25" i="1"/>
  <c r="KS25" i="1" s="1"/>
  <c r="KT25" i="1" s="1"/>
  <c r="KU25" i="1" s="1"/>
  <c r="W4" i="24"/>
  <c r="X4" i="24" s="1"/>
  <c r="HG7" i="1"/>
  <c r="HT7" i="1" s="1"/>
  <c r="HG40" i="1"/>
  <c r="W19" i="24"/>
  <c r="X19" i="24" s="1"/>
  <c r="HG8" i="1"/>
  <c r="HT8" i="1" s="1"/>
  <c r="HG15" i="1"/>
  <c r="HT15" i="1" s="1"/>
  <c r="HG20" i="1"/>
  <c r="HT20" i="1" s="1"/>
  <c r="HG21" i="1"/>
  <c r="HT21" i="1" s="1"/>
  <c r="HG11" i="1"/>
  <c r="HT11" i="1" s="1"/>
  <c r="Q9" i="24"/>
  <c r="R9" i="24" s="1"/>
  <c r="HG18" i="1"/>
  <c r="HT18" i="1" s="1"/>
  <c r="HG26" i="1"/>
  <c r="HT26" i="1" s="1"/>
  <c r="Z32" i="1"/>
  <c r="HG16" i="1"/>
  <c r="HT16" i="1" s="1"/>
  <c r="HG32" i="1"/>
  <c r="HT32" i="1" s="1"/>
  <c r="HG14" i="1"/>
  <c r="HP14" i="1" s="1"/>
  <c r="HQ14" i="1" s="1"/>
  <c r="HR14" i="1" s="1"/>
  <c r="KJ8" i="1"/>
  <c r="KW8" i="1" s="1"/>
  <c r="QP21" i="1"/>
  <c r="QY21" i="1" s="1"/>
  <c r="QZ21" i="1" s="1"/>
  <c r="RA21" i="1" s="1"/>
  <c r="HG30" i="1"/>
  <c r="HT30" i="1" s="1"/>
  <c r="R403" i="22"/>
  <c r="HG28" i="1"/>
  <c r="HT28" i="1" s="1"/>
  <c r="QP25" i="1"/>
  <c r="RC25" i="1" s="1"/>
  <c r="HG25" i="1"/>
  <c r="HT25" i="1" s="1"/>
  <c r="HG22" i="1"/>
  <c r="HT22" i="1" s="1"/>
  <c r="Z28" i="1"/>
  <c r="AM28" i="1" s="1"/>
  <c r="Z14" i="1"/>
  <c r="AM14" i="1" s="1"/>
  <c r="KJ33" i="1"/>
  <c r="KS33" i="1" s="1"/>
  <c r="KT33" i="1" s="1"/>
  <c r="KU33" i="1" s="1"/>
  <c r="Z8" i="1"/>
  <c r="AM8" i="1" s="1"/>
  <c r="R408" i="22"/>
  <c r="HG6" i="1"/>
  <c r="HT6" i="1" s="1"/>
  <c r="HT37" i="1"/>
  <c r="HG13" i="1"/>
  <c r="HP13" i="1" s="1"/>
  <c r="HQ13" i="1" s="1"/>
  <c r="HR13" i="1" s="1"/>
  <c r="KW29" i="1"/>
  <c r="ML25" i="1"/>
  <c r="MU25" i="1" s="1"/>
  <c r="MV25" i="1" s="1"/>
  <c r="MW25" i="1" s="1"/>
  <c r="HG34" i="1"/>
  <c r="HT34" i="1" s="1"/>
  <c r="HG36" i="1"/>
  <c r="HT36" i="1" s="1"/>
  <c r="HG27" i="1"/>
  <c r="HP27" i="1" s="1"/>
  <c r="HQ27" i="1" s="1"/>
  <c r="HR27" i="1" s="1"/>
  <c r="Z13" i="1"/>
  <c r="AM13" i="1" s="1"/>
  <c r="KJ28" i="1"/>
  <c r="KW28" i="1" s="1"/>
  <c r="KJ10" i="1"/>
  <c r="KW10" i="1" s="1"/>
  <c r="R329" i="22"/>
  <c r="ML11" i="1"/>
  <c r="MU11" i="1" s="1"/>
  <c r="MV11" i="1" s="1"/>
  <c r="MW11" i="1" s="1"/>
  <c r="KJ15" i="1"/>
  <c r="KW15" i="1" s="1"/>
  <c r="FE21" i="1"/>
  <c r="FN21" i="1" s="1"/>
  <c r="FO21" i="1" s="1"/>
  <c r="FP21" i="1" s="1"/>
  <c r="KJ7" i="1"/>
  <c r="KW7" i="1" s="1"/>
  <c r="Q44" i="22"/>
  <c r="R44" i="22" s="1"/>
  <c r="GF33" i="1"/>
  <c r="Y98" i="22"/>
  <c r="Y100" i="22"/>
  <c r="GF36" i="1"/>
  <c r="GO36" i="1" s="1"/>
  <c r="GP36" i="1" s="1"/>
  <c r="GQ36" i="1" s="1"/>
  <c r="RQ20" i="1"/>
  <c r="RZ20" i="1" s="1"/>
  <c r="SA20" i="1" s="1"/>
  <c r="SB20" i="1" s="1"/>
  <c r="GF25" i="1"/>
  <c r="GO25" i="1" s="1"/>
  <c r="GP25" i="1" s="1"/>
  <c r="GQ25" i="1" s="1"/>
  <c r="KJ14" i="1"/>
  <c r="KS14" i="1" s="1"/>
  <c r="KT14" i="1" s="1"/>
  <c r="KU14" i="1" s="1"/>
  <c r="Q391" i="22"/>
  <c r="RQ17" i="1"/>
  <c r="Q88" i="22"/>
  <c r="Q111" i="22" s="1"/>
  <c r="QP19" i="1"/>
  <c r="GF8" i="1"/>
  <c r="GO8" i="1" s="1"/>
  <c r="GP8" i="1" s="1"/>
  <c r="GQ8" i="1" s="1"/>
  <c r="GF12" i="1"/>
  <c r="GS12" i="1" s="1"/>
  <c r="RQ11" i="1"/>
  <c r="QP23" i="1"/>
  <c r="QY23" i="1" s="1"/>
  <c r="QZ23" i="1" s="1"/>
  <c r="RA23" i="1" s="1"/>
  <c r="RQ37" i="1"/>
  <c r="SD37" i="1" s="1"/>
  <c r="Q101" i="22"/>
  <c r="S45" i="22"/>
  <c r="QP8" i="1"/>
  <c r="RC8" i="1" s="1"/>
  <c r="Y96" i="22"/>
  <c r="RQ8" i="1"/>
  <c r="SD8" i="1" s="1"/>
  <c r="GS7" i="1"/>
  <c r="W6" i="24"/>
  <c r="X6" i="24" s="1"/>
  <c r="KJ35" i="1"/>
  <c r="KW35" i="1" s="1"/>
  <c r="KJ39" i="1"/>
  <c r="KS39" i="1" s="1"/>
  <c r="KT39" i="1" s="1"/>
  <c r="KU39" i="1" s="1"/>
  <c r="RQ39" i="1"/>
  <c r="SD39" i="1" s="1"/>
  <c r="RQ15" i="1"/>
  <c r="SD15" i="1" s="1"/>
  <c r="QP14" i="1"/>
  <c r="RC14" i="1" s="1"/>
  <c r="KJ40" i="1"/>
  <c r="KS40" i="1" s="1"/>
  <c r="KT40" i="1" s="1"/>
  <c r="KU40" i="1" s="1"/>
  <c r="GF30" i="1"/>
  <c r="GO30" i="1" s="1"/>
  <c r="GP30" i="1" s="1"/>
  <c r="GQ30" i="1" s="1"/>
  <c r="RQ23" i="1"/>
  <c r="RZ23" i="1" s="1"/>
  <c r="SA23" i="1" s="1"/>
  <c r="SB23" i="1" s="1"/>
  <c r="GF19" i="1"/>
  <c r="GS19" i="1" s="1"/>
  <c r="QP16" i="1"/>
  <c r="QY16" i="1" s="1"/>
  <c r="QZ16" i="1" s="1"/>
  <c r="RA16" i="1" s="1"/>
  <c r="RQ34" i="1"/>
  <c r="RZ34" i="1" s="1"/>
  <c r="SA34" i="1" s="1"/>
  <c r="SB34" i="1" s="1"/>
  <c r="GF21" i="1"/>
  <c r="GO21" i="1" s="1"/>
  <c r="GP21" i="1" s="1"/>
  <c r="GQ21" i="1" s="1"/>
  <c r="GF20" i="1"/>
  <c r="GS20" i="1" s="1"/>
  <c r="ML36" i="1"/>
  <c r="MY36" i="1" s="1"/>
  <c r="Z6" i="1"/>
  <c r="AA6" i="1" s="1"/>
  <c r="QP6" i="1"/>
  <c r="RC6" i="1" s="1"/>
  <c r="Q89" i="22"/>
  <c r="KJ19" i="1"/>
  <c r="QP15" i="1"/>
  <c r="RC15" i="1" s="1"/>
  <c r="RQ7" i="1"/>
  <c r="SD7" i="1" s="1"/>
  <c r="Z41" i="1"/>
  <c r="AM41" i="1" s="1"/>
  <c r="Z38" i="1"/>
  <c r="AM38" i="1" s="1"/>
  <c r="QP11" i="1"/>
  <c r="RQ27" i="1"/>
  <c r="RZ27" i="1" s="1"/>
  <c r="SA27" i="1" s="1"/>
  <c r="SB27" i="1" s="1"/>
  <c r="QP26" i="1"/>
  <c r="QY26" i="1" s="1"/>
  <c r="QZ26" i="1" s="1"/>
  <c r="RA26" i="1" s="1"/>
  <c r="KJ9" i="1"/>
  <c r="KW9" i="1" s="1"/>
  <c r="QP20" i="1"/>
  <c r="QY20" i="1" s="1"/>
  <c r="QZ20" i="1" s="1"/>
  <c r="RA20" i="1" s="1"/>
  <c r="GF24" i="1"/>
  <c r="GO24" i="1" s="1"/>
  <c r="GP24" i="1" s="1"/>
  <c r="GQ24" i="1" s="1"/>
  <c r="QP13" i="1"/>
  <c r="RC13" i="1" s="1"/>
  <c r="KJ20" i="1"/>
  <c r="KW20" i="1" s="1"/>
  <c r="GF26" i="1"/>
  <c r="QP9" i="1"/>
  <c r="QY9" i="1" s="1"/>
  <c r="QZ9" i="1" s="1"/>
  <c r="RA9" i="1" s="1"/>
  <c r="GF31" i="1"/>
  <c r="GS31" i="1" s="1"/>
  <c r="KJ22" i="1"/>
  <c r="KW22" i="1" s="1"/>
  <c r="KJ23" i="1"/>
  <c r="KS23" i="1" s="1"/>
  <c r="KT23" i="1" s="1"/>
  <c r="KU23" i="1" s="1"/>
  <c r="R406" i="22"/>
  <c r="ML6" i="1"/>
  <c r="MY6" i="1" s="1"/>
  <c r="QP18" i="1"/>
  <c r="RC18" i="1" s="1"/>
  <c r="RQ18" i="1"/>
  <c r="SD18" i="1" s="1"/>
  <c r="GF22" i="1"/>
  <c r="GS22" i="1" s="1"/>
  <c r="Z27" i="1"/>
  <c r="AM27" i="1" s="1"/>
  <c r="RQ24" i="1"/>
  <c r="SD24" i="1" s="1"/>
  <c r="GF18" i="1"/>
  <c r="GS18" i="1" s="1"/>
  <c r="RQ29" i="1"/>
  <c r="U230" i="22"/>
  <c r="QP17" i="1"/>
  <c r="RC17" i="1" s="1"/>
  <c r="QP24" i="1"/>
  <c r="QY24" i="1" s="1"/>
  <c r="QZ24" i="1" s="1"/>
  <c r="RA24" i="1" s="1"/>
  <c r="RQ31" i="1"/>
  <c r="SD31" i="1" s="1"/>
  <c r="QP22" i="1"/>
  <c r="RC22" i="1" s="1"/>
  <c r="QP10" i="1"/>
  <c r="RC10" i="1" s="1"/>
  <c r="KJ17" i="1"/>
  <c r="KW17" i="1" s="1"/>
  <c r="R312" i="22"/>
  <c r="GF35" i="1"/>
  <c r="GS35" i="1" s="1"/>
  <c r="ML33" i="1"/>
  <c r="MY33" i="1" s="1"/>
  <c r="Z33" i="1"/>
  <c r="AI33" i="1" s="1"/>
  <c r="AJ33" i="1" s="1"/>
  <c r="AK33" i="1" s="1"/>
  <c r="JI25" i="1"/>
  <c r="JV25" i="1" s="1"/>
  <c r="ML40" i="1"/>
  <c r="MU40" i="1" s="1"/>
  <c r="MV40" i="1" s="1"/>
  <c r="MW40" i="1" s="1"/>
  <c r="RQ9" i="1"/>
  <c r="SD9" i="1" s="1"/>
  <c r="JI30" i="1"/>
  <c r="JV30" i="1" s="1"/>
  <c r="GF27" i="1"/>
  <c r="GS27" i="1" s="1"/>
  <c r="ML12" i="1"/>
  <c r="MU12" i="1" s="1"/>
  <c r="MV12" i="1" s="1"/>
  <c r="MW12" i="1" s="1"/>
  <c r="ML31" i="1"/>
  <c r="MU31" i="1" s="1"/>
  <c r="MV31" i="1" s="1"/>
  <c r="MW31" i="1" s="1"/>
  <c r="OO10" i="1"/>
  <c r="RQ16" i="1"/>
  <c r="RZ16" i="1" s="1"/>
  <c r="SA16" i="1" s="1"/>
  <c r="SB16" i="1" s="1"/>
  <c r="KJ31" i="1"/>
  <c r="KS31" i="1" s="1"/>
  <c r="KT31" i="1" s="1"/>
  <c r="KU31" i="1" s="1"/>
  <c r="ML23" i="1"/>
  <c r="MY23" i="1" s="1"/>
  <c r="JI22" i="1"/>
  <c r="GF14" i="1"/>
  <c r="GO14" i="1" s="1"/>
  <c r="GP14" i="1" s="1"/>
  <c r="GQ14" i="1" s="1"/>
  <c r="Z34" i="1"/>
  <c r="AM34" i="1" s="1"/>
  <c r="Z10" i="1"/>
  <c r="AI10" i="1" s="1"/>
  <c r="AJ10" i="1" s="1"/>
  <c r="AK10" i="1" s="1"/>
  <c r="Z36" i="1"/>
  <c r="AI36" i="1" s="1"/>
  <c r="AJ36" i="1" s="1"/>
  <c r="AK36" i="1" s="1"/>
  <c r="ML22" i="1"/>
  <c r="MU22" i="1" s="1"/>
  <c r="MV22" i="1" s="1"/>
  <c r="MW22" i="1" s="1"/>
  <c r="JI13" i="1"/>
  <c r="JR13" i="1" s="1"/>
  <c r="JS13" i="1" s="1"/>
  <c r="JT13" i="1" s="1"/>
  <c r="RQ38" i="1"/>
  <c r="SD38" i="1" s="1"/>
  <c r="RQ19" i="1"/>
  <c r="SD19" i="1" s="1"/>
  <c r="ML39" i="1"/>
  <c r="MY39" i="1" s="1"/>
  <c r="ML17" i="1"/>
  <c r="MY17" i="1" s="1"/>
  <c r="GF29" i="1"/>
  <c r="GS29" i="1" s="1"/>
  <c r="ML24" i="1"/>
  <c r="MY24" i="1" s="1"/>
  <c r="RQ28" i="1"/>
  <c r="SD28" i="1" s="1"/>
  <c r="FE8" i="1"/>
  <c r="FN8" i="1" s="1"/>
  <c r="FO8" i="1" s="1"/>
  <c r="FP8" i="1" s="1"/>
  <c r="GF6" i="1"/>
  <c r="GO6" i="1" s="1"/>
  <c r="GP6" i="1" s="1"/>
  <c r="GQ6" i="1" s="1"/>
  <c r="ML19" i="1"/>
  <c r="MY19" i="1" s="1"/>
  <c r="MU34" i="1"/>
  <c r="MV34" i="1" s="1"/>
  <c r="MW34" i="1" s="1"/>
  <c r="KJ36" i="1"/>
  <c r="KS36" i="1" s="1"/>
  <c r="KT36" i="1" s="1"/>
  <c r="KU36" i="1" s="1"/>
  <c r="KJ11" i="1"/>
  <c r="KW11" i="1" s="1"/>
  <c r="GF23" i="1"/>
  <c r="GS23" i="1" s="1"/>
  <c r="RQ32" i="1"/>
  <c r="SD32" i="1" s="1"/>
  <c r="JV10" i="1"/>
  <c r="GF34" i="1"/>
  <c r="GS34" i="1" s="1"/>
  <c r="GF32" i="1"/>
  <c r="GS32" i="1" s="1"/>
  <c r="KJ37" i="1"/>
  <c r="KW37" i="1" s="1"/>
  <c r="RQ6" i="1"/>
  <c r="SD6" i="1" s="1"/>
  <c r="JI14" i="1"/>
  <c r="JV14" i="1" s="1"/>
  <c r="ML8" i="1"/>
  <c r="MY8" i="1" s="1"/>
  <c r="ML28" i="1"/>
  <c r="MU28" i="1" s="1"/>
  <c r="MV28" i="1" s="1"/>
  <c r="MW28" i="1" s="1"/>
  <c r="KJ30" i="1"/>
  <c r="KJ24" i="1"/>
  <c r="ML30" i="1"/>
  <c r="MY30" i="1" s="1"/>
  <c r="GF11" i="1"/>
  <c r="GO11" i="1" s="1"/>
  <c r="GP11" i="1" s="1"/>
  <c r="GQ11" i="1" s="1"/>
  <c r="FE11" i="1"/>
  <c r="FN11" i="1" s="1"/>
  <c r="FO11" i="1" s="1"/>
  <c r="FP11" i="1" s="1"/>
  <c r="QP27" i="1"/>
  <c r="QY27" i="1" s="1"/>
  <c r="QZ27" i="1" s="1"/>
  <c r="RA27" i="1" s="1"/>
  <c r="ML29" i="1"/>
  <c r="MU29" i="1" s="1"/>
  <c r="MV29" i="1" s="1"/>
  <c r="MW29" i="1" s="1"/>
  <c r="RQ21" i="1"/>
  <c r="KJ32" i="1"/>
  <c r="KS32" i="1" s="1"/>
  <c r="KT32" i="1" s="1"/>
  <c r="KU32" i="1" s="1"/>
  <c r="JI29" i="1"/>
  <c r="JV29" i="1" s="1"/>
  <c r="JI15" i="1"/>
  <c r="ML37" i="1"/>
  <c r="MU37" i="1" s="1"/>
  <c r="MV37" i="1" s="1"/>
  <c r="MW37" i="1" s="1"/>
  <c r="QP7" i="1"/>
  <c r="RC7" i="1" s="1"/>
  <c r="GF10" i="1"/>
  <c r="GO10" i="1" s="1"/>
  <c r="GP10" i="1" s="1"/>
  <c r="GQ10" i="1" s="1"/>
  <c r="GF16" i="1"/>
  <c r="GS16" i="1" s="1"/>
  <c r="FE9" i="1"/>
  <c r="FR9" i="1" s="1"/>
  <c r="KJ13" i="1"/>
  <c r="KW13" i="1" s="1"/>
  <c r="ML14" i="1"/>
  <c r="MY14" i="1" s="1"/>
  <c r="KJ12" i="1"/>
  <c r="KW12" i="1" s="1"/>
  <c r="RQ10" i="1"/>
  <c r="RZ10" i="1" s="1"/>
  <c r="SA10" i="1" s="1"/>
  <c r="SB10" i="1" s="1"/>
  <c r="Z15" i="1"/>
  <c r="AI15" i="1" s="1"/>
  <c r="AJ15" i="1" s="1"/>
  <c r="AK15" i="1" s="1"/>
  <c r="KJ21" i="1"/>
  <c r="KS21" i="1" s="1"/>
  <c r="KT21" i="1" s="1"/>
  <c r="KU21" i="1" s="1"/>
  <c r="KJ34" i="1"/>
  <c r="KS34" i="1" s="1"/>
  <c r="KT34" i="1" s="1"/>
  <c r="KU34" i="1" s="1"/>
  <c r="ML38" i="1"/>
  <c r="MY38" i="1" s="1"/>
  <c r="RQ40" i="1"/>
  <c r="SD40" i="1" s="1"/>
  <c r="FN29" i="1"/>
  <c r="FO29" i="1" s="1"/>
  <c r="FP29" i="1" s="1"/>
  <c r="GF28" i="1"/>
  <c r="GS28" i="1" s="1"/>
  <c r="KJ6" i="1"/>
  <c r="KW6" i="1" s="1"/>
  <c r="KJ18" i="1"/>
  <c r="KW18" i="1" s="1"/>
  <c r="RQ35" i="1"/>
  <c r="SD35" i="1" s="1"/>
  <c r="FE7" i="1"/>
  <c r="FN7" i="1" s="1"/>
  <c r="FO7" i="1" s="1"/>
  <c r="FP7" i="1" s="1"/>
  <c r="RQ26" i="1"/>
  <c r="SD26" i="1" s="1"/>
  <c r="RQ12" i="1"/>
  <c r="RZ12" i="1" s="1"/>
  <c r="SA12" i="1" s="1"/>
  <c r="SB12" i="1" s="1"/>
  <c r="RQ33" i="1"/>
  <c r="RQ13" i="1"/>
  <c r="SD13" i="1" s="1"/>
  <c r="ML21" i="1"/>
  <c r="MY21" i="1" s="1"/>
  <c r="KJ27" i="1"/>
  <c r="RQ22" i="1"/>
  <c r="SD22" i="1" s="1"/>
  <c r="GF9" i="1"/>
  <c r="GO9" i="1" s="1"/>
  <c r="GP9" i="1" s="1"/>
  <c r="GQ9" i="1" s="1"/>
  <c r="JI8" i="1"/>
  <c r="JR8" i="1" s="1"/>
  <c r="JS8" i="1" s="1"/>
  <c r="JT8" i="1" s="1"/>
  <c r="ML20" i="1"/>
  <c r="MY20" i="1" s="1"/>
  <c r="FE25" i="1"/>
  <c r="FN25" i="1" s="1"/>
  <c r="FO25" i="1" s="1"/>
  <c r="FP25" i="1" s="1"/>
  <c r="FE33" i="1"/>
  <c r="FR33" i="1" s="1"/>
  <c r="RQ14" i="1"/>
  <c r="GF13" i="1"/>
  <c r="BJ6" i="1"/>
  <c r="BK6" i="1" s="1"/>
  <c r="BL6" i="1" s="1"/>
  <c r="JI11" i="1"/>
  <c r="JV11" i="1" s="1"/>
  <c r="JI24" i="1"/>
  <c r="JV24" i="1" s="1"/>
  <c r="BO3" i="1"/>
  <c r="NN30" i="1"/>
  <c r="GF15" i="1"/>
  <c r="GS15" i="1" s="1"/>
  <c r="RD3" i="1"/>
  <c r="JI9" i="1"/>
  <c r="JV9" i="1" s="1"/>
  <c r="GF17" i="1"/>
  <c r="RQ36" i="1"/>
  <c r="RZ36" i="1" s="1"/>
  <c r="SA36" i="1" s="1"/>
  <c r="SB36" i="1" s="1"/>
  <c r="GT3" i="1"/>
  <c r="PB3" i="1"/>
  <c r="BA27" i="1"/>
  <c r="DQ3" i="1"/>
  <c r="SD30" i="1"/>
  <c r="LL22" i="1"/>
  <c r="FS3" i="1"/>
  <c r="AA39" i="1"/>
  <c r="NV14" i="1"/>
  <c r="NW14" i="1" s="1"/>
  <c r="NX14" i="1" s="1"/>
  <c r="EQ3" i="1"/>
  <c r="PP30" i="1"/>
  <c r="HU3" i="1"/>
  <c r="AN3" i="1"/>
  <c r="S5" i="24"/>
  <c r="T5" i="24" s="1"/>
  <c r="MZ3" i="1"/>
  <c r="Q278" i="22"/>
  <c r="SE3" i="1"/>
  <c r="Q8" i="24"/>
  <c r="R8" i="24" s="1"/>
  <c r="KX3" i="1"/>
  <c r="DD20" i="1"/>
  <c r="OW6" i="1"/>
  <c r="OX6" i="1" s="1"/>
  <c r="OY6" i="1" s="1"/>
  <c r="CC22" i="1"/>
  <c r="EE27" i="1"/>
  <c r="Q4" i="23"/>
  <c r="Q23" i="23" s="1"/>
  <c r="JW3" i="1"/>
  <c r="R271" i="22"/>
  <c r="OA3" i="1"/>
  <c r="R273" i="22"/>
  <c r="II29" i="1"/>
  <c r="BN26" i="1"/>
  <c r="U14" i="23"/>
  <c r="V14" i="23" s="1"/>
  <c r="AM39" i="1"/>
  <c r="NV18" i="1"/>
  <c r="NW18" i="1" s="1"/>
  <c r="NX18" i="1" s="1"/>
  <c r="OW8" i="1"/>
  <c r="OX8" i="1" s="1"/>
  <c r="OY8" i="1" s="1"/>
  <c r="NZ20" i="1"/>
  <c r="Y62" i="22"/>
  <c r="Y63" i="22"/>
  <c r="Y72" i="22" s="1"/>
  <c r="Q351" i="22"/>
  <c r="R345" i="22"/>
  <c r="Y56" i="22"/>
  <c r="U89" i="22"/>
  <c r="Y58" i="22"/>
  <c r="R151" i="22"/>
  <c r="U9" i="23"/>
  <c r="V9" i="23" s="1"/>
  <c r="OW25" i="1"/>
  <c r="OX25" i="1" s="1"/>
  <c r="OY25" i="1" s="1"/>
  <c r="PA20" i="1"/>
  <c r="U98" i="22"/>
  <c r="S16" i="24"/>
  <c r="T16" i="24" s="1"/>
  <c r="Q257" i="22"/>
  <c r="Y61" i="22"/>
  <c r="Y60" i="22"/>
  <c r="Y70" i="22" s="1"/>
  <c r="R149" i="22"/>
  <c r="OW31" i="1"/>
  <c r="OX31" i="1" s="1"/>
  <c r="OY31" i="1" s="1"/>
  <c r="Q316" i="22"/>
  <c r="R275" i="22"/>
  <c r="U15" i="24"/>
  <c r="V15" i="24" s="1"/>
  <c r="Y99" i="22"/>
  <c r="R148" i="22"/>
  <c r="S48" i="22"/>
  <c r="Y102" i="22"/>
  <c r="U15" i="23"/>
  <c r="V15" i="23" s="1"/>
  <c r="OW10" i="1"/>
  <c r="OX10" i="1" s="1"/>
  <c r="OY10" i="1" s="1"/>
  <c r="W47" i="22"/>
  <c r="Y103" i="22"/>
  <c r="Y112" i="22" s="1"/>
  <c r="AM10" i="1"/>
  <c r="W21" i="22"/>
  <c r="W30" i="22" s="1"/>
  <c r="R409" i="22"/>
  <c r="Y18" i="22"/>
  <c r="U102" i="22"/>
  <c r="IU3" i="1"/>
  <c r="S17" i="24"/>
  <c r="T17" i="24" s="1"/>
  <c r="OO19" i="1"/>
  <c r="NN16" i="1"/>
  <c r="S11" i="24"/>
  <c r="T11" i="24" s="1"/>
  <c r="OO6" i="1"/>
  <c r="Y14" i="22"/>
  <c r="S8" i="24"/>
  <c r="T8" i="24" s="1"/>
  <c r="Q298" i="22"/>
  <c r="R331" i="22"/>
  <c r="W10" i="22"/>
  <c r="Y19" i="22"/>
  <c r="R407" i="22"/>
  <c r="S10" i="22"/>
  <c r="S46" i="22"/>
  <c r="W18" i="24"/>
  <c r="X18" i="24" s="1"/>
  <c r="Q369" i="22"/>
  <c r="U103" i="22"/>
  <c r="U112" i="22" s="1"/>
  <c r="W19" i="22"/>
  <c r="R413" i="22"/>
  <c r="S11" i="22"/>
  <c r="FN26" i="1"/>
  <c r="FO26" i="1" s="1"/>
  <c r="FP26" i="1" s="1"/>
  <c r="R268" i="22"/>
  <c r="Q91" i="22"/>
  <c r="R188" i="22"/>
  <c r="U87" i="22"/>
  <c r="W92" i="22"/>
  <c r="Q11" i="23"/>
  <c r="R11" i="23" s="1"/>
  <c r="S12" i="24"/>
  <c r="T12" i="24" s="1"/>
  <c r="U91" i="22"/>
  <c r="W5" i="22"/>
  <c r="W26" i="22" s="1"/>
  <c r="NV30" i="1"/>
  <c r="NW30" i="1" s="1"/>
  <c r="NX30" i="1" s="1"/>
  <c r="OO8" i="1"/>
  <c r="R411" i="22"/>
  <c r="PA33" i="1"/>
  <c r="OO31" i="1"/>
  <c r="S54" i="22"/>
  <c r="S71" i="22" s="1"/>
  <c r="W10" i="24"/>
  <c r="X10" i="24" s="1"/>
  <c r="NZ30" i="1"/>
  <c r="PA21" i="1"/>
  <c r="U96" i="22"/>
  <c r="Y16" i="22"/>
  <c r="Y20" i="22"/>
  <c r="S15" i="24"/>
  <c r="T15" i="24" s="1"/>
  <c r="Y101" i="22"/>
  <c r="DL10" i="1"/>
  <c r="DM10" i="1" s="1"/>
  <c r="DN10" i="1" s="1"/>
  <c r="PA10" i="1"/>
  <c r="S9" i="24"/>
  <c r="R251" i="22"/>
  <c r="OO21" i="1"/>
  <c r="R412" i="22"/>
  <c r="S10" i="24"/>
  <c r="T10" i="24" s="1"/>
  <c r="HT17" i="1"/>
  <c r="U88" i="22"/>
  <c r="U111" i="22" s="1"/>
  <c r="Q4" i="24"/>
  <c r="R4" i="24" s="1"/>
  <c r="U12" i="24"/>
  <c r="S49" i="22"/>
  <c r="W5" i="24"/>
  <c r="X5" i="24" s="1"/>
  <c r="W10" i="23"/>
  <c r="X10" i="23" s="1"/>
  <c r="S47" i="22"/>
  <c r="U228" i="22"/>
  <c r="V228" i="22" s="1"/>
  <c r="U93" i="22"/>
  <c r="OO16" i="1"/>
  <c r="U19" i="24"/>
  <c r="V19" i="24" s="1"/>
  <c r="OW16" i="1"/>
  <c r="OX16" i="1" s="1"/>
  <c r="OY16" i="1" s="1"/>
  <c r="S233" i="22"/>
  <c r="S238" i="22" s="1"/>
  <c r="Q9" i="22"/>
  <c r="Q7" i="24"/>
  <c r="Q24" i="24" s="1"/>
  <c r="FN33" i="1"/>
  <c r="FO33" i="1" s="1"/>
  <c r="FP33" i="1" s="1"/>
  <c r="S19" i="23"/>
  <c r="T19" i="23" s="1"/>
  <c r="S51" i="22"/>
  <c r="S16" i="23"/>
  <c r="T16" i="23" s="1"/>
  <c r="W228" i="22"/>
  <c r="S210" i="22"/>
  <c r="S215" i="22" s="1"/>
  <c r="Q5" i="24"/>
  <c r="R5" i="24" s="1"/>
  <c r="S87" i="22"/>
  <c r="U229" i="22"/>
  <c r="V229" i="22" s="1"/>
  <c r="S4" i="23"/>
  <c r="OW17" i="1"/>
  <c r="OX17" i="1" s="1"/>
  <c r="OY17" i="1" s="1"/>
  <c r="S89" i="22"/>
  <c r="W20" i="22"/>
  <c r="U90" i="22"/>
  <c r="Q10" i="24"/>
  <c r="R10" i="24" s="1"/>
  <c r="Q6" i="23"/>
  <c r="R6" i="23" s="1"/>
  <c r="U6" i="24"/>
  <c r="V6" i="24" s="1"/>
  <c r="R127" i="22"/>
  <c r="S6" i="24"/>
  <c r="T6" i="24" s="1"/>
  <c r="W14" i="24"/>
  <c r="X14" i="24" s="1"/>
  <c r="S56" i="22"/>
  <c r="W17" i="24"/>
  <c r="X17" i="24" s="1"/>
  <c r="U99" i="22"/>
  <c r="U86" i="22"/>
  <c r="Q6" i="24"/>
  <c r="R6" i="24" s="1"/>
  <c r="QB3" i="1"/>
  <c r="U63" i="22"/>
  <c r="U72" i="22" s="1"/>
  <c r="S230" i="22"/>
  <c r="Q48" i="22"/>
  <c r="R48" i="22" s="1"/>
  <c r="S14" i="24"/>
  <c r="T14" i="24" s="1"/>
  <c r="S86" i="22"/>
  <c r="U92" i="22"/>
  <c r="U9" i="24"/>
  <c r="V9" i="24" s="1"/>
  <c r="S17" i="23"/>
  <c r="U14" i="24"/>
  <c r="V14" i="24" s="1"/>
  <c r="U10" i="24"/>
  <c r="V10" i="24" s="1"/>
  <c r="U8" i="24"/>
  <c r="V8" i="24" s="1"/>
  <c r="U17" i="24"/>
  <c r="V17" i="24" s="1"/>
  <c r="U44" i="22"/>
  <c r="W14" i="23"/>
  <c r="X14" i="23" s="1"/>
  <c r="S9" i="23"/>
  <c r="T9" i="23" s="1"/>
  <c r="S4" i="22"/>
  <c r="Q92" i="22"/>
  <c r="Q107" i="22" s="1"/>
  <c r="W6" i="23"/>
  <c r="X6" i="23" s="1"/>
  <c r="U5" i="24"/>
  <c r="V5" i="24" s="1"/>
  <c r="Q98" i="22"/>
  <c r="W8" i="23"/>
  <c r="X8" i="23" s="1"/>
  <c r="Q228" i="22"/>
  <c r="S63" i="22"/>
  <c r="S72" i="22" s="1"/>
  <c r="W5" i="23"/>
  <c r="X5" i="23" s="1"/>
  <c r="W18" i="23"/>
  <c r="X18" i="23" s="1"/>
  <c r="U56" i="22"/>
  <c r="U18" i="24"/>
  <c r="V18" i="24" s="1"/>
  <c r="W101" i="22"/>
  <c r="W4" i="23"/>
  <c r="W23" i="23" s="1"/>
  <c r="S7" i="24"/>
  <c r="T7" i="24" s="1"/>
  <c r="R253" i="22"/>
  <c r="W15" i="23"/>
  <c r="X15" i="23" s="1"/>
  <c r="Q93" i="22"/>
  <c r="Q99" i="22"/>
  <c r="W7" i="23"/>
  <c r="X7" i="23" s="1"/>
  <c r="W11" i="24"/>
  <c r="X11" i="24" s="1"/>
  <c r="U7" i="24"/>
  <c r="V7" i="24" s="1"/>
  <c r="W7" i="24"/>
  <c r="X7" i="24" s="1"/>
  <c r="S62" i="22"/>
  <c r="W11" i="23"/>
  <c r="X11" i="23" s="1"/>
  <c r="W16" i="24"/>
  <c r="X16" i="24" s="1"/>
  <c r="W14" i="22"/>
  <c r="S12" i="23"/>
  <c r="S7" i="22"/>
  <c r="W9" i="24"/>
  <c r="X9" i="24" s="1"/>
  <c r="U16" i="24"/>
  <c r="V16" i="24" s="1"/>
  <c r="S59" i="22"/>
  <c r="LX3" i="1"/>
  <c r="U48" i="22"/>
  <c r="S50" i="22"/>
  <c r="S19" i="24"/>
  <c r="U50" i="22"/>
  <c r="W16" i="23"/>
  <c r="X16" i="23" s="1"/>
  <c r="S58" i="22"/>
  <c r="W12" i="23"/>
  <c r="DL19" i="1"/>
  <c r="DM19" i="1" s="1"/>
  <c r="DN19" i="1" s="1"/>
  <c r="Q21" i="22"/>
  <c r="Q30" i="22" s="1"/>
  <c r="HP20" i="1"/>
  <c r="HQ20" i="1" s="1"/>
  <c r="HR20" i="1" s="1"/>
  <c r="U94" i="22"/>
  <c r="W9" i="23"/>
  <c r="X9" i="23" s="1"/>
  <c r="U4" i="24"/>
  <c r="V4" i="24" s="1"/>
  <c r="U11" i="24"/>
  <c r="V11" i="24" s="1"/>
  <c r="U18" i="23"/>
  <c r="V18" i="23" s="1"/>
  <c r="S52" i="22"/>
  <c r="W17" i="23"/>
  <c r="W17" i="22"/>
  <c r="W19" i="23"/>
  <c r="X19" i="23" s="1"/>
  <c r="Q90" i="22"/>
  <c r="Q109" i="22" s="1"/>
  <c r="W233" i="22"/>
  <c r="W238" i="22" s="1"/>
  <c r="S18" i="24"/>
  <c r="T18" i="24" s="1"/>
  <c r="S11" i="25"/>
  <c r="T11" i="25" s="1"/>
  <c r="U8" i="22"/>
  <c r="W230" i="22"/>
  <c r="Q208" i="22"/>
  <c r="S14" i="25"/>
  <c r="W4" i="22"/>
  <c r="W4" i="25"/>
  <c r="DP9" i="1"/>
  <c r="Q49" i="22"/>
  <c r="R49" i="22" s="1"/>
  <c r="S8" i="25"/>
  <c r="T8" i="25" s="1"/>
  <c r="U19" i="22"/>
  <c r="S208" i="22"/>
  <c r="Q233" i="22"/>
  <c r="R230" i="22" s="1"/>
  <c r="Q227" i="22"/>
  <c r="S4" i="25"/>
  <c r="U49" i="22"/>
  <c r="S100" i="22"/>
  <c r="W51" i="22"/>
  <c r="W8" i="25"/>
  <c r="X8" i="25" s="1"/>
  <c r="JR12" i="1"/>
  <c r="JS12" i="1" s="1"/>
  <c r="JT12" i="1" s="1"/>
  <c r="U10" i="22"/>
  <c r="R132" i="22"/>
  <c r="W7" i="25"/>
  <c r="X7" i="25" s="1"/>
  <c r="DD16" i="1"/>
  <c r="U52" i="22"/>
  <c r="Q52" i="22"/>
  <c r="U60" i="22"/>
  <c r="DL16" i="1"/>
  <c r="DM16" i="1" s="1"/>
  <c r="DN16" i="1" s="1"/>
  <c r="U14" i="22"/>
  <c r="S232" i="22"/>
  <c r="R309" i="22"/>
  <c r="W44" i="22"/>
  <c r="R269" i="22"/>
  <c r="S16" i="22"/>
  <c r="S228" i="22"/>
  <c r="Q45" i="22"/>
  <c r="R45" i="22" s="1"/>
  <c r="U4" i="22"/>
  <c r="Q46" i="22"/>
  <c r="W57" i="22"/>
  <c r="Q47" i="22"/>
  <c r="BJ19" i="1"/>
  <c r="BK19" i="1" s="1"/>
  <c r="BL19" i="1" s="1"/>
  <c r="U46" i="22"/>
  <c r="U68" i="22" s="1"/>
  <c r="W5" i="25"/>
  <c r="U85" i="22"/>
  <c r="S44" i="22"/>
  <c r="U11" i="22"/>
  <c r="Q53" i="22"/>
  <c r="R53" i="22" s="1"/>
  <c r="BB19" i="1"/>
  <c r="W60" i="22"/>
  <c r="S6" i="25"/>
  <c r="T6" i="25" s="1"/>
  <c r="HP34" i="1"/>
  <c r="HQ34" i="1" s="1"/>
  <c r="HR34" i="1" s="1"/>
  <c r="S227" i="22"/>
  <c r="W46" i="22"/>
  <c r="Q54" i="22"/>
  <c r="Q71" i="22" s="1"/>
  <c r="U16" i="25"/>
  <c r="V16" i="25" s="1"/>
  <c r="W229" i="22"/>
  <c r="W236" i="22" s="1"/>
  <c r="U5" i="22"/>
  <c r="Q97" i="22"/>
  <c r="Q229" i="22"/>
  <c r="R131" i="22"/>
  <c r="Q11" i="22"/>
  <c r="Q51" i="22"/>
  <c r="R51" i="22" s="1"/>
  <c r="Q232" i="22"/>
  <c r="Q50" i="22"/>
  <c r="R50" i="22" s="1"/>
  <c r="S21" i="22"/>
  <c r="S30" i="22" s="1"/>
  <c r="S14" i="22"/>
  <c r="S103" i="22"/>
  <c r="S112" i="22" s="1"/>
  <c r="R274" i="22"/>
  <c r="Q100" i="22"/>
  <c r="Q96" i="22"/>
  <c r="W49" i="22"/>
  <c r="U53" i="22"/>
  <c r="W58" i="22"/>
  <c r="W103" i="22"/>
  <c r="W112" i="22" s="1"/>
  <c r="U100" i="22"/>
  <c r="S61" i="22"/>
  <c r="S211" i="22"/>
  <c r="S216" i="22" s="1"/>
  <c r="W9" i="25"/>
  <c r="W56" i="22"/>
  <c r="S17" i="25"/>
  <c r="T17" i="25" s="1"/>
  <c r="R190" i="22"/>
  <c r="BJ23" i="1"/>
  <c r="BK23" i="1" s="1"/>
  <c r="BL23" i="1" s="1"/>
  <c r="BB23" i="1"/>
  <c r="BN23" i="1"/>
  <c r="U232" i="22"/>
  <c r="R186" i="22"/>
  <c r="Q194" i="22"/>
  <c r="FR27" i="1"/>
  <c r="S88" i="22"/>
  <c r="S7" i="25"/>
  <c r="T7" i="25" s="1"/>
  <c r="SD33" i="1"/>
  <c r="U15" i="25"/>
  <c r="V15" i="25" s="1"/>
  <c r="W8" i="22"/>
  <c r="Q5" i="25"/>
  <c r="S98" i="22"/>
  <c r="Q175" i="22"/>
  <c r="R167" i="22"/>
  <c r="R175" i="22" s="1"/>
  <c r="U9" i="22"/>
  <c r="U58" i="22"/>
  <c r="Q86" i="22"/>
  <c r="U59" i="22"/>
  <c r="S19" i="22"/>
  <c r="Q4" i="25"/>
  <c r="OW23" i="1"/>
  <c r="OX23" i="1" s="1"/>
  <c r="OY23" i="1" s="1"/>
  <c r="OO23" i="1"/>
  <c r="PA23" i="1"/>
  <c r="BJ24" i="1"/>
  <c r="BK24" i="1" s="1"/>
  <c r="BL24" i="1" s="1"/>
  <c r="BB24" i="1"/>
  <c r="BN24" i="1"/>
  <c r="RZ17" i="1"/>
  <c r="SA17" i="1" s="1"/>
  <c r="SB17" i="1" s="1"/>
  <c r="U4" i="25"/>
  <c r="U47" i="22"/>
  <c r="U7" i="25"/>
  <c r="V7" i="25" s="1"/>
  <c r="U6" i="23"/>
  <c r="S96" i="22"/>
  <c r="W91" i="22"/>
  <c r="U57" i="22"/>
  <c r="S93" i="22"/>
  <c r="W61" i="22"/>
  <c r="R327" i="22"/>
  <c r="Q334" i="22"/>
  <c r="R130" i="22"/>
  <c r="U227" i="22"/>
  <c r="Q5" i="23"/>
  <c r="R5" i="23" s="1"/>
  <c r="Q85" i="22"/>
  <c r="AI19" i="1"/>
  <c r="AJ19" i="1" s="1"/>
  <c r="AK19" i="1" s="1"/>
  <c r="Q9" i="25"/>
  <c r="S17" i="22"/>
  <c r="W87" i="22"/>
  <c r="R187" i="22"/>
  <c r="U15" i="22"/>
  <c r="R146" i="22"/>
  <c r="Q156" i="22"/>
  <c r="Q8" i="25"/>
  <c r="R8" i="25" s="1"/>
  <c r="S101" i="22"/>
  <c r="U10" i="23"/>
  <c r="OO18" i="1"/>
  <c r="Q12" i="23"/>
  <c r="S5" i="22"/>
  <c r="BJ17" i="1"/>
  <c r="BK17" i="1" s="1"/>
  <c r="BL17" i="1" s="1"/>
  <c r="BB17" i="1"/>
  <c r="Q12" i="24"/>
  <c r="S206" i="22"/>
  <c r="S4" i="24"/>
  <c r="W14" i="25"/>
  <c r="KS24" i="1"/>
  <c r="KT24" i="1" s="1"/>
  <c r="KU24" i="1" s="1"/>
  <c r="KW24" i="1"/>
  <c r="W16" i="25"/>
  <c r="X16" i="25" s="1"/>
  <c r="W90" i="22"/>
  <c r="S16" i="25"/>
  <c r="T16" i="25" s="1"/>
  <c r="S94" i="22"/>
  <c r="S8" i="22"/>
  <c r="U12" i="23"/>
  <c r="U5" i="23"/>
  <c r="V5" i="23" s="1"/>
  <c r="S14" i="23"/>
  <c r="T14" i="23" s="1"/>
  <c r="W94" i="22"/>
  <c r="S6" i="23"/>
  <c r="Q210" i="22"/>
  <c r="Q215" i="22" s="1"/>
  <c r="Q135" i="22"/>
  <c r="R125" i="22"/>
  <c r="S15" i="22"/>
  <c r="U11" i="23"/>
  <c r="V11" i="23" s="1"/>
  <c r="BJ15" i="1"/>
  <c r="BK15" i="1" s="1"/>
  <c r="BL15" i="1" s="1"/>
  <c r="BB15" i="1"/>
  <c r="BN15" i="1"/>
  <c r="BJ11" i="1"/>
  <c r="BK11" i="1" s="1"/>
  <c r="BL11" i="1" s="1"/>
  <c r="BB11" i="1"/>
  <c r="BN11" i="1"/>
  <c r="S8" i="23"/>
  <c r="T8" i="23" s="1"/>
  <c r="W62" i="22"/>
  <c r="Q9" i="23"/>
  <c r="R9" i="23" s="1"/>
  <c r="FN19" i="1"/>
  <c r="FO19" i="1" s="1"/>
  <c r="FP19" i="1" s="1"/>
  <c r="W52" i="22"/>
  <c r="Q10" i="23"/>
  <c r="W7" i="22"/>
  <c r="W54" i="22"/>
  <c r="W71" i="22" s="1"/>
  <c r="OO14" i="1"/>
  <c r="OW14" i="1"/>
  <c r="OX14" i="1" s="1"/>
  <c r="OY14" i="1" s="1"/>
  <c r="R129" i="22"/>
  <c r="U4" i="23"/>
  <c r="U7" i="22"/>
  <c r="JV20" i="1"/>
  <c r="Q206" i="22"/>
  <c r="S10" i="23"/>
  <c r="R250" i="22"/>
  <c r="W10" i="25"/>
  <c r="X10" i="25" s="1"/>
  <c r="KS19" i="1"/>
  <c r="KT19" i="1" s="1"/>
  <c r="KU19" i="1" s="1"/>
  <c r="FN15" i="1"/>
  <c r="FO15" i="1" s="1"/>
  <c r="FP15" i="1" s="1"/>
  <c r="Q6" i="25"/>
  <c r="R6" i="25" s="1"/>
  <c r="Q4" i="22"/>
  <c r="BJ13" i="1"/>
  <c r="BK13" i="1" s="1"/>
  <c r="BL13" i="1" s="1"/>
  <c r="BB13" i="1"/>
  <c r="Q5" i="22"/>
  <c r="S102" i="22"/>
  <c r="R191" i="22"/>
  <c r="S10" i="25"/>
  <c r="T10" i="25" s="1"/>
  <c r="R252" i="22"/>
  <c r="FN22" i="1"/>
  <c r="FO22" i="1" s="1"/>
  <c r="FP22" i="1" s="1"/>
  <c r="U11" i="25"/>
  <c r="V11" i="25" s="1"/>
  <c r="DL21" i="1"/>
  <c r="DM21" i="1" s="1"/>
  <c r="DN21" i="1" s="1"/>
  <c r="DP21" i="1"/>
  <c r="W85" i="22"/>
  <c r="U51" i="22"/>
  <c r="FR15" i="1"/>
  <c r="SD17" i="1"/>
  <c r="S85" i="22"/>
  <c r="S90" i="22"/>
  <c r="W12" i="25"/>
  <c r="KW19" i="1"/>
  <c r="U8" i="25"/>
  <c r="V8" i="25" s="1"/>
  <c r="U17" i="23"/>
  <c r="S18" i="22"/>
  <c r="V230" i="22"/>
  <c r="U6" i="22"/>
  <c r="W99" i="22"/>
  <c r="U9" i="25"/>
  <c r="OO32" i="1"/>
  <c r="OW32" i="1"/>
  <c r="OX32" i="1" s="1"/>
  <c r="OY32" i="1" s="1"/>
  <c r="PA32" i="1"/>
  <c r="U61" i="22"/>
  <c r="U10" i="25"/>
  <c r="V10" i="25" s="1"/>
  <c r="S12" i="25"/>
  <c r="S207" i="22"/>
  <c r="Q416" i="22"/>
  <c r="R402" i="22"/>
  <c r="W15" i="22"/>
  <c r="OO29" i="1"/>
  <c r="OW29" i="1"/>
  <c r="OX29" i="1" s="1"/>
  <c r="OY29" i="1" s="1"/>
  <c r="U16" i="22"/>
  <c r="DL6" i="1"/>
  <c r="DM6" i="1" s="1"/>
  <c r="DN6" i="1" s="1"/>
  <c r="Q7" i="25"/>
  <c r="R7" i="25" s="1"/>
  <c r="MU30" i="1"/>
  <c r="MV30" i="1" s="1"/>
  <c r="MW30" i="1" s="1"/>
  <c r="Q12" i="25"/>
  <c r="BJ18" i="1"/>
  <c r="BK18" i="1" s="1"/>
  <c r="BL18" i="1" s="1"/>
  <c r="BB18" i="1"/>
  <c r="BN18" i="1"/>
  <c r="W100" i="22"/>
  <c r="W9" i="22"/>
  <c r="R133" i="22"/>
  <c r="W45" i="22"/>
  <c r="S11" i="23"/>
  <c r="T11" i="23" s="1"/>
  <c r="Q94" i="22"/>
  <c r="U18" i="22"/>
  <c r="U17" i="22"/>
  <c r="RZ29" i="1"/>
  <c r="SA29" i="1" s="1"/>
  <c r="SB29" i="1" s="1"/>
  <c r="SD29" i="1"/>
  <c r="S6" i="22"/>
  <c r="S15" i="23"/>
  <c r="T15" i="23" s="1"/>
  <c r="Q211" i="22"/>
  <c r="Q216" i="22" s="1"/>
  <c r="Q8" i="23"/>
  <c r="R8" i="23" s="1"/>
  <c r="U6" i="25"/>
  <c r="V6" i="25" s="1"/>
  <c r="BB8" i="1"/>
  <c r="BJ8" i="1"/>
  <c r="BK8" i="1" s="1"/>
  <c r="BL8" i="1" s="1"/>
  <c r="Q103" i="22"/>
  <c r="Q112" i="22" s="1"/>
  <c r="S5" i="23"/>
  <c r="T5" i="23" s="1"/>
  <c r="S5" i="25"/>
  <c r="BB9" i="1"/>
  <c r="BJ9" i="1"/>
  <c r="BK9" i="1" s="1"/>
  <c r="BL9" i="1" s="1"/>
  <c r="BN9" i="1"/>
  <c r="U16" i="23"/>
  <c r="V16" i="23" s="1"/>
  <c r="Q7" i="22"/>
  <c r="W232" i="22"/>
  <c r="W86" i="22"/>
  <c r="BB14" i="1"/>
  <c r="W17" i="25"/>
  <c r="X17" i="25" s="1"/>
  <c r="W6" i="25"/>
  <c r="X6" i="25" s="1"/>
  <c r="S97" i="22"/>
  <c r="FN24" i="1"/>
  <c r="FO24" i="1" s="1"/>
  <c r="FP24" i="1" s="1"/>
  <c r="W11" i="22"/>
  <c r="Q10" i="25"/>
  <c r="R10" i="25" s="1"/>
  <c r="KS38" i="1"/>
  <c r="KT38" i="1" s="1"/>
  <c r="KU38" i="1" s="1"/>
  <c r="S15" i="25"/>
  <c r="T15" i="25" s="1"/>
  <c r="S92" i="22"/>
  <c r="U62" i="22"/>
  <c r="R270" i="22"/>
  <c r="FN32" i="1"/>
  <c r="FO32" i="1" s="1"/>
  <c r="FP32" i="1" s="1"/>
  <c r="BB16" i="1"/>
  <c r="BJ16" i="1"/>
  <c r="BK16" i="1" s="1"/>
  <c r="BL16" i="1" s="1"/>
  <c r="PA24" i="1"/>
  <c r="BB6" i="1"/>
  <c r="W63" i="22"/>
  <c r="W72" i="22" s="1"/>
  <c r="U20" i="22"/>
  <c r="BJ7" i="1"/>
  <c r="BK7" i="1" s="1"/>
  <c r="BL7" i="1" s="1"/>
  <c r="BB7" i="1"/>
  <c r="BN7" i="1"/>
  <c r="R126" i="22"/>
  <c r="W18" i="22"/>
  <c r="W6" i="22"/>
  <c r="W59" i="22"/>
  <c r="W50" i="22"/>
  <c r="MU9" i="1"/>
  <c r="MV9" i="1" s="1"/>
  <c r="MW9" i="1" s="1"/>
  <c r="W11" i="25"/>
  <c r="X11" i="25" s="1"/>
  <c r="U8" i="23"/>
  <c r="V8" i="23" s="1"/>
  <c r="S9" i="22"/>
  <c r="W8" i="24"/>
  <c r="X8" i="24" s="1"/>
  <c r="W96" i="22"/>
  <c r="S99" i="22"/>
  <c r="W16" i="22"/>
  <c r="X16" i="22" s="1"/>
  <c r="R192" i="22"/>
  <c r="W15" i="25"/>
  <c r="X15" i="25" s="1"/>
  <c r="W93" i="22"/>
  <c r="U17" i="25"/>
  <c r="V17" i="25" s="1"/>
  <c r="U7" i="23"/>
  <c r="S18" i="23"/>
  <c r="T18" i="23" s="1"/>
  <c r="DP6" i="1"/>
  <c r="Q10" i="22"/>
  <c r="Q7" i="23"/>
  <c r="U14" i="25"/>
  <c r="W48" i="22"/>
  <c r="BJ22" i="1"/>
  <c r="BK22" i="1" s="1"/>
  <c r="BL22" i="1" s="1"/>
  <c r="BB22" i="1"/>
  <c r="BN22" i="1"/>
  <c r="W88" i="22"/>
  <c r="U101" i="22"/>
  <c r="Q6" i="22"/>
  <c r="Q102" i="22"/>
  <c r="W102" i="22"/>
  <c r="U54" i="22"/>
  <c r="BB20" i="1"/>
  <c r="BJ20" i="1"/>
  <c r="BK20" i="1" s="1"/>
  <c r="BL20" i="1" s="1"/>
  <c r="S9" i="25"/>
  <c r="U12" i="25"/>
  <c r="U21" i="22"/>
  <c r="U30" i="22" s="1"/>
  <c r="OO22" i="1"/>
  <c r="Q11" i="25"/>
  <c r="R11" i="25" s="1"/>
  <c r="BJ25" i="1"/>
  <c r="BK25" i="1" s="1"/>
  <c r="BL25" i="1" s="1"/>
  <c r="BB25" i="1"/>
  <c r="W89" i="22"/>
  <c r="QY12" i="1"/>
  <c r="QZ12" i="1" s="1"/>
  <c r="RA12" i="1" s="1"/>
  <c r="RC12" i="1"/>
  <c r="U19" i="23"/>
  <c r="V19" i="23" s="1"/>
  <c r="Q11" i="24"/>
  <c r="R11" i="24" s="1"/>
  <c r="Q8" i="22"/>
  <c r="S7" i="23"/>
  <c r="W15" i="24"/>
  <c r="X15" i="24" s="1"/>
  <c r="BJ12" i="1"/>
  <c r="BK12" i="1" s="1"/>
  <c r="BL12" i="1" s="1"/>
  <c r="BB12" i="1"/>
  <c r="BN12" i="1"/>
  <c r="JR21" i="1"/>
  <c r="JS21" i="1" s="1"/>
  <c r="JT21" i="1" s="1"/>
  <c r="OO27" i="1"/>
  <c r="OW27" i="1"/>
  <c r="OX27" i="1" s="1"/>
  <c r="OY27" i="1" s="1"/>
  <c r="PA27" i="1"/>
  <c r="BB21" i="1"/>
  <c r="BJ21" i="1"/>
  <c r="BK21" i="1" s="1"/>
  <c r="BL21" i="1" s="1"/>
  <c r="BN21" i="1"/>
  <c r="W98" i="22"/>
  <c r="R189" i="22"/>
  <c r="DD8" i="1"/>
  <c r="DL8" i="1"/>
  <c r="DM8" i="1" s="1"/>
  <c r="DN8" i="1" s="1"/>
  <c r="DP8" i="1"/>
  <c r="QY17" i="1"/>
  <c r="QZ17" i="1" s="1"/>
  <c r="RA17" i="1" s="1"/>
  <c r="S20" i="22"/>
  <c r="OW13" i="1"/>
  <c r="OX13" i="1" s="1"/>
  <c r="OY13" i="1" s="1"/>
  <c r="OO13" i="1"/>
  <c r="PA13" i="1"/>
  <c r="R254" i="22"/>
  <c r="BN13" i="1"/>
  <c r="BB10" i="1"/>
  <c r="BJ10" i="1"/>
  <c r="BK10" i="1" s="1"/>
  <c r="BL10" i="1" s="1"/>
  <c r="BN10" i="1"/>
  <c r="U5" i="25"/>
  <c r="R128" i="22"/>
  <c r="W12" i="24"/>
  <c r="S25" i="24" l="1"/>
  <c r="W22" i="24"/>
  <c r="AA40" i="1"/>
  <c r="DD6" i="1"/>
  <c r="DD22" i="1"/>
  <c r="OO11" i="1"/>
  <c r="ON34" i="1"/>
  <c r="DC26" i="1"/>
  <c r="DD18" i="1"/>
  <c r="HP7" i="1"/>
  <c r="HQ7" i="1" s="1"/>
  <c r="HR7" i="1" s="1"/>
  <c r="OO15" i="1"/>
  <c r="MU13" i="1"/>
  <c r="MV13" i="1" s="1"/>
  <c r="MW13" i="1" s="1"/>
  <c r="OO20" i="1"/>
  <c r="DL12" i="1"/>
  <c r="DM12" i="1" s="1"/>
  <c r="DN12" i="1" s="1"/>
  <c r="AA20" i="1"/>
  <c r="OO30" i="1"/>
  <c r="KW26" i="1"/>
  <c r="DL13" i="1"/>
  <c r="DM13" i="1" s="1"/>
  <c r="DN13" i="1" s="1"/>
  <c r="DD17" i="1"/>
  <c r="DD10" i="1"/>
  <c r="PA11" i="1"/>
  <c r="DD12" i="1"/>
  <c r="PA30" i="1"/>
  <c r="DD21" i="1"/>
  <c r="OO17" i="1"/>
  <c r="OO34" i="1" s="1"/>
  <c r="S66" i="22"/>
  <c r="Q106" i="22"/>
  <c r="Y28" i="22"/>
  <c r="Q110" i="22"/>
  <c r="S69" i="22"/>
  <c r="S26" i="24"/>
  <c r="U107" i="22"/>
  <c r="Q69" i="22"/>
  <c r="SD25" i="1"/>
  <c r="AI9" i="1"/>
  <c r="AJ9" i="1" s="1"/>
  <c r="AK9" i="1" s="1"/>
  <c r="KK26" i="1"/>
  <c r="Q214" i="22"/>
  <c r="MU32" i="1"/>
  <c r="MV32" i="1" s="1"/>
  <c r="MW32" i="1" s="1"/>
  <c r="Q21" i="24"/>
  <c r="Q30" i="24" s="1"/>
  <c r="GG26" i="1"/>
  <c r="OW28" i="1"/>
  <c r="OX28" i="1" s="1"/>
  <c r="OY28" i="1" s="1"/>
  <c r="DD24" i="1"/>
  <c r="HP38" i="1"/>
  <c r="HQ38" i="1" s="1"/>
  <c r="HR38" i="1" s="1"/>
  <c r="GG13" i="1"/>
  <c r="OO24" i="1"/>
  <c r="MU18" i="1"/>
  <c r="MV18" i="1" s="1"/>
  <c r="MW18" i="1" s="1"/>
  <c r="NN13" i="1"/>
  <c r="W235" i="22"/>
  <c r="MU23" i="1"/>
  <c r="MV23" i="1" s="1"/>
  <c r="MW23" i="1" s="1"/>
  <c r="DD19" i="1"/>
  <c r="GG21" i="1"/>
  <c r="OW15" i="1"/>
  <c r="OX15" i="1" s="1"/>
  <c r="OY15" i="1" s="1"/>
  <c r="NV11" i="1"/>
  <c r="NW11" i="1" s="1"/>
  <c r="NX11" i="1" s="1"/>
  <c r="PA9" i="1"/>
  <c r="PA3" i="1" s="1"/>
  <c r="OW9" i="1"/>
  <c r="OX9" i="1" s="1"/>
  <c r="OY9" i="1" s="1"/>
  <c r="AI11" i="1"/>
  <c r="AJ11" i="1" s="1"/>
  <c r="AK11" i="1" s="1"/>
  <c r="OO25" i="1"/>
  <c r="MY10" i="1"/>
  <c r="AM22" i="1"/>
  <c r="NV16" i="1"/>
  <c r="NW16" i="1" s="1"/>
  <c r="NX16" i="1" s="1"/>
  <c r="HT27" i="1"/>
  <c r="HP25" i="1"/>
  <c r="HQ25" i="1" s="1"/>
  <c r="HR25" i="1" s="1"/>
  <c r="DL7" i="1"/>
  <c r="DM7" i="1" s="1"/>
  <c r="DN7" i="1" s="1"/>
  <c r="NV23" i="1"/>
  <c r="NW23" i="1" s="1"/>
  <c r="NX23" i="1" s="1"/>
  <c r="JJ16" i="1"/>
  <c r="OO7" i="1"/>
  <c r="KS37" i="1"/>
  <c r="KT37" i="1" s="1"/>
  <c r="KU37" i="1" s="1"/>
  <c r="FN16" i="1"/>
  <c r="FO16" i="1" s="1"/>
  <c r="FP16" i="1" s="1"/>
  <c r="AI37" i="1"/>
  <c r="AJ37" i="1" s="1"/>
  <c r="AK37" i="1" s="1"/>
  <c r="NN23" i="1"/>
  <c r="GO20" i="1"/>
  <c r="GP20" i="1" s="1"/>
  <c r="GQ20" i="1" s="1"/>
  <c r="AA37" i="1"/>
  <c r="OW18" i="1"/>
  <c r="OX18" i="1" s="1"/>
  <c r="OY18" i="1" s="1"/>
  <c r="SD16" i="1"/>
  <c r="KS28" i="1"/>
  <c r="KT28" i="1" s="1"/>
  <c r="KU28" i="1" s="1"/>
  <c r="X12" i="22"/>
  <c r="DD13" i="1"/>
  <c r="OW7" i="1"/>
  <c r="OX7" i="1" s="1"/>
  <c r="OY7" i="1" s="1"/>
  <c r="JV27" i="1"/>
  <c r="S213" i="22"/>
  <c r="DP25" i="1"/>
  <c r="GS25" i="1"/>
  <c r="Q213" i="22"/>
  <c r="PA22" i="1"/>
  <c r="NV12" i="1"/>
  <c r="NW12" i="1" s="1"/>
  <c r="NX12" i="1" s="1"/>
  <c r="AM20" i="1"/>
  <c r="RR25" i="1"/>
  <c r="PA12" i="1"/>
  <c r="OW12" i="1"/>
  <c r="OX12" i="1" s="1"/>
  <c r="OY12" i="1" s="1"/>
  <c r="NV31" i="1"/>
  <c r="NW31" i="1" s="1"/>
  <c r="NX31" i="1" s="1"/>
  <c r="JV16" i="1"/>
  <c r="DL15" i="1"/>
  <c r="DM15" i="1" s="1"/>
  <c r="DN15" i="1" s="1"/>
  <c r="NN19" i="1"/>
  <c r="OO28" i="1"/>
  <c r="QY22" i="1"/>
  <c r="QZ22" i="1" s="1"/>
  <c r="RA22" i="1" s="1"/>
  <c r="RR31" i="1"/>
  <c r="FF12" i="1"/>
  <c r="RZ31" i="1"/>
  <c r="SA31" i="1" s="1"/>
  <c r="SB31" i="1" s="1"/>
  <c r="NZ15" i="1"/>
  <c r="JR7" i="1"/>
  <c r="JS7" i="1" s="1"/>
  <c r="JT7" i="1" s="1"/>
  <c r="FN34" i="1"/>
  <c r="FO34" i="1" s="1"/>
  <c r="FP34" i="1" s="1"/>
  <c r="AA18" i="1"/>
  <c r="NV9" i="1"/>
  <c r="NW9" i="1" s="1"/>
  <c r="NX9" i="1" s="1"/>
  <c r="DD23" i="1"/>
  <c r="FN31" i="1"/>
  <c r="FO31" i="1" s="1"/>
  <c r="FP31" i="1" s="1"/>
  <c r="OO26" i="1"/>
  <c r="AI18" i="1"/>
  <c r="AJ18" i="1" s="1"/>
  <c r="AK18" i="1" s="1"/>
  <c r="NN14" i="1"/>
  <c r="GS24" i="1"/>
  <c r="FR14" i="1"/>
  <c r="NN27" i="1"/>
  <c r="OW26" i="1"/>
  <c r="OX26" i="1" s="1"/>
  <c r="OY26" i="1" s="1"/>
  <c r="DL24" i="1"/>
  <c r="DM24" i="1" s="1"/>
  <c r="DN24" i="1" s="1"/>
  <c r="FN12" i="1"/>
  <c r="FO12" i="1" s="1"/>
  <c r="FP12" i="1" s="1"/>
  <c r="FF20" i="1"/>
  <c r="DP14" i="1"/>
  <c r="JR18" i="1"/>
  <c r="JS18" i="1" s="1"/>
  <c r="JT18" i="1" s="1"/>
  <c r="FN10" i="1"/>
  <c r="FO10" i="1" s="1"/>
  <c r="FP10" i="1" s="1"/>
  <c r="FN30" i="1"/>
  <c r="FO30" i="1" s="1"/>
  <c r="FP30" i="1" s="1"/>
  <c r="MY25" i="1"/>
  <c r="NN11" i="1"/>
  <c r="JJ19" i="1"/>
  <c r="JJ7" i="1"/>
  <c r="DD9" i="1"/>
  <c r="GS21" i="1"/>
  <c r="JJ10" i="1"/>
  <c r="AA24" i="1"/>
  <c r="KK37" i="1"/>
  <c r="NN10" i="1"/>
  <c r="NN20" i="1"/>
  <c r="SD41" i="1"/>
  <c r="DP11" i="1"/>
  <c r="FF22" i="1"/>
  <c r="NN17" i="1"/>
  <c r="NZ24" i="1"/>
  <c r="NN21" i="1"/>
  <c r="JJ18" i="1"/>
  <c r="FN28" i="1"/>
  <c r="FO28" i="1" s="1"/>
  <c r="FP28" i="1" s="1"/>
  <c r="JV17" i="1"/>
  <c r="AA19" i="1"/>
  <c r="JR9" i="1"/>
  <c r="JS9" i="1" s="1"/>
  <c r="JT9" i="1" s="1"/>
  <c r="NZ22" i="1"/>
  <c r="GG24" i="1"/>
  <c r="RR16" i="1"/>
  <c r="RR14" i="1"/>
  <c r="JJ17" i="1"/>
  <c r="DP20" i="1"/>
  <c r="KS22" i="1"/>
  <c r="KT22" i="1" s="1"/>
  <c r="KU22" i="1" s="1"/>
  <c r="NZ25" i="1"/>
  <c r="RC20" i="1"/>
  <c r="KK38" i="1"/>
  <c r="AM7" i="1"/>
  <c r="FF9" i="1"/>
  <c r="RR9" i="1"/>
  <c r="DD15" i="1"/>
  <c r="GG16" i="1"/>
  <c r="FN17" i="1"/>
  <c r="FO17" i="1" s="1"/>
  <c r="FP17" i="1" s="1"/>
  <c r="JR23" i="1"/>
  <c r="JS23" i="1" s="1"/>
  <c r="JT23" i="1" s="1"/>
  <c r="AA13" i="1"/>
  <c r="NN18" i="1"/>
  <c r="RR17" i="1"/>
  <c r="JJ27" i="1"/>
  <c r="DL23" i="1"/>
  <c r="DM23" i="1" s="1"/>
  <c r="DN23" i="1" s="1"/>
  <c r="NN25" i="1"/>
  <c r="RC21" i="1"/>
  <c r="RC24" i="1"/>
  <c r="KS13" i="1"/>
  <c r="KT13" i="1" s="1"/>
  <c r="KU13" i="1" s="1"/>
  <c r="KK27" i="1"/>
  <c r="RR30" i="1"/>
  <c r="AM40" i="1"/>
  <c r="MY7" i="1"/>
  <c r="NN9" i="1"/>
  <c r="NV13" i="1"/>
  <c r="NW13" i="1" s="1"/>
  <c r="NX13" i="1" s="1"/>
  <c r="FN6" i="1"/>
  <c r="FO6" i="1" s="1"/>
  <c r="FP6" i="1" s="1"/>
  <c r="JR26" i="1"/>
  <c r="JS26" i="1" s="1"/>
  <c r="JT26" i="1" s="1"/>
  <c r="DL18" i="1"/>
  <c r="DM18" i="1" s="1"/>
  <c r="DN18" i="1" s="1"/>
  <c r="RR21" i="1"/>
  <c r="JR31" i="1"/>
  <c r="JS31" i="1" s="1"/>
  <c r="JT31" i="1" s="1"/>
  <c r="KW39" i="1"/>
  <c r="NV21" i="1"/>
  <c r="NW21" i="1" s="1"/>
  <c r="NX21" i="1" s="1"/>
  <c r="AI7" i="1"/>
  <c r="AJ7" i="1" s="1"/>
  <c r="AK7" i="1" s="1"/>
  <c r="HP35" i="1"/>
  <c r="HQ35" i="1" s="1"/>
  <c r="HR35" i="1" s="1"/>
  <c r="FN13" i="1"/>
  <c r="FO13" i="1" s="1"/>
  <c r="FP13" i="1" s="1"/>
  <c r="KK8" i="1"/>
  <c r="HP29" i="1"/>
  <c r="HQ29" i="1" s="1"/>
  <c r="HR29" i="1" s="1"/>
  <c r="NV27" i="1"/>
  <c r="NW27" i="1" s="1"/>
  <c r="NX27" i="1" s="1"/>
  <c r="HP8" i="1"/>
  <c r="HQ8" i="1" s="1"/>
  <c r="HR8" i="1" s="1"/>
  <c r="MU39" i="1"/>
  <c r="MV39" i="1" s="1"/>
  <c r="MW39" i="1" s="1"/>
  <c r="JJ28" i="1"/>
  <c r="KK29" i="1"/>
  <c r="NN31" i="1"/>
  <c r="NN15" i="1"/>
  <c r="JR16" i="1"/>
  <c r="JS16" i="1" s="1"/>
  <c r="JT16" i="1" s="1"/>
  <c r="JR28" i="1"/>
  <c r="JS28" i="1" s="1"/>
  <c r="JT28" i="1" s="1"/>
  <c r="FR18" i="1"/>
  <c r="JJ20" i="1"/>
  <c r="NN24" i="1"/>
  <c r="JJ26" i="1"/>
  <c r="FF15" i="1"/>
  <c r="NN29" i="1"/>
  <c r="DP22" i="1"/>
  <c r="AI26" i="1"/>
  <c r="AJ26" i="1" s="1"/>
  <c r="AK26" i="1" s="1"/>
  <c r="AA21" i="1"/>
  <c r="HP28" i="1"/>
  <c r="HQ28" i="1" s="1"/>
  <c r="HR28" i="1" s="1"/>
  <c r="HP33" i="1"/>
  <c r="HQ33" i="1" s="1"/>
  <c r="HR33" i="1" s="1"/>
  <c r="JJ12" i="1"/>
  <c r="NN22" i="1"/>
  <c r="AI21" i="1"/>
  <c r="AJ21" i="1" s="1"/>
  <c r="AK21" i="1" s="1"/>
  <c r="RR29" i="1"/>
  <c r="QY8" i="1"/>
  <c r="QZ8" i="1" s="1"/>
  <c r="RA8" i="1" s="1"/>
  <c r="DD7" i="1"/>
  <c r="DD26" i="1" s="1"/>
  <c r="JV19" i="1"/>
  <c r="JR19" i="1"/>
  <c r="JS19" i="1" s="1"/>
  <c r="JT19" i="1" s="1"/>
  <c r="JJ21" i="1"/>
  <c r="AM24" i="1"/>
  <c r="HP15" i="1"/>
  <c r="HQ15" i="1" s="1"/>
  <c r="HR15" i="1" s="1"/>
  <c r="JR24" i="1"/>
  <c r="JS24" i="1" s="1"/>
  <c r="JT24" i="1" s="1"/>
  <c r="RZ8" i="1"/>
  <c r="SA8" i="1" s="1"/>
  <c r="SB8" i="1" s="1"/>
  <c r="QY13" i="1"/>
  <c r="QZ13" i="1" s="1"/>
  <c r="RA13" i="1" s="1"/>
  <c r="AA9" i="1"/>
  <c r="AA43" i="1" s="1"/>
  <c r="RZ9" i="1"/>
  <c r="SA9" i="1" s="1"/>
  <c r="SB9" i="1" s="1"/>
  <c r="RC9" i="1"/>
  <c r="KS8" i="1"/>
  <c r="KT8" i="1" s="1"/>
  <c r="KU8" i="1" s="1"/>
  <c r="GG32" i="1"/>
  <c r="DD11" i="1"/>
  <c r="NN12" i="1"/>
  <c r="RR33" i="1"/>
  <c r="NV17" i="1"/>
  <c r="NW17" i="1" s="1"/>
  <c r="NX17" i="1" s="1"/>
  <c r="DD14" i="1"/>
  <c r="AA26" i="1"/>
  <c r="FF29" i="1"/>
  <c r="FF14" i="1"/>
  <c r="FF33" i="1"/>
  <c r="FF10" i="1"/>
  <c r="FF19" i="1"/>
  <c r="HP6" i="1"/>
  <c r="HQ6" i="1" s="1"/>
  <c r="HR6" i="1" s="1"/>
  <c r="FF6" i="1"/>
  <c r="FF28" i="1"/>
  <c r="FF16" i="1"/>
  <c r="FF18" i="1"/>
  <c r="MM26" i="1"/>
  <c r="Q67" i="22"/>
  <c r="FR35" i="1"/>
  <c r="QQ26" i="1"/>
  <c r="FF30" i="1"/>
  <c r="MM7" i="1"/>
  <c r="FF17" i="1"/>
  <c r="FF26" i="1"/>
  <c r="FF31" i="1"/>
  <c r="MM13" i="1"/>
  <c r="RZ37" i="1"/>
  <c r="SA37" i="1" s="1"/>
  <c r="SB37" i="1" s="1"/>
  <c r="FF34" i="1"/>
  <c r="AA22" i="1"/>
  <c r="FF23" i="1"/>
  <c r="FF32" i="1"/>
  <c r="FF13" i="1"/>
  <c r="MM32" i="1"/>
  <c r="FR23" i="1"/>
  <c r="FF27" i="1"/>
  <c r="FN20" i="1"/>
  <c r="FO20" i="1" s="1"/>
  <c r="FP20" i="1" s="1"/>
  <c r="FF24" i="1"/>
  <c r="U109" i="22"/>
  <c r="GO26" i="1"/>
  <c r="GP26" i="1" s="1"/>
  <c r="GQ26" i="1" s="1"/>
  <c r="AA23" i="1"/>
  <c r="JJ23" i="1"/>
  <c r="HP36" i="1"/>
  <c r="HQ36" i="1" s="1"/>
  <c r="HR36" i="1" s="1"/>
  <c r="AA35" i="1"/>
  <c r="JR33" i="1"/>
  <c r="JS33" i="1" s="1"/>
  <c r="JT33" i="1" s="1"/>
  <c r="JJ32" i="1"/>
  <c r="JJ15" i="1"/>
  <c r="AI35" i="1"/>
  <c r="AJ35" i="1" s="1"/>
  <c r="AK35" i="1" s="1"/>
  <c r="JJ31" i="1"/>
  <c r="JJ13" i="1"/>
  <c r="FN27" i="1"/>
  <c r="FO27" i="1" s="1"/>
  <c r="FP27" i="1" s="1"/>
  <c r="NN8" i="1"/>
  <c r="W25" i="24"/>
  <c r="NZ8" i="1"/>
  <c r="NN26" i="1"/>
  <c r="RR11" i="1"/>
  <c r="AI23" i="1"/>
  <c r="AJ23" i="1" s="1"/>
  <c r="AK23" i="1" s="1"/>
  <c r="KK16" i="1"/>
  <c r="NV26" i="1"/>
  <c r="NW26" i="1" s="1"/>
  <c r="NX26" i="1" s="1"/>
  <c r="MM14" i="1"/>
  <c r="JJ22" i="1"/>
  <c r="AA11" i="1"/>
  <c r="MU8" i="1"/>
  <c r="MV8" i="1" s="1"/>
  <c r="MW8" i="1" s="1"/>
  <c r="GO31" i="1"/>
  <c r="GP31" i="1" s="1"/>
  <c r="GQ31" i="1" s="1"/>
  <c r="GG10" i="1"/>
  <c r="R7" i="24"/>
  <c r="Z62" i="22"/>
  <c r="GO16" i="1"/>
  <c r="GP16" i="1" s="1"/>
  <c r="GQ16" i="1" s="1"/>
  <c r="QY10" i="1"/>
  <c r="QZ10" i="1" s="1"/>
  <c r="RA10" i="1" s="1"/>
  <c r="GG25" i="1"/>
  <c r="GS26" i="1"/>
  <c r="GG7" i="1"/>
  <c r="KW14" i="1"/>
  <c r="MY12" i="1"/>
  <c r="NV6" i="1"/>
  <c r="NW6" i="1" s="1"/>
  <c r="NX6" i="1" s="1"/>
  <c r="NN6" i="1"/>
  <c r="NV19" i="1"/>
  <c r="NW19" i="1" s="1"/>
  <c r="NX19" i="1" s="1"/>
  <c r="NZ29" i="1"/>
  <c r="GG33" i="1"/>
  <c r="JR32" i="1"/>
  <c r="JS32" i="1" s="1"/>
  <c r="JT32" i="1" s="1"/>
  <c r="NM33" i="1"/>
  <c r="AA32" i="1"/>
  <c r="QQ21" i="1"/>
  <c r="QQ6" i="1"/>
  <c r="KK22" i="1"/>
  <c r="KS10" i="1"/>
  <c r="KT10" i="1" s="1"/>
  <c r="KU10" i="1" s="1"/>
  <c r="JV22" i="1"/>
  <c r="KK10" i="1"/>
  <c r="HP26" i="1"/>
  <c r="HQ26" i="1" s="1"/>
  <c r="HR26" i="1" s="1"/>
  <c r="KK33" i="1"/>
  <c r="SD11" i="1"/>
  <c r="MU14" i="1"/>
  <c r="MV14" i="1" s="1"/>
  <c r="MW14" i="1" s="1"/>
  <c r="KW40" i="1"/>
  <c r="AI30" i="1"/>
  <c r="AJ30" i="1" s="1"/>
  <c r="AK30" i="1" s="1"/>
  <c r="KW33" i="1"/>
  <c r="KK6" i="1"/>
  <c r="AA8" i="1"/>
  <c r="MM33" i="1"/>
  <c r="JR22" i="1"/>
  <c r="JS22" i="1" s="1"/>
  <c r="JT22" i="1" s="1"/>
  <c r="AA30" i="1"/>
  <c r="HP18" i="1"/>
  <c r="HQ18" i="1" s="1"/>
  <c r="HR18" i="1" s="1"/>
  <c r="MU15" i="1"/>
  <c r="MV15" i="1" s="1"/>
  <c r="MW15" i="1" s="1"/>
  <c r="HP9" i="1"/>
  <c r="HQ9" i="1" s="1"/>
  <c r="HR9" i="1" s="1"/>
  <c r="KS15" i="1"/>
  <c r="KT15" i="1" s="1"/>
  <c r="KU15" i="1" s="1"/>
  <c r="HT19" i="1"/>
  <c r="NV28" i="1"/>
  <c r="NW28" i="1" s="1"/>
  <c r="NX28" i="1" s="1"/>
  <c r="RZ11" i="1"/>
  <c r="SA11" i="1" s="1"/>
  <c r="SB11" i="1" s="1"/>
  <c r="KW21" i="1"/>
  <c r="KK11" i="1"/>
  <c r="AA15" i="1"/>
  <c r="KW16" i="1"/>
  <c r="FR21" i="1"/>
  <c r="Z97" i="22"/>
  <c r="KS11" i="1"/>
  <c r="KT11" i="1" s="1"/>
  <c r="KU11" i="1" s="1"/>
  <c r="AM15" i="1"/>
  <c r="KK21" i="1"/>
  <c r="AM12" i="1"/>
  <c r="KS16" i="1"/>
  <c r="KT16" i="1" s="1"/>
  <c r="KU16" i="1" s="1"/>
  <c r="GG14" i="1"/>
  <c r="HT10" i="1"/>
  <c r="AA12" i="1"/>
  <c r="KK19" i="1"/>
  <c r="GG30" i="1"/>
  <c r="KK17" i="1"/>
  <c r="MU33" i="1"/>
  <c r="MV33" i="1" s="1"/>
  <c r="MW33" i="1" s="1"/>
  <c r="Z57" i="22"/>
  <c r="NN28" i="1"/>
  <c r="KK39" i="1"/>
  <c r="GG12" i="1"/>
  <c r="KK28" i="1"/>
  <c r="AI17" i="1"/>
  <c r="AJ17" i="1" s="1"/>
  <c r="AK17" i="1" s="1"/>
  <c r="QQ25" i="1"/>
  <c r="QY18" i="1"/>
  <c r="QZ18" i="1" s="1"/>
  <c r="RA18" i="1" s="1"/>
  <c r="GO12" i="1"/>
  <c r="GP12" i="1" s="1"/>
  <c r="GQ12" i="1" s="1"/>
  <c r="AM33" i="1"/>
  <c r="MM16" i="1"/>
  <c r="AA17" i="1"/>
  <c r="FF21" i="1"/>
  <c r="AI8" i="1"/>
  <c r="AJ8" i="1" s="1"/>
  <c r="AK8" i="1" s="1"/>
  <c r="KK13" i="1"/>
  <c r="RZ15" i="1"/>
  <c r="SA15" i="1" s="1"/>
  <c r="SB15" i="1" s="1"/>
  <c r="HP23" i="1"/>
  <c r="HQ23" i="1" s="1"/>
  <c r="HR23" i="1" s="1"/>
  <c r="HP32" i="1"/>
  <c r="HQ32" i="1" s="1"/>
  <c r="HR32" i="1" s="1"/>
  <c r="MM9" i="1"/>
  <c r="RC16" i="1"/>
  <c r="MU35" i="1"/>
  <c r="MV35" i="1" s="1"/>
  <c r="MW35" i="1" s="1"/>
  <c r="AI31" i="1"/>
  <c r="AJ31" i="1" s="1"/>
  <c r="AK31" i="1" s="1"/>
  <c r="RR37" i="1"/>
  <c r="RZ33" i="1"/>
  <c r="SA33" i="1" s="1"/>
  <c r="SB33" i="1" s="1"/>
  <c r="HG41" i="1"/>
  <c r="MU38" i="1"/>
  <c r="MV38" i="1" s="1"/>
  <c r="MW38" i="1" s="1"/>
  <c r="Z15" i="22"/>
  <c r="HT39" i="1"/>
  <c r="Z17" i="22"/>
  <c r="RR34" i="1"/>
  <c r="MM35" i="1"/>
  <c r="HP16" i="1"/>
  <c r="HQ16" i="1" s="1"/>
  <c r="HR16" i="1" s="1"/>
  <c r="KS9" i="1"/>
  <c r="KT9" i="1" s="1"/>
  <c r="KU9" i="1" s="1"/>
  <c r="SD34" i="1"/>
  <c r="GS33" i="1"/>
  <c r="KK9" i="1"/>
  <c r="AA31" i="1"/>
  <c r="MM38" i="1"/>
  <c r="HP22" i="1"/>
  <c r="HQ22" i="1" s="1"/>
  <c r="HR22" i="1" s="1"/>
  <c r="GO18" i="1"/>
  <c r="GP18" i="1" s="1"/>
  <c r="GQ18" i="1" s="1"/>
  <c r="RR40" i="1"/>
  <c r="RR24" i="1"/>
  <c r="MM23" i="1"/>
  <c r="AI29" i="1"/>
  <c r="AJ29" i="1" s="1"/>
  <c r="AK29" i="1" s="1"/>
  <c r="KK23" i="1"/>
  <c r="V99" i="22"/>
  <c r="HT12" i="1"/>
  <c r="HT13" i="1"/>
  <c r="RZ24" i="1"/>
  <c r="SA24" i="1" s="1"/>
  <c r="SB24" i="1" s="1"/>
  <c r="Z18" i="22"/>
  <c r="MM34" i="1"/>
  <c r="RZ40" i="1"/>
  <c r="SA40" i="1" s="1"/>
  <c r="SB40" i="1" s="1"/>
  <c r="KW25" i="1"/>
  <c r="AA29" i="1"/>
  <c r="HH32" i="1"/>
  <c r="MY40" i="1"/>
  <c r="Z20" i="22"/>
  <c r="GO13" i="1"/>
  <c r="GP13" i="1" s="1"/>
  <c r="GQ13" i="1" s="1"/>
  <c r="Z16" i="22"/>
  <c r="GG19" i="1"/>
  <c r="KK25" i="1"/>
  <c r="RR38" i="1"/>
  <c r="AI27" i="1"/>
  <c r="AJ27" i="1" s="1"/>
  <c r="AK27" i="1" s="1"/>
  <c r="MM15" i="1"/>
  <c r="MY16" i="1"/>
  <c r="R4" i="23"/>
  <c r="MM30" i="1"/>
  <c r="GO33" i="1"/>
  <c r="GP33" i="1" s="1"/>
  <c r="GQ33" i="1" s="1"/>
  <c r="RZ38" i="1"/>
  <c r="SA38" i="1" s="1"/>
  <c r="SB38" i="1" s="1"/>
  <c r="MM6" i="1"/>
  <c r="NN7" i="1"/>
  <c r="HP21" i="1"/>
  <c r="HQ21" i="1" s="1"/>
  <c r="HR21" i="1" s="1"/>
  <c r="GO27" i="1"/>
  <c r="GP27" i="1" s="1"/>
  <c r="GQ27" i="1" s="1"/>
  <c r="QQ19" i="1"/>
  <c r="Q65" i="22"/>
  <c r="Q74" i="22" s="1"/>
  <c r="GG18" i="1"/>
  <c r="HT14" i="1"/>
  <c r="FF25" i="1"/>
  <c r="MU16" i="1"/>
  <c r="MV16" i="1" s="1"/>
  <c r="MW16" i="1" s="1"/>
  <c r="GO32" i="1"/>
  <c r="GP32" i="1" s="1"/>
  <c r="GQ32" i="1" s="1"/>
  <c r="HH34" i="1"/>
  <c r="JR30" i="1"/>
  <c r="JS30" i="1" s="1"/>
  <c r="JT30" i="1" s="1"/>
  <c r="Z61" i="22"/>
  <c r="GO34" i="1"/>
  <c r="GP34" i="1" s="1"/>
  <c r="GQ34" i="1" s="1"/>
  <c r="JJ30" i="1"/>
  <c r="HH39" i="1"/>
  <c r="Z60" i="22"/>
  <c r="KK31" i="1"/>
  <c r="HH23" i="1"/>
  <c r="MM10" i="1"/>
  <c r="MY27" i="1"/>
  <c r="MM39" i="1"/>
  <c r="KW32" i="1"/>
  <c r="JV13" i="1"/>
  <c r="MM27" i="1"/>
  <c r="AA25" i="1"/>
  <c r="V10" i="22"/>
  <c r="MU20" i="1"/>
  <c r="MV20" i="1" s="1"/>
  <c r="MW20" i="1" s="1"/>
  <c r="NZ32" i="1"/>
  <c r="U24" i="24"/>
  <c r="MM18" i="1"/>
  <c r="MM25" i="1"/>
  <c r="AM25" i="1"/>
  <c r="KK32" i="1"/>
  <c r="NV7" i="1"/>
  <c r="NW7" i="1" s="1"/>
  <c r="NX7" i="1" s="1"/>
  <c r="Z19" i="22"/>
  <c r="GG27" i="1"/>
  <c r="AI28" i="1"/>
  <c r="AJ28" i="1" s="1"/>
  <c r="AK28" i="1" s="1"/>
  <c r="RC23" i="1"/>
  <c r="JR25" i="1"/>
  <c r="JS25" i="1" s="1"/>
  <c r="JT25" i="1" s="1"/>
  <c r="QY14" i="1"/>
  <c r="QZ14" i="1" s="1"/>
  <c r="RA14" i="1" s="1"/>
  <c r="V97" i="22"/>
  <c r="KS7" i="1"/>
  <c r="KT7" i="1" s="1"/>
  <c r="KU7" i="1" s="1"/>
  <c r="GG22" i="1"/>
  <c r="HP24" i="1"/>
  <c r="HQ24" i="1" s="1"/>
  <c r="HR24" i="1" s="1"/>
  <c r="RR32" i="1"/>
  <c r="GS8" i="1"/>
  <c r="AA28" i="1"/>
  <c r="AI32" i="1"/>
  <c r="AJ32" i="1" s="1"/>
  <c r="AK32" i="1" s="1"/>
  <c r="MU26" i="1"/>
  <c r="MV26" i="1" s="1"/>
  <c r="MW26" i="1" s="1"/>
  <c r="SD27" i="1"/>
  <c r="RR27" i="1"/>
  <c r="AA14" i="1"/>
  <c r="AA27" i="1"/>
  <c r="GG11" i="1"/>
  <c r="JJ25" i="1"/>
  <c r="X98" i="22"/>
  <c r="RR15" i="1"/>
  <c r="GO22" i="1"/>
  <c r="GP22" i="1" s="1"/>
  <c r="GQ22" i="1" s="1"/>
  <c r="V102" i="22"/>
  <c r="AI14" i="1"/>
  <c r="AJ14" i="1" s="1"/>
  <c r="AK14" i="1" s="1"/>
  <c r="KK7" i="1"/>
  <c r="RR23" i="1"/>
  <c r="RR7" i="1"/>
  <c r="SD23" i="1"/>
  <c r="HP11" i="1"/>
  <c r="HQ11" i="1" s="1"/>
  <c r="HR11" i="1" s="1"/>
  <c r="MU6" i="1"/>
  <c r="MV6" i="1" s="1"/>
  <c r="MW6" i="1" s="1"/>
  <c r="JJ6" i="1"/>
  <c r="AI38" i="1"/>
  <c r="AJ38" i="1" s="1"/>
  <c r="AK38" i="1" s="1"/>
  <c r="JR6" i="1"/>
  <c r="JS6" i="1" s="1"/>
  <c r="JT6" i="1" s="1"/>
  <c r="HH11" i="1"/>
  <c r="HP31" i="1"/>
  <c r="HQ31" i="1" s="1"/>
  <c r="HR31" i="1" s="1"/>
  <c r="SD10" i="1"/>
  <c r="KW36" i="1"/>
  <c r="RC19" i="1"/>
  <c r="KK12" i="1"/>
  <c r="MU21" i="1"/>
  <c r="MV21" i="1" s="1"/>
  <c r="MW21" i="1" s="1"/>
  <c r="MY11" i="1"/>
  <c r="RR10" i="1"/>
  <c r="AM32" i="1"/>
  <c r="KW34" i="1"/>
  <c r="RZ13" i="1"/>
  <c r="SA13" i="1" s="1"/>
  <c r="SB13" i="1" s="1"/>
  <c r="R6" i="22"/>
  <c r="KS12" i="1"/>
  <c r="KT12" i="1" s="1"/>
  <c r="KU12" i="1" s="1"/>
  <c r="MM21" i="1"/>
  <c r="MM11" i="1"/>
  <c r="V91" i="22"/>
  <c r="T46" i="22"/>
  <c r="AI41" i="1"/>
  <c r="AJ41" i="1" s="1"/>
  <c r="AK41" i="1" s="1"/>
  <c r="RZ32" i="1"/>
  <c r="SA32" i="1" s="1"/>
  <c r="SB32" i="1" s="1"/>
  <c r="KK36" i="1"/>
  <c r="V89" i="22"/>
  <c r="QY19" i="1"/>
  <c r="QZ19" i="1" s="1"/>
  <c r="RA19" i="1" s="1"/>
  <c r="V101" i="22"/>
  <c r="GS14" i="1"/>
  <c r="GO19" i="1"/>
  <c r="GP19" i="1" s="1"/>
  <c r="GQ19" i="1" s="1"/>
  <c r="AA41" i="1"/>
  <c r="RZ7" i="1"/>
  <c r="SA7" i="1" s="1"/>
  <c r="SB7" i="1" s="1"/>
  <c r="RR13" i="1"/>
  <c r="R12" i="22"/>
  <c r="AA34" i="1"/>
  <c r="V86" i="22"/>
  <c r="GG8" i="1"/>
  <c r="GO35" i="1"/>
  <c r="GP35" i="1" s="1"/>
  <c r="GQ35" i="1" s="1"/>
  <c r="HH19" i="1"/>
  <c r="HH13" i="1"/>
  <c r="HH22" i="1"/>
  <c r="HH14" i="1"/>
  <c r="QY25" i="1"/>
  <c r="QZ25" i="1" s="1"/>
  <c r="RA25" i="1" s="1"/>
  <c r="GS13" i="1"/>
  <c r="SD20" i="1"/>
  <c r="HH27" i="1"/>
  <c r="HH31" i="1"/>
  <c r="HH25" i="1"/>
  <c r="T62" i="22"/>
  <c r="HH8" i="1"/>
  <c r="T50" i="22"/>
  <c r="RR20" i="1"/>
  <c r="S68" i="22"/>
  <c r="HP40" i="1"/>
  <c r="HQ40" i="1" s="1"/>
  <c r="HR40" i="1" s="1"/>
  <c r="KS35" i="1"/>
  <c r="KT35" i="1" s="1"/>
  <c r="KU35" i="1" s="1"/>
  <c r="GG31" i="1"/>
  <c r="AI13" i="1"/>
  <c r="AJ13" i="1" s="1"/>
  <c r="AK13" i="1" s="1"/>
  <c r="HH18" i="1"/>
  <c r="T51" i="22"/>
  <c r="W69" i="22"/>
  <c r="HH35" i="1"/>
  <c r="HH16" i="1"/>
  <c r="HH36" i="1"/>
  <c r="HH30" i="1"/>
  <c r="T49" i="22"/>
  <c r="RR6" i="1"/>
  <c r="W24" i="24"/>
  <c r="MM12" i="1"/>
  <c r="HH10" i="1"/>
  <c r="MM36" i="1"/>
  <c r="HH20" i="1"/>
  <c r="Z56" i="22"/>
  <c r="T59" i="22"/>
  <c r="HH37" i="1"/>
  <c r="T58" i="22"/>
  <c r="HH28" i="1"/>
  <c r="JR11" i="1"/>
  <c r="JS11" i="1" s="1"/>
  <c r="JT11" i="1" s="1"/>
  <c r="RR8" i="1"/>
  <c r="KW31" i="1"/>
  <c r="RR26" i="1"/>
  <c r="GS36" i="1"/>
  <c r="GG17" i="1"/>
  <c r="HH38" i="1"/>
  <c r="KS20" i="1"/>
  <c r="KT20" i="1" s="1"/>
  <c r="KU20" i="1" s="1"/>
  <c r="JJ11" i="1"/>
  <c r="Z99" i="22"/>
  <c r="GG20" i="1"/>
  <c r="GG34" i="1"/>
  <c r="HH15" i="1"/>
  <c r="FN9" i="1"/>
  <c r="FO9" i="1" s="1"/>
  <c r="FP9" i="1" s="1"/>
  <c r="QQ11" i="1"/>
  <c r="HT40" i="1"/>
  <c r="HH24" i="1"/>
  <c r="HH12" i="1"/>
  <c r="HH7" i="1"/>
  <c r="QY6" i="1"/>
  <c r="QZ6" i="1" s="1"/>
  <c r="RA6" i="1" s="1"/>
  <c r="Z43" i="1"/>
  <c r="HH9" i="1"/>
  <c r="HH26" i="1"/>
  <c r="KK20" i="1"/>
  <c r="MM31" i="1"/>
  <c r="Q23" i="24"/>
  <c r="HH6" i="1"/>
  <c r="HP30" i="1"/>
  <c r="HQ30" i="1" s="1"/>
  <c r="HR30" i="1" s="1"/>
  <c r="HH21" i="1"/>
  <c r="HH17" i="1"/>
  <c r="Z58" i="22"/>
  <c r="MY31" i="1"/>
  <c r="HH29" i="1"/>
  <c r="HH33" i="1"/>
  <c r="GG28" i="1"/>
  <c r="MU36" i="1"/>
  <c r="MV36" i="1" s="1"/>
  <c r="MW36" i="1" s="1"/>
  <c r="AA38" i="1"/>
  <c r="X102" i="22"/>
  <c r="X11" i="22"/>
  <c r="T205" i="22"/>
  <c r="QY11" i="1"/>
  <c r="QZ11" i="1" s="1"/>
  <c r="RA11" i="1" s="1"/>
  <c r="RC11" i="1"/>
  <c r="X5" i="22"/>
  <c r="R54" i="22"/>
  <c r="AA36" i="1"/>
  <c r="GO23" i="1"/>
  <c r="GP23" i="1" s="1"/>
  <c r="GQ23" i="1" s="1"/>
  <c r="AA33" i="1"/>
  <c r="X7" i="22"/>
  <c r="Y65" i="22"/>
  <c r="Y74" i="22" s="1"/>
  <c r="X19" i="22"/>
  <c r="GG23" i="1"/>
  <c r="X14" i="22"/>
  <c r="QY15" i="1"/>
  <c r="QZ15" i="1" s="1"/>
  <c r="RA15" i="1" s="1"/>
  <c r="KS17" i="1"/>
  <c r="KT17" i="1" s="1"/>
  <c r="KU17" i="1" s="1"/>
  <c r="KK24" i="1"/>
  <c r="X94" i="22"/>
  <c r="GS30" i="1"/>
  <c r="AA10" i="1"/>
  <c r="KK30" i="1"/>
  <c r="GG15" i="1"/>
  <c r="X99" i="22"/>
  <c r="RZ39" i="1"/>
  <c r="SA39" i="1" s="1"/>
  <c r="SB39" i="1" s="1"/>
  <c r="AI6" i="1"/>
  <c r="AJ6" i="1" s="1"/>
  <c r="AK6" i="1" s="1"/>
  <c r="AM6" i="1"/>
  <c r="GG35" i="1"/>
  <c r="X6" i="22"/>
  <c r="RR18" i="1"/>
  <c r="T210" i="22"/>
  <c r="X18" i="22"/>
  <c r="RZ18" i="1"/>
  <c r="SA18" i="1" s="1"/>
  <c r="SB18" i="1" s="1"/>
  <c r="X86" i="22"/>
  <c r="X10" i="22"/>
  <c r="JJ24" i="1"/>
  <c r="Z102" i="22"/>
  <c r="KK14" i="1"/>
  <c r="T207" i="22"/>
  <c r="RR39" i="1"/>
  <c r="KK15" i="1"/>
  <c r="KW23" i="1"/>
  <c r="X100" i="22"/>
  <c r="X17" i="22"/>
  <c r="AM36" i="1"/>
  <c r="KK35" i="1"/>
  <c r="GG6" i="1"/>
  <c r="GF37" i="1"/>
  <c r="RQ42" i="1"/>
  <c r="RZ19" i="1"/>
  <c r="SA19" i="1" s="1"/>
  <c r="SB19" i="1" s="1"/>
  <c r="QQ17" i="1"/>
  <c r="RR12" i="1"/>
  <c r="MU24" i="1"/>
  <c r="MV24" i="1" s="1"/>
  <c r="MW24" i="1" s="1"/>
  <c r="FR25" i="1"/>
  <c r="RZ26" i="1"/>
  <c r="SA26" i="1" s="1"/>
  <c r="SB26" i="1" s="1"/>
  <c r="RZ6" i="1"/>
  <c r="SA6" i="1" s="1"/>
  <c r="SB6" i="1" s="1"/>
  <c r="JI34" i="1"/>
  <c r="MM17" i="1"/>
  <c r="GO17" i="1"/>
  <c r="GP17" i="1" s="1"/>
  <c r="GQ17" i="1" s="1"/>
  <c r="FR11" i="1"/>
  <c r="GS11" i="1"/>
  <c r="KS18" i="1"/>
  <c r="KT18" i="1" s="1"/>
  <c r="KU18" i="1" s="1"/>
  <c r="QQ18" i="1"/>
  <c r="RC27" i="1"/>
  <c r="RZ35" i="1"/>
  <c r="SA35" i="1" s="1"/>
  <c r="SB35" i="1" s="1"/>
  <c r="QQ23" i="1"/>
  <c r="GS17" i="1"/>
  <c r="MM37" i="1"/>
  <c r="KW27" i="1"/>
  <c r="MM28" i="1"/>
  <c r="QY7" i="1"/>
  <c r="QZ7" i="1" s="1"/>
  <c r="RA7" i="1" s="1"/>
  <c r="QQ24" i="1"/>
  <c r="QQ10" i="1"/>
  <c r="GS9" i="1"/>
  <c r="SD12" i="1"/>
  <c r="FR7" i="1"/>
  <c r="GG9" i="1"/>
  <c r="QQ20" i="1"/>
  <c r="QQ8" i="1"/>
  <c r="FF11" i="1"/>
  <c r="MY37" i="1"/>
  <c r="MM20" i="1"/>
  <c r="KW30" i="1"/>
  <c r="KS27" i="1"/>
  <c r="KT27" i="1" s="1"/>
  <c r="KU27" i="1" s="1"/>
  <c r="QQ7" i="1"/>
  <c r="QQ16" i="1"/>
  <c r="JJ29" i="1"/>
  <c r="KK34" i="1"/>
  <c r="JR14" i="1"/>
  <c r="JS14" i="1" s="1"/>
  <c r="JT14" i="1" s="1"/>
  <c r="QP28" i="1"/>
  <c r="FR8" i="1"/>
  <c r="FF8" i="1"/>
  <c r="GS10" i="1"/>
  <c r="GG29" i="1"/>
  <c r="QQ14" i="1"/>
  <c r="KJ41" i="1"/>
  <c r="JR29" i="1"/>
  <c r="JS29" i="1" s="1"/>
  <c r="JT29" i="1" s="1"/>
  <c r="MM29" i="1"/>
  <c r="JV8" i="1"/>
  <c r="RR19" i="1"/>
  <c r="GO29" i="1"/>
  <c r="GP29" i="1" s="1"/>
  <c r="GQ29" i="1" s="1"/>
  <c r="MY28" i="1"/>
  <c r="MY22" i="1"/>
  <c r="JV15" i="1"/>
  <c r="AI34" i="1"/>
  <c r="AJ34" i="1" s="1"/>
  <c r="AK34" i="1" s="1"/>
  <c r="RR28" i="1"/>
  <c r="ML41" i="1"/>
  <c r="MY29" i="1"/>
  <c r="FF7" i="1"/>
  <c r="MU17" i="1"/>
  <c r="MV17" i="1" s="1"/>
  <c r="MW17" i="1" s="1"/>
  <c r="KS30" i="1"/>
  <c r="KT30" i="1" s="1"/>
  <c r="KU30" i="1" s="1"/>
  <c r="JR15" i="1"/>
  <c r="JS15" i="1" s="1"/>
  <c r="JT15" i="1" s="1"/>
  <c r="MM19" i="1"/>
  <c r="GO28" i="1"/>
  <c r="GP28" i="1" s="1"/>
  <c r="GQ28" i="1" s="1"/>
  <c r="JJ8" i="1"/>
  <c r="SD21" i="1"/>
  <c r="RZ21" i="1"/>
  <c r="SA21" i="1" s="1"/>
  <c r="SB21" i="1" s="1"/>
  <c r="MM24" i="1"/>
  <c r="RR22" i="1"/>
  <c r="MM22" i="1"/>
  <c r="MU19" i="1"/>
  <c r="MV19" i="1" s="1"/>
  <c r="MW19" i="1" s="1"/>
  <c r="MM8" i="1"/>
  <c r="RZ28" i="1"/>
  <c r="SA28" i="1" s="1"/>
  <c r="SB28" i="1" s="1"/>
  <c r="KS6" i="1"/>
  <c r="KT6" i="1" s="1"/>
  <c r="KU6" i="1" s="1"/>
  <c r="QQ15" i="1"/>
  <c r="KK18" i="1"/>
  <c r="SD14" i="1"/>
  <c r="RZ14" i="1"/>
  <c r="SA14" i="1" s="1"/>
  <c r="SB14" i="1" s="1"/>
  <c r="FE36" i="1"/>
  <c r="RZ22" i="1"/>
  <c r="SA22" i="1" s="1"/>
  <c r="SB22" i="1" s="1"/>
  <c r="JJ14" i="1"/>
  <c r="GS6" i="1"/>
  <c r="QQ9" i="1"/>
  <c r="QQ22" i="1"/>
  <c r="QQ12" i="1"/>
  <c r="RR35" i="1"/>
  <c r="QQ13" i="1"/>
  <c r="SD36" i="1"/>
  <c r="GO15" i="1"/>
  <c r="GP15" i="1" s="1"/>
  <c r="GQ15" i="1" s="1"/>
  <c r="JJ9" i="1"/>
  <c r="RR36" i="1"/>
  <c r="U25" i="24"/>
  <c r="R135" i="22"/>
  <c r="W21" i="24"/>
  <c r="W30" i="24" s="1"/>
  <c r="S22" i="24"/>
  <c r="Q22" i="24"/>
  <c r="Q25" i="24"/>
  <c r="BB27" i="1"/>
  <c r="W23" i="24"/>
  <c r="X21" i="24"/>
  <c r="U23" i="24"/>
  <c r="T9" i="24"/>
  <c r="U27" i="24"/>
  <c r="U21" i="24"/>
  <c r="U30" i="24" s="1"/>
  <c r="NN33" i="1"/>
  <c r="S21" i="23"/>
  <c r="S30" i="23" s="1"/>
  <c r="W24" i="23"/>
  <c r="W25" i="23"/>
  <c r="W21" i="23"/>
  <c r="W30" i="23" s="1"/>
  <c r="Q21" i="23"/>
  <c r="Q30" i="23" s="1"/>
  <c r="S28" i="22"/>
  <c r="W68" i="22"/>
  <c r="W70" i="22"/>
  <c r="S70" i="22"/>
  <c r="R52" i="22"/>
  <c r="Q66" i="22"/>
  <c r="Y105" i="22"/>
  <c r="Y114" i="22" s="1"/>
  <c r="U105" i="22"/>
  <c r="U114" i="22" s="1"/>
  <c r="X92" i="22"/>
  <c r="S23" i="22"/>
  <c r="S32" i="22" s="1"/>
  <c r="V87" i="22"/>
  <c r="S67" i="22"/>
  <c r="V93" i="22"/>
  <c r="U110" i="22"/>
  <c r="R194" i="22"/>
  <c r="S65" i="22"/>
  <c r="S74" i="22" s="1"/>
  <c r="U70" i="22"/>
  <c r="U66" i="22"/>
  <c r="U28" i="22"/>
  <c r="Q68" i="22"/>
  <c r="Z98" i="22"/>
  <c r="U25" i="22"/>
  <c r="U108" i="22"/>
  <c r="T91" i="22"/>
  <c r="Z100" i="22"/>
  <c r="Z96" i="22"/>
  <c r="S106" i="22"/>
  <c r="X20" i="22"/>
  <c r="R156" i="22"/>
  <c r="S23" i="23"/>
  <c r="U26" i="22"/>
  <c r="W22" i="23"/>
  <c r="S109" i="22"/>
  <c r="Z101" i="22"/>
  <c r="Y110" i="22"/>
  <c r="T4" i="23"/>
  <c r="Q27" i="22"/>
  <c r="W23" i="22"/>
  <c r="W32" i="22" s="1"/>
  <c r="Z59" i="22"/>
  <c r="W106" i="22"/>
  <c r="V96" i="22"/>
  <c r="X91" i="22"/>
  <c r="V51" i="22"/>
  <c r="W107" i="22"/>
  <c r="V57" i="22"/>
  <c r="W21" i="25"/>
  <c r="Z14" i="22"/>
  <c r="Z23" i="22" s="1"/>
  <c r="Y23" i="22"/>
  <c r="Y32" i="22" s="1"/>
  <c r="T230" i="22"/>
  <c r="T100" i="22"/>
  <c r="X232" i="22"/>
  <c r="W237" i="22"/>
  <c r="X4" i="23"/>
  <c r="U23" i="22"/>
  <c r="U32" i="22" s="1"/>
  <c r="T227" i="22"/>
  <c r="V90" i="22"/>
  <c r="S21" i="25"/>
  <c r="T229" i="22"/>
  <c r="Q25" i="23"/>
  <c r="T99" i="22"/>
  <c r="V44" i="22"/>
  <c r="T44" i="22"/>
  <c r="V56" i="22"/>
  <c r="X229" i="22"/>
  <c r="T60" i="22"/>
  <c r="S25" i="22"/>
  <c r="R12" i="25"/>
  <c r="Q24" i="25"/>
  <c r="R9" i="22"/>
  <c r="X12" i="25"/>
  <c r="W24" i="25"/>
  <c r="V94" i="22"/>
  <c r="T208" i="22"/>
  <c r="S24" i="22"/>
  <c r="T12" i="25"/>
  <c r="S24" i="25"/>
  <c r="V88" i="22"/>
  <c r="X230" i="22"/>
  <c r="X97" i="22"/>
  <c r="T232" i="22"/>
  <c r="S237" i="22"/>
  <c r="V48" i="22"/>
  <c r="X227" i="22"/>
  <c r="T90" i="22"/>
  <c r="V12" i="25"/>
  <c r="U24" i="25"/>
  <c r="R11" i="22"/>
  <c r="V46" i="22"/>
  <c r="V232" i="22"/>
  <c r="U237" i="22"/>
  <c r="T61" i="22"/>
  <c r="R232" i="22"/>
  <c r="Q237" i="22"/>
  <c r="U24" i="22"/>
  <c r="U106" i="22"/>
  <c r="U65" i="22"/>
  <c r="U74" i="22" s="1"/>
  <c r="V58" i="22"/>
  <c r="X228" i="22"/>
  <c r="V8" i="22"/>
  <c r="T12" i="22"/>
  <c r="V92" i="22"/>
  <c r="X90" i="22"/>
  <c r="V98" i="22"/>
  <c r="U67" i="22"/>
  <c r="T54" i="22"/>
  <c r="X93" i="22"/>
  <c r="S24" i="24"/>
  <c r="R47" i="22"/>
  <c r="V61" i="22"/>
  <c r="V100" i="22"/>
  <c r="V17" i="23"/>
  <c r="U27" i="23"/>
  <c r="V53" i="22"/>
  <c r="T47" i="22"/>
  <c r="X12" i="23"/>
  <c r="W26" i="23"/>
  <c r="V7" i="22"/>
  <c r="V12" i="23"/>
  <c r="U26" i="23"/>
  <c r="R12" i="24"/>
  <c r="R21" i="24" s="1"/>
  <c r="Q26" i="24"/>
  <c r="V59" i="22"/>
  <c r="V45" i="22"/>
  <c r="U22" i="24"/>
  <c r="V49" i="22"/>
  <c r="V50" i="22"/>
  <c r="X17" i="23"/>
  <c r="W27" i="23"/>
  <c r="W67" i="22"/>
  <c r="W66" i="22"/>
  <c r="T57" i="22"/>
  <c r="W27" i="24"/>
  <c r="R12" i="23"/>
  <c r="Q26" i="23"/>
  <c r="T52" i="22"/>
  <c r="U236" i="22"/>
  <c r="V54" i="22"/>
  <c r="U71" i="22"/>
  <c r="X60" i="22"/>
  <c r="T56" i="22"/>
  <c r="V60" i="22"/>
  <c r="X12" i="24"/>
  <c r="W26" i="24"/>
  <c r="V16" i="22"/>
  <c r="R7" i="22"/>
  <c r="T45" i="22"/>
  <c r="Q236" i="22"/>
  <c r="V62" i="22"/>
  <c r="T53" i="22"/>
  <c r="V52" i="22"/>
  <c r="T17" i="23"/>
  <c r="S27" i="23"/>
  <c r="R10" i="22"/>
  <c r="X4" i="25"/>
  <c r="T6" i="22"/>
  <c r="T48" i="22"/>
  <c r="W19" i="25"/>
  <c r="W28" i="25" s="1"/>
  <c r="R46" i="22"/>
  <c r="V12" i="24"/>
  <c r="V21" i="24" s="1"/>
  <c r="U26" i="24"/>
  <c r="T12" i="23"/>
  <c r="S26" i="23"/>
  <c r="T206" i="22"/>
  <c r="S214" i="22"/>
  <c r="T228" i="22"/>
  <c r="S236" i="22"/>
  <c r="T16" i="22"/>
  <c r="X54" i="22"/>
  <c r="R10" i="23"/>
  <c r="Q22" i="23"/>
  <c r="X52" i="22"/>
  <c r="T19" i="24"/>
  <c r="S27" i="24"/>
  <c r="R227" i="22"/>
  <c r="T14" i="25"/>
  <c r="S25" i="25"/>
  <c r="T98" i="22"/>
  <c r="T14" i="22"/>
  <c r="X8" i="22"/>
  <c r="W24" i="22"/>
  <c r="T93" i="22"/>
  <c r="V14" i="25"/>
  <c r="U25" i="25"/>
  <c r="X15" i="22"/>
  <c r="W28" i="22"/>
  <c r="V19" i="22"/>
  <c r="V10" i="23"/>
  <c r="U22" i="23"/>
  <c r="T10" i="23"/>
  <c r="S22" i="23"/>
  <c r="X14" i="25"/>
  <c r="W25" i="25"/>
  <c r="T101" i="22"/>
  <c r="T11" i="22"/>
  <c r="R8" i="22"/>
  <c r="Q24" i="22"/>
  <c r="R94" i="22"/>
  <c r="T87" i="22"/>
  <c r="T8" i="22"/>
  <c r="R228" i="22"/>
  <c r="T4" i="25"/>
  <c r="T7" i="22"/>
  <c r="T94" i="22"/>
  <c r="R208" i="22"/>
  <c r="Q238" i="22"/>
  <c r="R332" i="22"/>
  <c r="V85" i="22"/>
  <c r="T5" i="25"/>
  <c r="S20" i="25"/>
  <c r="T10" i="22"/>
  <c r="X4" i="22"/>
  <c r="X5" i="25"/>
  <c r="W20" i="25"/>
  <c r="W25" i="22"/>
  <c r="R5" i="25"/>
  <c r="Q20" i="25"/>
  <c r="V6" i="22"/>
  <c r="R205" i="22"/>
  <c r="T15" i="22"/>
  <c r="V17" i="22"/>
  <c r="R229" i="22"/>
  <c r="T19" i="22"/>
  <c r="W65" i="22"/>
  <c r="W74" i="22" s="1"/>
  <c r="S19" i="25"/>
  <c r="S28" i="25" s="1"/>
  <c r="T18" i="22"/>
  <c r="V20" i="22"/>
  <c r="X87" i="22"/>
  <c r="T97" i="22"/>
  <c r="T4" i="22"/>
  <c r="T17" i="22"/>
  <c r="X101" i="22"/>
  <c r="V5" i="25"/>
  <c r="U20" i="25"/>
  <c r="Q235" i="22"/>
  <c r="T89" i="22"/>
  <c r="T20" i="22"/>
  <c r="T86" i="22"/>
  <c r="S235" i="22"/>
  <c r="R206" i="22"/>
  <c r="R210" i="22"/>
  <c r="V18" i="22"/>
  <c r="T102" i="22"/>
  <c r="X56" i="22"/>
  <c r="X9" i="22"/>
  <c r="W27" i="22"/>
  <c r="T6" i="23"/>
  <c r="S25" i="23"/>
  <c r="S21" i="24"/>
  <c r="S30" i="24" s="1"/>
  <c r="T4" i="24"/>
  <c r="S23" i="24"/>
  <c r="X57" i="22"/>
  <c r="Q23" i="25"/>
  <c r="R9" i="25"/>
  <c r="BN3" i="1"/>
  <c r="R5" i="22"/>
  <c r="Q26" i="22"/>
  <c r="R89" i="22"/>
  <c r="R86" i="22"/>
  <c r="W105" i="22"/>
  <c r="W114" i="22" s="1"/>
  <c r="W108" i="22"/>
  <c r="X85" i="22"/>
  <c r="S110" i="22"/>
  <c r="T96" i="22"/>
  <c r="R92" i="22"/>
  <c r="X44" i="22"/>
  <c r="V227" i="22"/>
  <c r="U235" i="22"/>
  <c r="S24" i="23"/>
  <c r="T7" i="23"/>
  <c r="U24" i="23"/>
  <c r="V7" i="23"/>
  <c r="U23" i="25"/>
  <c r="V9" i="25"/>
  <c r="T85" i="22"/>
  <c r="S105" i="22"/>
  <c r="S114" i="22" s="1"/>
  <c r="S108" i="22"/>
  <c r="V14" i="22"/>
  <c r="R4" i="22"/>
  <c r="Q25" i="22"/>
  <c r="Q23" i="22"/>
  <c r="Q32" i="22" s="1"/>
  <c r="U21" i="23"/>
  <c r="U30" i="23" s="1"/>
  <c r="V4" i="23"/>
  <c r="U23" i="23"/>
  <c r="V11" i="22"/>
  <c r="X61" i="22"/>
  <c r="V9" i="22"/>
  <c r="U27" i="22"/>
  <c r="R88" i="22"/>
  <c r="X96" i="22"/>
  <c r="W110" i="22"/>
  <c r="T92" i="22"/>
  <c r="S107" i="22"/>
  <c r="T9" i="22"/>
  <c r="S27" i="22"/>
  <c r="R85" i="22"/>
  <c r="Q108" i="22"/>
  <c r="Q105" i="22"/>
  <c r="Q114" i="22" s="1"/>
  <c r="S23" i="25"/>
  <c r="T9" i="25"/>
  <c r="X59" i="22"/>
  <c r="X51" i="22"/>
  <c r="X47" i="22"/>
  <c r="R91" i="22"/>
  <c r="U25" i="23"/>
  <c r="V6" i="23"/>
  <c r="W23" i="25"/>
  <c r="X9" i="25"/>
  <c r="X89" i="22"/>
  <c r="W109" i="22"/>
  <c r="X46" i="22"/>
  <c r="U69" i="22"/>
  <c r="V47" i="22"/>
  <c r="X62" i="22"/>
  <c r="U21" i="25"/>
  <c r="U19" i="25"/>
  <c r="U28" i="25" s="1"/>
  <c r="V4" i="25"/>
  <c r="V12" i="22"/>
  <c r="S26" i="22"/>
  <c r="T5" i="22"/>
  <c r="X50" i="22"/>
  <c r="V5" i="22"/>
  <c r="V15" i="22"/>
  <c r="V4" i="22"/>
  <c r="X49" i="22"/>
  <c r="Q21" i="25"/>
  <c r="Q19" i="25"/>
  <c r="Q28" i="25" s="1"/>
  <c r="R4" i="25"/>
  <c r="R207" i="22"/>
  <c r="W111" i="22"/>
  <c r="X88" i="22"/>
  <c r="R90" i="22"/>
  <c r="X58" i="22"/>
  <c r="S111" i="22"/>
  <c r="T88" i="22"/>
  <c r="X48" i="22"/>
  <c r="X53" i="22"/>
  <c r="R87" i="22"/>
  <c r="R93" i="22"/>
  <c r="X45" i="22"/>
  <c r="Q24" i="23"/>
  <c r="R7" i="23"/>
  <c r="V21" i="23" l="1"/>
  <c r="HH41" i="1"/>
  <c r="RR42" i="1"/>
  <c r="KK41" i="1"/>
  <c r="DP3" i="1"/>
  <c r="X23" i="22"/>
  <c r="R21" i="23"/>
  <c r="NZ3" i="1"/>
  <c r="QQ28" i="1"/>
  <c r="JJ34" i="1"/>
  <c r="FF36" i="1"/>
  <c r="AM3" i="1"/>
  <c r="MM41" i="1"/>
  <c r="HT3" i="1"/>
  <c r="Z65" i="22"/>
  <c r="FR3" i="1"/>
  <c r="SD3" i="1"/>
  <c r="RC3" i="1"/>
  <c r="GG37" i="1"/>
  <c r="GS3" i="1"/>
  <c r="MY3" i="1"/>
  <c r="KW3" i="1"/>
  <c r="JV3" i="1"/>
  <c r="T21" i="24"/>
  <c r="T21" i="23"/>
  <c r="X21" i="23"/>
  <c r="Z105" i="22"/>
  <c r="V23" i="22"/>
  <c r="V105" i="22"/>
  <c r="T23" i="22"/>
  <c r="X105" i="22"/>
  <c r="R23" i="22"/>
  <c r="X65" i="22"/>
  <c r="V65" i="22"/>
  <c r="T105" i="22"/>
  <c r="T19" i="25"/>
  <c r="V19" i="25"/>
  <c r="X19" i="25"/>
  <c r="R19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<sst xmlns="http://schemas.openxmlformats.org/spreadsheetml/2006/main" count="16426" uniqueCount="2526">
  <si>
    <t>Share Update</t>
  </si>
  <si>
    <t>Min Size</t>
  </si>
  <si>
    <t>Curr Wgt Min</t>
  </si>
  <si>
    <t>EQ Wgt Min</t>
  </si>
  <si>
    <t>Global Brands</t>
  </si>
  <si>
    <t>Name</t>
  </si>
  <si>
    <t>Ticker BBG</t>
  </si>
  <si>
    <t>Ticker IB</t>
  </si>
  <si>
    <t>Ticker BCA</t>
  </si>
  <si>
    <t>Exchange</t>
  </si>
  <si>
    <t>Asset Type IB</t>
  </si>
  <si>
    <t>Exchange IB</t>
  </si>
  <si>
    <t>Asset Type Saxo</t>
  </si>
  <si>
    <t>CCY</t>
  </si>
  <si>
    <t xml:space="preserve">Price </t>
  </si>
  <si>
    <t>Weight</t>
  </si>
  <si>
    <t>Equity Assets</t>
  </si>
  <si>
    <t>Fx to USD</t>
  </si>
  <si>
    <t># Shares</t>
  </si>
  <si>
    <t>Market Value</t>
  </si>
  <si>
    <t>Lot</t>
  </si>
  <si>
    <t>Min Lot</t>
  </si>
  <si>
    <t>Min Lot #</t>
  </si>
  <si>
    <t>Min Rnd Wgt</t>
  </si>
  <si>
    <t>Diff</t>
  </si>
  <si>
    <t>1211 HK</t>
  </si>
  <si>
    <t>STK</t>
  </si>
  <si>
    <t>SEHK</t>
  </si>
  <si>
    <t>Stock</t>
  </si>
  <si>
    <t>700 HK</t>
  </si>
  <si>
    <t>9999 HK</t>
  </si>
  <si>
    <t>AAPL US</t>
  </si>
  <si>
    <t>AAPL</t>
  </si>
  <si>
    <t>SMART/AMEX</t>
  </si>
  <si>
    <t>USD</t>
  </si>
  <si>
    <t>ABT US</t>
  </si>
  <si>
    <t>ABT</t>
  </si>
  <si>
    <t>ACN US</t>
  </si>
  <si>
    <t>ACN</t>
  </si>
  <si>
    <t>SMART/FWB</t>
  </si>
  <si>
    <t>ALV</t>
  </si>
  <si>
    <t>AMZN US</t>
  </si>
  <si>
    <t>AMZN</t>
  </si>
  <si>
    <t>CMCSA US</t>
  </si>
  <si>
    <t>CMCSA</t>
  </si>
  <si>
    <t>CSCO US</t>
  </si>
  <si>
    <t>CSCO</t>
  </si>
  <si>
    <t>GOOG US</t>
  </si>
  <si>
    <t>GOOG</t>
  </si>
  <si>
    <t>IBM US</t>
  </si>
  <si>
    <t>IBM</t>
  </si>
  <si>
    <t>KMB US</t>
  </si>
  <si>
    <t>KMB</t>
  </si>
  <si>
    <t>MDT US</t>
  </si>
  <si>
    <t>MDT</t>
  </si>
  <si>
    <t>MELI US</t>
  </si>
  <si>
    <t>MELI</t>
  </si>
  <si>
    <t>MRK US</t>
  </si>
  <si>
    <t>MRK</t>
  </si>
  <si>
    <t>MSFT US</t>
  </si>
  <si>
    <t>MSFT</t>
  </si>
  <si>
    <t>SMART/EBS</t>
  </si>
  <si>
    <t>NOVN SW</t>
  </si>
  <si>
    <t>NOVN</t>
  </si>
  <si>
    <t>ORA FP</t>
  </si>
  <si>
    <t>ORA</t>
  </si>
  <si>
    <t>PEP US</t>
  </si>
  <si>
    <t>PEP</t>
  </si>
  <si>
    <t>PG US</t>
  </si>
  <si>
    <t>PG</t>
  </si>
  <si>
    <t>ROG SW</t>
  </si>
  <si>
    <t>ROG</t>
  </si>
  <si>
    <t>TTE FP</t>
  </si>
  <si>
    <t>TTE</t>
  </si>
  <si>
    <t>VZ US</t>
  </si>
  <si>
    <t>VZ</t>
  </si>
  <si>
    <t>XOM US</t>
  </si>
  <si>
    <t>XOM</t>
  </si>
  <si>
    <t>ZURN SW</t>
  </si>
  <si>
    <t>ZURN</t>
  </si>
  <si>
    <t>Cash</t>
  </si>
  <si>
    <t>Total</t>
  </si>
  <si>
    <t>HKD</t>
  </si>
  <si>
    <t>EUR</t>
  </si>
  <si>
    <t>DES</t>
  </si>
  <si>
    <t>Enter cash raise / target margin</t>
  </si>
  <si>
    <t>Enter account size</t>
  </si>
  <si>
    <t>Target cash level</t>
  </si>
  <si>
    <t>0.5% cash (post-trade)</t>
  </si>
  <si>
    <t>Target cash weight</t>
  </si>
  <si>
    <t>Global Healthcare</t>
  </si>
  <si>
    <t>Ticker</t>
  </si>
  <si>
    <t>ABBV US</t>
  </si>
  <si>
    <t>A US</t>
  </si>
  <si>
    <t>JPY</t>
  </si>
  <si>
    <t>GILD US</t>
  </si>
  <si>
    <t>GSK LN</t>
  </si>
  <si>
    <t>HCA US</t>
  </si>
  <si>
    <t>INCY US</t>
  </si>
  <si>
    <t>IQV US</t>
  </si>
  <si>
    <t>JNJ US</t>
  </si>
  <si>
    <t>LH US</t>
  </si>
  <si>
    <t>4528 JP</t>
  </si>
  <si>
    <t>SAN FP</t>
  </si>
  <si>
    <t>SHL GR</t>
  </si>
  <si>
    <t>CI US</t>
  </si>
  <si>
    <t>Japan REIT</t>
  </si>
  <si>
    <t>3292 JP</t>
  </si>
  <si>
    <t>1925 JP</t>
  </si>
  <si>
    <t>8984 JP</t>
  </si>
  <si>
    <t>8987 JP</t>
  </si>
  <si>
    <t>3234 JP</t>
  </si>
  <si>
    <t>8961 JP</t>
  </si>
  <si>
    <t>3296 JP</t>
  </si>
  <si>
    <t>8850 JP</t>
  </si>
  <si>
    <t>8957 JP</t>
  </si>
  <si>
    <t>Fx to JPY</t>
  </si>
  <si>
    <t>BNL US</t>
  </si>
  <si>
    <t>CHP-U CN</t>
  </si>
  <si>
    <t>1878 JP</t>
  </si>
  <si>
    <t>GLPI US</t>
  </si>
  <si>
    <t>NNN US</t>
  </si>
  <si>
    <t>PSA US</t>
  </si>
  <si>
    <t>RET BB</t>
  </si>
  <si>
    <t>SPG US</t>
  </si>
  <si>
    <t>Global REIT</t>
  </si>
  <si>
    <t>UK Equity income</t>
  </si>
  <si>
    <t>ABF LN</t>
  </si>
  <si>
    <t>ABF</t>
  </si>
  <si>
    <t>SMART/LSE</t>
  </si>
  <si>
    <t>AZN LN</t>
  </si>
  <si>
    <t>AZN</t>
  </si>
  <si>
    <t>AV/ LN</t>
  </si>
  <si>
    <t>BT/A LN</t>
  </si>
  <si>
    <t>BT.A</t>
  </si>
  <si>
    <t>CCH LN</t>
  </si>
  <si>
    <t>CCH</t>
  </si>
  <si>
    <t>HIK LN</t>
  </si>
  <si>
    <t>HIK</t>
  </si>
  <si>
    <t>HSBA LN</t>
  </si>
  <si>
    <t>HSBA</t>
  </si>
  <si>
    <t>ITV LN</t>
  </si>
  <si>
    <t>ITV</t>
  </si>
  <si>
    <t>KGF LN</t>
  </si>
  <si>
    <t>KGF</t>
  </si>
  <si>
    <t>LLOY LN</t>
  </si>
  <si>
    <t>LLOY</t>
  </si>
  <si>
    <t>NWG LN</t>
  </si>
  <si>
    <t>NWG</t>
  </si>
  <si>
    <t>RIO LN</t>
  </si>
  <si>
    <t>RIO</t>
  </si>
  <si>
    <t>SBRY LN</t>
  </si>
  <si>
    <t>SBRY</t>
  </si>
  <si>
    <t>SHEL LN</t>
  </si>
  <si>
    <t>SHEL</t>
  </si>
  <si>
    <t>TSCO LN</t>
  </si>
  <si>
    <t>TSCO</t>
  </si>
  <si>
    <t>ULVR LN</t>
  </si>
  <si>
    <t>ULVR</t>
  </si>
  <si>
    <t>VOD LN</t>
  </si>
  <si>
    <t>VOD</t>
  </si>
  <si>
    <t>GBP</t>
  </si>
  <si>
    <t>Fx to GBP</t>
  </si>
  <si>
    <t>UK Equity Income</t>
  </si>
  <si>
    <t>US Brands</t>
  </si>
  <si>
    <t>T US</t>
  </si>
  <si>
    <t>CHKP US</t>
  </si>
  <si>
    <t>DUK US</t>
  </si>
  <si>
    <t>EOG US</t>
  </si>
  <si>
    <t>MA US</t>
  </si>
  <si>
    <t>META US</t>
  </si>
  <si>
    <t>PGR US</t>
  </si>
  <si>
    <t>QCOM US</t>
  </si>
  <si>
    <t>REGN US</t>
  </si>
  <si>
    <t>Global Technology</t>
  </si>
  <si>
    <t>AMS SM</t>
  </si>
  <si>
    <t>DOX US</t>
  </si>
  <si>
    <t>ADSK US</t>
  </si>
  <si>
    <t>CTSH US</t>
  </si>
  <si>
    <t>FFIV US</t>
  </si>
  <si>
    <t>NTAP US</t>
  </si>
  <si>
    <t>4307 JP</t>
  </si>
  <si>
    <t>TSM US</t>
  </si>
  <si>
    <t>TEL US</t>
  </si>
  <si>
    <t>Asian Leaders</t>
  </si>
  <si>
    <t>9988 HK</t>
  </si>
  <si>
    <t>ASX US</t>
  </si>
  <si>
    <t>9888 HK</t>
  </si>
  <si>
    <t>7832 JP</t>
  </si>
  <si>
    <t>BHP AU</t>
  </si>
  <si>
    <t>5108 JP</t>
  </si>
  <si>
    <t>7751 JP</t>
  </si>
  <si>
    <t>COL AU</t>
  </si>
  <si>
    <t>CPNG US</t>
  </si>
  <si>
    <t>DBS SP</t>
  </si>
  <si>
    <t>1398 HK</t>
  </si>
  <si>
    <t>4452 JP</t>
  </si>
  <si>
    <t>992 HK</t>
  </si>
  <si>
    <t>857 HK</t>
  </si>
  <si>
    <t>QBE AU</t>
  </si>
  <si>
    <t>SMSN LI</t>
  </si>
  <si>
    <t>SE US</t>
  </si>
  <si>
    <t>1099 HK</t>
  </si>
  <si>
    <t>4502 JP</t>
  </si>
  <si>
    <t>1810 HK</t>
  </si>
  <si>
    <t>HK Equity Income</t>
  </si>
  <si>
    <t>2388 HK</t>
  </si>
  <si>
    <t>939 HK</t>
  </si>
  <si>
    <t>1606 HK</t>
  </si>
  <si>
    <t>1088 HK</t>
  </si>
  <si>
    <t>788 HK</t>
  </si>
  <si>
    <t>267 HK</t>
  </si>
  <si>
    <t>2 HK</t>
  </si>
  <si>
    <t>6823 HK</t>
  </si>
  <si>
    <t>8 HK</t>
  </si>
  <si>
    <t>1339 HK</t>
  </si>
  <si>
    <t>6198 HK</t>
  </si>
  <si>
    <t>639 HK</t>
  </si>
  <si>
    <t>1308 HK</t>
  </si>
  <si>
    <t>303 HK</t>
  </si>
  <si>
    <t>288 HK</t>
  </si>
  <si>
    <t>811 HK</t>
  </si>
  <si>
    <t>Fx to HKD</t>
  </si>
  <si>
    <t>AI &amp; Robotics</t>
  </si>
  <si>
    <t>ADBE US</t>
  </si>
  <si>
    <t>BIDU US</t>
  </si>
  <si>
    <t>DE US</t>
  </si>
  <si>
    <t>2638 JP</t>
  </si>
  <si>
    <t>9807 HK</t>
  </si>
  <si>
    <t>9191 HK</t>
  </si>
  <si>
    <t>ISRG US</t>
  </si>
  <si>
    <t>NTNX US</t>
  </si>
  <si>
    <t>PTC US</t>
  </si>
  <si>
    <t>NOW US</t>
  </si>
  <si>
    <t>SIE GR</t>
  </si>
  <si>
    <t>VEEV US</t>
  </si>
  <si>
    <t>ZM US</t>
  </si>
  <si>
    <t>Sustainable Future</t>
  </si>
  <si>
    <t>ALKS US</t>
  </si>
  <si>
    <t>BIOGB SS</t>
  </si>
  <si>
    <t>BUCN SW</t>
  </si>
  <si>
    <t>CTVA US</t>
  </si>
  <si>
    <t>BN FP</t>
  </si>
  <si>
    <t>FORTUM FH</t>
  </si>
  <si>
    <t>IBE SM</t>
  </si>
  <si>
    <t>INGR US</t>
  </si>
  <si>
    <t>NSISB DC</t>
  </si>
  <si>
    <t>QGEN US</t>
  </si>
  <si>
    <t>SKAB SS</t>
  </si>
  <si>
    <t>VIE FP</t>
  </si>
  <si>
    <t>VER AV</t>
  </si>
  <si>
    <t>WCN US</t>
  </si>
  <si>
    <t>US REIT</t>
  </si>
  <si>
    <t>EPR US</t>
  </si>
  <si>
    <t>LAMR US</t>
  </si>
  <si>
    <t>NHI US</t>
  </si>
  <si>
    <t>VICI US</t>
  </si>
  <si>
    <t>DTE GR</t>
  </si>
  <si>
    <t>Global Equity Income</t>
  </si>
  <si>
    <t>KOFUBL MM</t>
  </si>
  <si>
    <t>ELE SM</t>
  </si>
  <si>
    <t>ENEL IM</t>
  </si>
  <si>
    <t>EQNR NO</t>
  </si>
  <si>
    <t>GIS US</t>
  </si>
  <si>
    <t>9434 JP</t>
  </si>
  <si>
    <t>TEL NO</t>
  </si>
  <si>
    <t>US Equity Income</t>
  </si>
  <si>
    <t>CVX US</t>
  </si>
  <si>
    <t>KOF US</t>
  </si>
  <si>
    <t>NVS US</t>
  </si>
  <si>
    <t>RHHBY US</t>
  </si>
  <si>
    <t>SNY US</t>
  </si>
  <si>
    <t>TTE US</t>
  </si>
  <si>
    <t>VOD US</t>
  </si>
  <si>
    <t>Europe Equity Income</t>
  </si>
  <si>
    <t>AKRBP NO</t>
  </si>
  <si>
    <t>ENGI FP</t>
  </si>
  <si>
    <t>G IM</t>
  </si>
  <si>
    <t>AD NA</t>
  </si>
  <si>
    <t>Fx to EUR</t>
  </si>
  <si>
    <t>Japan Equity Income</t>
  </si>
  <si>
    <t>3407 JP</t>
  </si>
  <si>
    <t>6448 JP</t>
  </si>
  <si>
    <t>7202 JP</t>
  </si>
  <si>
    <t>9433 JP</t>
  </si>
  <si>
    <t>9432 JP</t>
  </si>
  <si>
    <t>9101 JP</t>
  </si>
  <si>
    <t>2181 JP</t>
  </si>
  <si>
    <t>4204 JP</t>
  </si>
  <si>
    <t>4507 JP</t>
  </si>
  <si>
    <t>7270 JP</t>
  </si>
  <si>
    <t>2587 JP</t>
  </si>
  <si>
    <t>4042 JP</t>
  </si>
  <si>
    <t>FX to JPY</t>
  </si>
  <si>
    <t>Cybersecurity</t>
  </si>
  <si>
    <t>ATEN US</t>
  </si>
  <si>
    <t>YOU US</t>
  </si>
  <si>
    <t>CYBR US</t>
  </si>
  <si>
    <t>FTNT US</t>
  </si>
  <si>
    <t>GEN US</t>
  </si>
  <si>
    <t>LDOS US</t>
  </si>
  <si>
    <t>QLYS US</t>
  </si>
  <si>
    <t>RDWR US</t>
  </si>
  <si>
    <t>FX to USD</t>
  </si>
  <si>
    <t>REA AU</t>
  </si>
  <si>
    <t>UI US</t>
  </si>
  <si>
    <t>8955 JP</t>
  </si>
  <si>
    <t>3309 JP</t>
  </si>
  <si>
    <t>AMT US</t>
  </si>
  <si>
    <t>LI FP</t>
  </si>
  <si>
    <t>OHI US</t>
  </si>
  <si>
    <t>PFE US</t>
  </si>
  <si>
    <t>KPN NA</t>
  </si>
  <si>
    <t>Euro</t>
  </si>
  <si>
    <t>JM SP</t>
  </si>
  <si>
    <t>2328 HK</t>
  </si>
  <si>
    <t>Adj Weight</t>
  </si>
  <si>
    <t>BMY US</t>
  </si>
  <si>
    <t>FE US</t>
  </si>
  <si>
    <t>EXC US</t>
  </si>
  <si>
    <t>SMART/TSEJ</t>
  </si>
  <si>
    <t>ABBV</t>
  </si>
  <si>
    <t>BHP</t>
  </si>
  <si>
    <t>SMART/ASX</t>
  </si>
  <si>
    <t>BMY</t>
  </si>
  <si>
    <t>ELE</t>
  </si>
  <si>
    <t>SMART/BM</t>
  </si>
  <si>
    <t>ENEL</t>
  </si>
  <si>
    <t>SMART/BVME</t>
  </si>
  <si>
    <t>EQNR</t>
  </si>
  <si>
    <t>SMART/OSE</t>
  </si>
  <si>
    <t>FE</t>
  </si>
  <si>
    <t>GIS</t>
  </si>
  <si>
    <t>GSK</t>
  </si>
  <si>
    <t>JNJ</t>
  </si>
  <si>
    <t>KOFUBL</t>
  </si>
  <si>
    <t>MEXI</t>
  </si>
  <si>
    <t>PFE</t>
  </si>
  <si>
    <t>SAN1</t>
  </si>
  <si>
    <t>T</t>
  </si>
  <si>
    <t>TEL</t>
  </si>
  <si>
    <t>CVX</t>
  </si>
  <si>
    <t>KOF</t>
  </si>
  <si>
    <t>DTE</t>
  </si>
  <si>
    <t>DUK</t>
  </si>
  <si>
    <t>EXC</t>
  </si>
  <si>
    <t>NVS</t>
  </si>
  <si>
    <t>RHHBY</t>
  </si>
  <si>
    <t>SNY</t>
  </si>
  <si>
    <t>SMART/ARCAEDGE</t>
  </si>
  <si>
    <t>AKRBP</t>
  </si>
  <si>
    <t>BN</t>
  </si>
  <si>
    <t>ENGI</t>
  </si>
  <si>
    <t>G</t>
  </si>
  <si>
    <t>IBE</t>
  </si>
  <si>
    <t>AD</t>
  </si>
  <si>
    <t>KPN</t>
  </si>
  <si>
    <t>ADBE</t>
  </si>
  <si>
    <t>META</t>
  </si>
  <si>
    <t>REGN</t>
  </si>
  <si>
    <t>GILD</t>
  </si>
  <si>
    <t>HCA</t>
  </si>
  <si>
    <t>INCY</t>
  </si>
  <si>
    <t>LH</t>
  </si>
  <si>
    <t>SHL</t>
  </si>
  <si>
    <t>CI</t>
  </si>
  <si>
    <t>UCB</t>
  </si>
  <si>
    <t>VEEV</t>
  </si>
  <si>
    <t>WAT</t>
  </si>
  <si>
    <t>AMT</t>
  </si>
  <si>
    <t>BNL</t>
  </si>
  <si>
    <t>EPR</t>
  </si>
  <si>
    <t>GLPI</t>
  </si>
  <si>
    <t>LAMR</t>
  </si>
  <si>
    <t>NHI</t>
  </si>
  <si>
    <t>NNN</t>
  </si>
  <si>
    <t>OHI</t>
  </si>
  <si>
    <t>PSA</t>
  </si>
  <si>
    <t>SPG</t>
  </si>
  <si>
    <t>VICI</t>
  </si>
  <si>
    <t>LI</t>
  </si>
  <si>
    <t>RET</t>
  </si>
  <si>
    <t>CHP.UN</t>
  </si>
  <si>
    <t>SMART/TSE</t>
  </si>
  <si>
    <t>SGX</t>
  </si>
  <si>
    <t>A</t>
  </si>
  <si>
    <t>ALKS</t>
  </si>
  <si>
    <t>ASX</t>
  </si>
  <si>
    <t>ADSK</t>
  </si>
  <si>
    <t>BIDU</t>
  </si>
  <si>
    <t>BUCN</t>
  </si>
  <si>
    <t>CHKP</t>
  </si>
  <si>
    <t>CTSH</t>
  </si>
  <si>
    <t>CTVA</t>
  </si>
  <si>
    <t>DE</t>
  </si>
  <si>
    <t>FFIV</t>
  </si>
  <si>
    <t>FORTUM</t>
  </si>
  <si>
    <t>INGR</t>
  </si>
  <si>
    <t>ISRG</t>
  </si>
  <si>
    <t>IQV</t>
  </si>
  <si>
    <t>NTAP</t>
  </si>
  <si>
    <t>QGEN</t>
  </si>
  <si>
    <t>VIE</t>
  </si>
  <si>
    <t>VER</t>
  </si>
  <si>
    <t>WCN</t>
  </si>
  <si>
    <t>SKA.B</t>
  </si>
  <si>
    <t>SMART/SFB</t>
  </si>
  <si>
    <t>SMART/VSE</t>
  </si>
  <si>
    <t>AMS</t>
  </si>
  <si>
    <t>DOX</t>
  </si>
  <si>
    <t>REA</t>
  </si>
  <si>
    <t>SE</t>
  </si>
  <si>
    <t>TSM</t>
  </si>
  <si>
    <t>UI</t>
  </si>
  <si>
    <t>COL</t>
  </si>
  <si>
    <t>CPNG</t>
  </si>
  <si>
    <t>QBE</t>
  </si>
  <si>
    <t>SMSN</t>
  </si>
  <si>
    <t>J36</t>
  </si>
  <si>
    <t>D05</t>
  </si>
  <si>
    <t>SMART/LSEIOB1</t>
  </si>
  <si>
    <t>NTNX</t>
  </si>
  <si>
    <t>PTC</t>
  </si>
  <si>
    <t>QCOM</t>
  </si>
  <si>
    <t>NOW</t>
  </si>
  <si>
    <t>SIE</t>
  </si>
  <si>
    <t>ZM</t>
  </si>
  <si>
    <t>EOG</t>
  </si>
  <si>
    <t>MA</t>
  </si>
  <si>
    <t>PGR</t>
  </si>
  <si>
    <t>SIX Swiss Ex</t>
  </si>
  <si>
    <t>AUD</t>
  </si>
  <si>
    <t>Global ETF</t>
  </si>
  <si>
    <t>9/30/2024</t>
  </si>
  <si>
    <t>Asset Class</t>
  </si>
  <si>
    <t>Role</t>
  </si>
  <si>
    <t>Tilt</t>
  </si>
  <si>
    <t>TER</t>
  </si>
  <si>
    <t>Eq</t>
  </si>
  <si>
    <t>Bal</t>
  </si>
  <si>
    <t xml:space="preserve">Mod </t>
  </si>
  <si>
    <t>Cons</t>
  </si>
  <si>
    <t>FI</t>
  </si>
  <si>
    <t>Factor</t>
  </si>
  <si>
    <t>International</t>
  </si>
  <si>
    <t>JREG LN</t>
  </si>
  <si>
    <t>Theme</t>
  </si>
  <si>
    <t>Commodity</t>
  </si>
  <si>
    <t>XCS7 LN</t>
  </si>
  <si>
    <t>China</t>
  </si>
  <si>
    <t>EM</t>
  </si>
  <si>
    <t>XMED LN</t>
  </si>
  <si>
    <t>Europe</t>
  </si>
  <si>
    <t>Core</t>
  </si>
  <si>
    <t>XDWH LN</t>
  </si>
  <si>
    <t>Healthcare</t>
  </si>
  <si>
    <t>Income Assets</t>
  </si>
  <si>
    <t>ASIG NA</t>
  </si>
  <si>
    <t>Fixed Income</t>
  </si>
  <si>
    <t>Asia</t>
  </si>
  <si>
    <t>CORP LN</t>
  </si>
  <si>
    <t>Government</t>
  </si>
  <si>
    <t>EMGA LN</t>
  </si>
  <si>
    <t>IDTL LN</t>
  </si>
  <si>
    <t>Treasury</t>
  </si>
  <si>
    <t>IDTM LN</t>
  </si>
  <si>
    <t>IMBS LN</t>
  </si>
  <si>
    <t>US Credit</t>
  </si>
  <si>
    <t>0 Rate Credit</t>
  </si>
  <si>
    <t>VDCP LN</t>
  </si>
  <si>
    <t>Equity</t>
  </si>
  <si>
    <t>.</t>
  </si>
  <si>
    <t>AVUS US</t>
  </si>
  <si>
    <t>FLCH US</t>
  </si>
  <si>
    <t>GSLC US</t>
  </si>
  <si>
    <t>GCC US</t>
  </si>
  <si>
    <t>IXJ US</t>
  </si>
  <si>
    <t>JIRE US</t>
  </si>
  <si>
    <t>VSGX US</t>
  </si>
  <si>
    <t>ESGV US</t>
  </si>
  <si>
    <t>VGK US</t>
  </si>
  <si>
    <t>TLT US</t>
  </si>
  <si>
    <t>LQD US</t>
  </si>
  <si>
    <t>JMBS US</t>
  </si>
  <si>
    <t>CEMB US</t>
  </si>
  <si>
    <t>LEMB US</t>
  </si>
  <si>
    <t>IEF US</t>
  </si>
  <si>
    <t>US Focused ETF</t>
  </si>
  <si>
    <t>XSOE US</t>
  </si>
  <si>
    <t>Commodities</t>
  </si>
  <si>
    <t>SGLD LN</t>
  </si>
  <si>
    <t>ISLN LN</t>
  </si>
  <si>
    <t>AIGI LN</t>
  </si>
  <si>
    <t>ROLL LN</t>
  </si>
  <si>
    <t>AIGE LN</t>
  </si>
  <si>
    <t>Commodities (US Tax)</t>
  </si>
  <si>
    <t>CERY US</t>
  </si>
  <si>
    <t>Commodities Ex-Crypto</t>
  </si>
  <si>
    <t>Commodities Ex-Crypto (US Tax)</t>
  </si>
  <si>
    <t>GBP Global ETF</t>
  </si>
  <si>
    <t>Balanced</t>
  </si>
  <si>
    <t xml:space="preserve">Moderate </t>
  </si>
  <si>
    <t>Conservative</t>
  </si>
  <si>
    <t>JGEP LN</t>
  </si>
  <si>
    <t>XMEU LN</t>
  </si>
  <si>
    <t>XWHS LN</t>
  </si>
  <si>
    <t>SLXX LN</t>
  </si>
  <si>
    <t>IGLT LN</t>
  </si>
  <si>
    <t>CRHG LN</t>
  </si>
  <si>
    <t>IDTG LN</t>
  </si>
  <si>
    <t>SEML LN</t>
  </si>
  <si>
    <t>EUR Global ETF</t>
  </si>
  <si>
    <t>JRGE GR</t>
  </si>
  <si>
    <t>XMEU GR</t>
  </si>
  <si>
    <t>XDWH IM</t>
  </si>
  <si>
    <t>IBCQ GR</t>
  </si>
  <si>
    <t>SEML IM</t>
  </si>
  <si>
    <t>DTLE LN</t>
  </si>
  <si>
    <t>XDEP GR</t>
  </si>
  <si>
    <t>AUD Global ETF</t>
  </si>
  <si>
    <t>A200 AU</t>
  </si>
  <si>
    <t>ETPMPM AU</t>
  </si>
  <si>
    <t>VGAD AU</t>
  </si>
  <si>
    <t>IXJ AU</t>
  </si>
  <si>
    <t>VGE AU</t>
  </si>
  <si>
    <t>VEQ AU</t>
  </si>
  <si>
    <t>IAF AU</t>
  </si>
  <si>
    <t>IHCB AU</t>
  </si>
  <si>
    <t>GGOV AU</t>
  </si>
  <si>
    <t>IHEB AU</t>
  </si>
  <si>
    <t>Fx to AUD</t>
  </si>
  <si>
    <t>Global ETF (US Tax)</t>
  </si>
  <si>
    <t>ETHWCHF SW</t>
  </si>
  <si>
    <t>IB Ticker</t>
  </si>
  <si>
    <t>IB Exchange</t>
  </si>
  <si>
    <t>IB Asset Type</t>
  </si>
  <si>
    <t>Adj Eq</t>
  </si>
  <si>
    <t>Adj Bal</t>
  </si>
  <si>
    <t>Adj Mod</t>
  </si>
  <si>
    <t>Adj Cons</t>
  </si>
  <si>
    <t>Adj FI</t>
  </si>
  <si>
    <t>JREG</t>
  </si>
  <si>
    <t>XMED</t>
  </si>
  <si>
    <t>XDWH</t>
  </si>
  <si>
    <t>ASIG</t>
  </si>
  <si>
    <t>CORP</t>
  </si>
  <si>
    <t>EMGA</t>
  </si>
  <si>
    <t>IDTL</t>
  </si>
  <si>
    <t>IDTM</t>
  </si>
  <si>
    <t>IMBS</t>
  </si>
  <si>
    <t>VDCP</t>
  </si>
  <si>
    <t>SMART/AEB</t>
  </si>
  <si>
    <t>SMART/LSEETF</t>
  </si>
  <si>
    <t>Adj W</t>
  </si>
  <si>
    <t>Price</t>
  </si>
  <si>
    <t>Saxo Ticker</t>
  </si>
  <si>
    <t>Saxo Asset Type</t>
  </si>
  <si>
    <t>Global Equity ETF</t>
  </si>
  <si>
    <t>Global Balanced ETF</t>
  </si>
  <si>
    <t>Global Moderate ETF</t>
  </si>
  <si>
    <t>Global Conservative ETF</t>
  </si>
  <si>
    <t>Global Fixed Income ETF</t>
  </si>
  <si>
    <t>Global Equity ETF (US-Tax)</t>
  </si>
  <si>
    <t>Global Balanced ETF (US-Tax)</t>
  </si>
  <si>
    <t>Global Moderate ETF (US-Tax)</t>
  </si>
  <si>
    <t>Global Conservative ETF (US-Tax)</t>
  </si>
  <si>
    <t>Global Fixed Income ETF (US-Tax)</t>
  </si>
  <si>
    <t>US Focused Equity ETF</t>
  </si>
  <si>
    <t>US Focused Balanced ETF</t>
  </si>
  <si>
    <t>US Focused Moderate ETF</t>
  </si>
  <si>
    <t>US Focused Conservative ETF</t>
  </si>
  <si>
    <t>US Focused Fixed Income ETF</t>
  </si>
  <si>
    <t>Commodities Ex-crypto</t>
  </si>
  <si>
    <t>Commodities US-Tax</t>
  </si>
  <si>
    <t>Commodities Ex-crypto US-Tax</t>
  </si>
  <si>
    <t>AIGE</t>
  </si>
  <si>
    <t>ROLL</t>
  </si>
  <si>
    <t>BTCWUSD</t>
  </si>
  <si>
    <t>AIGI</t>
  </si>
  <si>
    <t>ISLN</t>
  </si>
  <si>
    <t>SGLD</t>
  </si>
  <si>
    <t>GLDM</t>
  </si>
  <si>
    <t>SIVR</t>
  </si>
  <si>
    <t>ETHE</t>
  </si>
  <si>
    <t>CERY</t>
  </si>
  <si>
    <t>FBTC</t>
  </si>
  <si>
    <t>DBE</t>
  </si>
  <si>
    <t>AVUS</t>
  </si>
  <si>
    <t>FLCH</t>
  </si>
  <si>
    <t>GSLC</t>
  </si>
  <si>
    <t>GCC</t>
  </si>
  <si>
    <t>IXJ</t>
  </si>
  <si>
    <t>JIRE</t>
  </si>
  <si>
    <t>VSGX</t>
  </si>
  <si>
    <t>ESGV</t>
  </si>
  <si>
    <t>VGK</t>
  </si>
  <si>
    <t>TLT</t>
  </si>
  <si>
    <t>LQD</t>
  </si>
  <si>
    <t>CEMB</t>
  </si>
  <si>
    <t>LEMB</t>
  </si>
  <si>
    <t>IEF</t>
  </si>
  <si>
    <t>XSOE</t>
  </si>
  <si>
    <t>JMBS</t>
  </si>
  <si>
    <t>XMEU</t>
  </si>
  <si>
    <t>XWHS</t>
  </si>
  <si>
    <t>SLXX</t>
  </si>
  <si>
    <t>IGLT</t>
  </si>
  <si>
    <t>CRHG</t>
  </si>
  <si>
    <t>IDTG</t>
  </si>
  <si>
    <t>SEML</t>
  </si>
  <si>
    <t>NET US</t>
  </si>
  <si>
    <t>4475 JP</t>
  </si>
  <si>
    <t>NTCT US</t>
  </si>
  <si>
    <t>OSPN US</t>
  </si>
  <si>
    <t>PANW US</t>
  </si>
  <si>
    <t>RBRK US</t>
  </si>
  <si>
    <t>HO FP</t>
  </si>
  <si>
    <t>4704 JP</t>
  </si>
  <si>
    <t>VRSN US</t>
  </si>
  <si>
    <t>JRGE</t>
  </si>
  <si>
    <t>IBCQ</t>
  </si>
  <si>
    <t>DTLE</t>
  </si>
  <si>
    <t>XDEP</t>
  </si>
  <si>
    <t>SMART/BVME.ETF</t>
  </si>
  <si>
    <t>EUNH</t>
  </si>
  <si>
    <t>A200</t>
  </si>
  <si>
    <t>VGE</t>
  </si>
  <si>
    <t>VEQ</t>
  </si>
  <si>
    <t>IAF</t>
  </si>
  <si>
    <t>IHCB</t>
  </si>
  <si>
    <t>GGOV</t>
  </si>
  <si>
    <t>IHEB</t>
  </si>
  <si>
    <t>ETPMPM.1</t>
  </si>
  <si>
    <t>GBP Global Equity ETF</t>
  </si>
  <si>
    <t>GBP Global Balanced ETF</t>
  </si>
  <si>
    <t>GBP Global Moderate ETF</t>
  </si>
  <si>
    <t>GBP Global Conservative ETF</t>
  </si>
  <si>
    <t>EUR Global Equity ETF</t>
  </si>
  <si>
    <t>EUR Global Balanced ETF</t>
  </si>
  <si>
    <t>EUR Global Moderate ETF</t>
  </si>
  <si>
    <t>EUR Global Conservative ETF</t>
  </si>
  <si>
    <t>AUD Global Equity ETF</t>
  </si>
  <si>
    <t>AUD Global Balanced ETF</t>
  </si>
  <si>
    <t>AUD Global Moderate ETF</t>
  </si>
  <si>
    <t>AUD Global Conservative ETF</t>
  </si>
  <si>
    <t>Module 19</t>
  </si>
  <si>
    <t>Module 1</t>
  </si>
  <si>
    <t>US Focused Small ETF</t>
  </si>
  <si>
    <t>VSGX UF</t>
  </si>
  <si>
    <t>ESGV UF</t>
  </si>
  <si>
    <t>GSLC UP</t>
  </si>
  <si>
    <t>AVUS UP</t>
  </si>
  <si>
    <t>BND UQ</t>
  </si>
  <si>
    <t>US Global Small ETF (US Tax)</t>
  </si>
  <si>
    <t>ALV GR</t>
  </si>
  <si>
    <t>JGEP</t>
  </si>
  <si>
    <t>Asset Allocation (Equity/Fixed Income)</t>
  </si>
  <si>
    <t>Vanguard CRSP Series 100% Fixed Income Portfolio</t>
  </si>
  <si>
    <t>Vanguard CRSP Series 10% Equity/ 90% Fixed Income Portfolio</t>
  </si>
  <si>
    <t>Vanguard CRSP Series 20% Equity/ 80% Fixed Income Portfolio</t>
  </si>
  <si>
    <t>Vanguard CRSP Series 30% Equity/ 70% Fixed Income Portfolio</t>
  </si>
  <si>
    <t>Vanguard CRSP Series 40% Equity/ 60% Fixed Income Portfolio</t>
  </si>
  <si>
    <t>Vanguard CRSP Series 50% Equity/ 50% Fixed Income Portfolio</t>
  </si>
  <si>
    <t>Vanguard CRSP Series 60% Equity/ 40% Fixed Income Portfolio</t>
  </si>
  <si>
    <t>Vanguard CRSP Series 70% Equity/ 30% Fixed Income Portfolio</t>
  </si>
  <si>
    <t>Vanguard CRSP Series 80% Equity/ 20% Fixed Income Portfolio</t>
  </si>
  <si>
    <t>Vanguard CRSP Series 90% Equity/ 10% Fixed Income Portfolio</t>
  </si>
  <si>
    <t>Vanguard CRSP Series 100% Equity Portfolio</t>
  </si>
  <si>
    <t>VUG</t>
  </si>
  <si>
    <t>Growth ETF</t>
  </si>
  <si>
    <t>VTV</t>
  </si>
  <si>
    <t>Value ETF</t>
  </si>
  <si>
    <t>VB</t>
  </si>
  <si>
    <t>Small-Cap ETF</t>
  </si>
  <si>
    <t>VEA</t>
  </si>
  <si>
    <t>FTSE Developed Mkts ETF</t>
  </si>
  <si>
    <t>VWO</t>
  </si>
  <si>
    <t>FTSE Emerging Markets ETF</t>
  </si>
  <si>
    <t>BSV</t>
  </si>
  <si>
    <t>Short-Term Bond ETF</t>
  </si>
  <si>
    <t>BIV</t>
  </si>
  <si>
    <t>Inter-Term Bond ETF</t>
  </si>
  <si>
    <t>BLV</t>
  </si>
  <si>
    <t>Long-Term Bond ETF</t>
  </si>
  <si>
    <t>VMBS</t>
  </si>
  <si>
    <t>Mortgage-Backed Sec ETF</t>
  </si>
  <si>
    <t>BNDX</t>
  </si>
  <si>
    <t>Tot Intl Bond ETF</t>
  </si>
  <si>
    <t>BOX US</t>
  </si>
  <si>
    <t>VGAD</t>
  </si>
  <si>
    <t>6701 JP</t>
  </si>
  <si>
    <t>PEGA US</t>
  </si>
  <si>
    <t>SYM US</t>
  </si>
  <si>
    <t>TXN US</t>
  </si>
  <si>
    <t>TRMB US</t>
  </si>
  <si>
    <t>TWLO US</t>
  </si>
  <si>
    <t>9880 HK</t>
  </si>
  <si>
    <t>PEGA</t>
  </si>
  <si>
    <t>SYM</t>
  </si>
  <si>
    <t>TXN</t>
  </si>
  <si>
    <t>TRMB</t>
  </si>
  <si>
    <t>TWOLO</t>
  </si>
  <si>
    <t>ALL US</t>
  </si>
  <si>
    <t>AEP US</t>
  </si>
  <si>
    <t>WMT US</t>
  </si>
  <si>
    <t>WM US</t>
  </si>
  <si>
    <t>ALL</t>
  </si>
  <si>
    <t>AEP</t>
  </si>
  <si>
    <t>WMT</t>
  </si>
  <si>
    <t>WM</t>
  </si>
  <si>
    <t>GSK US</t>
  </si>
  <si>
    <t>SHEL US</t>
  </si>
  <si>
    <t>CS FP</t>
  </si>
  <si>
    <t>CS</t>
  </si>
  <si>
    <t>MUV2 GR</t>
  </si>
  <si>
    <t>PUB FP</t>
  </si>
  <si>
    <t>MUV2</t>
  </si>
  <si>
    <t>PUB</t>
  </si>
  <si>
    <t>6436 JP</t>
  </si>
  <si>
    <t>9201 JP</t>
  </si>
  <si>
    <t>8725 JP</t>
  </si>
  <si>
    <t>8174 JP</t>
  </si>
  <si>
    <t>9143 JP</t>
  </si>
  <si>
    <t>ADM LN</t>
  </si>
  <si>
    <t>IGG LN</t>
  </si>
  <si>
    <t>ADM</t>
  </si>
  <si>
    <t>IGG</t>
  </si>
  <si>
    <t>1883 HK</t>
  </si>
  <si>
    <t>1919 HK</t>
  </si>
  <si>
    <t>16 HK</t>
  </si>
  <si>
    <t>2502 JP</t>
  </si>
  <si>
    <t>7974 JP</t>
  </si>
  <si>
    <t>7532 JP</t>
  </si>
  <si>
    <t>VIPS US</t>
  </si>
  <si>
    <t>1585 HK</t>
  </si>
  <si>
    <t>AV.</t>
  </si>
  <si>
    <t>VIPS</t>
  </si>
  <si>
    <t>BSX US</t>
  </si>
  <si>
    <t>SN/ LN</t>
  </si>
  <si>
    <t>BSX</t>
  </si>
  <si>
    <t>3249 JP</t>
  </si>
  <si>
    <t>MPACT SP</t>
  </si>
  <si>
    <t>WPC US</t>
  </si>
  <si>
    <t>N2IU</t>
  </si>
  <si>
    <t>WPC</t>
  </si>
  <si>
    <t>ELS US</t>
  </si>
  <si>
    <t>RYN US</t>
  </si>
  <si>
    <t>SBRA US</t>
  </si>
  <si>
    <t>ELS</t>
  </si>
  <si>
    <t>RYN</t>
  </si>
  <si>
    <t>SBRA</t>
  </si>
  <si>
    <t>8986 JP</t>
  </si>
  <si>
    <t>8985 JP</t>
  </si>
  <si>
    <t>3462 JP</t>
  </si>
  <si>
    <t>ASML NA</t>
  </si>
  <si>
    <t>CDNS US</t>
  </si>
  <si>
    <t>6762 JP</t>
  </si>
  <si>
    <t>TEL2B SS</t>
  </si>
  <si>
    <t>UBER US</t>
  </si>
  <si>
    <t>ASML</t>
  </si>
  <si>
    <t>CDNS</t>
  </si>
  <si>
    <t>TEL2.B</t>
  </si>
  <si>
    <t>UBER</t>
  </si>
  <si>
    <t>BTCW SW</t>
  </si>
  <si>
    <t>IPDM LN</t>
  </si>
  <si>
    <t>REMX LN</t>
  </si>
  <si>
    <t>ETHWUSD</t>
  </si>
  <si>
    <t>IPDM</t>
  </si>
  <si>
    <t>REMX</t>
  </si>
  <si>
    <t>DBE US</t>
  </si>
  <si>
    <t>ETHE US</t>
  </si>
  <si>
    <t>FBTC US</t>
  </si>
  <si>
    <t>GLDM US</t>
  </si>
  <si>
    <t>PALL US</t>
  </si>
  <si>
    <t>REMX US</t>
  </si>
  <si>
    <t>SIVR US</t>
  </si>
  <si>
    <t>PALL</t>
  </si>
  <si>
    <t>London</t>
  </si>
  <si>
    <t>JPMorgan Global Research Enhanced Index Equity Active UCITS ETF</t>
  </si>
  <si>
    <t>Xtrackers MSCI China UCITS ETF</t>
  </si>
  <si>
    <t>Xtrackers MSCI Europe UCITS ETF</t>
  </si>
  <si>
    <t>Xtrackers MSCI World Health Care UCITS ETF</t>
  </si>
  <si>
    <t>iShares Asia Investment Grade Corp Bond UCITS ETF</t>
  </si>
  <si>
    <t>EN Amsterdam</t>
  </si>
  <si>
    <t>iShares Global Corp Bond UCITS ETF</t>
  </si>
  <si>
    <t>iShares JP Morgan EM Local Government Bond UCITS ETF</t>
  </si>
  <si>
    <t>iShares USD Treasury Bond 20+yr UCITS ETF</t>
  </si>
  <si>
    <t>iShares USD Treasury Bond 7-10yr UCITS ETF</t>
  </si>
  <si>
    <t>iShares US Mortgage Backed Securities UCITS ETF</t>
  </si>
  <si>
    <t>Vanguard USD Corporate Bond UCITS ETF</t>
  </si>
  <si>
    <t>USDUSD Spot Exchange Rate - Price of 1 USD in USD</t>
  </si>
  <si>
    <t>Avantis US Equity ETF</t>
  </si>
  <si>
    <t>NYSE Arca</t>
  </si>
  <si>
    <t>Franklin FTSE China ETF</t>
  </si>
  <si>
    <t>Goldman Sachs ActiveBeta U.S. Large Cap Equity ETF</t>
  </si>
  <si>
    <t>WisdomTree Enhanced Commodity Strategy Fund</t>
  </si>
  <si>
    <t>iShares Global Healthcare ETF</t>
  </si>
  <si>
    <t>JPMorgan International Research Enhanced Equity ETF</t>
  </si>
  <si>
    <t>Vanguard ESG International Stock ETF</t>
  </si>
  <si>
    <t>Cboe BZX</t>
  </si>
  <si>
    <t>Vanguard ESG US Stock ETF</t>
  </si>
  <si>
    <t>Vanguard FTSE Europe ETF</t>
  </si>
  <si>
    <t>iShares 20+ Year Treasury Bond ETF</t>
  </si>
  <si>
    <t>NASDAQ GM</t>
  </si>
  <si>
    <t>Janus Henderson Mortgage-Backed Securities ETF</t>
  </si>
  <si>
    <t>iShares J.P. Morgan EM Corporate Bond ETF</t>
  </si>
  <si>
    <t>iShares J.P. Morgan EM Local Currency Bond ETF</t>
  </si>
  <si>
    <t>iShares 7-10 Year Treasury Bond ETF</t>
  </si>
  <si>
    <t>Wisdomtree Emerging Markets EX-State-Owned Enterprises Fund</t>
  </si>
  <si>
    <t>WisdomTree Energy</t>
  </si>
  <si>
    <t>WisdomTree Industrial Metals</t>
  </si>
  <si>
    <t>WisdomTree Physical Bitcoin</t>
  </si>
  <si>
    <t>Alternative</t>
  </si>
  <si>
    <t>WisdomTree Physical Ethereum</t>
  </si>
  <si>
    <t>CHF</t>
  </si>
  <si>
    <t>iShares Physical Palladium ETC</t>
  </si>
  <si>
    <t>iShares Physical Silver ETC</t>
  </si>
  <si>
    <t>VanEck Rare Earth and Strategic Metals UCITS ETF</t>
  </si>
  <si>
    <t>iShares Bloomberg Enhanced Roll Yield Commodity Swap UCITS ETF</t>
  </si>
  <si>
    <t>Invesco Physical Gold ETC</t>
  </si>
  <si>
    <t>Invesco DB Energy Fund</t>
  </si>
  <si>
    <t>Fidelity Wise Origin Bitcoin Fund</t>
  </si>
  <si>
    <t>SPDR Gold MiniShares Trust</t>
  </si>
  <si>
    <t>abrdn Physical Palladium Shares ETF</t>
  </si>
  <si>
    <t>VanEck Rare Earth and Strategic Metals ETF</t>
  </si>
  <si>
    <t>abrdn Physical Silver Shares ETF</t>
  </si>
  <si>
    <t>Vanguard Total Bond Market ETF</t>
  </si>
  <si>
    <t>GBp</t>
  </si>
  <si>
    <t>iShares Core GBP Corp Bond UCITS ETF</t>
  </si>
  <si>
    <t>iShares Core UK Gilts UCITS ETF</t>
  </si>
  <si>
    <t>GBPUSD Spot Exchange Rate - Price of 1 GBP in USD</t>
  </si>
  <si>
    <t>Xetra ETF</t>
  </si>
  <si>
    <t>BrsaItaliana</t>
  </si>
  <si>
    <t>iShares Core EUR Govt Bond UCITS ETF</t>
  </si>
  <si>
    <t>iShares Global Corp Bond EUR Hedged UCITS ETF Dist</t>
  </si>
  <si>
    <t>Xtrackers iBoxx EUR Corporate Bond Yield Plus UCITS ETF</t>
  </si>
  <si>
    <t>EURUSD Spot Exchange Rate - Price of 1 EUR in USD</t>
  </si>
  <si>
    <t>BetaShares Australia 200 ETF</t>
  </si>
  <si>
    <t>ASE</t>
  </si>
  <si>
    <t>Global X Precious Metals Basket Structured</t>
  </si>
  <si>
    <t>Vanguard MSCI Index International Shares Hedged ETF</t>
  </si>
  <si>
    <t>iShares Global Healthcare ETF/AU</t>
  </si>
  <si>
    <t>Vanguard FTSE Emerging Markets ETF/Australia</t>
  </si>
  <si>
    <t>Vanguard FTSE Europe Shares ETF</t>
  </si>
  <si>
    <t>iShares CORE Composite Bond ETF</t>
  </si>
  <si>
    <t>iShares Core Global Corporate Bond AUD Hedged ETF</t>
  </si>
  <si>
    <t>Betashares US Treasury Bond 20+ Year Currency Hedged ETF</t>
  </si>
  <si>
    <t>iShares JP Morgan USD Emerging Markets Bond AUD Hedged ETF</t>
  </si>
  <si>
    <t>AUDUSD Spot Exchange Rate - Price of 1 AUD in USD</t>
  </si>
  <si>
    <t>Abbott Laboratories</t>
  </si>
  <si>
    <t>New York</t>
  </si>
  <si>
    <t>Accenture PLC</t>
  </si>
  <si>
    <t>Adobe Inc</t>
  </si>
  <si>
    <t>NASDAQ GS</t>
  </si>
  <si>
    <t>Allianz SE</t>
  </si>
  <si>
    <t>Xetra</t>
  </si>
  <si>
    <t>Allstate Corp/The</t>
  </si>
  <si>
    <t>Alphabet Inc</t>
  </si>
  <si>
    <t>Amazon.com Inc</t>
  </si>
  <si>
    <t>American Electric Power Co Inc</t>
  </si>
  <si>
    <t>Apple Inc</t>
  </si>
  <si>
    <t>BYD Co Ltd</t>
  </si>
  <si>
    <t>Hong Kong</t>
  </si>
  <si>
    <t>Cisco Systems Inc</t>
  </si>
  <si>
    <t>Comcast Corp</t>
  </si>
  <si>
    <t>Deutsche Telekom AG</t>
  </si>
  <si>
    <t>Equinor ASA</t>
  </si>
  <si>
    <t>Oslo</t>
  </si>
  <si>
    <t>NOK</t>
  </si>
  <si>
    <t>Exxon Mobil Corp</t>
  </si>
  <si>
    <t>Gilead Sciences Inc</t>
  </si>
  <si>
    <t>International Business Machines Corp</t>
  </si>
  <si>
    <t>Kimberly-Clark Corp</t>
  </si>
  <si>
    <t>MercadoLibre Inc</t>
  </si>
  <si>
    <t>Meta Platforms Inc</t>
  </si>
  <si>
    <t>Microsoft Corp</t>
  </si>
  <si>
    <t>NetEase Inc</t>
  </si>
  <si>
    <t>Novartis AG</t>
  </si>
  <si>
    <t>Copenhagen</t>
  </si>
  <si>
    <t>DKK</t>
  </si>
  <si>
    <t>Procter &amp; Gamble Co/The</t>
  </si>
  <si>
    <t>Progressive Corp/The</t>
  </si>
  <si>
    <t>Roche Holding AG</t>
  </si>
  <si>
    <t>Shell PLC</t>
  </si>
  <si>
    <t>Tencent Holdings Ltd</t>
  </si>
  <si>
    <t>TotalEnergies SE</t>
  </si>
  <si>
    <t>EN Paris</t>
  </si>
  <si>
    <t>Verizon Communications Inc</t>
  </si>
  <si>
    <t>Walmart Inc</t>
  </si>
  <si>
    <t>Waste Management Inc</t>
  </si>
  <si>
    <t>AbbVie Inc</t>
  </si>
  <si>
    <t>AstraZeneca PLC</t>
  </si>
  <si>
    <t>Boston Scientific Corp</t>
  </si>
  <si>
    <t>GSK PLC</t>
  </si>
  <si>
    <t>HCA Healthcare Inc</t>
  </si>
  <si>
    <t>Incyte Corp</t>
  </si>
  <si>
    <t>Johnson &amp; Johnson</t>
  </si>
  <si>
    <t>Labcorp Holdings Inc</t>
  </si>
  <si>
    <t>Medtronic PLC</t>
  </si>
  <si>
    <t>Merck &amp; Co Inc</t>
  </si>
  <si>
    <t>Sanofi SA</t>
  </si>
  <si>
    <t>Shionogi &amp; Co Ltd</t>
  </si>
  <si>
    <t>Tokyo</t>
  </si>
  <si>
    <t>Siemens Healthineers AG</t>
  </si>
  <si>
    <t>Smith &amp; Nephew PLC</t>
  </si>
  <si>
    <t>Cigna Group/The</t>
  </si>
  <si>
    <t>Veeva Systems Inc</t>
  </si>
  <si>
    <t>AEON REIT Investment Corp</t>
  </si>
  <si>
    <t>Daiwa House Industry Co Ltd</t>
  </si>
  <si>
    <t>Daiwa House REIT Investment Corp</t>
  </si>
  <si>
    <t>Daiwa Securities Living Investments Corp</t>
  </si>
  <si>
    <t>Industrial &amp; Infrastructure Fund Investment Corp</t>
  </si>
  <si>
    <t>Japan Excellent Inc</t>
  </si>
  <si>
    <t>Japan Hotel REIT Investment Corp</t>
  </si>
  <si>
    <t>Japan Prime Realty Investment Corp</t>
  </si>
  <si>
    <t>Mori Hills REIT Investment Corp</t>
  </si>
  <si>
    <t>Mori Trust Reit Inc</t>
  </si>
  <si>
    <t>NIPPON REIT Investment Corp</t>
  </si>
  <si>
    <t>Nomura Real Estate Master Fund Inc</t>
  </si>
  <si>
    <t>Sekisui House Reit Inc</t>
  </si>
  <si>
    <t>Starts Corp Inc</t>
  </si>
  <si>
    <t>Tokyu REIT Inc</t>
  </si>
  <si>
    <t>American Tower Corp</t>
  </si>
  <si>
    <t>Broadstone Net Lease Inc</t>
  </si>
  <si>
    <t>Choice Properties Real Estate Investment Trust</t>
  </si>
  <si>
    <t>Toronto</t>
  </si>
  <si>
    <t>CAD</t>
  </si>
  <si>
    <t>Daito Trust Construction Co Ltd</t>
  </si>
  <si>
    <t>EPR Properties</t>
  </si>
  <si>
    <t>Gaming and Leisure Properties Inc</t>
  </si>
  <si>
    <t>Klepierre SA</t>
  </si>
  <si>
    <t>Mapletree Pan Asia Commercial Trust</t>
  </si>
  <si>
    <t>Singapore</t>
  </si>
  <si>
    <t>SGD</t>
  </si>
  <si>
    <t>NNN REIT Inc</t>
  </si>
  <si>
    <t>Omega Healthcare Investors Inc</t>
  </si>
  <si>
    <t>Public Storage</t>
  </si>
  <si>
    <t>Retail Estates NV</t>
  </si>
  <si>
    <t>EN Brussels</t>
  </si>
  <si>
    <t>Simon Property Group Inc</t>
  </si>
  <si>
    <t>VICI Properties Inc</t>
  </si>
  <si>
    <t>WP Carey Inc</t>
  </si>
  <si>
    <t>Admiral Group PLC</t>
  </si>
  <si>
    <t>Associated British Foods PLC</t>
  </si>
  <si>
    <t>Aviva PLC</t>
  </si>
  <si>
    <t>BT Group PLC</t>
  </si>
  <si>
    <t>Coca-Cola HBC AG</t>
  </si>
  <si>
    <t>Hikma Pharmaceuticals PLC</t>
  </si>
  <si>
    <t>HSBC Holdings PLC</t>
  </si>
  <si>
    <t>IG Group Holdings PLC</t>
  </si>
  <si>
    <t>ITV PLC</t>
  </si>
  <si>
    <t>Kingfisher PLC</t>
  </si>
  <si>
    <t>Lloyds Banking Group PLC</t>
  </si>
  <si>
    <t>NatWest Group PLC</t>
  </si>
  <si>
    <t>Rio Tinto PLC</t>
  </si>
  <si>
    <t>J Sainsbury PLC</t>
  </si>
  <si>
    <t>Tesco PLC</t>
  </si>
  <si>
    <t>Unilever PLC</t>
  </si>
  <si>
    <t>Vodafone Group PLC</t>
  </si>
  <si>
    <t>AT&amp;T Inc</t>
  </si>
  <si>
    <t>Cognizant Technology Solutions Corp</t>
  </si>
  <si>
    <t>Duke Energy Corp</t>
  </si>
  <si>
    <t>EOG Resources Inc</t>
  </si>
  <si>
    <t>FirstEnergy Corp</t>
  </si>
  <si>
    <t>Mastercard Inc</t>
  </si>
  <si>
    <t>Pfizer Inc</t>
  </si>
  <si>
    <t>Alibaba Group Holding Ltd</t>
  </si>
  <si>
    <t>Amadeus IT Group SA</t>
  </si>
  <si>
    <t>Soc.Bol SIBE</t>
  </si>
  <si>
    <t>Amdocs Ltd</t>
  </si>
  <si>
    <t>ASE Technology Holding Co Ltd</t>
  </si>
  <si>
    <t>ASML Holding NV</t>
  </si>
  <si>
    <t>Autodesk Inc</t>
  </si>
  <si>
    <t>Cadence Design Systems Inc</t>
  </si>
  <si>
    <t>Check Point Software Technologies Ltd</t>
  </si>
  <si>
    <t>F5 Inc</t>
  </si>
  <si>
    <t>Nomura Research Institute Ltd</t>
  </si>
  <si>
    <t>REA Group Ltd</t>
  </si>
  <si>
    <t>Samsung Electronics Co Ltd</t>
  </si>
  <si>
    <t>London Intl</t>
  </si>
  <si>
    <t>Sea Ltd</t>
  </si>
  <si>
    <t>ServiceNow Inc</t>
  </si>
  <si>
    <t>Taiwan Semiconductor Manufacturing Co Ltd</t>
  </si>
  <si>
    <t>TDK Corp</t>
  </si>
  <si>
    <t>TE Connectivity PLC</t>
  </si>
  <si>
    <t>Tele2 AB</t>
  </si>
  <si>
    <t>Stockholm</t>
  </si>
  <si>
    <t>SEK</t>
  </si>
  <si>
    <t>Uber Technologies Inc</t>
  </si>
  <si>
    <t>Ubiquiti Inc</t>
  </si>
  <si>
    <t>Asahi Group Holdings Ltd</t>
  </si>
  <si>
    <t>Baidu Inc</t>
  </si>
  <si>
    <t>Bandai Namco Holdings Inc</t>
  </si>
  <si>
    <t>BHP Group Ltd</t>
  </si>
  <si>
    <t>Bridgestone Corp</t>
  </si>
  <si>
    <t>Canon Inc</t>
  </si>
  <si>
    <t>Coles Group Ltd</t>
  </si>
  <si>
    <t>COSCO SHIPPING Holdings Co Ltd</t>
  </si>
  <si>
    <t>Coupang Inc</t>
  </si>
  <si>
    <t>DBS Group Holdings Ltd</t>
  </si>
  <si>
    <t>Industrial &amp; Commercial Bank of China Ltd</t>
  </si>
  <si>
    <t>Jardine Matheson Holdings Ltd</t>
  </si>
  <si>
    <t>Kao Corp</t>
  </si>
  <si>
    <t>Lenovo Group Ltd</t>
  </si>
  <si>
    <t>MS&amp;AD Insurance Group Holdings Inc</t>
  </si>
  <si>
    <t>Nintendo Co Ltd</t>
  </si>
  <si>
    <t>NTT Inc</t>
  </si>
  <si>
    <t>Pan Pacific International Holdings Corp</t>
  </si>
  <si>
    <t>PetroChina Co Ltd</t>
  </si>
  <si>
    <t>PICC Property &amp; Casualty Co Ltd</t>
  </si>
  <si>
    <t>QBE Insurance Group Ltd</t>
  </si>
  <si>
    <t>Sinopharm Group Co Ltd</t>
  </si>
  <si>
    <t>Sun Hung Kai Properties Ltd</t>
  </si>
  <si>
    <t>Takeda Pharmaceutical Co Ltd</t>
  </si>
  <si>
    <t>Vipshop Holdings Ltd</t>
  </si>
  <si>
    <t>Xiaomi Corp</t>
  </si>
  <si>
    <t>Yadea Group Holdings Ltd</t>
  </si>
  <si>
    <t>BOC Hong Kong Holdings Ltd</t>
  </si>
  <si>
    <t>China Construction Bank Corp</t>
  </si>
  <si>
    <t>China Development Bank Financial Leasing Co Ltd</t>
  </si>
  <si>
    <t>China Shenhua Energy Co Ltd</t>
  </si>
  <si>
    <t>China Tower Corp Ltd</t>
  </si>
  <si>
    <t>CITIC Ltd</t>
  </si>
  <si>
    <t>CITIC Telecom International Holdings Ltd</t>
  </si>
  <si>
    <t>CLP Holdings Ltd</t>
  </si>
  <si>
    <t>HKT Trust &amp; HKT Ltd</t>
  </si>
  <si>
    <t>PCCW Ltd</t>
  </si>
  <si>
    <t>People's Insurance Co Group of China Ltd/The</t>
  </si>
  <si>
    <t>Qingdao Port International Co Ltd</t>
  </si>
  <si>
    <t>Shougang Fushan Resources Group Ltd</t>
  </si>
  <si>
    <t>SITC International Holdings Co Ltd</t>
  </si>
  <si>
    <t>VTech Holdings Ltd</t>
  </si>
  <si>
    <t>WH Group Ltd</t>
  </si>
  <si>
    <t>Xinhua Winshare Publishing and Media Co Ltd</t>
  </si>
  <si>
    <t>Deere &amp; Co</t>
  </si>
  <si>
    <t>GX Japan Robotics &amp; AI ETF</t>
  </si>
  <si>
    <t>Global X China Robotics &amp; AI ETF</t>
  </si>
  <si>
    <t>Global X China Semiconductor ETF</t>
  </si>
  <si>
    <t>Intuitive Surgical Inc</t>
  </si>
  <si>
    <t>NEC Corp</t>
  </si>
  <si>
    <t>Nutanix Inc</t>
  </si>
  <si>
    <t>Pegasystems Inc</t>
  </si>
  <si>
    <t>PTC Inc</t>
  </si>
  <si>
    <t>QUALCOMM Inc</t>
  </si>
  <si>
    <t>Siemens AG</t>
  </si>
  <si>
    <t>Symbotic Inc</t>
  </si>
  <si>
    <t>Texas Instruments Inc</t>
  </si>
  <si>
    <t>Trimble Inc</t>
  </si>
  <si>
    <t>Twilio Inc</t>
  </si>
  <si>
    <t>UBTech Robotics Corp Ltd</t>
  </si>
  <si>
    <t>Zoom Communications Inc</t>
  </si>
  <si>
    <t>Agilent Technologies Inc</t>
  </si>
  <si>
    <t>Alkermes PLC</t>
  </si>
  <si>
    <t>BioGaia AB</t>
  </si>
  <si>
    <t>Bucher Industries AG</t>
  </si>
  <si>
    <t>Corteva Inc</t>
  </si>
  <si>
    <t>Danone SA</t>
  </si>
  <si>
    <t>Fortum Oyj</t>
  </si>
  <si>
    <t>Helsinki</t>
  </si>
  <si>
    <t>Iberdrola SA</t>
  </si>
  <si>
    <t>Ingredion Inc</t>
  </si>
  <si>
    <t>IQVIA Holdings Inc</t>
  </si>
  <si>
    <t>NetApp Inc</t>
  </si>
  <si>
    <t>Novonesis Novozymes B</t>
  </si>
  <si>
    <t>QIAGEN NV</t>
  </si>
  <si>
    <t>Regeneron Pharmaceuticals Inc</t>
  </si>
  <si>
    <t>Skanska AB</t>
  </si>
  <si>
    <t>Veolia Environnement SA</t>
  </si>
  <si>
    <t>Verbund AG</t>
  </si>
  <si>
    <t>Vienna</t>
  </si>
  <si>
    <t>Waste Connections Inc</t>
  </si>
  <si>
    <t>Equity LifeStyle Properties Inc</t>
  </si>
  <si>
    <t>Lamar Advertising Co</t>
  </si>
  <si>
    <t>National Health Investors Inc</t>
  </si>
  <si>
    <t>Rayonier Inc</t>
  </si>
  <si>
    <t>Sabra Health Care REIT Inc</t>
  </si>
  <si>
    <t>AXA SA</t>
  </si>
  <si>
    <t>Bristol-Myers Squibb Co</t>
  </si>
  <si>
    <t>Coca-Cola Femsa SAB de CV</t>
  </si>
  <si>
    <t>BMV Mexico</t>
  </si>
  <si>
    <t>MXN</t>
  </si>
  <si>
    <t>Endesa SA</t>
  </si>
  <si>
    <t>Enel SpA</t>
  </si>
  <si>
    <t>General Mills Inc</t>
  </si>
  <si>
    <t>Orange SA</t>
  </si>
  <si>
    <t>PepsiCo Inc</t>
  </si>
  <si>
    <t>SoftBank Corp</t>
  </si>
  <si>
    <t>Telenor ASA</t>
  </si>
  <si>
    <t>Zurich Insurance Group AG</t>
  </si>
  <si>
    <t>Chevron Corp</t>
  </si>
  <si>
    <t>Exelon Corp</t>
  </si>
  <si>
    <t>OTC US</t>
  </si>
  <si>
    <t>Aker BP ASA</t>
  </si>
  <si>
    <t>Engie SA</t>
  </si>
  <si>
    <t>Generali</t>
  </si>
  <si>
    <t>Koninklijke Ahold Delhaize NV</t>
  </si>
  <si>
    <t>Koninklijke KPN NV</t>
  </si>
  <si>
    <t>Muenchener Rueckversicherungs-Gesellschaft AG in Muenchen</t>
  </si>
  <si>
    <t>Publicis Groupe SA</t>
  </si>
  <si>
    <t>Amano Corp</t>
  </si>
  <si>
    <t>Asahi Kasei Corp</t>
  </si>
  <si>
    <t>Brother Industries Ltd</t>
  </si>
  <si>
    <t>Isuzu Motors Ltd</t>
  </si>
  <si>
    <t>Japan Airlines Co Ltd</t>
  </si>
  <si>
    <t>KDDI Corp</t>
  </si>
  <si>
    <t>Nippon Gas Co Ltd</t>
  </si>
  <si>
    <t>Nippon Yusen KK</t>
  </si>
  <si>
    <t>Ono Pharmaceutical Co Ltd</t>
  </si>
  <si>
    <t>Persol Holdings Co Ltd</t>
  </si>
  <si>
    <t>Sekisui Chemical Co Ltd</t>
  </si>
  <si>
    <t>SG Holdings Co Ltd</t>
  </si>
  <si>
    <t>Subaru Corp</t>
  </si>
  <si>
    <t>Suntory Beverage &amp; Food Ltd</t>
  </si>
  <si>
    <t>Tosoh Corp</t>
  </si>
  <si>
    <t>A10 Networks Inc</t>
  </si>
  <si>
    <t>Box Inc</t>
  </si>
  <si>
    <t>Clear Secure Inc</t>
  </si>
  <si>
    <t>Cloudflare Inc</t>
  </si>
  <si>
    <t>CyberArk Software Ltd</t>
  </si>
  <si>
    <t>Fortinet Inc</t>
  </si>
  <si>
    <t>Gen Digital Inc</t>
  </si>
  <si>
    <t>Hennge KK</t>
  </si>
  <si>
    <t>Leidos Holdings Inc</t>
  </si>
  <si>
    <t>NetScout Systems Inc</t>
  </si>
  <si>
    <t>OneSpan Inc</t>
  </si>
  <si>
    <t>NASDAQ CM</t>
  </si>
  <si>
    <t>Palo Alto Networks Inc</t>
  </si>
  <si>
    <t>Qualys Inc</t>
  </si>
  <si>
    <t>Radware Ltd</t>
  </si>
  <si>
    <t>Rubrik Inc</t>
  </si>
  <si>
    <t>Thales SA</t>
  </si>
  <si>
    <t>Trend Micro Inc/Japan</t>
  </si>
  <si>
    <t>VeriSign Inc</t>
  </si>
  <si>
    <t>DBB US</t>
  </si>
  <si>
    <t>DBB</t>
  </si>
  <si>
    <t>Invesco DB Base Metals Fund</t>
  </si>
  <si>
    <t>Grayscale Ethereum Staking ETF</t>
  </si>
  <si>
    <t>Crypto ETF</t>
  </si>
  <si>
    <t>DAPP US</t>
  </si>
  <si>
    <t>ETHA US</t>
  </si>
  <si>
    <t>SOLW SW</t>
  </si>
  <si>
    <t>XRPW SW</t>
  </si>
  <si>
    <t>Asian ETF</t>
  </si>
  <si>
    <t>5/22/24</t>
  </si>
  <si>
    <t>1475 JP</t>
  </si>
  <si>
    <t>3115 HK</t>
  </si>
  <si>
    <t>IKOR SW</t>
  </si>
  <si>
    <t>IDTW LN</t>
  </si>
  <si>
    <t>STTF SP</t>
  </si>
  <si>
    <t>VAS AU</t>
  </si>
  <si>
    <t>FLXI LN</t>
  </si>
  <si>
    <t>Asian ETF (US Tax)</t>
  </si>
  <si>
    <t>BBJP US</t>
  </si>
  <si>
    <t>FLKR US</t>
  </si>
  <si>
    <t>FLTW US</t>
  </si>
  <si>
    <t>ASEA US</t>
  </si>
  <si>
    <t>FLAU US</t>
  </si>
  <si>
    <t>FLIN US</t>
  </si>
  <si>
    <t>MUNI CEF</t>
  </si>
  <si>
    <t>4/25/24</t>
  </si>
  <si>
    <t>NEA US</t>
  </si>
  <si>
    <t>VGM US</t>
  </si>
  <si>
    <t>MMU US</t>
  </si>
  <si>
    <t>MVF US</t>
  </si>
  <si>
    <t>BLE US</t>
  </si>
  <si>
    <t>USD Cash Management</t>
  </si>
  <si>
    <t>JPST LN</t>
  </si>
  <si>
    <t>FLOT LN</t>
  </si>
  <si>
    <t>IBTU LN</t>
  </si>
  <si>
    <t>USFR LN</t>
  </si>
  <si>
    <t>STHY LN</t>
  </si>
  <si>
    <t>ID26 LN</t>
  </si>
  <si>
    <t>USD Cash Management (US Tax)</t>
  </si>
  <si>
    <t>JPST US</t>
  </si>
  <si>
    <t>FLOT US</t>
  </si>
  <si>
    <t>IBHF US</t>
  </si>
  <si>
    <t>TBLL US</t>
  </si>
  <si>
    <t>USFR US</t>
  </si>
  <si>
    <t>6/30/25</t>
  </si>
  <si>
    <t>3/19/25</t>
  </si>
  <si>
    <t>LEO Nationwide Equity</t>
  </si>
  <si>
    <t>VFINX US</t>
  </si>
  <si>
    <t>VTIAX US</t>
  </si>
  <si>
    <t>DTCAX US</t>
  </si>
  <si>
    <t>GGHCX US</t>
  </si>
  <si>
    <t>BKTEM</t>
  </si>
  <si>
    <t>CRSAX US</t>
  </si>
  <si>
    <t>LEO Nationwide Balanced</t>
  </si>
  <si>
    <t>Assets</t>
  </si>
  <si>
    <t>BNDW US</t>
  </si>
  <si>
    <t>PFGAX US</t>
  </si>
  <si>
    <t>FBNDX US</t>
  </si>
  <si>
    <t>MFAAX US</t>
  </si>
  <si>
    <t>LEO MF</t>
  </si>
  <si>
    <t>VFTAX US</t>
  </si>
  <si>
    <t>AVUSX US</t>
  </si>
  <si>
    <t>FCBFX US</t>
  </si>
  <si>
    <t>FUAMX US</t>
  </si>
  <si>
    <t>VEUSX US</t>
  </si>
  <si>
    <t>PHSTX US</t>
  </si>
  <si>
    <t>FHKCX US</t>
  </si>
  <si>
    <t>VEGBX US</t>
  </si>
  <si>
    <t>VTABX US</t>
  </si>
  <si>
    <t>FNBGX US</t>
  </si>
  <si>
    <t>VanEck Digital Transformation ETF</t>
  </si>
  <si>
    <t>iShares Ethereum Trust ETF</t>
  </si>
  <si>
    <t>WisdomTree Physical Solana</t>
  </si>
  <si>
    <t>WisdomTree Physical XRP</t>
  </si>
  <si>
    <t>iShares Core TOPIX ETF</t>
  </si>
  <si>
    <t>iShares Core Hang Seng Index ETF</t>
  </si>
  <si>
    <t>iShares MSCI Korea UCITS ETF USD Dist</t>
  </si>
  <si>
    <t>iShares MSCI Taiwan UCITS ETF</t>
  </si>
  <si>
    <t>Vanguard Australian Shares Index ETF</t>
  </si>
  <si>
    <t>Franklin FTSE India UCITS ETF</t>
  </si>
  <si>
    <t>JPMorgan BetaBuilders Japan ETF</t>
  </si>
  <si>
    <t>Franklin FTSE South Korea ETF</t>
  </si>
  <si>
    <t>Franklin FTSE Taiwan ETF</t>
  </si>
  <si>
    <t>Global X FTSE Southeast Asia ETF</t>
  </si>
  <si>
    <t>Franklin FTSE Australia ETF</t>
  </si>
  <si>
    <t>Franklin FTSE India ETF</t>
  </si>
  <si>
    <t>Nuveen AMT-Free Quality Municipal Income Fund</t>
  </si>
  <si>
    <t>Invesco Trust for Investment Grade Municipals</t>
  </si>
  <si>
    <t>Western Asset Managed Municipals Fund Inc</t>
  </si>
  <si>
    <t>BlackRock MuniVest Fund Inc</t>
  </si>
  <si>
    <t>BlackRock Municipal Income Trust II</t>
  </si>
  <si>
    <t>JPMorgan USD Ultra-Short Income Active UCITS ETF</t>
  </si>
  <si>
    <t>iShares USD Floating Rate Bond UCITS ETF</t>
  </si>
  <si>
    <t>iShares USD Treasury Bond 0-1yr UCITS ETF</t>
  </si>
  <si>
    <t>WisdomTree USD Floating Rate Treasury Bond UCITS ETF</t>
  </si>
  <si>
    <t>PIMCO US Short-Term High Yield Corporate Bond UCITS ETF</t>
  </si>
  <si>
    <t>iShares iBonds Dec 2026 Term USD Corp UCITS ETF</t>
  </si>
  <si>
    <t>JPMorgan Ultra-Short Income ETF</t>
  </si>
  <si>
    <t>iShares Floating Rate Bond ETF</t>
  </si>
  <si>
    <t>iShares iBonds 2026 Term High Yield and Income ETF</t>
  </si>
  <si>
    <t>Invesco Short Term Treasury ETF</t>
  </si>
  <si>
    <t>WisdomTree Floating Rate Treasury Fund</t>
  </si>
  <si>
    <t>Vanguard 500 Index Fund</t>
  </si>
  <si>
    <t>Vanguard Total International Stock Index Fund</t>
  </si>
  <si>
    <t>BNY Mellon Sustainable US Equity Fund Inc</t>
  </si>
  <si>
    <t>Invesco Health Care Fund</t>
  </si>
  <si>
    <t>S&amp;P Emerging 50 ADR Index (USD)</t>
  </si>
  <si>
    <t>Credit Suisse Commodity Return Strategy Fund</t>
  </si>
  <si>
    <t>Vanguard Total World Bond ETF</t>
  </si>
  <si>
    <t>PIMCO Long-Term US Government Fund</t>
  </si>
  <si>
    <t>Fidelity Investment Grade Bond Fund</t>
  </si>
  <si>
    <t>American Funds Mortgage Fund</t>
  </si>
  <si>
    <t>Vanguard FTSE Social Index Fund</t>
  </si>
  <si>
    <t>Avantis US Equity Fund</t>
  </si>
  <si>
    <t>Fidelity Corporate Bond Fund</t>
  </si>
  <si>
    <t>Fidelity Intermediate Treasury Bond Index Fund</t>
  </si>
  <si>
    <t>Vanguard European Stock Index Fund</t>
  </si>
  <si>
    <t>Putnam Global Health Care Fund</t>
  </si>
  <si>
    <t>Fidelity China Region Fund</t>
  </si>
  <si>
    <t>Vanguard Emerging Markets Bond Fund</t>
  </si>
  <si>
    <t>Vanguard Total International Bond Index Fund</t>
  </si>
  <si>
    <t>Fidelity Long-Term Treasury Bond Index Fund</t>
  </si>
  <si>
    <t>XD9U LN</t>
  </si>
  <si>
    <t>IQGA LN</t>
  </si>
  <si>
    <t>XMME LN</t>
  </si>
  <si>
    <t>EXUS LN</t>
  </si>
  <si>
    <t>WSML LN</t>
  </si>
  <si>
    <t>XD9U</t>
  </si>
  <si>
    <t>IQGA</t>
  </si>
  <si>
    <t>XMME</t>
  </si>
  <si>
    <t>EXUS</t>
  </si>
  <si>
    <t>WSML</t>
  </si>
  <si>
    <t>WXAG</t>
  </si>
  <si>
    <t>WXAG LN</t>
  </si>
  <si>
    <t>Xtrackers MSCI USA UCITS ETF</t>
  </si>
  <si>
    <t>Invesco Global Enhanced Equity UCITS ETF</t>
  </si>
  <si>
    <t>Xtrackers MSCI Emerging Markets UCITS ETF</t>
  </si>
  <si>
    <t>Xtrackers MSCI World ex USA UCITS ETF</t>
  </si>
  <si>
    <t>Ishares III PLC - Ishares Msci World Small Cap UCITS ETF</t>
  </si>
  <si>
    <t>Wisdomtree Enhanced Commodity EX-Agriculture UCITS ETF</t>
  </si>
  <si>
    <t>#N/A Field Not Applicable</t>
  </si>
  <si>
    <t>EMXC US</t>
  </si>
  <si>
    <t>WSML US</t>
  </si>
  <si>
    <t>EMXC</t>
  </si>
  <si>
    <t>IBND US</t>
  </si>
  <si>
    <t>IBND</t>
  </si>
  <si>
    <t>iShares MSCI Emerging Markets ex China ETF</t>
  </si>
  <si>
    <t>iShares MSCI World Small-Cap ETF</t>
  </si>
  <si>
    <t>SPDR Bloomberg International Corporate Bond ETF</t>
  </si>
  <si>
    <t>Small Cap</t>
  </si>
  <si>
    <t>US</t>
  </si>
  <si>
    <t>EM Corporate</t>
  </si>
  <si>
    <t>Mortgage-backed</t>
  </si>
  <si>
    <t>IHVV AU</t>
  </si>
  <si>
    <t>EXUS AU</t>
  </si>
  <si>
    <t>VISM AU</t>
  </si>
  <si>
    <t>VISM</t>
  </si>
  <si>
    <t>IHVV</t>
  </si>
  <si>
    <t>iShares S&amp;P 500 AUD Hedged ETF</t>
  </si>
  <si>
    <t>Betashares Global Shares Ex US ETF</t>
  </si>
  <si>
    <t>Vanguard MSCI International Small Companies Index ETF</t>
  </si>
  <si>
    <t>Innovation</t>
  </si>
  <si>
    <t>ABBN SW</t>
  </si>
  <si>
    <t>AMD US</t>
  </si>
  <si>
    <t>ARGX US</t>
  </si>
  <si>
    <t>ANET US</t>
  </si>
  <si>
    <t>3750 HK</t>
  </si>
  <si>
    <t>CRDO US</t>
  </si>
  <si>
    <t>DDOG US</t>
  </si>
  <si>
    <t>ELVA US</t>
  </si>
  <si>
    <t>GMAB US</t>
  </si>
  <si>
    <t>9660 HK</t>
  </si>
  <si>
    <t>PODD US</t>
  </si>
  <si>
    <t>MTZ US</t>
  </si>
  <si>
    <t>NBIS US</t>
  </si>
  <si>
    <t>NXT US</t>
  </si>
  <si>
    <t>NDX1 GR</t>
  </si>
  <si>
    <t>OUST US</t>
  </si>
  <si>
    <t>UFO US</t>
  </si>
  <si>
    <t>RMD US</t>
  </si>
  <si>
    <t>2498 HK</t>
  </si>
  <si>
    <t>IOT US</t>
  </si>
  <si>
    <t>ENR GR</t>
  </si>
  <si>
    <t>HY9H GR</t>
  </si>
  <si>
    <t>VRT US</t>
  </si>
  <si>
    <t>WQTM US</t>
  </si>
  <si>
    <t>9868 HK</t>
  </si>
  <si>
    <t>2050 HK</t>
  </si>
  <si>
    <t>ABB Ltd</t>
  </si>
  <si>
    <t>Advanced Micro Devices Inc</t>
  </si>
  <si>
    <t>Argenx SE</t>
  </si>
  <si>
    <t>Arista Networks Inc</t>
  </si>
  <si>
    <t>Contemporary Amperex Technology Co Ltd</t>
  </si>
  <si>
    <t>Credo Technology Group Holding Ltd</t>
  </si>
  <si>
    <t>Datadog Inc</t>
  </si>
  <si>
    <t>Electrovaya Inc</t>
  </si>
  <si>
    <t>Genmab A/S</t>
  </si>
  <si>
    <t>Horizon Robotics</t>
  </si>
  <si>
    <t>Insulet Corp</t>
  </si>
  <si>
    <t>MasTec Inc</t>
  </si>
  <si>
    <t>Nebius Group NV</t>
  </si>
  <si>
    <t>Nextpower Inc</t>
  </si>
  <si>
    <t>Nordex SE</t>
  </si>
  <si>
    <t>Ouster Inc</t>
  </si>
  <si>
    <t>Procure Space ETF</t>
  </si>
  <si>
    <t>ResMed Inc</t>
  </si>
  <si>
    <t>RoboSense Technology Co Ltd</t>
  </si>
  <si>
    <t>Samsara Inc</t>
  </si>
  <si>
    <t>Siemens Energy AG</t>
  </si>
  <si>
    <t>SK hynix Inc</t>
  </si>
  <si>
    <t>Frankfurt</t>
  </si>
  <si>
    <t>Vertiv Holdings Co</t>
  </si>
  <si>
    <t>WisdomTree Quantum Computing Fund</t>
  </si>
  <si>
    <t>XPeng Inc</t>
  </si>
  <si>
    <t>Zhejiang Sanhua Intelligent Controls Co Ltd</t>
  </si>
  <si>
    <t>SPPG LN</t>
  </si>
  <si>
    <t>XMWX LN</t>
  </si>
  <si>
    <t>XMMS LN</t>
  </si>
  <si>
    <t>IQGG LN</t>
  </si>
  <si>
    <t>WLDS LN</t>
  </si>
  <si>
    <t>SPPG</t>
  </si>
  <si>
    <t>XMWX</t>
  </si>
  <si>
    <t>XMMS</t>
  </si>
  <si>
    <t>IQGG</t>
  </si>
  <si>
    <t>WLDS</t>
  </si>
  <si>
    <t>XD9E IM</t>
  </si>
  <si>
    <t>XD9E</t>
  </si>
  <si>
    <t>IQGE</t>
  </si>
  <si>
    <t>IUSN</t>
  </si>
  <si>
    <t>WAXG</t>
  </si>
  <si>
    <t>EXUS GR</t>
  </si>
  <si>
    <t>XMME GR</t>
  </si>
  <si>
    <t>IQGE GR</t>
  </si>
  <si>
    <t>IUSN GR</t>
  </si>
  <si>
    <t>WAXG GR</t>
  </si>
  <si>
    <t>EUNH GR</t>
  </si>
  <si>
    <t>BXB AU</t>
  </si>
  <si>
    <t>GMAB DC</t>
  </si>
  <si>
    <t>SGM AU</t>
  </si>
  <si>
    <t>ABBN</t>
  </si>
  <si>
    <t>BIOG&gt;B</t>
  </si>
  <si>
    <t>BXB</t>
  </si>
  <si>
    <t>SMART/SBF</t>
  </si>
  <si>
    <t>SMART/HEX</t>
  </si>
  <si>
    <t>GMAB</t>
  </si>
  <si>
    <t>GMAB/CPH</t>
  </si>
  <si>
    <t>NDX1</t>
  </si>
  <si>
    <t>SMART/IBIS</t>
  </si>
  <si>
    <t>NSIS.B</t>
  </si>
  <si>
    <t>SMART/CPH</t>
  </si>
  <si>
    <t>RMD</t>
  </si>
  <si>
    <t>SGM</t>
  </si>
  <si>
    <t>Brambles Ltd</t>
  </si>
  <si>
    <t>Sims Ltd</t>
  </si>
  <si>
    <t>MC FP</t>
  </si>
  <si>
    <t>MU US</t>
  </si>
  <si>
    <t>TRV US</t>
  </si>
  <si>
    <t>TCOM US</t>
  </si>
  <si>
    <t>MC</t>
  </si>
  <si>
    <t>MU</t>
  </si>
  <si>
    <t>TRV</t>
  </si>
  <si>
    <t>TCOM</t>
  </si>
  <si>
    <t>CMSA</t>
  </si>
  <si>
    <t>LVMH Moet Hennessy Louis Vuitton SE</t>
  </si>
  <si>
    <t>Micron Technology Inc</t>
  </si>
  <si>
    <t>Travelers Cos Inc/The</t>
  </si>
  <si>
    <t>Trip.com Group Ltd</t>
  </si>
  <si>
    <t>US Value</t>
  </si>
  <si>
    <t>Factor International</t>
  </si>
  <si>
    <t>Corporate</t>
  </si>
  <si>
    <t>Australia</t>
  </si>
  <si>
    <t>iShares iBoxx USD Investment Grade Corporate Bond ETF</t>
  </si>
  <si>
    <t>SS SPDR S&amp;P 500 UCITS ETF</t>
  </si>
  <si>
    <t>BCE US</t>
  </si>
  <si>
    <t>ES US</t>
  </si>
  <si>
    <t>PRU US</t>
  </si>
  <si>
    <t>BCE</t>
  </si>
  <si>
    <t>ES</t>
  </si>
  <si>
    <t>PRU</t>
  </si>
  <si>
    <t>BCE Inc</t>
  </si>
  <si>
    <t>Eversource Energy</t>
  </si>
  <si>
    <t>Prudential Financial Inc</t>
  </si>
  <si>
    <t>BCE CN</t>
  </si>
  <si>
    <t>NTGY SM</t>
  </si>
  <si>
    <t>NTGY</t>
  </si>
  <si>
    <t>Naturgy Energy Group SA</t>
  </si>
  <si>
    <t>3998 HK</t>
  </si>
  <si>
    <t>2503 JP</t>
  </si>
  <si>
    <t>8309 JP</t>
  </si>
  <si>
    <t>Bosideng International Holdings Ltd</t>
  </si>
  <si>
    <t>Kirin Holdings Co Ltd</t>
  </si>
  <si>
    <t>Sumitomo Mitsui Trust Group Inc</t>
  </si>
  <si>
    <t>ISIN</t>
  </si>
  <si>
    <t>iSIN</t>
  </si>
  <si>
    <t>US02079K1079</t>
  </si>
  <si>
    <t>US0378331005</t>
  </si>
  <si>
    <t>US5949181045</t>
  </si>
  <si>
    <t>GB00BP6MXD84</t>
  </si>
  <si>
    <t>US0255371017</t>
  </si>
  <si>
    <t>US7433151039</t>
  </si>
  <si>
    <t>US0231351067</t>
  </si>
  <si>
    <t>NO0010096985</t>
  </si>
  <si>
    <t>US92343V1044</t>
  </si>
  <si>
    <t>US00287Y1091</t>
  </si>
  <si>
    <t>US94106L1098</t>
  </si>
  <si>
    <t>US30303M1027</t>
  </si>
  <si>
    <t>US7427181091</t>
  </si>
  <si>
    <t>KYG875721634</t>
  </si>
  <si>
    <t>CH0012005267</t>
  </si>
  <si>
    <t>US30231G1022</t>
  </si>
  <si>
    <t>US0200021014</t>
  </si>
  <si>
    <t>DE0008404005</t>
  </si>
  <si>
    <t>US9311421039</t>
  </si>
  <si>
    <t>FR0000120271</t>
  </si>
  <si>
    <t>IE000IVNQZ81</t>
  </si>
  <si>
    <t>CH0012032048</t>
  </si>
  <si>
    <t>FR0000121014</t>
  </si>
  <si>
    <t>US5951121038</t>
  </si>
  <si>
    <t>US17275R1023</t>
  </si>
  <si>
    <t>KYG6427A1022</t>
  </si>
  <si>
    <t>US89417E1091</t>
  </si>
  <si>
    <t>US4592001014</t>
  </si>
  <si>
    <t>US57636Q1040</t>
  </si>
  <si>
    <t>US20030N1019</t>
  </si>
  <si>
    <t>US1101221083</t>
  </si>
  <si>
    <t>US89677Q1076</t>
  </si>
  <si>
    <t>DE0005557508</t>
  </si>
  <si>
    <t>IE00B4BNMY34</t>
  </si>
  <si>
    <t>US58733R1023</t>
  </si>
  <si>
    <t>US00724F1012</t>
  </si>
  <si>
    <t>US0028241000</t>
  </si>
  <si>
    <t>GB0009895292</t>
  </si>
  <si>
    <t>US1011371077</t>
  </si>
  <si>
    <t>US3755581036</t>
  </si>
  <si>
    <t>GB00BN7SWP63</t>
  </si>
  <si>
    <t>US40412C1018</t>
  </si>
  <si>
    <t>US45337C1027</t>
  </si>
  <si>
    <t>US4781601046</t>
  </si>
  <si>
    <t>US5049221055</t>
  </si>
  <si>
    <t>IE00BTN1Y115</t>
  </si>
  <si>
    <t>US58933Y1055</t>
  </si>
  <si>
    <t>FR0000120578</t>
  </si>
  <si>
    <t>JP3347200002</t>
  </si>
  <si>
    <t>DE000SHL1006</t>
  </si>
  <si>
    <t>GB0009223206</t>
  </si>
  <si>
    <t>US1255231003</t>
  </si>
  <si>
    <t>US9224751084</t>
  </si>
  <si>
    <t>JP3047650001</t>
  </si>
  <si>
    <t>JP3505000004</t>
  </si>
  <si>
    <t>JP3046390005</t>
  </si>
  <si>
    <t>JP3046410001</t>
  </si>
  <si>
    <t>JP3046500009</t>
  </si>
  <si>
    <t>JP3046420000</t>
  </si>
  <si>
    <t>JP3046400002</t>
  </si>
  <si>
    <t>JP3040890000</t>
  </si>
  <si>
    <t>JP3046470005</t>
  </si>
  <si>
    <t>JP3046170001</t>
  </si>
  <si>
    <t>JP3047750009</t>
  </si>
  <si>
    <t>JP3048110005</t>
  </si>
  <si>
    <t>JP3047820000</t>
  </si>
  <si>
    <t>JP3399200009</t>
  </si>
  <si>
    <t>JP3044510000</t>
  </si>
  <si>
    <t>US03027X1000</t>
  </si>
  <si>
    <t>US11135E2037</t>
  </si>
  <si>
    <t>CA17039A1066</t>
  </si>
  <si>
    <t>JP3486800000</t>
  </si>
  <si>
    <t>US26884U1097</t>
  </si>
  <si>
    <t>US36467J1088</t>
  </si>
  <si>
    <t>FR0000121964</t>
  </si>
  <si>
    <t>SG2D18969584</t>
  </si>
  <si>
    <t>US6374171063</t>
  </si>
  <si>
    <t>US6819361006</t>
  </si>
  <si>
    <t>US74460D1090</t>
  </si>
  <si>
    <t>BE0003720340</t>
  </si>
  <si>
    <t>US8288061091</t>
  </si>
  <si>
    <t>US9256521090</t>
  </si>
  <si>
    <t>US92936U1097</t>
  </si>
  <si>
    <t>GB00B02J6398</t>
  </si>
  <si>
    <t>GB0006731235</t>
  </si>
  <si>
    <t>GB00BPQY8M80</t>
  </si>
  <si>
    <t>GB0030913577</t>
  </si>
  <si>
    <t>CH0198251305</t>
  </si>
  <si>
    <t>GB00B0LCW083</t>
  </si>
  <si>
    <t>GB0005405286</t>
  </si>
  <si>
    <t>GB00B06QFB75</t>
  </si>
  <si>
    <t>GB0033986497</t>
  </si>
  <si>
    <t>GB0033195214</t>
  </si>
  <si>
    <t>GB0008706128</t>
  </si>
  <si>
    <t>GB00BM8PJY71</t>
  </si>
  <si>
    <t>GB0007188757</t>
  </si>
  <si>
    <t>GB00B019KW72</t>
  </si>
  <si>
    <t>GB00BLGZ9862</t>
  </si>
  <si>
    <t>GB00BVZK7T90</t>
  </si>
  <si>
    <t>GB00BH4HKS39</t>
  </si>
  <si>
    <t>US00206R1023</t>
  </si>
  <si>
    <t>US26875P1012</t>
  </si>
  <si>
    <t>US26441C2044</t>
  </si>
  <si>
    <t>US3379321074</t>
  </si>
  <si>
    <t>US1924461023</t>
  </si>
  <si>
    <t>KYG017191142</t>
  </si>
  <si>
    <t>ES0109067019</t>
  </si>
  <si>
    <t>GB0022569080</t>
  </si>
  <si>
    <t>US00215W1009</t>
  </si>
  <si>
    <t>NL0010273215</t>
  </si>
  <si>
    <t>US0527691069</t>
  </si>
  <si>
    <t>US1273871087</t>
  </si>
  <si>
    <t>IL0010824113</t>
  </si>
  <si>
    <t>US3156161024</t>
  </si>
  <si>
    <t>JP3762800005</t>
  </si>
  <si>
    <t>AU000000REA9</t>
  </si>
  <si>
    <t>US7960508882</t>
  </si>
  <si>
    <t>US81141R1005</t>
  </si>
  <si>
    <t>US81762P1021</t>
  </si>
  <si>
    <t>US8740391003</t>
  </si>
  <si>
    <t>JP3538800008</t>
  </si>
  <si>
    <t>SE0005190238</t>
  </si>
  <si>
    <t>US90353T1007</t>
  </si>
  <si>
    <t>US90353W1036</t>
  </si>
  <si>
    <t>JP3116000005</t>
  </si>
  <si>
    <t>KYG070341048</t>
  </si>
  <si>
    <t>JP3778630008</t>
  </si>
  <si>
    <t>AU000000BHP4</t>
  </si>
  <si>
    <t>JP3830800003</t>
  </si>
  <si>
    <t>CNE100000296</t>
  </si>
  <si>
    <t>JP3242800005</t>
  </si>
  <si>
    <t>AU0000030678</t>
  </si>
  <si>
    <t>CNE1000002J7</t>
  </si>
  <si>
    <t>US22266T1097</t>
  </si>
  <si>
    <t>SG1L01001701</t>
  </si>
  <si>
    <t>CNE1000003G1</t>
  </si>
  <si>
    <t>BMG507361001</t>
  </si>
  <si>
    <t>JP3205800000</t>
  </si>
  <si>
    <t>HK0992009065</t>
  </si>
  <si>
    <t>JP3890310000</t>
  </si>
  <si>
    <t>JP3756600007</t>
  </si>
  <si>
    <t>JP3735400008</t>
  </si>
  <si>
    <t>JP3639650005</t>
  </si>
  <si>
    <t>CNE1000003W8</t>
  </si>
  <si>
    <t>CNE100000593</t>
  </si>
  <si>
    <t>AU000000QBE9</t>
  </si>
  <si>
    <t>CNE100000FN7</t>
  </si>
  <si>
    <t>HK0016000132</t>
  </si>
  <si>
    <t>JP3463000004</t>
  </si>
  <si>
    <t>US92763W1036</t>
  </si>
  <si>
    <t>KYG9830T1067</t>
  </si>
  <si>
    <t>KYG9830F1063</t>
  </si>
  <si>
    <t>KYG8187G1055</t>
  </si>
  <si>
    <t>KYG126521064</t>
  </si>
  <si>
    <t>CNE100006V65</t>
  </si>
  <si>
    <t>HK1883037637</t>
  </si>
  <si>
    <t>CNE1000002R0</t>
  </si>
  <si>
    <t>HK0002007356</t>
  </si>
  <si>
    <t>HK0267001375</t>
  </si>
  <si>
    <t>CNE100001MK7</t>
  </si>
  <si>
    <t>CNE100001SG2</t>
  </si>
  <si>
    <t>HK0639031506</t>
  </si>
  <si>
    <t>CNE1000004B0</t>
  </si>
  <si>
    <t>BMG9400S1329</t>
  </si>
  <si>
    <t>HK0008011667</t>
  </si>
  <si>
    <t>CNE1000002H1</t>
  </si>
  <si>
    <t>HK2388011192</t>
  </si>
  <si>
    <t>HK0000093390</t>
  </si>
  <si>
    <t>KYG960071028</t>
  </si>
  <si>
    <t>CNE1000027C9</t>
  </si>
  <si>
    <t>US0567521085</t>
  </si>
  <si>
    <t>US2441991054</t>
  </si>
  <si>
    <t>JP3049300001</t>
  </si>
  <si>
    <t>HK0000637857</t>
  </si>
  <si>
    <t>HK0000637832</t>
  </si>
  <si>
    <t>US46120E6023</t>
  </si>
  <si>
    <t>JP3733000008</t>
  </si>
  <si>
    <t>US67059N1081</t>
  </si>
  <si>
    <t>US7055731035</t>
  </si>
  <si>
    <t>US69370C1009</t>
  </si>
  <si>
    <t>US7475251036</t>
  </si>
  <si>
    <t>DE0007236101</t>
  </si>
  <si>
    <t>US87151X1019</t>
  </si>
  <si>
    <t>US8825081040</t>
  </si>
  <si>
    <t>US8962391004</t>
  </si>
  <si>
    <t>US90138F1021</t>
  </si>
  <si>
    <t>CNE100006CQ4</t>
  </si>
  <si>
    <t>US98980L1017</t>
  </si>
  <si>
    <t>CH0012221716</t>
  </si>
  <si>
    <t>US00846U1016</t>
  </si>
  <si>
    <t>IE00B56GVS15</t>
  </si>
  <si>
    <t>SE0017769995</t>
  </si>
  <si>
    <t>AU000000BXB1</t>
  </si>
  <si>
    <t>CH0002432174</t>
  </si>
  <si>
    <t>CNE100006WS8</t>
  </si>
  <si>
    <t>US22052L1044</t>
  </si>
  <si>
    <t>FR0000120644</t>
  </si>
  <si>
    <t>FI0009007132</t>
  </si>
  <si>
    <t>DK0010272202</t>
  </si>
  <si>
    <t>ES0144580Y14</t>
  </si>
  <si>
    <t>US4571871023</t>
  </si>
  <si>
    <t>US46266C1053</t>
  </si>
  <si>
    <t>US64110D1046</t>
  </si>
  <si>
    <t>DE000A0D6554</t>
  </si>
  <si>
    <t>DK0060336014</t>
  </si>
  <si>
    <t>NL0015002SN0</t>
  </si>
  <si>
    <t>US75886F1075</t>
  </si>
  <si>
    <t>US7611521078</t>
  </si>
  <si>
    <t>AU000000SGM7</t>
  </si>
  <si>
    <t>SE0000113250</t>
  </si>
  <si>
    <t>FR0000124141</t>
  </si>
  <si>
    <t>AT0000746409</t>
  </si>
  <si>
    <t>CA94106B1013</t>
  </si>
  <si>
    <t>US29472R1086</t>
  </si>
  <si>
    <t>US5128161099</t>
  </si>
  <si>
    <t>US63633D1046</t>
  </si>
  <si>
    <t>US7549071030</t>
  </si>
  <si>
    <t>US78573L1061</t>
  </si>
  <si>
    <t>FR0000120628</t>
  </si>
  <si>
    <t>CA05534B7604</t>
  </si>
  <si>
    <t>MX01KO000002</t>
  </si>
  <si>
    <t>ES0130670112</t>
  </si>
  <si>
    <t>IT0003128367</t>
  </si>
  <si>
    <t>US30040W1080</t>
  </si>
  <si>
    <t>US3703341046</t>
  </si>
  <si>
    <t>US4943681035</t>
  </si>
  <si>
    <t>ES0116870314</t>
  </si>
  <si>
    <t>US7134481081</t>
  </si>
  <si>
    <t>US7170811035</t>
  </si>
  <si>
    <t>US7443201022</t>
  </si>
  <si>
    <t>FR0000130577</t>
  </si>
  <si>
    <t>JP3732000009</t>
  </si>
  <si>
    <t>NO0010063308</t>
  </si>
  <si>
    <t>CH0011075394</t>
  </si>
  <si>
    <t>US1667641005</t>
  </si>
  <si>
    <t>US1912411089</t>
  </si>
  <si>
    <t>US30161N1019</t>
  </si>
  <si>
    <t>US37733W2044</t>
  </si>
  <si>
    <t>US66987V1098</t>
  </si>
  <si>
    <t>US7711951043</t>
  </si>
  <si>
    <t>US80105N1054</t>
  </si>
  <si>
    <t>US7802593050</t>
  </si>
  <si>
    <t>US92857W3088</t>
  </si>
  <si>
    <t>NO0010345853</t>
  </si>
  <si>
    <t>FR0010208488</t>
  </si>
  <si>
    <t>IT0000062072</t>
  </si>
  <si>
    <t>NL0011794037</t>
  </si>
  <si>
    <t>NL0000009082</t>
  </si>
  <si>
    <t>DE0008430026</t>
  </si>
  <si>
    <t>FR0000133308</t>
  </si>
  <si>
    <t>JP3547670004</t>
  </si>
  <si>
    <t>JP3258000003</t>
  </si>
  <si>
    <t>JP3336560002</t>
  </si>
  <si>
    <t>JP3111200006</t>
  </si>
  <si>
    <t>JP3595200001</t>
  </si>
  <si>
    <t>JP3419400001</t>
  </si>
  <si>
    <t>JP3197600004</t>
  </si>
  <si>
    <t>JP3124400007</t>
  </si>
  <si>
    <t>JP3830000000</t>
  </si>
  <si>
    <t>JP3137200006</t>
  </si>
  <si>
    <t>JP3814800003</t>
  </si>
  <si>
    <t>JP3695600001</t>
  </si>
  <si>
    <t>JP3892100003</t>
  </si>
  <si>
    <t>JP3753000003</t>
  </si>
  <si>
    <t>JP3162770006</t>
  </si>
  <si>
    <t>JP3705200008</t>
  </si>
  <si>
    <t>JP3496400007</t>
  </si>
  <si>
    <t>US0021211018</t>
  </si>
  <si>
    <t>US10316T1043</t>
  </si>
  <si>
    <t>US18467V1098</t>
  </si>
  <si>
    <t>US18915M1071</t>
  </si>
  <si>
    <t>IL0011334468</t>
  </si>
  <si>
    <t>US34959E1091</t>
  </si>
  <si>
    <t>US6687711084</t>
  </si>
  <si>
    <t>JP3835150008</t>
  </si>
  <si>
    <t>US5253271028</t>
  </si>
  <si>
    <t>US64115T1043</t>
  </si>
  <si>
    <t>US68287N1000</t>
  </si>
  <si>
    <t>US6974351057</t>
  </si>
  <si>
    <t>US74758T3032</t>
  </si>
  <si>
    <t>IL0010834765</t>
  </si>
  <si>
    <t>US7811541090</t>
  </si>
  <si>
    <t>FR0000121329</t>
  </si>
  <si>
    <t>JP3637300009</t>
  </si>
  <si>
    <t>US92343E1029</t>
  </si>
  <si>
    <t>US0079031078</t>
  </si>
  <si>
    <t>US04016X1019</t>
  </si>
  <si>
    <t>US0404132054</t>
  </si>
  <si>
    <t>KYG254571055</t>
  </si>
  <si>
    <t>US23804L1035</t>
  </si>
  <si>
    <t>CA28617B6061</t>
  </si>
  <si>
    <t>US3723032062</t>
  </si>
  <si>
    <t>KYG4602S1057</t>
  </si>
  <si>
    <t>US45784P1012</t>
  </si>
  <si>
    <t>US5763231090</t>
  </si>
  <si>
    <t>NL0009805522</t>
  </si>
  <si>
    <t>US65290E1010</t>
  </si>
  <si>
    <t>US68989M2026</t>
  </si>
  <si>
    <t>US74280R2058</t>
  </si>
  <si>
    <t>KYG7611S1075</t>
  </si>
  <si>
    <t>US79589L1061</t>
  </si>
  <si>
    <t>DE000ENER6Y0</t>
  </si>
  <si>
    <t>US78392B1070</t>
  </si>
  <si>
    <t>US92537N1081</t>
  </si>
  <si>
    <t>US97717Y2954</t>
  </si>
  <si>
    <t>KYG982AW1003</t>
  </si>
  <si>
    <t>CNE100006Z79</t>
  </si>
  <si>
    <t>IE00BJ0KDR00</t>
  </si>
  <si>
    <t>IE000TZ4SIN6</t>
  </si>
  <si>
    <t>IE00BF4G6Y48</t>
  </si>
  <si>
    <t>IE00BTJRMP35</t>
  </si>
  <si>
    <t>IE0006WW1TQ4</t>
  </si>
  <si>
    <t>IE00BF4RFH31</t>
  </si>
  <si>
    <t>LU0274209237</t>
  </si>
  <si>
    <t>IE00BM67HK77</t>
  </si>
  <si>
    <t>IE00BDVPNS35</t>
  </si>
  <si>
    <t>IE0007G78AC4</t>
  </si>
  <si>
    <t>IE00B7J7TB45</t>
  </si>
  <si>
    <t>IE00BFZPF546</t>
  </si>
  <si>
    <t>IE00BSKRJZ44</t>
  </si>
  <si>
    <t>IE00B1FZS798</t>
  </si>
  <si>
    <t>IE00BZ6V7883</t>
  </si>
  <si>
    <t>IE00BZ163K21</t>
  </si>
  <si>
    <t>US9219107334</t>
  </si>
  <si>
    <t>US9219107250</t>
  </si>
  <si>
    <t>US3814305039</t>
  </si>
  <si>
    <t>US0250728856</t>
  </si>
  <si>
    <t>US46641Q1343</t>
  </si>
  <si>
    <t>US46434G7640</t>
  </si>
  <si>
    <t>US9220428745</t>
  </si>
  <si>
    <t>US4642873255</t>
  </si>
  <si>
    <t>US46438G4304</t>
  </si>
  <si>
    <t>US35473P8196</t>
  </si>
  <si>
    <t>US97717Y6831</t>
  </si>
  <si>
    <t>US4642874329</t>
  </si>
  <si>
    <t>US4642872422</t>
  </si>
  <si>
    <t>US78464A1512</t>
  </si>
  <si>
    <t>US47103U8523</t>
  </si>
  <si>
    <t>US4642862514</t>
  </si>
  <si>
    <t>US4642865178</t>
  </si>
  <si>
    <t>US4642874402</t>
  </si>
  <si>
    <t>US97717X5784</t>
  </si>
  <si>
    <t>GB00B15KYB02</t>
  </si>
  <si>
    <t>GB00B15KYG56</t>
  </si>
  <si>
    <t>GB00BJYDH287</t>
  </si>
  <si>
    <t>GB00BJYDH394</t>
  </si>
  <si>
    <t>IE00B4556L06</t>
  </si>
  <si>
    <t>IE00B4NCWG09</t>
  </si>
  <si>
    <t>IE0002PG6CA6</t>
  </si>
  <si>
    <t>IE00BZ1NCS44</t>
  </si>
  <si>
    <t>IE00B579F325</t>
  </si>
  <si>
    <t>US0032621023</t>
  </si>
  <si>
    <t>US0032641088</t>
  </si>
  <si>
    <t>US3159481098</t>
  </si>
  <si>
    <t>US3896381072</t>
  </si>
  <si>
    <t>US46140H7008</t>
  </si>
  <si>
    <t>US46140H3049</t>
  </si>
  <si>
    <t>State Street SPDR Bloomberg Enhanced Roll Yield Commodity Strategy No K-1 ETF</t>
  </si>
  <si>
    <t>US78468R4406</t>
  </si>
  <si>
    <t>US98149E3036</t>
  </si>
  <si>
    <t>US92189H8051</t>
  </si>
  <si>
    <t>US9219378356</t>
  </si>
  <si>
    <t>US92189H8218</t>
  </si>
  <si>
    <t>US46438R1059</t>
  </si>
  <si>
    <t>GB00BNGJ9G01</t>
  </si>
  <si>
    <t>GB00BRXHQ425</t>
  </si>
  <si>
    <t>JP3048120004</t>
  </si>
  <si>
    <t>HK0000313426</t>
  </si>
  <si>
    <t>LU2456436083</t>
  </si>
  <si>
    <t>IE00B0M63391</t>
  </si>
  <si>
    <t>IE00B0M63623</t>
  </si>
  <si>
    <t>State Street SPDR Straits Times Index ETF</t>
  </si>
  <si>
    <t>SG1W45939194</t>
  </si>
  <si>
    <t>AU000000VAS1</t>
  </si>
  <si>
    <t>IE00BHZRQZ17</t>
  </si>
  <si>
    <t>US46641Q2176</t>
  </si>
  <si>
    <t>US35473P7107</t>
  </si>
  <si>
    <t>US35473P6869</t>
  </si>
  <si>
    <t>US37950E6480</t>
  </si>
  <si>
    <t>US35473P8436</t>
  </si>
  <si>
    <t>US35473P7693</t>
  </si>
  <si>
    <t>US6706571055</t>
  </si>
  <si>
    <t>US46131M1062</t>
  </si>
  <si>
    <t>US95766M1053</t>
  </si>
  <si>
    <t>US09253R1059</t>
  </si>
  <si>
    <t>US09249N1019</t>
  </si>
  <si>
    <t>IE00BDFC6Q91</t>
  </si>
  <si>
    <t>IE00BZ048462</t>
  </si>
  <si>
    <t>IE00BGR7L912</t>
  </si>
  <si>
    <t>IE00BJFN5P63</t>
  </si>
  <si>
    <t>IE00B7N3YW49</t>
  </si>
  <si>
    <t>IE0007UPSEA3</t>
  </si>
  <si>
    <t>US46641Q8371</t>
  </si>
  <si>
    <t>US46429B6552</t>
  </si>
  <si>
    <t>US46436E5289</t>
  </si>
  <si>
    <t>US46138G8886</t>
  </si>
  <si>
    <t>US97717Y5270</t>
  </si>
  <si>
    <t>US9229081081</t>
  </si>
  <si>
    <t>US9219098186</t>
  </si>
  <si>
    <t>US09661D1028</t>
  </si>
  <si>
    <t>US00141T1060</t>
  </si>
  <si>
    <t>US22544R1077</t>
  </si>
  <si>
    <t>IE00BYYW2S15</t>
  </si>
  <si>
    <t>IE000D9DX847</t>
  </si>
  <si>
    <t>IE000HGM78N6</t>
  </si>
  <si>
    <t>IE00B00FV011</t>
  </si>
  <si>
    <t>IE00B1FZSB30</t>
  </si>
  <si>
    <t>IE00BDFK3G24</t>
  </si>
  <si>
    <t>IE00BK5MT033</t>
  </si>
  <si>
    <t>IE00B5M4WH52</t>
  </si>
  <si>
    <t>Model</t>
  </si>
  <si>
    <t>Ticker Symbol</t>
  </si>
  <si>
    <t>Adjusted Estimated % of Portfolio (By First Grouping, Visible)</t>
  </si>
  <si>
    <t/>
  </si>
  <si>
    <t>Invesco Exch Traded (FD TR II Short Term Treas)</t>
  </si>
  <si>
    <t>TBLL</t>
  </si>
  <si>
    <t>iShares TR FLTG Rate (NT Etf)</t>
  </si>
  <si>
    <t>FLOT</t>
  </si>
  <si>
    <t>iShares TR Ibonds (2026 Term)</t>
  </si>
  <si>
    <t>IBHF</t>
  </si>
  <si>
    <t>JP Morgan ETF Trust Ultra-Shor T Income ETF</t>
  </si>
  <si>
    <t>JPST</t>
  </si>
  <si>
    <t>Wisdomtree TR (floatng Rat Trea)</t>
  </si>
  <si>
    <t>USFR</t>
  </si>
  <si>
    <t>iShares US Treasury 0-1YR</t>
  </si>
  <si>
    <t>IBTU</t>
  </si>
  <si>
    <t>iShares Usd Floating Usd Dis</t>
  </si>
  <si>
    <t>JPM USD Ultrashort Inc UCITS</t>
  </si>
  <si>
    <t>-</t>
  </si>
  <si>
    <t>PIMCO SHRT Hiyi Corp-Usd Inc</t>
  </si>
  <si>
    <t>STHY</t>
  </si>
  <si>
    <t>Ut Ish Dec 2026</t>
  </si>
  <si>
    <t>ID26.LN</t>
  </si>
  <si>
    <t>WT US Flting Rate BND-Usd</t>
  </si>
  <si>
    <t>Broadstone Net Lease</t>
  </si>
  <si>
    <t>Epr Properties Sbi</t>
  </si>
  <si>
    <t>Equity Lifestyle</t>
  </si>
  <si>
    <t>Gaming And Leisure Propertie</t>
  </si>
  <si>
    <t>Lamar Advertising Co-A</t>
  </si>
  <si>
    <t>National Retail Properties</t>
  </si>
  <si>
    <t>Natl Health Investors Inc</t>
  </si>
  <si>
    <t>Omega Healthcare Investors</t>
  </si>
  <si>
    <t>Public Storage Com</t>
  </si>
  <si>
    <t>Rayonier Inc. REIT</t>
  </si>
  <si>
    <t>Sabra Health Care</t>
  </si>
  <si>
    <t>Vici PPTYS Inc Com</t>
  </si>
  <si>
    <t>American Century Investments U S EQT ETF</t>
  </si>
  <si>
    <t>Goldman Sachs ETF Trust Active Beta U S Large Cap Eq</t>
  </si>
  <si>
    <t>iShares 20+ Year Treasury Bond</t>
  </si>
  <si>
    <t>iShares Global Healthcare ETF IV</t>
  </si>
  <si>
    <t>iShares Inc JP Morgan Em ETF</t>
  </si>
  <si>
    <t>iShares Inc JP MRG Em CRP BD E TF</t>
  </si>
  <si>
    <t>iShares MSCI World Small Cap ETF</t>
  </si>
  <si>
    <t>iShares Trust 7-10 Year Treasu RY Bond ETF</t>
  </si>
  <si>
    <t>iShares Trust iBoxx Inv CP ETF</t>
  </si>
  <si>
    <t>Janus Hendrson Mortg BCKD Securt ETF</t>
  </si>
  <si>
    <t>JP Morgan ETF Trust Internatio Nal Research Enha</t>
  </si>
  <si>
    <t>SPDR Bloomberg Intrl Corp BND ETF</t>
  </si>
  <si>
    <t>Vanguard Esg Intl STK ETF</t>
  </si>
  <si>
    <t>Vanguard Esg US STK ETF</t>
  </si>
  <si>
    <t>Wisdomtree TR Enhncd (CMMDTY ST)</t>
  </si>
  <si>
    <t>Wisdomtree Trust Em Ex ST-Owne D ETF</t>
  </si>
  <si>
    <t>AT&amp;T</t>
  </si>
  <si>
    <t>Bce Inc</t>
  </si>
  <si>
    <t>Bristol-Myers Squibb</t>
  </si>
  <si>
    <t>Chevron Corp.</t>
  </si>
  <si>
    <t>Cisco Systems</t>
  </si>
  <si>
    <t>Coca-Cola Femsa</t>
  </si>
  <si>
    <t>Comcast Corp-Class A</t>
  </si>
  <si>
    <t>Exelon Corp Com NPV</t>
  </si>
  <si>
    <t>GSK PLC-Spon ADR</t>
  </si>
  <si>
    <t>Novartis AG-Sponsored ADR</t>
  </si>
  <si>
    <t>Pfizer</t>
  </si>
  <si>
    <t>Progressive Corp Com</t>
  </si>
  <si>
    <t>Prudential Financial</t>
  </si>
  <si>
    <t>Roche Holdings LTD-Spons ADR</t>
  </si>
  <si>
    <t>Sanofi ADR Rep 1 1/2</t>
  </si>
  <si>
    <t>Shell PLC              F Unsponsored ADR</t>
  </si>
  <si>
    <t>Totalenergies Se</t>
  </si>
  <si>
    <t>Verizon</t>
  </si>
  <si>
    <t>Vodafone Group PLC-SP ADR</t>
  </si>
  <si>
    <t>Abbvie Inc</t>
  </si>
  <si>
    <t>Accenture PLC-CL A</t>
  </si>
  <si>
    <t>Allstate Corp Com</t>
  </si>
  <si>
    <t>Alphabet Inc-CL C</t>
  </si>
  <si>
    <t>Amazon.Com Inc</t>
  </si>
  <si>
    <t>American Elec PWR Co</t>
  </si>
  <si>
    <t>Cognizant Tech Solutions-A</t>
  </si>
  <si>
    <t>Eog Resources Inc</t>
  </si>
  <si>
    <t>Firstenergy Corp Com</t>
  </si>
  <si>
    <t>Mastercard Inc - A</t>
  </si>
  <si>
    <t>Te Connectivity PLC</t>
  </si>
  <si>
    <t>Travelers</t>
  </si>
  <si>
    <t>Wal-Mart</t>
  </si>
  <si>
    <t>Astrazeneca PLC</t>
  </si>
  <si>
    <t>Coca-Cola HBC AG-DI</t>
  </si>
  <si>
    <t>HIK.XLON</t>
  </si>
  <si>
    <t>HSBC Holdings PLC (GBP)</t>
  </si>
  <si>
    <t>HSBC Holdings PLC - HSBA</t>
  </si>
  <si>
    <t>Ig Group Holdings PLC</t>
  </si>
  <si>
    <t>Itv PLC</t>
  </si>
  <si>
    <t>ITV.XLON</t>
  </si>
  <si>
    <t>SBRY.XLON</t>
  </si>
  <si>
    <t>KGF.XLON</t>
  </si>
  <si>
    <t>Natwest Group PLC</t>
  </si>
  <si>
    <t>NWG.XLON</t>
  </si>
  <si>
    <t>R Admiral GRP</t>
  </si>
  <si>
    <t>ADM.LN</t>
  </si>
  <si>
    <t>Shell PLC Spon Ads</t>
  </si>
  <si>
    <t>GB00B10RZP78</t>
  </si>
  <si>
    <t>Muni CEF</t>
  </si>
  <si>
    <t>Alibaba Group Holding LTD</t>
  </si>
  <si>
    <t>9988</t>
  </si>
  <si>
    <t>BlackRock Muniholdings Fund</t>
  </si>
  <si>
    <t>MHD</t>
  </si>
  <si>
    <t>US09253N1046</t>
  </si>
  <si>
    <t>BlackRock Muniyield (quality FD Com)</t>
  </si>
  <si>
    <t>MYI</t>
  </si>
  <si>
    <t>US09254E1038</t>
  </si>
  <si>
    <t>Invesco Trust For Investmen</t>
  </si>
  <si>
    <t>VGM</t>
  </si>
  <si>
    <t>Nuveen Amt Free Quality</t>
  </si>
  <si>
    <t>NEA</t>
  </si>
  <si>
    <t>Western Asset Managed Munici</t>
  </si>
  <si>
    <t>MMU</t>
  </si>
  <si>
    <t>Aeon REIT Investment Corp</t>
  </si>
  <si>
    <t>3292.T</t>
  </si>
  <si>
    <t>Daiwa House Industry Co LTD</t>
  </si>
  <si>
    <t>1925.T</t>
  </si>
  <si>
    <t>Daiwa House REIT Investment</t>
  </si>
  <si>
    <t>8984.T</t>
  </si>
  <si>
    <t>Daiwa Securities Living Inve</t>
  </si>
  <si>
    <t>8986.T</t>
  </si>
  <si>
    <t>Industrial &amp; Infrastructure Fund Investment Corp.</t>
  </si>
  <si>
    <t>3249.XTKS</t>
  </si>
  <si>
    <t>8987.T</t>
  </si>
  <si>
    <t>Japan Hotel REIT Investment</t>
  </si>
  <si>
    <t>8985.T</t>
  </si>
  <si>
    <t>Japan Prime Realty</t>
  </si>
  <si>
    <t>JPRRF</t>
  </si>
  <si>
    <t>Mori Hills REIT Investment C</t>
  </si>
  <si>
    <t>3234.T</t>
  </si>
  <si>
    <t>Mori Trust REIT Inc</t>
  </si>
  <si>
    <t>8961.T</t>
  </si>
  <si>
    <t>Nippon REIT Investment Corp</t>
  </si>
  <si>
    <t>3296.T</t>
  </si>
  <si>
    <t>Nomura Real Estate Master Fu</t>
  </si>
  <si>
    <t>3462.T</t>
  </si>
  <si>
    <t>Sekisui House REIT</t>
  </si>
  <si>
    <t>SKUEF</t>
  </si>
  <si>
    <t>8850.T</t>
  </si>
  <si>
    <t>Tokyu REIT, Inc.</t>
  </si>
  <si>
    <t>8957.T</t>
  </si>
  <si>
    <t>Amano Corp.</t>
  </si>
  <si>
    <t>6436.XTKS</t>
  </si>
  <si>
    <t>3407.T</t>
  </si>
  <si>
    <t>5108.T</t>
  </si>
  <si>
    <t>Brother Industries LTD</t>
  </si>
  <si>
    <t>6448.XTKS</t>
  </si>
  <si>
    <t>7751.T</t>
  </si>
  <si>
    <t>Isuzu Motors LTD</t>
  </si>
  <si>
    <t>7202.T</t>
  </si>
  <si>
    <t>Japan Airlines Co LTD</t>
  </si>
  <si>
    <t>9201.T</t>
  </si>
  <si>
    <t>Kddi Corporation</t>
  </si>
  <si>
    <t>9433.T</t>
  </si>
  <si>
    <t>Kirin Holdings Co LTD</t>
  </si>
  <si>
    <t>2503.T</t>
  </si>
  <si>
    <t>Ms&amp;ad Insurance Group Holdin</t>
  </si>
  <si>
    <t>8725.T</t>
  </si>
  <si>
    <t>Nippon Gas Co LTD</t>
  </si>
  <si>
    <t>8174.XTKS</t>
  </si>
  <si>
    <t>Nippon Tel &amp; Tel</t>
  </si>
  <si>
    <t>NPPXF</t>
  </si>
  <si>
    <t>Nippon Telegraph &amp; Telephone</t>
  </si>
  <si>
    <t>9432.T</t>
  </si>
  <si>
    <t>9101.T</t>
  </si>
  <si>
    <t>Niterra Co LTD</t>
  </si>
  <si>
    <t>5334.T</t>
  </si>
  <si>
    <t>JP3738600000</t>
  </si>
  <si>
    <t>Ono Pharmaceutical</t>
  </si>
  <si>
    <t>OPHLF</t>
  </si>
  <si>
    <t>Ono Pharmaceutical Co LTD</t>
  </si>
  <si>
    <t>4528.T</t>
  </si>
  <si>
    <t>Open House Group Co LTD</t>
  </si>
  <si>
    <t>3288.T</t>
  </si>
  <si>
    <t>JP3173540000</t>
  </si>
  <si>
    <t>Persol Holdings Co LTD</t>
  </si>
  <si>
    <t>2181.T</t>
  </si>
  <si>
    <t>Sekisui Chemical Co LTD</t>
  </si>
  <si>
    <t>4204.T</t>
  </si>
  <si>
    <t>SG Holdings Co. LTD</t>
  </si>
  <si>
    <t>9143.XTKS</t>
  </si>
  <si>
    <t>Shionogi &amp; Co LTD</t>
  </si>
  <si>
    <t>4507.T</t>
  </si>
  <si>
    <t>Softbank Corp</t>
  </si>
  <si>
    <t>9434.T</t>
  </si>
  <si>
    <t>7270.T</t>
  </si>
  <si>
    <t>Sumitomo Mitsui Trust Group</t>
  </si>
  <si>
    <t>8309.T</t>
  </si>
  <si>
    <t>Suntory Beverage Food</t>
  </si>
  <si>
    <t>2587</t>
  </si>
  <si>
    <t>Takeda</t>
  </si>
  <si>
    <t>TKPHF</t>
  </si>
  <si>
    <t>Takeda Pharmaceutical Co LTD</t>
  </si>
  <si>
    <t>4502.T</t>
  </si>
  <si>
    <t>4042.T</t>
  </si>
  <si>
    <t>Boc Hong Kong Holdings LTD</t>
  </si>
  <si>
    <t>2388</t>
  </si>
  <si>
    <t>China Construction Bank-H</t>
  </si>
  <si>
    <t>939</t>
  </si>
  <si>
    <t>China Development Bank Fin-H</t>
  </si>
  <si>
    <t>1606</t>
  </si>
  <si>
    <t>China Shenhua Energy Co-H</t>
  </si>
  <si>
    <t>1088</t>
  </si>
  <si>
    <t>China Tower Corp LTD-H</t>
  </si>
  <si>
    <t>788</t>
  </si>
  <si>
    <t>Citic LTD</t>
  </si>
  <si>
    <t>267</t>
  </si>
  <si>
    <t>Citic Telecom International</t>
  </si>
  <si>
    <t>1883</t>
  </si>
  <si>
    <t>CLP Holdings LTD</t>
  </si>
  <si>
    <t>2</t>
  </si>
  <si>
    <t>Cosco Shipping Holdings Co. LTD</t>
  </si>
  <si>
    <t>01919.XHKG</t>
  </si>
  <si>
    <t>GBHK 1.89 03/02/32  Due Mar 2, 2032</t>
  </si>
  <si>
    <t>HK0000329679</t>
  </si>
  <si>
    <t>HKT Trust And HKT LTD-SS</t>
  </si>
  <si>
    <t>6823</t>
  </si>
  <si>
    <t>Ind &amp; Comm BK Of China - H</t>
  </si>
  <si>
    <t>1398</t>
  </si>
  <si>
    <t>PCCW LTD</t>
  </si>
  <si>
    <t>8</t>
  </si>
  <si>
    <t>People's Insurance Co Grou-H</t>
  </si>
  <si>
    <t>1339</t>
  </si>
  <si>
    <t>Petrochina Co LTD-H</t>
  </si>
  <si>
    <t>857</t>
  </si>
  <si>
    <t>Picc Property &amp; Casualty-H</t>
  </si>
  <si>
    <t>2328</t>
  </si>
  <si>
    <t>Qingdao Port International-H</t>
  </si>
  <si>
    <t>6198</t>
  </si>
  <si>
    <t>Qinhuangdao Port Co LTD-H</t>
  </si>
  <si>
    <t>3369</t>
  </si>
  <si>
    <t>CNE100001QR3</t>
  </si>
  <si>
    <t>Shougang Fushan Resources GR</t>
  </si>
  <si>
    <t>639</t>
  </si>
  <si>
    <t>Sitc International Holdings</t>
  </si>
  <si>
    <t>1308</t>
  </si>
  <si>
    <t>Sun Hung Kai Properties</t>
  </si>
  <si>
    <t>16</t>
  </si>
  <si>
    <t>Vtech Holdings LTD</t>
  </si>
  <si>
    <t>303</t>
  </si>
  <si>
    <t>WH Group LTD</t>
  </si>
  <si>
    <t>288</t>
  </si>
  <si>
    <t>Xinhua Winshare Publishing-H</t>
  </si>
  <si>
    <t>811</t>
  </si>
  <si>
    <t>Global Value</t>
  </si>
  <si>
    <t>Allianz Se-Reg</t>
  </si>
  <si>
    <t>ALVD</t>
  </si>
  <si>
    <t>Deutsche Telekom AG-Reg</t>
  </si>
  <si>
    <t>DTED</t>
  </si>
  <si>
    <t>Equinor Asa Spon ADR</t>
  </si>
  <si>
    <t>US29446M1027</t>
  </si>
  <si>
    <t>LVMH Moet Hennessy Louis Vui</t>
  </si>
  <si>
    <t>Mercadolibre Inc</t>
  </si>
  <si>
    <t>Netease Inc</t>
  </si>
  <si>
    <t>9999</t>
  </si>
  <si>
    <t>Novartis AG-Reg</t>
  </si>
  <si>
    <t>Procter And Gamble</t>
  </si>
  <si>
    <t>Roche Holding AG-Genusschein</t>
  </si>
  <si>
    <t>Tencent Holdings LTD</t>
  </si>
  <si>
    <t>700</t>
  </si>
  <si>
    <t>Trip Com Group LTD</t>
  </si>
  <si>
    <t>Amadeus It Group SA</t>
  </si>
  <si>
    <t>AMSE</t>
  </si>
  <si>
    <t>Amdocs LTD Ord</t>
  </si>
  <si>
    <t>Ase Technology</t>
  </si>
  <si>
    <t>Asml Holding NV</t>
  </si>
  <si>
    <t>Cadence Design SYS Inc</t>
  </si>
  <si>
    <t>Check Point Software Tech</t>
  </si>
  <si>
    <t>F5 Inc Com</t>
  </si>
  <si>
    <t>Nomura Research Institute LT</t>
  </si>
  <si>
    <t>4307.T</t>
  </si>
  <si>
    <t>Rea Group LTD</t>
  </si>
  <si>
    <t>Samsung Electr-GDR Reg S</t>
  </si>
  <si>
    <t>Sea LTD-ADR</t>
  </si>
  <si>
    <t>Servicenow Inc</t>
  </si>
  <si>
    <t>Taiwan Semiconductor-SP ADR</t>
  </si>
  <si>
    <t>TDK Corporation</t>
  </si>
  <si>
    <t>6762.T</t>
  </si>
  <si>
    <t>Tele2 Ab-B SHS</t>
  </si>
  <si>
    <t>TEL2BS</t>
  </si>
  <si>
    <t>Ubiquiti Inc Com</t>
  </si>
  <si>
    <t>Global REIT ETF</t>
  </si>
  <si>
    <t>iShares Asia Property Yield</t>
  </si>
  <si>
    <t>IDAR</t>
  </si>
  <si>
    <t>IE00B1FZS244</t>
  </si>
  <si>
    <t>iShares Core Japan REIT ETF</t>
  </si>
  <si>
    <t>1476.T</t>
  </si>
  <si>
    <t>JP3048130003</t>
  </si>
  <si>
    <t>iShares US Property Yield</t>
  </si>
  <si>
    <t>IDUP</t>
  </si>
  <si>
    <t>IE00B1FZSF77</t>
  </si>
  <si>
    <t>Vaneck GLB Real Estate ETF</t>
  </si>
  <si>
    <t>TRET</t>
  </si>
  <si>
    <t>NL0009690239</t>
  </si>
  <si>
    <t>Vanguard Au Prop Sec Idx ETF</t>
  </si>
  <si>
    <t>VAP</t>
  </si>
  <si>
    <t>AU000000VAP7</t>
  </si>
  <si>
    <t>Vanguard FTSE Canadian Cappe</t>
  </si>
  <si>
    <t>VRE</t>
  </si>
  <si>
    <t>CA92203B1076</t>
  </si>
  <si>
    <t>X FTSE Europe Real Estate</t>
  </si>
  <si>
    <t>XDER</t>
  </si>
  <si>
    <t>LU0489337690</t>
  </si>
  <si>
    <t>Broadstone Net Lease Inc.</t>
  </si>
  <si>
    <t>BNL.XNYS</t>
  </si>
  <si>
    <t>Choice Properties REIT</t>
  </si>
  <si>
    <t>Daito Trust Construct Co LTD</t>
  </si>
  <si>
    <t>1878.T</t>
  </si>
  <si>
    <t>LOIM.XPAR</t>
  </si>
  <si>
    <t>MAPLETREE COMMER NPV (REIT) REG SGD</t>
  </si>
  <si>
    <t>Mapletree Commercial Trust</t>
  </si>
  <si>
    <t>Retail Estates</t>
  </si>
  <si>
    <t>Global Moderate ETF (US Tax)</t>
  </si>
  <si>
    <t>iShares MSCI Emr MRK (ex Chna)</t>
  </si>
  <si>
    <t>iShares TR MBS ETF</t>
  </si>
  <si>
    <t>MBB</t>
  </si>
  <si>
    <t>US4642885887</t>
  </si>
  <si>
    <t>Wisdomtree US  Efficient Core Enhanced Commodity Strategy FD</t>
  </si>
  <si>
    <t>DBX World Health Care 1C</t>
  </si>
  <si>
    <t>Invesco Physical Gold Etc</t>
  </si>
  <si>
    <t>iShares Asia Ig Corp Usd Acc</t>
  </si>
  <si>
    <t>ISHARES GLBL CORP (BND UCITS ETF USD DIST ISIN #IE00B7J7TB45)</t>
  </si>
  <si>
    <t>IVIVF</t>
  </si>
  <si>
    <t>iShares Global Corp</t>
  </si>
  <si>
    <t>ISHARES III PLC - ISHARES J.P. MORGAN EM LOCAL GOVT BOND UCITS ETF ACCUM SHS USD (EMGA)</t>
  </si>
  <si>
    <t>iShares III PLC JP (morgan Em Loc Gov BD Uct ETF Usd Acc Isin #ie00bfzpf546)</t>
  </si>
  <si>
    <t>ISEJF</t>
  </si>
  <si>
    <t>iShares JPM Em LCL Gov Usd-A</t>
  </si>
  <si>
    <t>iShares MSCI WLD Small Cap</t>
  </si>
  <si>
    <t>iShares US MBS Usd Acc</t>
  </si>
  <si>
    <t>IMBA</t>
  </si>
  <si>
    <t>IE00BYXYYN70</t>
  </si>
  <si>
    <t>iShares US Mortgage Backed Securities Ucits ETF</t>
  </si>
  <si>
    <t>IMBS.XLON</t>
  </si>
  <si>
    <t>iShares Usd Treasury 7-10Y</t>
  </si>
  <si>
    <t>iShares USD Treasury Bond 7-10Yr UCITS ETF</t>
  </si>
  <si>
    <t>iShares Usd Tres 20plus YR</t>
  </si>
  <si>
    <t>JPM Global Rei Esg Ucits ETF</t>
  </si>
  <si>
    <t>Vang Usdcpbd Usdd</t>
  </si>
  <si>
    <t>VUCP.DE</t>
  </si>
  <si>
    <t>WT Enhanced Comm Xag Usd Acc</t>
  </si>
  <si>
    <t>X MSCI Emerging Markets-1C</t>
  </si>
  <si>
    <t>X MSCI Europe 1C</t>
  </si>
  <si>
    <t>X MSCI USA Ucits ETF</t>
  </si>
  <si>
    <t>X MSCI World Ex USA 1C</t>
  </si>
  <si>
    <t>Xtrackers (IE) PLC XTRACKERS MSCI EMG MKTS UCITS ETF 1C</t>
  </si>
  <si>
    <t>Abbott Laboratories Com</t>
  </si>
  <si>
    <t>Hca Healthcare Inc</t>
  </si>
  <si>
    <t>iShares NSDQ US Biotech Ucit</t>
  </si>
  <si>
    <t>BTEC</t>
  </si>
  <si>
    <t>IE00BYXG2H39</t>
  </si>
  <si>
    <t>Labcorp Holdings Inc CMN</t>
  </si>
  <si>
    <t>Sanofi</t>
  </si>
  <si>
    <t>SAN</t>
  </si>
  <si>
    <t>SHLD</t>
  </si>
  <si>
    <t>SN.</t>
  </si>
  <si>
    <t>The CIGNA Group Com</t>
  </si>
  <si>
    <t>Global Fixed Income ETF (US Tax)</t>
  </si>
  <si>
    <t>ISHARES IV PLC - ISHARES USD TREASURY BOND 20+YR UCITS ETF PTG.SHS (IDTL)</t>
  </si>
  <si>
    <t>PIMCO Global Advisors (europe) LTD (ie) PIMCO Income "i" (usd) Inc</t>
  </si>
  <si>
    <t>00B8JDQ96</t>
  </si>
  <si>
    <t>IE00B8JDQ960</t>
  </si>
  <si>
    <t>Axa SA Eur2.29</t>
  </si>
  <si>
    <t>AXAHF</t>
  </si>
  <si>
    <t>BHP Group LTD</t>
  </si>
  <si>
    <t>Coca-Cola Femsa Sab De CV</t>
  </si>
  <si>
    <t>Consolidated Edison</t>
  </si>
  <si>
    <t>ED</t>
  </si>
  <si>
    <t>US2091151041</t>
  </si>
  <si>
    <t>ELEE</t>
  </si>
  <si>
    <t>Enel Spa</t>
  </si>
  <si>
    <t>ENLD</t>
  </si>
  <si>
    <t>Equinor ASA NOK2.50</t>
  </si>
  <si>
    <t>HKT Trust And HKT</t>
  </si>
  <si>
    <t>HKTTF</t>
  </si>
  <si>
    <t>NTGY.XMCE</t>
  </si>
  <si>
    <t>Nestle SA-Reg</t>
  </si>
  <si>
    <t>NESN</t>
  </si>
  <si>
    <t>CH0038863350</t>
  </si>
  <si>
    <t>Orange</t>
  </si>
  <si>
    <t>Pepsico Inc</t>
  </si>
  <si>
    <t>Publicis Groupe</t>
  </si>
  <si>
    <t>PUBP.XPAR</t>
  </si>
  <si>
    <t>R Equinor</t>
  </si>
  <si>
    <t>EQNR.NO</t>
  </si>
  <si>
    <t>Telenor Asa</t>
  </si>
  <si>
    <t>TELO</t>
  </si>
  <si>
    <t>VODPF</t>
  </si>
  <si>
    <t>Global Equity ETF (US Tax)</t>
  </si>
  <si>
    <t>Vanguard Index Funds (S&amp;P 500 ETF Usd)</t>
  </si>
  <si>
    <t>VOO</t>
  </si>
  <si>
    <t>US9229083632</t>
  </si>
  <si>
    <t>Vanguard Total Intl Stock</t>
  </si>
  <si>
    <t>VXUS</t>
  </si>
  <si>
    <t>US9219097683</t>
  </si>
  <si>
    <t>Vanguard Total Stock Market ETF</t>
  </si>
  <si>
    <t>VTI</t>
  </si>
  <si>
    <t>US9229087690</t>
  </si>
  <si>
    <t>Dimensional Emerging Markets Large Cap Core Equity Acc SGD</t>
  </si>
  <si>
    <t>IE00BF20LB02</t>
  </si>
  <si>
    <t>Dimensional Emerging Markets Large Cap Core Equity Acc USD</t>
  </si>
  <si>
    <t>IE00BYVJQT42</t>
  </si>
  <si>
    <t>Dimensional Global Core Equity Acc SGD</t>
  </si>
  <si>
    <t>0P0001AF7U.SI</t>
  </si>
  <si>
    <t>IE00BF20L879</t>
  </si>
  <si>
    <t>Dimensional Global Core Equity USD Acc</t>
  </si>
  <si>
    <t>IE00B2PC0153</t>
  </si>
  <si>
    <t>Dimensional Global Targeted Value Acc SGD</t>
  </si>
  <si>
    <t>IE00BF20L986</t>
  </si>
  <si>
    <t>Dimensional Global Targeted Value Acc USD</t>
  </si>
  <si>
    <t>IE00B2PC0609</t>
  </si>
  <si>
    <t>Dimensional World Equity Acc USD</t>
  </si>
  <si>
    <t>IE00B3V7VL84</t>
  </si>
  <si>
    <t>Dimensional World Equity DIS USD</t>
  </si>
  <si>
    <t>IE00B458ZH80</t>
  </si>
  <si>
    <t>Invesco Global Active ESG Equity UCITS ETF</t>
  </si>
  <si>
    <t>IQSA LN</t>
  </si>
  <si>
    <t>IE00BJQRDN15</t>
  </si>
  <si>
    <t>Vang FTSE Aw Usdd</t>
  </si>
  <si>
    <t>VWRD.L</t>
  </si>
  <si>
    <t xml:space="preserve">Vanguard FTSE All-World UCITS ETF </t>
  </si>
  <si>
    <t>VWRL</t>
  </si>
  <si>
    <t>IE00B3RBWM25</t>
  </si>
  <si>
    <t>Vanguard FTSE All-World UCITS ETF USD Accumulation (VWRD)</t>
  </si>
  <si>
    <t>VWRD</t>
  </si>
  <si>
    <t>IE00BK5BQT80</t>
  </si>
  <si>
    <t>Vanguard FTSE All-World UCITS ETF USD Accumulation (VWRP)</t>
  </si>
  <si>
    <t>VWRP</t>
  </si>
  <si>
    <t>X Esg MSCI Emerging Markets</t>
  </si>
  <si>
    <t>XZEM</t>
  </si>
  <si>
    <t>IE00BG370F43</t>
  </si>
  <si>
    <t>X Esg MSCI World</t>
  </si>
  <si>
    <t>XZW0</t>
  </si>
  <si>
    <t>IE00BZ02LR44</t>
  </si>
  <si>
    <t>X MSCI World 1C</t>
  </si>
  <si>
    <t>XDWD</t>
  </si>
  <si>
    <t>IE00BJ0KDQ92</t>
  </si>
  <si>
    <t>Alphabet Inc Cap STK</t>
  </si>
  <si>
    <t>GOOGL</t>
  </si>
  <si>
    <t>US02079K3059</t>
  </si>
  <si>
    <t>BYD Co LTD-H</t>
  </si>
  <si>
    <t>1211</t>
  </si>
  <si>
    <t>Coca-Cola</t>
  </si>
  <si>
    <t>KO</t>
  </si>
  <si>
    <t>US1912161007</t>
  </si>
  <si>
    <t>DTEGF</t>
  </si>
  <si>
    <t>Invesco QQQ Trust Unit Ser 1 E TF</t>
  </si>
  <si>
    <t>QQQ</t>
  </si>
  <si>
    <t>iShares TR iShares (semicdtr)</t>
  </si>
  <si>
    <t>SOXX</t>
  </si>
  <si>
    <t>US4642875235</t>
  </si>
  <si>
    <t>Oracle Corp</t>
  </si>
  <si>
    <t>ORCL</t>
  </si>
  <si>
    <t>US68389X1054</t>
  </si>
  <si>
    <t>R6C0D</t>
  </si>
  <si>
    <t>Global Balanced ETF (US Tax)</t>
  </si>
  <si>
    <t>Costco Wholesale</t>
  </si>
  <si>
    <t>COST</t>
  </si>
  <si>
    <t>US22160K1051</t>
  </si>
  <si>
    <t>Floor &amp;decor HLDGS</t>
  </si>
  <si>
    <t>FND</t>
  </si>
  <si>
    <t>US3397501012</t>
  </si>
  <si>
    <t>Iqs Esg Equity Global</t>
  </si>
  <si>
    <t>IQSA</t>
  </si>
  <si>
    <t>Vietnam Enterprise Inv LTD-C</t>
  </si>
  <si>
    <t>VEIL</t>
  </si>
  <si>
    <t>KYG9361H1092</t>
  </si>
  <si>
    <t>iShares Core GBP Corp</t>
  </si>
  <si>
    <t>iShares Core Uk Gilts</t>
  </si>
  <si>
    <t>iShares Global Corp GBP-H D</t>
  </si>
  <si>
    <t>iShares JPM Em LCL Gov BND</t>
  </si>
  <si>
    <t>iShares Usd Tres 20PLS GBPHD</t>
  </si>
  <si>
    <t>Ivz GL En Eq GBP PFHDG Acc</t>
  </si>
  <si>
    <t>SPDR S&amp;P 500 GBP HDG Dist</t>
  </si>
  <si>
    <t>IQSS</t>
  </si>
  <si>
    <t>iShares MSCI Em Sri Ucits</t>
  </si>
  <si>
    <t>SUES</t>
  </si>
  <si>
    <t>IE00BYVJRP78</t>
  </si>
  <si>
    <t>iShares MSCI World Sri-GBPHD</t>
  </si>
  <si>
    <t>SGWS</t>
  </si>
  <si>
    <t>IE00BMZ17T93</t>
  </si>
  <si>
    <t>UBS ETF Acwi Esg HDG GBP Acc</t>
  </si>
  <si>
    <t>AWESGG</t>
  </si>
  <si>
    <t>IE00BDQZN550</t>
  </si>
  <si>
    <t>Intned 5 3/4 Perp  Due Dec 31, 4712</t>
  </si>
  <si>
    <t>US456837AR44</t>
  </si>
  <si>
    <t>iShares GBP Ultrashort Bond</t>
  </si>
  <si>
    <t>ERNS</t>
  </si>
  <si>
    <t>IE00BCRY6441</t>
  </si>
  <si>
    <t>Wisdomtree Enh CMDTY-Usd Acc</t>
  </si>
  <si>
    <t>WCOA</t>
  </si>
  <si>
    <t>IE00BYMLZY74</t>
  </si>
  <si>
    <t>X MSCI China 1D</t>
  </si>
  <si>
    <t>XCX7</t>
  </si>
  <si>
    <t>Aker BP Asa</t>
  </si>
  <si>
    <t>AKERBP.XOSL</t>
  </si>
  <si>
    <t>Assicurazioni Generali</t>
  </si>
  <si>
    <t>GEN</t>
  </si>
  <si>
    <t>Engie</t>
  </si>
  <si>
    <t>Koninklijke Ahold Delhaize N</t>
  </si>
  <si>
    <t>Muenchener Rueckver AG-Reg</t>
  </si>
  <si>
    <t>MUV2D</t>
  </si>
  <si>
    <t>iShares Core Eur Govt Bond Ucits ETF</t>
  </si>
  <si>
    <t>EUNH.XETR</t>
  </si>
  <si>
    <t>IE00B4WXJJ64</t>
  </si>
  <si>
    <t>iShares GLB Corp BD Eur-H</t>
  </si>
  <si>
    <t>CRPH</t>
  </si>
  <si>
    <t>IE00B9M6SJ31</t>
  </si>
  <si>
    <t>iShares Usd Tres 20+ Eur-H D</t>
  </si>
  <si>
    <t>IE00BD8PGZ49</t>
  </si>
  <si>
    <t>Ivz GL En Eq Eur PFHDG Acc</t>
  </si>
  <si>
    <t>IE000OHEH5Y9</t>
  </si>
  <si>
    <t>IE0000UW95D6</t>
  </si>
  <si>
    <t>Wisdomtree Europe Defence Ucits ETF</t>
  </si>
  <si>
    <t>WDEF.XLON</t>
  </si>
  <si>
    <t>IE0002Y8CX98</t>
  </si>
  <si>
    <t>X Eur Corp Yield Plus</t>
  </si>
  <si>
    <t>IE00BYPHT736</t>
  </si>
  <si>
    <t>X MSCI USA 2C Eur</t>
  </si>
  <si>
    <t>IE00BG04M077</t>
  </si>
  <si>
    <t>UBS ETF Acwi Esg HDG Eur Acc</t>
  </si>
  <si>
    <t>AWESGE</t>
  </si>
  <si>
    <t>IE00BDQZN337</t>
  </si>
  <si>
    <t>X MSCI World Esg 2C Eur</t>
  </si>
  <si>
    <t>XZWE</t>
  </si>
  <si>
    <t>IE00BMY76136</t>
  </si>
  <si>
    <t>iShares Global Corp Usd Acc</t>
  </si>
  <si>
    <t>CRPA</t>
  </si>
  <si>
    <t>IE00BFM6TB42</t>
  </si>
  <si>
    <t>R Wilmar Intl</t>
  </si>
  <si>
    <t>WIL.SP</t>
  </si>
  <si>
    <t>SG1T56930848</t>
  </si>
  <si>
    <t>Vang Eurgvbd Eura</t>
  </si>
  <si>
    <t>VGEA</t>
  </si>
  <si>
    <t>IE00BH04GL39</t>
  </si>
  <si>
    <t>X Eur Corp BND Yield Plus 1C</t>
  </si>
  <si>
    <t>XYPL</t>
  </si>
  <si>
    <t>IE000UX5WPU4</t>
  </si>
  <si>
    <t>A10 Networks Inc.</t>
  </si>
  <si>
    <t>ATEN.XNYS</t>
  </si>
  <si>
    <t>Box Inc CL A</t>
  </si>
  <si>
    <t>BOX</t>
  </si>
  <si>
    <t>Clear Secure Inc.</t>
  </si>
  <si>
    <t>YOU.XNYS</t>
  </si>
  <si>
    <t>Fortinet Inc Com</t>
  </si>
  <si>
    <t>FTNT</t>
  </si>
  <si>
    <t>Gen Digital Inc Com</t>
  </si>
  <si>
    <t>LDOS</t>
  </si>
  <si>
    <t>Netscout Systems Inc.</t>
  </si>
  <si>
    <t>NTCT.XNAS</t>
  </si>
  <si>
    <t>Palo Alto Networks</t>
  </si>
  <si>
    <t>PANW</t>
  </si>
  <si>
    <t>Radware LTD</t>
  </si>
  <si>
    <t>RDWR.XNAS</t>
  </si>
  <si>
    <t>Thales SA Eur3</t>
  </si>
  <si>
    <t>THLEF</t>
  </si>
  <si>
    <t>Verisign Inc</t>
  </si>
  <si>
    <t>VRSN</t>
  </si>
  <si>
    <t>Fidelity Wise Origin Bitcoin</t>
  </si>
  <si>
    <t>Franklin XRP ETF</t>
  </si>
  <si>
    <t>XRPZ</t>
  </si>
  <si>
    <t>US3552331072</t>
  </si>
  <si>
    <t>iShares Ethereum TR (SHS)</t>
  </si>
  <si>
    <t>ETHA</t>
  </si>
  <si>
    <t>Vaneck Digital Transformatio</t>
  </si>
  <si>
    <t>DAPP</t>
  </si>
  <si>
    <t>Vaneck Solana ETF</t>
  </si>
  <si>
    <t>VSOL</t>
  </si>
  <si>
    <t>US92200B1008</t>
  </si>
  <si>
    <t>Wisdomtree Bitcoin</t>
  </si>
  <si>
    <t>Abrdn Palladium ETF (trust Physical Palladm)</t>
  </si>
  <si>
    <t>Abrdn Physical Silver Shares</t>
  </si>
  <si>
    <t>Grayscale Ethereum Trust</t>
  </si>
  <si>
    <t>Invesco DB (multi-Sector Commod Base Metals FD)</t>
  </si>
  <si>
    <t>SPDR Gold Minishares Trust</t>
  </si>
  <si>
    <t>SPDR Series Trust (bloomberg Enhanced Roll Yield Commodity)</t>
  </si>
  <si>
    <t>Vaneck ETF Trust (rare Earth/STRTG)</t>
  </si>
  <si>
    <t>ETFS Commodity Securities LTD</t>
  </si>
  <si>
    <t>Invesco Physical (gold Etc Isin  Ie00b579f325 Sedol  B599TV6)</t>
  </si>
  <si>
    <t>iShares Bloomberg Enhanced R</t>
  </si>
  <si>
    <t>iShares Physical Palladium</t>
  </si>
  <si>
    <t>iShares Physical Silver Etc</t>
  </si>
  <si>
    <t>Vaneck Rare Earth Ucits ETF</t>
  </si>
  <si>
    <t>Wisdomtree Commodity (secs LTD Industrial Metals Etc Isin #GB00B15KYG56)</t>
  </si>
  <si>
    <t>Wisdomtree Energy Etc</t>
  </si>
  <si>
    <t>AIGE.XLON</t>
  </si>
  <si>
    <t xml:space="preserve">WisdomTree Industrial Metal </t>
  </si>
  <si>
    <t>Grayscale Bitcoin Mini Trust ETF</t>
  </si>
  <si>
    <t>BTC</t>
  </si>
  <si>
    <t>US3899302075</t>
  </si>
  <si>
    <t>Grayscale Bitcoin Trust BTC</t>
  </si>
  <si>
    <t>GBTC</t>
  </si>
  <si>
    <t>US3896371099</t>
  </si>
  <si>
    <t>Grayscale Ethereum Mini</t>
  </si>
  <si>
    <t>ETH</t>
  </si>
  <si>
    <t>US38964R2031</t>
  </si>
  <si>
    <t>Wisdomtree Ethereum</t>
  </si>
  <si>
    <t>Beta Shares Global Bond 20Y ETF-Currency Hedged</t>
  </si>
  <si>
    <t>AU0000078651</t>
  </si>
  <si>
    <t>Betashares Australia 200 ETF</t>
  </si>
  <si>
    <t>AU00000A2000</t>
  </si>
  <si>
    <t>BS GB Shar Ex US ETF</t>
  </si>
  <si>
    <t>AU0000426330</t>
  </si>
  <si>
    <t>Global X Physical PM Basket</t>
  </si>
  <si>
    <t>AU000ETPMPM4</t>
  </si>
  <si>
    <t>iShares AU Global Corporate Bond (AUD Hedged)</t>
  </si>
  <si>
    <t>AU00000IHCB0</t>
  </si>
  <si>
    <t>iShares Core Composite Bond</t>
  </si>
  <si>
    <t>AU000000IAF5</t>
  </si>
  <si>
    <t>iShares Global Healthcar/Au</t>
  </si>
  <si>
    <t>AU000000IXJ9</t>
  </si>
  <si>
    <t>iShares JPM USD Em MK BD AUD</t>
  </si>
  <si>
    <t>AU00000IHEB6</t>
  </si>
  <si>
    <t>iShares S&amp;P 500 Aud Hedged</t>
  </si>
  <si>
    <t>AU00000IHVV8</t>
  </si>
  <si>
    <t>Vanguard FTSE Emerg MKTS ETF</t>
  </si>
  <si>
    <t>AU000000VGE8</t>
  </si>
  <si>
    <t>VEQ.XASX</t>
  </si>
  <si>
    <t>AU000000VEQ7</t>
  </si>
  <si>
    <t>Vanguard MSCI Ind Intl SH HG</t>
  </si>
  <si>
    <t>AU00000VGAD5</t>
  </si>
  <si>
    <t>Vanguard MSCI Intl SML Co IX</t>
  </si>
  <si>
    <t>AU0000026171</t>
  </si>
  <si>
    <t>AUD Fixed Income ETF</t>
  </si>
  <si>
    <t>Asahi Group Holdings LTD</t>
  </si>
  <si>
    <t>2502.T</t>
  </si>
  <si>
    <t>BAIDF</t>
  </si>
  <si>
    <t>Baidu Inc-Class A</t>
  </si>
  <si>
    <t>9888</t>
  </si>
  <si>
    <t>7832.T</t>
  </si>
  <si>
    <t>Coles Group LTD</t>
  </si>
  <si>
    <t>Coupang Inc CL A</t>
  </si>
  <si>
    <t>DBS Group HLDGS LTD</t>
  </si>
  <si>
    <t>DBSDF</t>
  </si>
  <si>
    <t>DBS Group Holdings LTD</t>
  </si>
  <si>
    <t>Jardine Matheson - Sing Reg</t>
  </si>
  <si>
    <t>Kao Corporation</t>
  </si>
  <si>
    <t>4452.T</t>
  </si>
  <si>
    <t>Lenovo Group LTD</t>
  </si>
  <si>
    <t>992</t>
  </si>
  <si>
    <t>Ms&amp;ad Ins GP HLDGS</t>
  </si>
  <si>
    <t>MSADF</t>
  </si>
  <si>
    <t>Nintendo Co LTD</t>
  </si>
  <si>
    <t>7974.T</t>
  </si>
  <si>
    <t>Pan Pacific International Ho</t>
  </si>
  <si>
    <t>7532.T</t>
  </si>
  <si>
    <t>Qbe Insurance Group LTD</t>
  </si>
  <si>
    <t>Sinopharm Group Co-H</t>
  </si>
  <si>
    <t>1099</t>
  </si>
  <si>
    <t>Vipshop Holdings LTD - ADR</t>
  </si>
  <si>
    <t>Xiaomi Corp-Class B</t>
  </si>
  <si>
    <t>1810</t>
  </si>
  <si>
    <t>Yadea Group Holdings LTD</t>
  </si>
  <si>
    <t>1585</t>
  </si>
  <si>
    <t>Franklin Templeton (etf TR Franklin FTSE India Etf)</t>
  </si>
  <si>
    <t>FLIN</t>
  </si>
  <si>
    <t>Franklin Templeton (etf TR FTSE Australia)</t>
  </si>
  <si>
    <t>FLAU</t>
  </si>
  <si>
    <t>Franklin Templeton (etf TR FTSE South Korea)</t>
  </si>
  <si>
    <t>FLKR</t>
  </si>
  <si>
    <t>Franklin Templeton (etf TR FTSE Taiwan)</t>
  </si>
  <si>
    <t>FLTW</t>
  </si>
  <si>
    <t>Global X FTSE Southeast Asia</t>
  </si>
  <si>
    <t>ASEA</t>
  </si>
  <si>
    <t>JP Morgan ETF Trust Betabuilde RS Japan ETF New</t>
  </si>
  <si>
    <t>BBJP</t>
  </si>
  <si>
    <t>FRK FTSE India Ucits ETF</t>
  </si>
  <si>
    <t>FLXI</t>
  </si>
  <si>
    <t>HSBC Hang Seng Tech Ucits ETF</t>
  </si>
  <si>
    <t>HSTE.XLON</t>
  </si>
  <si>
    <t>IE00BMWXKN31</t>
  </si>
  <si>
    <t>iShares Asia Trust - Ish-HKD</t>
  </si>
  <si>
    <t>3115</t>
  </si>
  <si>
    <t>iShares Core Topix ETF</t>
  </si>
  <si>
    <t>1475.T</t>
  </si>
  <si>
    <t>iShares MSCI Korea</t>
  </si>
  <si>
    <t>IDKO</t>
  </si>
  <si>
    <t>iShares MSCI Taiwan</t>
  </si>
  <si>
    <t>IDTW</t>
  </si>
  <si>
    <t>SPDR Straits Times Index ETF</t>
  </si>
  <si>
    <t>ES3</t>
  </si>
  <si>
    <t>UBS ETF MSCI Singapore</t>
  </si>
  <si>
    <t>SGPDUZ</t>
  </si>
  <si>
    <t>LU1169825954</t>
  </si>
  <si>
    <t>Vanguard Aust Shares Idx ETF</t>
  </si>
  <si>
    <t>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</si>
</sst>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0.0"/>
    <numFmt numFmtId="168" formatCode="_-* #,##0_-;\-* #,##0_-;_-* &quot;-&quot;??_-;_-@_-"/>
    <numFmt numFmtId="169" formatCode="_-* #,##0.0_-;\-* #,##0.0_-;_-* &quot;-&quot;?_-;_-@_-"/>
    <numFmt numFmtId="170" formatCode="0.00%;[Red]\-0.00%"/>
  </numFmts>
  <fonts count="41" x14ac:knownFonts="1">
    <font>
      <sz val="11"/>
      <color theme="1"/>
      <name val="Metropolis"/>
      <family val="2"/>
    </font>
    <font>
      <sz val="11"/>
      <color theme="1"/>
      <name val="Metropolis"/>
      <family val="2"/>
    </font>
    <font>
      <sz val="11"/>
      <color theme="1"/>
      <name val="Metropolis"/>
      <family val="3"/>
    </font>
    <font>
      <b/>
      <sz val="11"/>
      <color theme="1"/>
      <name val="Metropolis"/>
      <family val="3"/>
    </font>
    <font>
      <b/>
      <sz val="10"/>
      <color theme="0"/>
      <name val="Metropolis"/>
      <family val="3"/>
    </font>
    <font>
      <b/>
      <i/>
      <sz val="10"/>
      <color theme="1"/>
      <name val="Metropolis"/>
      <family val="3"/>
    </font>
    <font>
      <sz val="10"/>
      <color theme="1"/>
      <name val="Metropolis"/>
      <family val="3"/>
    </font>
    <font>
      <sz val="10"/>
      <color rgb="FF333333"/>
      <name val="Metropolis"/>
      <family val="3"/>
    </font>
    <font>
      <b/>
      <sz val="10"/>
      <color theme="1"/>
      <name val="Metropolis"/>
      <family val="3"/>
    </font>
    <font>
      <sz val="11"/>
      <color rgb="FF9C0006"/>
      <name val="Metropolis"/>
      <family val="2"/>
    </font>
    <font>
      <b/>
      <sz val="11"/>
      <color theme="0"/>
      <name val="Metropolis"/>
      <family val="3"/>
    </font>
    <font>
      <sz val="10"/>
      <name val="Metropolis"/>
      <family val="3"/>
    </font>
    <font>
      <b/>
      <sz val="10"/>
      <color rgb="FF333333"/>
      <name val="Metropolis"/>
      <family val="3"/>
    </font>
    <font>
      <sz val="11"/>
      <color rgb="FF000000"/>
      <name val="Metropolis"/>
      <family val="3"/>
    </font>
    <font>
      <sz val="11"/>
      <color rgb="FF9C0006"/>
      <name val="Metropolis"/>
      <family val="3"/>
    </font>
    <font>
      <sz val="11"/>
      <name val="Metropolis"/>
      <family val="3"/>
    </font>
    <font>
      <b/>
      <sz val="11"/>
      <name val="Metropolis"/>
      <family val="3"/>
    </font>
    <font>
      <b/>
      <i/>
      <sz val="11"/>
      <color theme="1"/>
      <name val="Metropolis"/>
      <family val="3"/>
    </font>
    <font>
      <sz val="11"/>
      <color rgb="FF333333"/>
      <name val="Metropolis"/>
      <family val="3"/>
    </font>
    <font>
      <i/>
      <sz val="11"/>
      <color theme="1"/>
      <name val="Metropolis"/>
      <family val="3"/>
    </font>
    <font>
      <sz val="18"/>
      <color theme="3"/>
      <name val="Aptos Display"/>
      <family val="2"/>
      <scheme val="maj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65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  <scheme val="minor"/>
    </font>
    <font>
      <b/>
      <sz val="10"/>
      <name val="Metropolis"/>
      <family val="3"/>
    </font>
    <font>
      <sz val="10"/>
      <color indexed="0"/>
      <name val="Metropolis"/>
      <family val="3"/>
    </font>
    <font>
      <sz val="11"/>
      <color indexed="8"/>
      <name val="Metropolis"/>
      <family val="3"/>
    </font>
  </fonts>
  <fills count="5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48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FFAB5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10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/>
    <xf numFmtId="0" fontId="22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0" fontId="25" fillId="26" borderId="0" applyNumberFormat="0" applyBorder="0" applyAlignment="0" applyProtection="0"/>
    <xf numFmtId="0" fontId="26" fillId="10" borderId="0" applyNumberFormat="0" applyBorder="0" applyAlignment="0" applyProtection="0"/>
    <xf numFmtId="0" fontId="27" fillId="27" borderId="0" applyNumberFormat="0" applyBorder="0" applyAlignment="0" applyProtection="0"/>
    <xf numFmtId="0" fontId="28" fillId="28" borderId="14" applyNumberFormat="0" applyAlignment="0" applyProtection="0"/>
    <xf numFmtId="0" fontId="29" fillId="29" borderId="15" applyNumberFormat="0" applyAlignment="0" applyProtection="0"/>
    <xf numFmtId="0" fontId="30" fillId="29" borderId="14" applyNumberFormat="0" applyAlignment="0" applyProtection="0"/>
    <xf numFmtId="0" fontId="31" fillId="0" borderId="16" applyNumberFormat="0" applyFill="0" applyAlignment="0" applyProtection="0"/>
    <xf numFmtId="0" fontId="32" fillId="30" borderId="17" applyNumberFormat="0" applyAlignment="0" applyProtection="0"/>
    <xf numFmtId="0" fontId="33" fillId="0" borderId="0" applyNumberFormat="0" applyFill="0" applyBorder="0" applyAlignment="0" applyProtection="0"/>
    <xf numFmtId="0" fontId="21" fillId="31" borderId="1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19" applyNumberFormat="0" applyFill="0" applyAlignment="0" applyProtection="0"/>
    <xf numFmtId="0" fontId="36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36" fillId="35" borderId="0" applyNumberFormat="0" applyBorder="0" applyAlignment="0" applyProtection="0"/>
    <xf numFmtId="0" fontId="36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36" fillId="43" borderId="0" applyNumberFormat="0" applyBorder="0" applyAlignment="0" applyProtection="0"/>
    <xf numFmtId="0" fontId="36" fillId="44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36" fillId="47" borderId="0" applyNumberFormat="0" applyBorder="0" applyAlignment="0" applyProtection="0"/>
    <xf numFmtId="0" fontId="36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36" fillId="51" borderId="0" applyNumberFormat="0" applyBorder="0" applyAlignment="0" applyProtection="0"/>
    <xf numFmtId="0" fontId="36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36" fillId="55" borderId="0" applyNumberFormat="0" applyBorder="0" applyAlignment="0" applyProtection="0"/>
    <xf numFmtId="9" fontId="21" fillId="0" borderId="0" applyFont="0" applyFill="0" applyBorder="0" applyAlignment="0" applyProtection="0"/>
    <xf numFmtId="0" fontId="37" fillId="0" borderId="0"/>
  </cellStyleXfs>
  <cellXfs count="193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/>
    </xf>
    <xf numFmtId="0" fontId="3" fillId="0" borderId="0" xfId="0" applyFont="1"/>
    <xf numFmtId="0" fontId="2" fillId="0" borderId="4" xfId="0" applyFont="1" applyBorder="1"/>
    <xf numFmtId="43" fontId="2" fillId="0" borderId="0" xfId="1" applyFont="1"/>
    <xf numFmtId="14" fontId="3" fillId="0" borderId="5" xfId="0" applyNumberFormat="1" applyFont="1" applyBorder="1" applyAlignment="1">
      <alignment horizontal="right"/>
    </xf>
    <xf numFmtId="165" fontId="3" fillId="0" borderId="5" xfId="1" applyNumberFormat="1" applyFont="1" applyBorder="1" applyAlignment="1">
      <alignment horizontal="right"/>
    </xf>
    <xf numFmtId="166" fontId="2" fillId="0" borderId="0" xfId="2" applyNumberFormat="1" applyFont="1"/>
    <xf numFmtId="165" fontId="3" fillId="0" borderId="0" xfId="0" applyNumberFormat="1" applyFont="1"/>
    <xf numFmtId="0" fontId="4" fillId="4" borderId="4" xfId="0" applyFont="1" applyFill="1" applyBorder="1" applyAlignment="1">
      <alignment vertical="center"/>
    </xf>
    <xf numFmtId="165" fontId="2" fillId="0" borderId="0" xfId="1" applyNumberFormat="1" applyFont="1"/>
    <xf numFmtId="0" fontId="5" fillId="5" borderId="4" xfId="0" applyFont="1" applyFill="1" applyBorder="1"/>
    <xf numFmtId="0" fontId="2" fillId="7" borderId="0" xfId="0" applyFont="1" applyFill="1"/>
    <xf numFmtId="43" fontId="2" fillId="7" borderId="0" xfId="1" applyFont="1" applyFill="1"/>
    <xf numFmtId="165" fontId="2" fillId="7" borderId="0" xfId="1" applyNumberFormat="1" applyFont="1" applyFill="1"/>
    <xf numFmtId="0" fontId="6" fillId="5" borderId="4" xfId="0" applyFont="1" applyFill="1" applyBorder="1" applyAlignment="1">
      <alignment horizontal="left"/>
    </xf>
    <xf numFmtId="43" fontId="6" fillId="5" borderId="0" xfId="1" applyFont="1" applyFill="1" applyBorder="1" applyAlignment="1">
      <alignment horizontal="center"/>
    </xf>
    <xf numFmtId="43" fontId="2" fillId="8" borderId="0" xfId="1" applyFont="1" applyFill="1"/>
    <xf numFmtId="10" fontId="2" fillId="0" borderId="0" xfId="2" applyNumberFormat="1" applyFont="1"/>
    <xf numFmtId="9" fontId="2" fillId="0" borderId="0" xfId="2" applyFont="1"/>
    <xf numFmtId="165" fontId="2" fillId="0" borderId="0" xfId="0" applyNumberFormat="1" applyFont="1"/>
    <xf numFmtId="164" fontId="2" fillId="0" borderId="0" xfId="0" applyNumberFormat="1" applyFont="1"/>
    <xf numFmtId="10" fontId="2" fillId="0" borderId="0" xfId="0" applyNumberFormat="1" applyFont="1"/>
    <xf numFmtId="165" fontId="3" fillId="0" borderId="0" xfId="1" applyNumberFormat="1" applyFont="1"/>
    <xf numFmtId="0" fontId="8" fillId="9" borderId="7" xfId="0" applyFont="1" applyFill="1" applyBorder="1" applyAlignment="1">
      <alignment horizontal="center"/>
    </xf>
    <xf numFmtId="43" fontId="2" fillId="0" borderId="0" xfId="1" applyFont="1" applyFill="1"/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3" borderId="9" xfId="0" applyFont="1" applyFill="1" applyBorder="1" applyAlignment="1">
      <alignment horizontal="center"/>
    </xf>
    <xf numFmtId="0" fontId="6" fillId="5" borderId="0" xfId="0" applyFont="1" applyFill="1"/>
    <xf numFmtId="167" fontId="6" fillId="6" borderId="9" xfId="0" applyNumberFormat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10" fontId="6" fillId="6" borderId="9" xfId="2" applyNumberFormat="1" applyFont="1" applyFill="1" applyBorder="1" applyAlignment="1">
      <alignment horizontal="center"/>
    </xf>
    <xf numFmtId="0" fontId="2" fillId="5" borderId="0" xfId="0" applyFont="1" applyFill="1"/>
    <xf numFmtId="0" fontId="8" fillId="9" borderId="6" xfId="0" applyFont="1" applyFill="1" applyBorder="1"/>
    <xf numFmtId="0" fontId="6" fillId="9" borderId="7" xfId="0" applyFont="1" applyFill="1" applyBorder="1"/>
    <xf numFmtId="10" fontId="8" fillId="6" borderId="10" xfId="2" applyNumberFormat="1" applyFont="1" applyFill="1" applyBorder="1" applyAlignment="1">
      <alignment horizontal="center"/>
    </xf>
    <xf numFmtId="43" fontId="0" fillId="0" borderId="0" xfId="1" applyFont="1"/>
    <xf numFmtId="10" fontId="0" fillId="0" borderId="0" xfId="2" applyNumberFormat="1" applyFont="1"/>
    <xf numFmtId="43" fontId="2" fillId="0" borderId="0" xfId="1" applyFont="1" applyBorder="1"/>
    <xf numFmtId="0" fontId="8" fillId="0" borderId="0" xfId="0" applyFont="1" applyAlignment="1">
      <alignment horizontal="center"/>
    </xf>
    <xf numFmtId="2" fontId="11" fillId="0" borderId="0" xfId="3" applyNumberFormat="1" applyFont="1" applyFill="1" applyBorder="1" applyAlignment="1">
      <alignment horizontal="center"/>
    </xf>
    <xf numFmtId="0" fontId="6" fillId="8" borderId="0" xfId="0" applyFont="1" applyFill="1"/>
    <xf numFmtId="0" fontId="6" fillId="5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5" fontId="2" fillId="0" borderId="0" xfId="1" applyNumberFormat="1" applyFont="1" applyFill="1"/>
    <xf numFmtId="166" fontId="2" fillId="0" borderId="0" xfId="2" applyNumberFormat="1" applyFont="1" applyFill="1"/>
    <xf numFmtId="10" fontId="2" fillId="0" borderId="0" xfId="2" applyNumberFormat="1" applyFont="1" applyFill="1"/>
    <xf numFmtId="9" fontId="2" fillId="0" borderId="0" xfId="2" applyFont="1" applyFill="1"/>
    <xf numFmtId="0" fontId="8" fillId="9" borderId="7" xfId="0" applyFont="1" applyFill="1" applyBorder="1"/>
    <xf numFmtId="0" fontId="6" fillId="0" borderId="0" xfId="0" applyFont="1"/>
    <xf numFmtId="0" fontId="7" fillId="0" borderId="0" xfId="0" applyFont="1" applyAlignment="1">
      <alignment horizontal="center"/>
    </xf>
    <xf numFmtId="43" fontId="8" fillId="0" borderId="0" xfId="1" applyFont="1" applyFill="1" applyBorder="1" applyAlignment="1">
      <alignment horizontal="center"/>
    </xf>
    <xf numFmtId="10" fontId="6" fillId="0" borderId="0" xfId="2" applyNumberFormat="1" applyFont="1" applyFill="1" applyBorder="1" applyAlignment="1">
      <alignment horizontal="center"/>
    </xf>
    <xf numFmtId="0" fontId="6" fillId="0" borderId="0" xfId="0" applyFont="1" applyAlignment="1">
      <alignment horizontal="left"/>
    </xf>
    <xf numFmtId="165" fontId="0" fillId="0" borderId="0" xfId="0" applyNumberFormat="1"/>
    <xf numFmtId="0" fontId="6" fillId="5" borderId="0" xfId="0" applyFont="1" applyFill="1" applyAlignment="1">
      <alignment horizontal="left"/>
    </xf>
    <xf numFmtId="43" fontId="0" fillId="0" borderId="0" xfId="0" applyNumberFormat="1"/>
    <xf numFmtId="43" fontId="2" fillId="5" borderId="0" xfId="1" applyFont="1" applyFill="1" applyBorder="1" applyAlignment="1">
      <alignment horizontal="center"/>
    </xf>
    <xf numFmtId="43" fontId="6" fillId="0" borderId="0" xfId="1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5" borderId="2" xfId="0" applyFill="1" applyBorder="1"/>
    <xf numFmtId="168" fontId="0" fillId="5" borderId="8" xfId="1" applyNumberFormat="1" applyFont="1" applyFill="1" applyBorder="1"/>
    <xf numFmtId="0" fontId="0" fillId="5" borderId="4" xfId="0" applyFill="1" applyBorder="1"/>
    <xf numFmtId="168" fontId="0" fillId="5" borderId="9" xfId="1" applyNumberFormat="1" applyFont="1" applyFill="1" applyBorder="1"/>
    <xf numFmtId="169" fontId="0" fillId="5" borderId="9" xfId="0" applyNumberFormat="1" applyFill="1" applyBorder="1"/>
    <xf numFmtId="0" fontId="0" fillId="5" borderId="6" xfId="0" applyFill="1" applyBorder="1"/>
    <xf numFmtId="10" fontId="0" fillId="5" borderId="10" xfId="2" applyNumberFormat="1" applyFont="1" applyFill="1" applyBorder="1"/>
    <xf numFmtId="10" fontId="0" fillId="0" borderId="0" xfId="1" applyNumberFormat="1" applyFont="1"/>
    <xf numFmtId="0" fontId="7" fillId="5" borderId="0" xfId="0" applyFont="1" applyFill="1" applyAlignment="1">
      <alignment horizontal="center" wrapText="1"/>
    </xf>
    <xf numFmtId="0" fontId="0" fillId="5" borderId="0" xfId="0" applyFill="1"/>
    <xf numFmtId="0" fontId="12" fillId="5" borderId="0" xfId="0" applyFont="1" applyFill="1" applyAlignment="1">
      <alignment horizontal="center"/>
    </xf>
    <xf numFmtId="0" fontId="4" fillId="4" borderId="2" xfId="0" applyFont="1" applyFill="1" applyBorder="1"/>
    <xf numFmtId="0" fontId="4" fillId="4" borderId="3" xfId="0" applyFont="1" applyFill="1" applyBorder="1"/>
    <xf numFmtId="0" fontId="4" fillId="4" borderId="8" xfId="0" applyFont="1" applyFill="1" applyBorder="1"/>
    <xf numFmtId="0" fontId="3" fillId="0" borderId="0" xfId="0" applyFont="1" applyAlignment="1">
      <alignment horizontal="right"/>
    </xf>
    <xf numFmtId="0" fontId="2" fillId="9" borderId="0" xfId="0" applyFont="1" applyFill="1"/>
    <xf numFmtId="43" fontId="2" fillId="7" borderId="0" xfId="1" applyFont="1" applyFill="1" applyBorder="1"/>
    <xf numFmtId="165" fontId="2" fillId="7" borderId="0" xfId="1" applyNumberFormat="1" applyFont="1" applyFill="1" applyBorder="1"/>
    <xf numFmtId="43" fontId="2" fillId="8" borderId="0" xfId="1" applyFont="1" applyFill="1" applyBorder="1"/>
    <xf numFmtId="165" fontId="2" fillId="0" borderId="0" xfId="1" applyNumberFormat="1" applyFont="1" applyBorder="1"/>
    <xf numFmtId="165" fontId="3" fillId="0" borderId="0" xfId="1" applyNumberFormat="1" applyFont="1" applyBorder="1"/>
    <xf numFmtId="0" fontId="2" fillId="0" borderId="0" xfId="0" applyFont="1" applyAlignment="1">
      <alignment horizontal="center"/>
    </xf>
    <xf numFmtId="0" fontId="3" fillId="5" borderId="0" xfId="0" applyFont="1" applyFill="1"/>
    <xf numFmtId="14" fontId="14" fillId="10" borderId="0" xfId="3" applyNumberFormat="1" applyFont="1" applyBorder="1" applyAlignment="1">
      <alignment horizontal="right"/>
    </xf>
    <xf numFmtId="0" fontId="2" fillId="5" borderId="0" xfId="0" applyFont="1" applyFill="1" applyAlignment="1">
      <alignment horizontal="left"/>
    </xf>
    <xf numFmtId="0" fontId="2" fillId="0" borderId="0" xfId="0" applyFont="1" applyAlignment="1">
      <alignment wrapText="1"/>
    </xf>
    <xf numFmtId="14" fontId="2" fillId="0" borderId="0" xfId="0" applyNumberFormat="1" applyFont="1" applyAlignment="1">
      <alignment horizontal="right"/>
    </xf>
    <xf numFmtId="14" fontId="15" fillId="10" borderId="0" xfId="3" applyNumberFormat="1" applyFont="1" applyAlignment="1">
      <alignment horizontal="right"/>
    </xf>
    <xf numFmtId="0" fontId="15" fillId="0" borderId="0" xfId="0" applyFont="1"/>
    <xf numFmtId="0" fontId="16" fillId="0" borderId="0" xfId="0" applyFont="1"/>
    <xf numFmtId="14" fontId="16" fillId="0" borderId="0" xfId="0" applyNumberFormat="1" applyFont="1"/>
    <xf numFmtId="0" fontId="16" fillId="0" borderId="0" xfId="0" applyFont="1" applyAlignment="1">
      <alignment horizontal="right"/>
    </xf>
    <xf numFmtId="14" fontId="15" fillId="0" borderId="0" xfId="0" applyNumberFormat="1" applyFont="1" applyAlignment="1">
      <alignment horizontal="right"/>
    </xf>
    <xf numFmtId="0" fontId="10" fillId="4" borderId="0" xfId="0" applyFont="1" applyFill="1"/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0" fontId="10" fillId="14" borderId="0" xfId="0" applyFont="1" applyFill="1" applyAlignment="1">
      <alignment horizontal="center"/>
    </xf>
    <xf numFmtId="165" fontId="10" fillId="12" borderId="0" xfId="1" applyNumberFormat="1" applyFont="1" applyFill="1" applyBorder="1" applyAlignment="1">
      <alignment horizontal="center"/>
    </xf>
    <xf numFmtId="165" fontId="10" fillId="13" borderId="0" xfId="1" applyNumberFormat="1" applyFont="1" applyFill="1" applyBorder="1" applyAlignment="1">
      <alignment horizontal="center"/>
    </xf>
    <xf numFmtId="165" fontId="10" fillId="14" borderId="0" xfId="1" applyNumberFormat="1" applyFont="1" applyFill="1" applyBorder="1" applyAlignment="1">
      <alignment horizontal="center"/>
    </xf>
    <xf numFmtId="0" fontId="17" fillId="5" borderId="0" xfId="0" applyFont="1" applyFill="1"/>
    <xf numFmtId="10" fontId="3" fillId="6" borderId="0" xfId="2" applyNumberFormat="1" applyFont="1" applyFill="1" applyBorder="1" applyAlignment="1">
      <alignment horizontal="center"/>
    </xf>
    <xf numFmtId="10" fontId="3" fillId="16" borderId="0" xfId="2" applyNumberFormat="1" applyFont="1" applyFill="1" applyBorder="1" applyAlignment="1">
      <alignment horizontal="center"/>
    </xf>
    <xf numFmtId="10" fontId="3" fillId="17" borderId="0" xfId="2" applyNumberFormat="1" applyFont="1" applyFill="1" applyBorder="1" applyAlignment="1">
      <alignment horizontal="center"/>
    </xf>
    <xf numFmtId="10" fontId="3" fillId="18" borderId="0" xfId="2" applyNumberFormat="1" applyFont="1" applyFill="1" applyBorder="1" applyAlignment="1">
      <alignment horizontal="center"/>
    </xf>
    <xf numFmtId="2" fontId="2" fillId="5" borderId="0" xfId="0" applyNumberFormat="1" applyFont="1" applyFill="1" applyAlignment="1">
      <alignment horizontal="center"/>
    </xf>
    <xf numFmtId="10" fontId="2" fillId="6" borderId="0" xfId="2" applyNumberFormat="1" applyFont="1" applyFill="1" applyBorder="1" applyAlignment="1">
      <alignment horizontal="center"/>
    </xf>
    <xf numFmtId="10" fontId="2" fillId="16" borderId="0" xfId="2" applyNumberFormat="1" applyFont="1" applyFill="1" applyBorder="1" applyAlignment="1">
      <alignment horizontal="center"/>
    </xf>
    <xf numFmtId="10" fontId="2" fillId="17" borderId="0" xfId="2" applyNumberFormat="1" applyFont="1" applyFill="1" applyBorder="1" applyAlignment="1">
      <alignment horizontal="center"/>
    </xf>
    <xf numFmtId="10" fontId="2" fillId="18" borderId="0" xfId="2" applyNumberFormat="1" applyFont="1" applyFill="1" applyBorder="1" applyAlignment="1">
      <alignment horizontal="center"/>
    </xf>
    <xf numFmtId="0" fontId="17" fillId="5" borderId="0" xfId="0" applyFont="1" applyFill="1" applyAlignment="1">
      <alignment horizontal="left"/>
    </xf>
    <xf numFmtId="0" fontId="18" fillId="5" borderId="0" xfId="0" applyFont="1" applyFill="1" applyAlignment="1">
      <alignment horizontal="left"/>
    </xf>
    <xf numFmtId="0" fontId="15" fillId="5" borderId="0" xfId="3" applyFont="1" applyFill="1" applyBorder="1" applyAlignment="1">
      <alignment horizontal="left"/>
    </xf>
    <xf numFmtId="0" fontId="3" fillId="9" borderId="0" xfId="0" applyFont="1" applyFill="1"/>
    <xf numFmtId="0" fontId="2" fillId="9" borderId="0" xfId="0" applyFont="1" applyFill="1" applyAlignment="1">
      <alignment horizontal="left"/>
    </xf>
    <xf numFmtId="0" fontId="3" fillId="9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19" fillId="9" borderId="0" xfId="0" applyFont="1" applyFill="1" applyAlignment="1">
      <alignment horizontal="right"/>
    </xf>
    <xf numFmtId="0" fontId="2" fillId="9" borderId="0" xfId="0" applyFont="1" applyFill="1" applyAlignment="1">
      <alignment horizontal="right"/>
    </xf>
    <xf numFmtId="2" fontId="15" fillId="20" borderId="0" xfId="3" applyNumberFormat="1" applyFont="1" applyFill="1" applyBorder="1" applyAlignment="1">
      <alignment horizontal="center"/>
    </xf>
    <xf numFmtId="2" fontId="15" fillId="21" borderId="0" xfId="3" applyNumberFormat="1" applyFont="1" applyFill="1" applyBorder="1" applyAlignment="1">
      <alignment horizontal="center"/>
    </xf>
    <xf numFmtId="2" fontId="15" fillId="22" borderId="0" xfId="3" applyNumberFormat="1" applyFont="1" applyFill="1" applyBorder="1" applyAlignment="1">
      <alignment horizontal="center"/>
    </xf>
    <xf numFmtId="2" fontId="15" fillId="23" borderId="0" xfId="3" applyNumberFormat="1" applyFont="1" applyFill="1" applyBorder="1" applyAlignment="1">
      <alignment horizontal="center"/>
    </xf>
    <xf numFmtId="0" fontId="2" fillId="5" borderId="2" xfId="0" applyFont="1" applyFill="1" applyBorder="1"/>
    <xf numFmtId="168" fontId="2" fillId="5" borderId="8" xfId="1" applyNumberFormat="1" applyFont="1" applyFill="1" applyBorder="1"/>
    <xf numFmtId="168" fontId="2" fillId="0" borderId="0" xfId="1" applyNumberFormat="1" applyFont="1" applyFill="1" applyBorder="1"/>
    <xf numFmtId="0" fontId="2" fillId="5" borderId="4" xfId="0" applyFont="1" applyFill="1" applyBorder="1"/>
    <xf numFmtId="168" fontId="2" fillId="5" borderId="9" xfId="1" applyNumberFormat="1" applyFont="1" applyFill="1" applyBorder="1"/>
    <xf numFmtId="169" fontId="2" fillId="5" borderId="9" xfId="0" applyNumberFormat="1" applyFont="1" applyFill="1" applyBorder="1"/>
    <xf numFmtId="169" fontId="2" fillId="0" borderId="0" xfId="0" applyNumberFormat="1" applyFont="1"/>
    <xf numFmtId="0" fontId="2" fillId="5" borderId="6" xfId="0" applyFont="1" applyFill="1" applyBorder="1"/>
    <xf numFmtId="10" fontId="2" fillId="5" borderId="10" xfId="2" applyNumberFormat="1" applyFont="1" applyFill="1" applyBorder="1"/>
    <xf numFmtId="10" fontId="2" fillId="0" borderId="0" xfId="2" applyNumberFormat="1" applyFont="1" applyFill="1" applyBorder="1"/>
    <xf numFmtId="0" fontId="2" fillId="25" borderId="0" xfId="0" applyFont="1" applyFill="1"/>
    <xf numFmtId="0" fontId="10" fillId="15" borderId="0" xfId="0" applyFont="1" applyFill="1" applyAlignment="1">
      <alignment horizontal="center"/>
    </xf>
    <xf numFmtId="165" fontId="10" fillId="3" borderId="0" xfId="1" applyNumberFormat="1" applyFont="1" applyFill="1" applyBorder="1" applyAlignment="1">
      <alignment horizontal="center"/>
    </xf>
    <xf numFmtId="165" fontId="10" fillId="15" borderId="0" xfId="1" applyNumberFormat="1" applyFont="1" applyFill="1" applyBorder="1" applyAlignment="1">
      <alignment horizontal="center"/>
    </xf>
    <xf numFmtId="10" fontId="3" fillId="19" borderId="0" xfId="2" applyNumberFormat="1" applyFont="1" applyFill="1" applyBorder="1" applyAlignment="1">
      <alignment horizontal="center"/>
    </xf>
    <xf numFmtId="10" fontId="2" fillId="19" borderId="0" xfId="2" applyNumberFormat="1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0" fontId="15" fillId="5" borderId="0" xfId="3" applyFont="1" applyFill="1" applyBorder="1" applyAlignment="1">
      <alignment horizontal="center"/>
    </xf>
    <xf numFmtId="2" fontId="15" fillId="24" borderId="0" xfId="3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2" fontId="15" fillId="0" borderId="0" xfId="3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7" fontId="2" fillId="6" borderId="0" xfId="0" applyNumberFormat="1" applyFont="1" applyFill="1" applyAlignment="1">
      <alignment horizontal="center"/>
    </xf>
    <xf numFmtId="2" fontId="2" fillId="0" borderId="0" xfId="0" applyNumberFormat="1" applyFont="1" applyAlignment="1">
      <alignment horizontal="center"/>
    </xf>
    <xf numFmtId="10" fontId="2" fillId="5" borderId="0" xfId="2" applyNumberFormat="1" applyFont="1" applyFill="1" applyBorder="1"/>
    <xf numFmtId="14" fontId="3" fillId="0" borderId="0" xfId="0" applyNumberFormat="1" applyFont="1" applyAlignment="1">
      <alignment horizontal="right"/>
    </xf>
    <xf numFmtId="0" fontId="2" fillId="5" borderId="0" xfId="0" quotePrefix="1" applyFont="1" applyFill="1"/>
    <xf numFmtId="0" fontId="15" fillId="5" borderId="0" xfId="11" applyFont="1" applyFill="1" applyBorder="1" applyAlignment="1">
      <alignment horizontal="center"/>
    </xf>
    <xf numFmtId="2" fontId="2" fillId="5" borderId="0" xfId="0" applyNumberFormat="1" applyFont="1" applyFill="1" applyAlignment="1">
      <alignment horizontal="left"/>
    </xf>
    <xf numFmtId="0" fontId="10" fillId="19" borderId="0" xfId="0" applyFont="1" applyFill="1" applyAlignment="1">
      <alignment horizontal="center"/>
    </xf>
    <xf numFmtId="10" fontId="3" fillId="56" borderId="0" xfId="2" applyNumberFormat="1" applyFont="1" applyFill="1" applyBorder="1" applyAlignment="1">
      <alignment horizontal="center"/>
    </xf>
    <xf numFmtId="10" fontId="2" fillId="56" borderId="0" xfId="2" applyNumberFormat="1" applyFont="1" applyFill="1" applyBorder="1" applyAlignment="1">
      <alignment horizontal="center"/>
    </xf>
    <xf numFmtId="0" fontId="10" fillId="23" borderId="0" xfId="0" applyFont="1" applyFill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0" fontId="10" fillId="3" borderId="0" xfId="0" applyFont="1" applyFill="1"/>
    <xf numFmtId="165" fontId="10" fillId="12" borderId="0" xfId="1" applyNumberFormat="1" applyFont="1" applyFill="1" applyBorder="1" applyAlignment="1"/>
    <xf numFmtId="165" fontId="10" fillId="13" borderId="0" xfId="1" applyNumberFormat="1" applyFont="1" applyFill="1" applyBorder="1" applyAlignment="1"/>
    <xf numFmtId="165" fontId="10" fillId="14" borderId="0" xfId="1" applyNumberFormat="1" applyFont="1" applyFill="1" applyBorder="1" applyAlignment="1"/>
    <xf numFmtId="0" fontId="4" fillId="57" borderId="0" xfId="47" applyFont="1" applyFill="1" applyAlignment="1">
      <alignment wrapText="1"/>
    </xf>
    <xf numFmtId="0" fontId="4" fillId="57" borderId="0" xfId="47" applyFont="1" applyFill="1" applyAlignment="1">
      <alignment horizontal="center" wrapText="1"/>
    </xf>
    <xf numFmtId="0" fontId="39" fillId="9" borderId="0" xfId="47" applyFont="1" applyFill="1"/>
    <xf numFmtId="166" fontId="39" fillId="9" borderId="0" xfId="47" applyNumberFormat="1" applyFont="1" applyFill="1" applyAlignment="1">
      <alignment horizontal="center"/>
    </xf>
    <xf numFmtId="0" fontId="38" fillId="5" borderId="0" xfId="47" applyFont="1" applyFill="1"/>
    <xf numFmtId="0" fontId="39" fillId="5" borderId="0" xfId="47" applyFont="1" applyFill="1"/>
    <xf numFmtId="166" fontId="39" fillId="5" borderId="0" xfId="47" applyNumberFormat="1" applyFont="1" applyFill="1" applyAlignment="1">
      <alignment horizontal="center"/>
    </xf>
    <xf numFmtId="166" fontId="2" fillId="5" borderId="0" xfId="0" applyNumberFormat="1" applyFont="1" applyFill="1"/>
    <xf numFmtId="0" fontId="40" fillId="9" borderId="0" xfId="47" applyFont="1" applyFill="1"/>
    <xf numFmtId="0" fontId="10" fillId="0" borderId="0" xfId="0" applyFont="1"/>
    <xf numFmtId="43" fontId="2" fillId="0" borderId="0" xfId="1" applyFont="1" applyFill="1" applyBorder="1"/>
    <xf numFmtId="165" fontId="2" fillId="0" borderId="0" xfId="1" applyNumberFormat="1" applyFont="1" applyFill="1" applyBorder="1"/>
    <xf numFmtId="0" fontId="10" fillId="0" borderId="0" xfId="0" applyFont="1" applyAlignment="1">
      <alignment horizontal="center"/>
    </xf>
    <xf numFmtId="10" fontId="2" fillId="0" borderId="0" xfId="2" applyNumberFormat="1" applyFont="1" applyFill="1" applyBorder="1" applyAlignment="1">
      <alignment horizontal="center"/>
    </xf>
    <xf numFmtId="165" fontId="3" fillId="0" borderId="0" xfId="1" applyNumberFormat="1" applyFont="1" applyFill="1" applyBorder="1"/>
    <xf numFmtId="165" fontId="10" fillId="0" borderId="0" xfId="1" applyNumberFormat="1" applyFont="1" applyFill="1" applyBorder="1" applyAlignment="1"/>
    <xf numFmtId="0" fontId="0" fillId="5" borderId="0" xfId="0" applyFill="1" applyAlignment="1">
      <alignment horizontal="center"/>
    </xf>
    <xf numFmtId="10" fontId="0" fillId="0" borderId="0" xfId="0" applyNumberFormat="1"/>
    <xf numFmtId="165" fontId="10" fillId="3" borderId="0" xfId="1" applyNumberFormat="1" applyFont="1" applyFill="1" applyBorder="1" applyAlignment="1">
      <alignment horizontal="center"/>
    </xf>
    <xf numFmtId="165" fontId="10" fillId="13" borderId="0" xfId="1" applyNumberFormat="1" applyFont="1" applyFill="1" applyBorder="1" applyAlignment="1">
      <alignment horizontal="center"/>
    </xf>
    <xf numFmtId="165" fontId="10" fillId="12" borderId="0" xfId="1" applyNumberFormat="1" applyFont="1" applyFill="1" applyBorder="1" applyAlignment="1">
      <alignment horizontal="center"/>
    </xf>
    <xf numFmtId="165" fontId="10" fillId="0" borderId="0" xfId="1" applyNumberFormat="1" applyFont="1" applyFill="1" applyBorder="1" applyAlignment="1">
      <alignment horizontal="center"/>
    </xf>
    <xf numFmtId="165" fontId="10" fillId="14" borderId="0" xfId="1" applyNumberFormat="1" applyFont="1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170" fontId="3" fillId="0" borderId="0" xfId="2" applyNumberFormat="1" applyFont="1"/>
    <xf numFmtId="170" fontId="0" fillId="0" borderId="0" xfId="2" applyNumberFormat="1" applyFont="1"/>
  </cellXfs>
  <cellStyles count="48">
    <cellStyle name="20% - Accent1 2" xfId="23" xr:uid="{95C45214-2D9E-4D80-AC8C-3573996E2423}"/>
    <cellStyle name="20% - Accent2 2" xfId="27" xr:uid="{810632C3-5D75-4EB1-B300-43623B30D696}"/>
    <cellStyle name="20% - Accent3 2" xfId="31" xr:uid="{9EF13E84-BDAF-4028-9DC6-6C3043FA6E3D}"/>
    <cellStyle name="20% - Accent4 2" xfId="35" xr:uid="{1EAB11F6-AF71-48C4-9D8C-E68AE1949A84}"/>
    <cellStyle name="20% - Accent5 2" xfId="39" xr:uid="{AAAEBCFA-0484-4260-B9CF-779AA6278427}"/>
    <cellStyle name="20% - Accent6 2" xfId="43" xr:uid="{AB13676F-4E4C-4847-9708-D58128FD0A4F}"/>
    <cellStyle name="40% - Accent1 2" xfId="24" xr:uid="{4BA1F18A-B30A-43A3-A6CB-EB93263A4FFD}"/>
    <cellStyle name="40% - Accent2 2" xfId="28" xr:uid="{11624CB2-8806-4A6F-BB9A-6A979C691359}"/>
    <cellStyle name="40% - Accent3 2" xfId="32" xr:uid="{1A3D0F35-4CD3-439E-82B9-4B048503B0C7}"/>
    <cellStyle name="40% - Accent4 2" xfId="36" xr:uid="{4256847E-9029-4D72-9C8B-31C15E508AF6}"/>
    <cellStyle name="40% - Accent5 2" xfId="40" xr:uid="{C3EB4FEA-BAEF-4685-9403-5E2350C9B611}"/>
    <cellStyle name="40% - Accent6 2" xfId="44" xr:uid="{19882ABB-C922-4E35-B55D-EC1D4B63D006}"/>
    <cellStyle name="60% - Accent1 2" xfId="25" xr:uid="{27C8028D-7977-49E4-B9E9-10715FAF4782}"/>
    <cellStyle name="60% - Accent2 2" xfId="29" xr:uid="{E7BCE463-3663-4547-9B6E-B3827E257560}"/>
    <cellStyle name="60% - Accent3 2" xfId="33" xr:uid="{EBD4FBDD-F9D0-4F7F-A030-2962AE602C45}"/>
    <cellStyle name="60% - Accent4 2" xfId="37" xr:uid="{9AF02BC5-1EAB-434A-B6B8-E696635A131C}"/>
    <cellStyle name="60% - Accent5 2" xfId="41" xr:uid="{B4617A29-426E-4281-9602-47EBC864DFE1}"/>
    <cellStyle name="60% - Accent6 2" xfId="45" xr:uid="{096CAE8A-3E4F-456B-96AF-78E468B13E47}"/>
    <cellStyle name="Accent1 2" xfId="22" xr:uid="{48675FF4-6FF1-4D1B-8771-C7797D9AF029}"/>
    <cellStyle name="Accent2 2" xfId="26" xr:uid="{BEB7A8FF-B41C-469F-81E3-0C5B02FB2076}"/>
    <cellStyle name="Accent3 2" xfId="30" xr:uid="{B9F04607-0DFD-407D-BADD-224539F8EAF0}"/>
    <cellStyle name="Accent4 2" xfId="34" xr:uid="{47E5795F-2A13-4EAD-868D-C1907BD31256}"/>
    <cellStyle name="Accent5 2" xfId="38" xr:uid="{4766C7CA-9751-424B-942D-01027691CF9C}"/>
    <cellStyle name="Accent6 2" xfId="42" xr:uid="{4B918087-A3C3-4358-A9B9-3F1DF9707FB2}"/>
    <cellStyle name="Bad" xfId="3" builtinId="27"/>
    <cellStyle name="Bad 2" xfId="11" xr:uid="{06D25C69-419E-4E90-9C00-150D837B9E77}"/>
    <cellStyle name="Calculation 2" xfId="15" xr:uid="{67590323-061E-4A2A-A77D-88063737E1CD}"/>
    <cellStyle name="Check Cell 2" xfId="17" xr:uid="{EA07D054-69CC-4ABC-97D5-4EAD9BBCC900}"/>
    <cellStyle name="Comma" xfId="1" builtinId="3"/>
    <cellStyle name="Explanatory Text 2" xfId="20" xr:uid="{A842BCA1-9B85-479D-B046-2CF98ED10049}"/>
    <cellStyle name="Good 2" xfId="10" xr:uid="{357CB247-7786-4D70-9B03-CCE6466D49AF}"/>
    <cellStyle name="Heading 1 2" xfId="6" xr:uid="{3E635C02-316A-45B8-9AC2-E8F172604CC9}"/>
    <cellStyle name="Heading 2 2" xfId="7" xr:uid="{05D9E464-E51E-4481-8352-2BB1A59592A7}"/>
    <cellStyle name="Heading 3 2" xfId="8" xr:uid="{A53D4DA7-F550-4010-BAE6-0A390B5AE29B}"/>
    <cellStyle name="Heading 4 2" xfId="9" xr:uid="{00A895E3-406B-4018-9077-4851F28A6423}"/>
    <cellStyle name="Input 2" xfId="13" xr:uid="{38E70C68-7646-43D8-95F0-53EB2B3DC4FE}"/>
    <cellStyle name="Linked Cell 2" xfId="16" xr:uid="{4EDB7566-A57E-475B-907B-D7060D0625EE}"/>
    <cellStyle name="Neutral 2" xfId="12" xr:uid="{7857D450-FCDD-47C8-B410-C6C626C64E46}"/>
    <cellStyle name="Normal" xfId="0" builtinId="0"/>
    <cellStyle name="Normal 2" xfId="5" xr:uid="{9FB998A8-C565-4F05-98F6-56CCB1A4F362}"/>
    <cellStyle name="Normal 3" xfId="47" xr:uid="{B1092EB3-ECF3-407E-8654-3121F289E055}"/>
    <cellStyle name="Note 2" xfId="19" xr:uid="{57A9FFCA-9104-4DA7-8ECE-8AF8DD5B0A83}"/>
    <cellStyle name="Output 2" xfId="14" xr:uid="{51551E32-DDA5-4EF5-9AC8-14F400DE0FE4}"/>
    <cellStyle name="Percent" xfId="2" builtinId="5"/>
    <cellStyle name="Percent 2" xfId="46" xr:uid="{2AD240E2-4EAF-4783-9C6D-D7F12AB0D3C8}"/>
    <cellStyle name="Title" xfId="4" builtinId="15" customBuiltin="1"/>
    <cellStyle name="Total 2" xfId="21" xr:uid="{4A716417-7707-4E82-A32D-3A160A257C98}"/>
    <cellStyle name="Warning Text 2" xfId="18" xr:uid="{E0B7A6A9-5177-4760-BAAE-C1CFF1194C1A}"/>
  </cellStyles>
  <dxfs count="169"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EF9089"/>
        </patternFill>
      </fill>
    </dxf>
    <dxf>
      <font>
        <color rgb="FFFF0000"/>
      </font>
      <fill>
        <patternFill>
          <bgColor rgb="FFEF9089"/>
        </patternFill>
      </fill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BDP|15667906386908885619</stp>
        <tr r="CI14" s="1"/>
      </tp>
      <tp t="e">
        <v>#N/A</v>
        <stp/>
        <stp>BDP|16411087605719807589</stp>
        <tr r="FC18" s="1"/>
        <tr r="X22" s="1"/>
      </tp>
      <tp t="e">
        <v>#N/A</v>
        <stp/>
        <stp>BDP|13072474652829581190</stp>
        <tr r="MK12" s="1"/>
      </tp>
      <tp t="e">
        <v>#N/A</v>
        <stp/>
        <stp>BDP|18402154513806271499</stp>
        <tr r="PV18" s="1"/>
      </tp>
      <tp t="e">
        <v>#N/A</v>
        <stp/>
        <stp>BDP|13104528109905099926</stp>
        <tr r="OM14" s="1"/>
      </tp>
      <tp t="e">
        <v>#N/A</v>
        <stp/>
        <stp>BDP|17087998070616722566</stp>
        <tr r="J5" s="23"/>
      </tp>
      <tp t="e">
        <v>#N/A</v>
        <stp/>
        <stp>BDP|10218910809764044720</stp>
        <tr r="H293" s="22"/>
      </tp>
      <tp t="e">
        <v>#N/A</v>
        <stp/>
        <stp>BDP|17858863532663373572</stp>
        <tr r="HF20" s="1"/>
      </tp>
      <tp t="e">
        <v>#N/A</v>
        <stp/>
        <stp>BDP|15682403738879466120</stp>
        <tr r="KI18" s="1"/>
        <tr r="RP12" s="1"/>
      </tp>
      <tp t="e">
        <v>#N/A</v>
        <stp/>
        <stp>BDP|15191970268017580734</stp>
        <tr r="P19" s="22"/>
      </tp>
      <tp t="e">
        <v>#N/A</v>
        <stp/>
        <stp>BDP|10103702094742758698</stp>
        <tr r="RX16" s="1"/>
      </tp>
      <tp t="e">
        <v>#N/A</v>
        <stp/>
        <stp>BDP|12616159097110624095</stp>
        <tr r="FC31" s="1"/>
        <tr r="X18" s="1"/>
      </tp>
      <tp t="e">
        <v>#N/A</v>
        <stp/>
        <stp>BDP|12945610495605227243</stp>
        <tr r="MJ22" s="1"/>
      </tp>
      <tp t="e">
        <v>#N/A</v>
        <stp/>
        <stp>BDP|17734304798447754034</stp>
        <tr r="LR11" s="1"/>
      </tp>
      <tp t="e">
        <v>#N/A</v>
        <stp/>
        <stp>BDP|14893611595363762209</stp>
        <tr r="KI9" s="1"/>
        <tr r="RP8" s="1"/>
      </tp>
      <tp t="e">
        <v>#N/A</v>
        <stp/>
        <stp>BDP|17669503812569980076</stp>
        <tr r="IO21" s="1"/>
      </tp>
      <tp t="e">
        <v>#N/A</v>
        <stp/>
        <stp>BDP|10289017616979767287</stp>
        <tr r="MK21" s="1"/>
        <tr r="NL19" s="1"/>
      </tp>
      <tp t="e">
        <v>#N/A</v>
        <stp/>
        <stp>BDP|17611040436676862866</stp>
        <tr r="J16" s="25"/>
      </tp>
      <tp t="e">
        <v>#N/A</v>
        <stp/>
        <stp>BDP|12915986114805013580</stp>
        <tr r="MK15" s="1"/>
        <tr r="OM13" s="1"/>
      </tp>
      <tp t="e">
        <v>#N/A</v>
        <stp/>
        <stp>BDP|17732697880663377006</stp>
        <tr r="J60" s="22"/>
        <tr r="J97" s="22"/>
      </tp>
      <tp t="e">
        <v>#N/A</v>
        <stp/>
        <stp>BDP|18278586468236746782</stp>
        <tr r="O146" s="22"/>
        <tr r="O186" s="22"/>
      </tp>
      <tp t="e">
        <v>#N/A</v>
        <stp/>
        <stp>BDP|17107869678777194532</stp>
        <tr r="JY24" s="1"/>
      </tp>
      <tp t="e">
        <v>#N/A</v>
        <stp/>
        <stp>BDP|11752283240125649847</stp>
        <tr r="P384" s="22"/>
      </tp>
      <tp t="e">
        <v>#N/A</v>
        <stp/>
        <stp>BDP|10058926417373062194</stp>
        <tr r="C20" s="23"/>
      </tp>
      <tp t="e">
        <v>#N/A</v>
        <stp/>
        <stp>BDP|15904997928135458102</stp>
        <tr r="KD33" s="1"/>
        <tr r="RK29" s="1"/>
      </tp>
      <tp t="e">
        <v>#N/A</v>
        <stp/>
        <stp>BDP|15944400482162124162</stp>
        <tr r="JP12" s="1"/>
        <tr r="KQ21" s="1"/>
      </tp>
      <tp t="e">
        <v>#N/A</v>
        <stp/>
        <stp>BDP|10826573724134259951</stp>
        <tr r="MF39" s="1"/>
        <tr r="OH32" s="1"/>
      </tp>
      <tp t="e">
        <v>#N/A</v>
        <stp/>
        <stp>BDP|13893358555308075741</stp>
        <tr r="P332" s="22"/>
      </tp>
      <tp t="e">
        <v>#N/A</v>
        <stp/>
        <stp>BDP|11787391852955017834</stp>
        <tr r="DS24" s="1"/>
      </tp>
      <tp t="e">
        <v>#N/A</v>
        <stp/>
        <stp>BDP|13867836444571619461</stp>
        <tr r="EB11" s="1"/>
        <tr r="OL10" s="1"/>
      </tp>
      <tp t="e">
        <v>#N/A</v>
        <stp/>
        <stp>BDP|15384843566598890963</stp>
        <tr r="NL21" s="1"/>
      </tp>
      <tp t="e">
        <v>#N/A</v>
        <stp/>
        <stp>BDP|17244916456818908921</stp>
        <tr r="HN20" s="1"/>
      </tp>
      <tp t="e">
        <v>#N/A</v>
        <stp/>
        <stp>BDP|12967739310477129950</stp>
        <tr r="C11" s="25"/>
      </tp>
      <tp t="e">
        <v>#N/A</v>
        <stp/>
        <stp>BDP|13164474740951112897</stp>
        <tr r="BD21" s="1"/>
        <tr r="DF10" s="1"/>
        <tr r="DF13" s="1"/>
        <tr r="DF16" s="1"/>
        <tr r="DF22" s="1"/>
        <tr r="DF9" s="1"/>
        <tr r="GI25" s="1"/>
        <tr r="GI31" s="1"/>
        <tr r="HJ10" s="1"/>
        <tr r="HJ12" s="1"/>
        <tr r="HJ14" s="1"/>
        <tr r="HJ21" s="1"/>
        <tr r="HJ23" s="1"/>
        <tr r="HJ24" s="1"/>
        <tr r="HJ25" s="1"/>
        <tr r="HJ26" s="1"/>
        <tr r="HJ32" s="1"/>
        <tr r="HJ35" s="1"/>
        <tr r="HJ7" s="1"/>
        <tr r="JL13" s="1"/>
        <tr r="JL19" s="1"/>
        <tr r="MO33" s="1"/>
        <tr r="QS16" s="1"/>
        <tr r="QS25" s="1"/>
        <tr r="AB268" s="22"/>
      </tp>
      <tp t="e">
        <v>#N/A</v>
        <stp/>
        <stp>BDP|10916700927466024904</stp>
        <tr r="O327" s="22"/>
      </tp>
      <tp t="e">
        <v>#N/A</v>
        <stp/>
        <stp>BDP|12153451220497247981</stp>
        <tr r="PG23" s="1"/>
      </tp>
      <tp t="e">
        <v>#N/A</v>
        <stp/>
        <stp>BDP|14181758996956491684</stp>
        <tr r="ET14" s="1"/>
        <tr r="O16" s="1"/>
      </tp>
      <tp t="e">
        <v>#N/A</v>
        <stp/>
        <stp>BDP|11209857156173910563</stp>
        <tr r="JA25" s="1"/>
      </tp>
      <tp t="e">
        <v>#N/A</v>
        <stp/>
        <stp>BDP|13808341931520888944</stp>
        <tr r="MF21" s="1"/>
        <tr r="NG19" s="1"/>
      </tp>
      <tp t="e">
        <v>#N/A</v>
        <stp/>
        <stp>BDP|17148695289704027706</stp>
        <tr r="CI19" s="1"/>
        <tr r="DJ22" s="1"/>
      </tp>
      <tp t="e">
        <v>#N/A</v>
        <stp/>
        <stp>BDP|11669261571726232825</stp>
        <tr r="AZ25" s="1"/>
        <tr r="JH31" s="1"/>
      </tp>
      <tp t="e">
        <v>#N/A</v>
        <stp/>
        <stp>BDP|13711023896447343708</stp>
        <tr r="IO24" s="1"/>
      </tp>
      <tp t="e">
        <v>#N/A</v>
        <stp/>
        <stp>BDP|16599707722171061874</stp>
        <tr r="O383" s="22"/>
      </tp>
      <tp t="e">
        <v>#N/A</v>
        <stp/>
        <stp>BDP|18020652574527011418</stp>
        <tr r="P205" s="22"/>
        <tr r="P227" s="22"/>
      </tp>
      <tp t="e">
        <v>#N/A</v>
        <stp/>
        <stp>BDP|12883114109848173110</stp>
        <tr r="FZ28" s="1"/>
        <tr r="HA31" s="1"/>
      </tp>
      <tp t="e">
        <v>#N/A</v>
        <stp/>
        <stp>BDP|12944211917619858273</stp>
        <tr r="HW21" s="1"/>
      </tp>
      <tp t="e">
        <v>#N/A</v>
        <stp/>
        <stp>BDP|13807742758438102352</stp>
        <tr r="EY11" s="1"/>
        <tr r="FZ10" s="1"/>
        <tr r="T12" s="1"/>
      </tp>
      <tp t="e">
        <v>#N/A</v>
        <stp/>
        <stp>BDP|13523016803900621922</stp>
        <tr r="RI7" s="1"/>
      </tp>
      <tp t="e">
        <v>#N/A</v>
        <stp/>
        <stp>BDP|13053501286264028051</stp>
        <tr r="DX25" s="1"/>
        <tr r="MF38" s="1"/>
        <tr r="OH31" s="1"/>
      </tp>
      <tp t="e">
        <v>#N/A</v>
        <stp/>
        <stp>BDP|18027381416393521387</stp>
        <tr r="GY22" s="1"/>
      </tp>
      <tp t="e">
        <v>#N/A</v>
        <stp/>
        <stp>BDP|10151679843501252957</stp>
        <tr r="GY13" s="1"/>
      </tp>
      <tp t="e">
        <v>#N/A</v>
        <stp/>
        <stp>BDP|16929609593987922412</stp>
        <tr r="OF9" s="1"/>
        <tr r="MD8" s="1"/>
      </tp>
      <tp t="e">
        <v>#N/A</v>
        <stp/>
        <stp>BDP|11081714159170931941</stp>
        <tr r="C269" s="22"/>
      </tp>
      <tp t="e">
        <v>#N/A</v>
        <stp/>
        <stp>BDP|10231663933149668649</stp>
        <tr r="FU25" s="1"/>
      </tp>
      <tp t="e">
        <v>#N/A</v>
        <stp/>
        <stp>BDP|18418735802524151116</stp>
        <tr r="M10" s="22"/>
      </tp>
      <tp t="e">
        <v>#N/A</v>
        <stp/>
        <stp>BDP|11877020441509911674</stp>
        <tr r="HW20" s="1"/>
      </tp>
      <tp t="e">
        <v>#N/A</v>
        <stp/>
        <stp>BDP|12918088644289838595</stp>
        <tr r="C16" s="25"/>
      </tp>
      <tp t="e">
        <v>#N/A</v>
        <stp/>
        <stp>BDP|13148311163128433434</stp>
        <tr r="O133" s="22"/>
        <tr r="O173" s="22"/>
      </tp>
      <tp t="e">
        <v>#N/A</v>
        <stp/>
        <stp>BDP|14588237683557789360</stp>
        <tr r="JC27" s="1"/>
      </tp>
      <tp t="e">
        <v>#N/A</v>
        <stp/>
        <stp>BDP|18053156570435479150</stp>
        <tr r="C49" s="22"/>
      </tp>
      <tp t="e">
        <v>#N/A</v>
        <stp/>
        <stp>BDP|15649470032518104066</stp>
        <tr r="HF26" s="1"/>
      </tp>
      <tp t="e">
        <v>#N/A</v>
        <stp/>
        <stp>BDP|18158907373648149476</stp>
        <tr r="M50" s="22"/>
        <tr r="M92" s="22"/>
      </tp>
      <tp t="e">
        <v>#N/A</v>
        <stp/>
        <stp>BDP|14455174230664776839</stp>
        <tr r="H252" s="22"/>
      </tp>
      <tp t="e">
        <v>#N/A</v>
        <stp/>
        <stp>BDP|11414776031438580704</stp>
        <tr r="C268" s="22"/>
      </tp>
      <tp t="e">
        <v>#N/A</v>
        <stp/>
        <stp>BDP|16317964090578454469</stp>
        <tr r="N271" s="22"/>
      </tp>
      <tp t="e">
        <v>#N/A</v>
        <stp/>
        <stp>BDP|15048364744808527009</stp>
        <tr r="AY16" s="1"/>
      </tp>
      <tp t="e">
        <v>#N/A</v>
        <stp/>
        <stp>BDP|13552764371609329061</stp>
        <tr r="N129" s="22"/>
        <tr r="N169" s="22"/>
      </tp>
      <tp t="e">
        <v>#N/A</v>
        <stp/>
        <stp>BDP|10074530344799320223</stp>
        <tr r="NL31" s="1"/>
      </tp>
      <tp t="e">
        <v>#N/A</v>
        <stp/>
        <stp>BDP|14860689279198517654</stp>
        <tr r="HA38" s="1"/>
      </tp>
      <tp t="e">
        <v>#N/A</v>
        <stp/>
        <stp>BDP|18407776259617771648</stp>
        <tr r="EC25" s="1"/>
        <tr r="MK38" s="1"/>
        <tr r="OM31" s="1"/>
      </tp>
      <tp t="e">
        <v>#N/A</v>
        <stp/>
        <stp>BDP|16722167570123819809</stp>
        <tr r="AZ12" s="1"/>
      </tp>
      <tp t="e">
        <v>#N/A</v>
        <stp/>
        <stp>BDP|12976838417699580912</stp>
        <tr r="IG16" s="1"/>
      </tp>
      <tp t="e">
        <v>#N/A</v>
        <stp/>
        <stp>BDP|10574318444839845510</stp>
        <tr r="O19" s="23"/>
      </tp>
      <tp t="e">
        <v>#N/A</v>
        <stp/>
        <stp>BDP|10376885474421714512</stp>
        <tr r="JA14" s="1"/>
      </tp>
      <tp t="e">
        <v>#N/A</v>
        <stp/>
        <stp>BDP|16045163550299779087</stp>
        <tr r="J272" s="22"/>
      </tp>
      <tp t="e">
        <v>#N/A</v>
        <stp/>
        <stp>BDP|13220949002549464887</stp>
        <tr r="GM14" s="1"/>
      </tp>
      <tp t="e">
        <v>#N/A</v>
        <stp/>
        <stp>BDP|12470360198126119531</stp>
        <tr r="CW11" s="1"/>
        <tr r="LE8" s="1"/>
      </tp>
      <tp t="e">
        <v>#N/A</v>
        <stp/>
        <stp>BDP|14097789482391789160</stp>
        <tr r="AS9" s="1"/>
      </tp>
      <tp t="e">
        <v>#N/A</v>
        <stp/>
        <stp>BDP|17763375113276050888</stp>
        <tr r="IF16" s="1"/>
      </tp>
      <tp t="e">
        <v>#N/A</v>
        <stp/>
        <stp>BDP|17581445591899334885</stp>
        <tr r="QJ22" s="1"/>
      </tp>
      <tp t="e">
        <v>#N/A</v>
        <stp/>
        <stp>BDP|11920889501487378590</stp>
        <tr r="J289" s="22"/>
      </tp>
      <tp t="e">
        <v>#N/A</v>
        <stp/>
        <stp>BDP|18358699027970203754</stp>
        <tr r="DB23" s="1"/>
        <tr r="LJ19" s="1"/>
        <tr r="MK37" s="1"/>
        <tr r="NL30" s="1"/>
      </tp>
      <tp t="e">
        <v>#N/A</v>
        <stp/>
        <stp>BDP|16233992655302414304</stp>
        <tr r="IX15" s="1"/>
      </tp>
      <tp t="e">
        <v>#N/A</v>
        <stp/>
        <stp>BDP|16895807757397702754</stp>
        <tr r="BZ16" s="1"/>
      </tp>
      <tp t="e">
        <v>#N/A</v>
        <stp/>
        <stp>BDP|12007899901262519303</stp>
        <tr r="QJ17" s="1"/>
      </tp>
      <tp t="e">
        <v>#N/A</v>
        <stp/>
        <stp>BDP|14494085500026438952</stp>
        <tr r="J4" s="22"/>
      </tp>
      <tp t="e">
        <v>#N/A</v>
        <stp/>
        <stp>BDP|15019982776765116525</stp>
        <tr r="KD20" s="1"/>
      </tp>
      <tp t="e">
        <v>#N/A</v>
        <stp/>
        <stp>BDP|13439296621860142809</stp>
        <tr r="O312" s="22"/>
      </tp>
      <tp t="e">
        <v>#N/A</v>
        <stp/>
        <stp>BDP|10923061505793775803</stp>
        <tr r="IO15" s="1"/>
      </tp>
      <tp t="e">
        <v>#N/A</v>
        <stp/>
        <stp>BDP|18339372899580753974</stp>
        <tr r="DB14" s="1"/>
      </tp>
      <tp t="e">
        <v>#N/A</v>
        <stp/>
        <stp>BDP|11715483163528742066</stp>
        <tr r="C311" s="22"/>
      </tp>
      <tp t="e">
        <v>#N/A</v>
        <stp/>
        <stp>BDP|14956351680166831292</stp>
        <tr r="J52" s="22"/>
        <tr r="J93" s="22"/>
      </tp>
      <tp t="e">
        <v>#N/A</v>
        <stp/>
        <stp>BDP|16028222256559006388</stp>
        <tr r="QO23" s="1"/>
      </tp>
      <tp t="e">
        <v>#N/A</v>
        <stp/>
        <stp>BDP|11154823828456334642</stp>
        <tr r="AY19" s="1"/>
        <tr r="MJ30" s="1"/>
        <tr r="OL26" s="1"/>
        <tr r="X27" s="1"/>
      </tp>
      <tp t="e">
        <v>#N/A</v>
        <stp/>
        <stp>BDP|11296471373950937931</stp>
        <tr r="M272" s="22"/>
      </tp>
      <tp t="e">
        <v>#N/A</v>
        <stp/>
        <stp>BDP|15280990537050983490</stp>
        <tr r="GV28" s="1"/>
        <tr r="HW22" s="1"/>
      </tp>
      <tp t="e">
        <v>#N/A</v>
        <stp/>
        <stp>BDP|14947370176319061244</stp>
        <tr r="R40" s="1"/>
      </tp>
      <tp t="e">
        <v>#N/A</v>
        <stp/>
        <stp>BDP|11905930875661956599</stp>
        <tr r="M133" s="22"/>
        <tr r="M173" s="22"/>
      </tp>
      <tp t="e">
        <v>#N/A</v>
        <stp/>
        <stp>BDP|17747880470993253020</stp>
        <tr r="H229" s="22"/>
        <tr r="H207" s="22"/>
      </tp>
      <tp t="e">
        <v>#N/A</v>
        <stp/>
        <stp>BDP|15356807483317993960</stp>
        <tr r="C412" s="22"/>
      </tp>
      <tp t="e">
        <v>#N/A</v>
        <stp/>
        <stp>BDP|13008193482314300573</stp>
        <tr r="JH25" s="1"/>
      </tp>
      <tp t="e">
        <v>#N/A</v>
        <stp/>
        <stp>BDP|18148875292273361187</stp>
        <tr r="P94" s="22"/>
      </tp>
      <tp t="e">
        <v>#N/A</v>
        <stp/>
        <stp>BDP|17224981438125513399</stp>
        <tr r="NB11" s="1"/>
      </tp>
      <tp t="e">
        <v>#N/A</v>
        <stp/>
        <stp>BDP|13200279483807994511</stp>
        <tr r="H4" s="22"/>
      </tp>
      <tp t="e">
        <v>#N/A</v>
        <stp/>
        <stp>BDP|16846506747345995987</stp>
        <tr r="BQ17" s="1"/>
      </tp>
      <tp t="e">
        <v>#N/A</v>
        <stp/>
        <stp>BDP|15579919527941893458</stp>
        <tr r="AZ13" s="1"/>
      </tp>
      <tp t="e">
        <v>#N/A</v>
        <stp/>
        <stp>BDP|18345384777555325213</stp>
        <tr r="AY24" s="1"/>
      </tp>
      <tp t="e">
        <v>#N/A</v>
        <stp/>
        <stp>BDP|17535464237353364869</stp>
        <tr r="BV20" s="1"/>
      </tp>
      <tp t="e">
        <v>#N/A</v>
        <stp/>
        <stp>BDP|13791407381391340540</stp>
        <tr r="M9" s="24"/>
      </tp>
      <tp t="e">
        <v>#N/A</v>
        <stp/>
        <stp>BDP|18243474455903009116</stp>
        <tr r="AP10" s="1"/>
      </tp>
      <tp t="e">
        <v>#N/A</v>
        <stp/>
        <stp>BDP|18158565670952452322</stp>
        <tr r="DS13" s="1"/>
      </tp>
      <tp t="e">
        <v>#N/A</v>
        <stp/>
        <stp>BDP|17489374037528394460</stp>
        <tr r="RX27" s="1"/>
      </tp>
      <tp t="e">
        <v>#N/A</v>
        <stp/>
        <stp>BDP|11187957071083471708</stp>
        <tr r="N7" s="24"/>
      </tp>
      <tp t="e">
        <v>#N/A</v>
        <stp/>
        <stp>BDP|17487848834036104140</stp>
        <tr r="O10" s="25"/>
      </tp>
      <tp t="e">
        <v>#N/A</v>
        <stp/>
        <stp>BDP|13214068508539836144</stp>
        <tr r="NG15" s="1"/>
      </tp>
      <tp t="e">
        <v>#N/A</v>
        <stp/>
        <stp>BDP|11445343121812831990</stp>
        <tr r="P292" s="22"/>
      </tp>
      <tp t="e">
        <v>#N/A</v>
        <stp/>
        <stp>BDP|16516964653133659267</stp>
        <tr r="NE6" s="1"/>
        <tr r="MD7" s="1"/>
        <tr r="EW17" s="1"/>
      </tp>
      <tp t="e">
        <v>#N/A</v>
        <stp/>
        <stp>BDP|17092868203270251473</stp>
        <tr r="NT28" s="1"/>
      </tp>
      <tp t="e">
        <v>#N/A</v>
        <stp/>
        <stp>BDP|15480892103354867254</stp>
        <tr r="LJ17" s="1"/>
      </tp>
      <tp t="e">
        <v>#N/A</v>
        <stp/>
        <stp>BDP|15348938004826159168</stp>
        <tr r="DS23" s="1"/>
      </tp>
      <tp t="e">
        <v>#N/A</v>
        <stp/>
        <stp>BDP|16711349585792049456</stp>
        <tr r="KQ18" s="1"/>
        <tr r="RX12" s="1"/>
      </tp>
      <tp t="e">
        <v>#N/A</v>
        <stp/>
        <stp>BDP|16223006523448388714</stp>
        <tr r="QE16" s="1"/>
      </tp>
      <tp t="e">
        <v>#N/A</v>
        <stp/>
        <stp>BDP|15907154605317969832</stp>
        <tr r="O332" s="22"/>
      </tp>
      <tp t="e">
        <v>#N/A</v>
        <stp/>
        <stp>BDP|15755830234992636758</stp>
        <tr r="N366" s="22"/>
        <tr r="N387" s="22"/>
      </tp>
      <tp t="e">
        <v>#N/A</v>
        <stp/>
        <stp>BDP|11095799981566292385</stp>
        <tr r="KB21" s="1"/>
        <tr r="JA12" s="1"/>
      </tp>
      <tp t="e">
        <v>#N/A</v>
        <stp/>
        <stp>BDP|13296060077728316723</stp>
        <tr r="OM19" s="1"/>
      </tp>
      <tp t="e">
        <v>#N/A</v>
        <stp/>
        <stp>BDP|15889619760138945625</stp>
        <tr r="P8" s="25"/>
      </tp>
      <tp t="e">
        <v>#N/A</v>
        <stp/>
        <stp>BDP|12360518537699486631</stp>
        <tr r="AZ23" s="1"/>
      </tp>
      <tp t="e">
        <v>#N/A</v>
        <stp/>
        <stp>BDP|13896230278664533949</stp>
        <tr r="KD30" s="1"/>
      </tp>
      <tp t="e">
        <v>#N/A</v>
        <stp/>
        <stp>BDP|13478658946792405863</stp>
        <tr r="NL7" s="1"/>
      </tp>
      <tp t="e">
        <v>#N/A</v>
        <stp/>
        <stp>BDP|16194167523376867891</stp>
        <tr r="KB10" s="1"/>
        <tr r="GY8" s="1"/>
        <tr r="FX13" s="1"/>
      </tp>
      <tp t="e">
        <v>#N/A</v>
        <stp/>
        <stp>BDP|11697973271993082759</stp>
        <tr r="RK33" s="1"/>
      </tp>
      <tp t="e">
        <v>#N/A</v>
        <stp/>
        <stp>BDP|17808656290347907417</stp>
        <tr r="N311" s="22"/>
      </tp>
      <tp t="e">
        <v>#N/A</v>
        <stp/>
        <stp>BDP|12990014875997172996</stp>
        <tr r="O18" s="24"/>
      </tp>
      <tp t="e">
        <v>#N/A</v>
        <stp/>
        <stp>BDP|13130211285270855281</stp>
        <tr r="T40" s="1"/>
      </tp>
      <tp t="e">
        <v>#N/A</v>
        <stp/>
        <stp>BDP|11200862104585098744</stp>
        <tr r="N19" s="24"/>
      </tp>
      <tp t="e">
        <v>#N/A</v>
        <stp/>
        <stp>BDP|17635288961509322183</stp>
        <tr r="BV16" s="1"/>
      </tp>
      <tp t="e">
        <v>#N/A</v>
        <stp/>
        <stp>BDP|14156314341108490017</stp>
        <tr r="NK31" s="1"/>
      </tp>
      <tp t="e">
        <v>#N/A</v>
        <stp/>
        <stp>BDP|10221832470086383269</stp>
        <tr r="OF16" s="1"/>
      </tp>
      <tp t="e">
        <v>#N/A</v>
        <stp/>
        <stp>BDP|13050606532435260844</stp>
        <tr r="J254" s="22"/>
      </tp>
      <tp t="e">
        <v>#N/A</v>
        <stp/>
        <stp>BDP|16663367702979160741</stp>
        <tr r="DB15" s="1"/>
      </tp>
      <tp t="e">
        <v>#N/A</v>
        <stp/>
        <stp>BDP|10216837537056295638</stp>
        <tr r="BQ10" s="1"/>
        <tr r="CR13" s="1"/>
      </tp>
      <tp t="e">
        <v>#N/A</v>
        <stp/>
        <stp>BDP|12046871595709532107</stp>
        <tr r="J252" s="22"/>
      </tp>
      <tp t="e">
        <v>#N/A</v>
        <stp/>
        <stp>BDP|18436149026059850984</stp>
        <tr r="HZ24" s="1"/>
      </tp>
      <tp t="e">
        <v>#N/A</v>
        <stp/>
        <stp>BDP|13535126077898540630</stp>
        <tr r="H128" s="22"/>
      </tp>
      <tp t="e">
        <v>#N/A</v>
        <stp/>
        <stp>BDP|17836157893180922416</stp>
        <tr r="P19" s="23"/>
      </tp>
      <tp t="e">
        <v>#N/A</v>
        <stp/>
        <stp>BDP|18068358032705210638</stp>
        <tr r="CU9" s="1"/>
      </tp>
      <tp t="e">
        <v>#N/A</v>
        <stp/>
        <stp>BDP|12446459838997653996</stp>
        <tr r="EB25" s="1"/>
        <tr r="MJ38" s="1"/>
        <tr r="OL31" s="1"/>
      </tp>
      <tp t="e">
        <v>#N/A</v>
        <stp/>
        <stp>BDP|15477493625728707096</stp>
        <tr r="PG17" s="1"/>
      </tp>
      <tp t="e">
        <v>#N/A</v>
        <stp/>
        <stp>BDP|15743606511501251827</stp>
        <tr r="AY6" s="1"/>
      </tp>
      <tp t="e">
        <v>#N/A</v>
        <stp/>
        <stp>BDP|18006169869790431727</stp>
        <tr r="BZ20" s="1"/>
      </tp>
      <tp t="e">
        <v>#N/A</v>
        <stp/>
        <stp>BDP|15490792768954550899</stp>
        <tr r="RK39" s="1"/>
      </tp>
      <tp t="e">
        <v>#N/A</v>
        <stp/>
        <stp>BDP|14599849479237708462</stp>
        <tr r="O17" s="22"/>
      </tp>
      <tp t="e">
        <v>#N/A</v>
        <stp/>
        <stp>BDP|11803345343777439925</stp>
        <tr r="M10" s="23"/>
      </tp>
      <tp t="e">
        <v>#N/A</v>
        <stp/>
        <stp>BDP|18318687546113782124</stp>
        <tr r="OF28" s="1"/>
        <tr r="MD32" s="1"/>
        <tr r="DV22" s="1"/>
        <tr r="R9" s="1"/>
      </tp>
      <tp t="e">
        <v>#N/A</v>
        <stp/>
        <stp>BDP|17653008902377479883</stp>
        <tr r="GI33" s="1"/>
        <tr r="KM13" s="1"/>
        <tr r="KM35" s="1"/>
      </tp>
      <tp t="e">
        <v>#N/A</v>
        <stp/>
        <stp>BDP|17166722497968970955</stp>
        <tr r="C210" s="22"/>
        <tr r="C232" s="22"/>
      </tp>
      <tp t="e">
        <v>#N/A</v>
        <stp/>
        <stp>BDP|18079430578822322103</stp>
        <tr r="GY24" s="1"/>
      </tp>
      <tp t="e">
        <v>#N/A</v>
        <stp/>
        <stp>BDP|12548565134109756589</stp>
        <tr r="O9" s="25"/>
      </tp>
      <tp t="e">
        <v>#N/A</v>
        <stp/>
        <stp>BDP|12827515560859764065</stp>
        <tr r="O48" s="22"/>
        <tr r="O89" s="22"/>
      </tp>
      <tp t="e">
        <v>#N/A</v>
        <stp/>
        <stp>BDP|14898281978751144819</stp>
        <tr r="MK18" s="1"/>
        <tr r="NL16" s="1"/>
      </tp>
      <tp t="e">
        <v>#N/A</v>
        <stp/>
        <stp>BDP|18278791241280332317</stp>
        <tr r="JP26" s="1"/>
        <tr r="RX34" s="1"/>
      </tp>
      <tp t="e">
        <v>#N/A</v>
        <stp/>
        <stp>BDP|18327531779266558443</stp>
        <tr r="CR18" s="1"/>
        <tr r="KZ14" s="1"/>
      </tp>
      <tp t="e">
        <v>#N/A</v>
        <stp/>
        <stp>BDP|18064594426400340745</stp>
        <tr r="EW9" s="1"/>
        <tr r="R10" s="1"/>
      </tp>
      <tp t="e">
        <v>#N/A</v>
        <stp/>
        <stp>BDP|10011722795707479189</stp>
        <tr r="MA22" s="1"/>
      </tp>
      <tp t="e">
        <v>#N/A</v>
        <stp/>
        <stp>BDP|17871409780412255116</stp>
        <tr r="GV25" s="1"/>
        <tr r="PD26" s="1"/>
      </tp>
      <tp t="e">
        <v>#N/A</v>
        <stp/>
        <stp>BDP|10968530001274293920</stp>
        <tr r="H330" s="22"/>
      </tp>
      <tp t="e">
        <v>#N/A</v>
        <stp/>
        <stp>BDP|10573936852730717484</stp>
        <tr r="JG25" s="1"/>
      </tp>
      <tp t="e">
        <v>#N/A</v>
        <stp/>
        <stp>BDP|14415450761478300681</stp>
        <tr r="J7" s="22"/>
      </tp>
      <tp t="e">
        <v>#N/A</v>
        <stp/>
        <stp>BDP|10121372668318277570</stp>
        <tr r="N268" s="22"/>
      </tp>
      <tp t="e">
        <v>#N/A</v>
        <stp/>
        <stp>BDP|12239989455853529514</stp>
        <tr r="KD14" s="1"/>
      </tp>
      <tp t="e">
        <v>#N/A</v>
        <stp/>
        <stp>BDP|16287809437246665398</stp>
        <tr r="HF23" s="1"/>
        <tr r="PN22" s="1"/>
      </tp>
      <tp t="e">
        <v>#N/A</v>
        <stp/>
        <stp>BDP|13518529583587949175</stp>
        <tr r="AG37" s="1"/>
      </tp>
      <tp t="e">
        <v>#N/A</v>
        <stp/>
        <stp>BDP|15612827218470467428</stp>
        <tr r="H16" s="23"/>
      </tp>
      <tp t="e">
        <v>#N/A</v>
        <stp/>
        <stp>BDP|10954048027839166314</stp>
        <tr r="EB23" s="1"/>
      </tp>
      <tp t="e">
        <v>#N/A</v>
        <stp/>
        <stp>BDP|10556228769204400870</stp>
        <tr r="O4" s="22"/>
      </tp>
      <tp t="e">
        <v>#N/A</v>
        <stp/>
        <stp>BDP|12112345297485676588</stp>
        <tr r="C273" s="22"/>
      </tp>
      <tp t="e">
        <v>#N/A</v>
        <stp/>
        <stp>BDP|16698979826201348488</stp>
        <tr r="DB20" s="1"/>
      </tp>
      <tp t="e">
        <v>#N/A</v>
        <stp/>
        <stp>BDP|17443885275540075057</stp>
        <tr r="IF11" s="1"/>
      </tp>
      <tp t="e">
        <v>#N/A</v>
        <stp/>
        <stp>BDP|16976316582382494714</stp>
        <tr r="N19" s="23"/>
      </tp>
      <tp t="e">
        <v>#N/A</v>
        <stp/>
        <stp>BDP|18328177536593989148</stp>
        <tr r="M329" s="22"/>
      </tp>
      <tp t="e">
        <v>#N/A</v>
        <stp/>
        <stp>BDP|17179189867928435046</stp>
        <tr r="PG6" s="1"/>
      </tp>
      <tp t="e">
        <v>#N/A</v>
        <stp/>
        <stp>BDP|16427830967892783292</stp>
        <tr r="P405" s="22"/>
      </tp>
      <tp t="e">
        <v>#N/A</v>
        <stp/>
        <stp>BDP|17882277917745281946</stp>
        <tr r="FZ27" s="1"/>
        <tr r="HA30" s="1"/>
      </tp>
      <tp t="e">
        <v>#N/A</v>
        <stp/>
        <stp>BDP|16233726527308023392</stp>
        <tr r="HF16" s="1"/>
        <tr r="IG9" s="1"/>
      </tp>
      <tp t="e">
        <v>#N/A</v>
        <stp/>
        <stp>BDP|18082589326847798088</stp>
        <tr r="M11" s="22"/>
      </tp>
      <tp t="e">
        <v>#N/A</v>
        <stp/>
        <stp>BDP|14489408397327157639</stp>
        <tr r="M47" s="22"/>
        <tr r="M85" s="22"/>
      </tp>
      <tp t="e">
        <v>#N/A</v>
        <stp/>
        <stp>BDP|14123316874670384867</stp>
        <tr r="P54" s="22"/>
        <tr r="P86" s="22"/>
      </tp>
      <tp t="e">
        <v>#N/A</v>
        <stp/>
        <stp>BDP|14800439106341412988</stp>
        <tr r="C133" s="22"/>
        <tr r="C173" s="22"/>
      </tp>
      <tp t="e">
        <v>#N/A</v>
        <stp/>
        <stp>BDP|16366225856740765914</stp>
        <tr r="BQ6" s="1"/>
      </tp>
      <tp t="e">
        <v>#N/A</v>
        <stp/>
        <stp>BDP|13310042844488246705</stp>
        <tr r="MD9" s="1"/>
      </tp>
      <tp t="e">
        <v>#N/A</v>
        <stp/>
        <stp>BDP|14351261814796370930</stp>
        <tr r="RF13" s="1"/>
      </tp>
      <tp t="e">
        <v>#N/A</v>
        <stp/>
        <stp>BDP|14689131979228434286</stp>
        <tr r="FL21" s="1"/>
        <tr r="GM32" s="1"/>
        <tr r="KQ36" s="1"/>
        <tr r="AG26" s="1"/>
      </tp>
      <tp t="e">
        <v>#N/A</v>
        <stp/>
        <stp>BDP|13388934134795044443</stp>
        <tr r="EK21" s="1"/>
      </tp>
      <tp t="e">
        <v>#N/A</v>
        <stp/>
        <stp>BDP|11250801592610754871</stp>
        <tr r="H309" s="22"/>
      </tp>
      <tp t="e">
        <v>#N/A</v>
        <stp/>
        <stp>BDP|18160130428260961334</stp>
        <tr r="KI35" s="1"/>
      </tp>
      <tp t="e">
        <v>#N/A</v>
        <stp/>
        <stp>BDP|12761044492743813092</stp>
        <tr r="QE19" s="1"/>
      </tp>
      <tp t="e">
        <v>#N/A</v>
        <stp/>
        <stp>BDP|11476256164444652909</stp>
        <tr r="RX25" s="1"/>
      </tp>
      <tp t="e">
        <v>#N/A</v>
        <stp/>
        <stp>BDP|14554637024350139807</stp>
        <tr r="KH19" s="1"/>
      </tp>
      <tp t="e">
        <v>#N/A</v>
        <stp/>
        <stp>BDP|16041738482334442572</stp>
        <tr r="P52" s="22"/>
        <tr r="P93" s="22"/>
      </tp>
      <tp t="e">
        <v>#N/A</v>
        <stp/>
        <stp>BDP|14677348939324146880</stp>
        <tr r="HF15" s="1"/>
      </tp>
      <tp t="e">
        <v>#N/A</v>
        <stp/>
        <stp>BDP|14766264401908258603</stp>
        <tr r="PN13" s="1"/>
      </tp>
      <tp t="e">
        <v>#N/A</v>
        <stp/>
        <stp>BDP|14355076182117667327</stp>
        <tr r="N367" s="22"/>
        <tr r="N389" s="22"/>
        <tr r="N411" s="22"/>
      </tp>
      <tp t="e">
        <v>#N/A</v>
        <stp/>
        <stp>BDP|13730833036594726475</stp>
        <tr r="ET26" s="1"/>
        <tr r="FU19" s="1"/>
        <tr r="JY17" s="1"/>
      </tp>
      <tp t="e">
        <v>#N/A</v>
        <stp/>
        <stp>BDP|16574311609168963561</stp>
        <tr r="P126" s="22"/>
        <tr r="P168" s="22"/>
      </tp>
      <tp t="e">
        <v>#N/A</v>
        <stp/>
        <stp>BDP|17899917158232687126</stp>
        <tr r="C275" s="22"/>
      </tp>
      <tp t="e">
        <v>#N/A</v>
        <stp/>
        <stp>BDP|16160398273919696389</stp>
        <tr r="BV12" s="1"/>
      </tp>
      <tp t="e">
        <v>#N/A</v>
        <stp/>
        <stp>BDP|18425796979616123606</stp>
        <tr r="RP10" s="1"/>
      </tp>
      <tp t="e">
        <v>#N/A</v>
        <stp/>
        <stp>BDP|14617882112306981318</stp>
        <tr r="J362" s="22"/>
        <tr r="J380" s="22"/>
      </tp>
      <tp t="e">
        <v>#N/A</v>
        <stp/>
        <stp>BDP|14574367186754428368</stp>
        <tr r="IO8" s="1"/>
      </tp>
      <tp t="e">
        <v>#N/A</v>
        <stp/>
        <stp>BDP|12012718166723533843</stp>
        <tr r="M293" s="22"/>
      </tp>
      <tp t="e">
        <v>#N/A</v>
        <stp/>
        <stp>BDP|11560567592583605613</stp>
        <tr r="JH26" s="1"/>
        <tr r="RP34" s="1"/>
      </tp>
      <tp t="e">
        <v>#N/A</v>
        <stp/>
        <stp>BDP|12349601294202169706</stp>
        <tr r="P6" s="22"/>
      </tp>
      <tp t="e">
        <v>#N/A</v>
        <stp/>
        <stp>BDP|11117673092981079729</stp>
        <tr r="M8" s="25"/>
      </tp>
      <tp t="e">
        <v>#N/A</v>
        <stp/>
        <stp>BDP|10349753236268463427</stp>
        <tr r="M149" s="22"/>
      </tp>
      <tp t="e">
        <v>#N/A</v>
        <stp/>
        <stp>BDP|14471339778961695804</stp>
        <tr r="JG15" s="1"/>
      </tp>
      <tp t="e">
        <v>#N/A</v>
        <stp/>
        <stp>BDP|12540253801911016882</stp>
        <tr r="O101" s="22"/>
        <tr r="O56" s="22"/>
      </tp>
      <tp t="e">
        <v>#N/A</v>
        <stp/>
        <stp>BDP|13874943004332196103</stp>
        <tr r="P150" s="22"/>
        <tr r="P188" s="22"/>
      </tp>
      <tp t="e">
        <v>#N/A</v>
        <stp/>
        <stp>BDP|17741973867439788897</stp>
        <tr r="J271" s="22"/>
      </tp>
      <tp t="e">
        <v>#N/A</v>
        <stp/>
        <stp>BDP|15945646434801885898</stp>
        <tr r="J146" s="22"/>
        <tr r="J186" s="22"/>
      </tp>
      <tp t="e">
        <v>#N/A</v>
        <stp/>
        <stp>BDP|13054456834698128586</stp>
        <tr r="QE22" s="1"/>
      </tp>
      <tp t="e">
        <v>#N/A</v>
        <stp/>
        <stp>BDP|10691069469187375823</stp>
        <tr r="N18" s="22"/>
      </tp>
      <tp t="e">
        <v>#N/A</v>
        <stp/>
        <stp>BDP|10360498403179899493</stp>
        <tr r="N48" s="22"/>
        <tr r="N89" s="22"/>
      </tp>
      <tp t="e">
        <v>#N/A</v>
        <stp/>
        <stp>BDP|12852480089495505279</stp>
        <tr r="LC12" s="1"/>
      </tp>
      <tp t="e">
        <v>#N/A</v>
        <stp/>
        <stp>BDP|12712853388259957286</stp>
        <tr r="P17" s="23"/>
      </tp>
      <tp t="e">
        <v>#N/A</v>
        <stp/>
        <stp>BDP|17214859649112471018</stp>
        <tr r="M290" s="22"/>
        <tr r="M53" s="22"/>
      </tp>
      <tp t="e">
        <v>#N/A</v>
        <stp/>
        <stp>BDP|13916550295982609452</stp>
        <tr r="HN11" s="1"/>
        <tr r="MS10" s="1"/>
      </tp>
      <tp t="e">
        <v>#N/A</v>
        <stp/>
        <stp>BDP|12123144928349731107</stp>
        <tr r="JC12" s="1"/>
        <tr r="KD21" s="1"/>
      </tp>
      <tp t="e">
        <v>#N/A</v>
        <stp/>
        <stp>BDP|15400637964159123583</stp>
        <tr r="RP7" s="1"/>
      </tp>
      <tp t="e">
        <v>#N/A</v>
        <stp/>
        <stp>BDP|16167379857780473988</stp>
        <tr r="OC21" s="1"/>
      </tp>
      <tp t="e">
        <v>#N/A</v>
        <stp/>
        <stp>BDP|15543395185695012242</stp>
        <tr r="J312" s="22"/>
      </tp>
      <tp t="e">
        <v>#N/A</v>
        <stp/>
        <stp>BDP|11003195090980165049</stp>
        <tr r="PG27" s="1"/>
      </tp>
      <tp t="e">
        <v>#N/A</v>
        <stp/>
        <stp>BDP|13885994338251783126</stp>
        <tr r="P8" s="24"/>
      </tp>
      <tp t="e">
        <v>#N/A</v>
        <stp/>
        <stp>BDP|16872930320507520327</stp>
        <tr r="P132" s="22"/>
        <tr r="P172" s="22"/>
      </tp>
      <tp t="e">
        <v>#N/A</v>
        <stp/>
        <stp>BDP|15428394479510827807</stp>
        <tr r="FX25" s="1"/>
      </tp>
      <tp t="e">
        <v>#N/A</v>
        <stp/>
        <stp>BDP|11641076751518744588</stp>
        <tr r="HA17" s="1"/>
      </tp>
      <tp t="e">
        <v>#N/A</v>
        <stp/>
        <stp>BDP|17608993777359796903</stp>
        <tr r="JY22" s="1"/>
      </tp>
      <tp t="e">
        <v>#N/A</v>
        <stp/>
        <stp>BDP|10879831526520694340</stp>
        <tr r="QN20" s="1"/>
      </tp>
      <tp t="e">
        <v>#N/A</v>
        <stp/>
        <stp>BDP|15063730268334672928</stp>
        <tr r="DX7" s="1"/>
        <tr r="OH8" s="1"/>
      </tp>
      <tp t="e">
        <v>#N/A</v>
        <stp/>
        <stp>BDP|14107552386046596687</stp>
        <tr r="M100" s="22"/>
        <tr r="M59" s="22"/>
      </tp>
      <tp t="e">
        <v>#N/A</v>
        <stp/>
        <stp>BDP|13564544780217768093</stp>
        <tr r="FD8" s="1"/>
        <tr r="GE23" s="1"/>
        <tr r="Y8" s="1"/>
      </tp>
      <tp t="e">
        <v>#N/A</v>
        <stp/>
        <stp>BDP|17095133285534992318</stp>
        <tr r="LC9" s="1"/>
      </tp>
      <tp t="e">
        <v>#N/A</v>
        <stp/>
        <stp>BDP|10560756305697263997</stp>
        <tr r="NG17" s="1"/>
      </tp>
      <tp t="e">
        <v>#N/A</v>
        <stp/>
        <stp>BDP|18025582343600127040</stp>
        <tr r="CR6" s="1"/>
        <tr r="KZ6" s="1"/>
      </tp>
      <tp t="e">
        <v>#N/A</v>
        <stp/>
        <stp>BDP|12192711482971195522</stp>
        <tr r="MJ33" s="1"/>
        <tr r="PM28" s="1"/>
      </tp>
      <tp t="e">
        <v>#N/A</v>
        <stp/>
        <stp>BDP|11763828452892672709</stp>
        <tr r="EY18" s="1"/>
        <tr r="T22" s="1"/>
      </tp>
      <tp t="e">
        <v>#N/A</v>
        <stp/>
        <stp>BDP|14550835300097165269</stp>
        <tr r="GV20" s="1"/>
      </tp>
      <tp t="e">
        <v>#N/A</v>
        <stp/>
        <stp>BDP|18146267282559110258</stp>
        <tr r="FD33" s="1"/>
        <tr r="Y39" s="1"/>
      </tp>
      <tp t="e">
        <v>#N/A</v>
        <stp/>
        <stp>BDP|13090894788073656966</stp>
        <tr r="H364" s="22"/>
      </tp>
      <tp t="e">
        <v>#N/A</v>
        <stp/>
        <stp>BDP|16420400693733329155</stp>
        <tr r="ET12" s="1"/>
        <tr r="MA36" s="1"/>
        <tr r="NB29" s="1"/>
        <tr r="O14" s="1"/>
      </tp>
      <tp t="e">
        <v>#N/A</v>
        <stp/>
        <stp>BDP|10630800511521637100</stp>
        <tr r="OL16" s="1"/>
      </tp>
      <tp t="e">
        <v>#N/A</v>
        <stp/>
        <stp>BDP|12707946214423537034</stp>
        <tr r="FD24" s="1"/>
        <tr r="Y29" s="1"/>
      </tp>
      <tp t="e">
        <v>#N/A</v>
        <stp/>
        <stp>BDP|11341416284325037176</stp>
        <tr r="M131" s="22"/>
        <tr r="M171" s="22"/>
      </tp>
      <tp t="e">
        <v>#N/A</v>
        <stp/>
        <stp>BDP|12039622000928421561</stp>
        <tr r="FZ33" s="1"/>
      </tp>
      <tp t="e">
        <v>#N/A</v>
        <stp/>
        <stp>BDP|12680135590466161547</stp>
        <tr r="M7" s="22"/>
      </tp>
      <tp t="e">
        <v>#N/A</v>
        <stp/>
        <stp>BDP|16488424383645791623</stp>
        <tr r="P47" s="22"/>
        <tr r="P85" s="22"/>
      </tp>
      <tp t="e">
        <v>#N/A</v>
        <stp/>
        <stp>BDP|14168422453378156415</stp>
        <tr r="H90" s="22"/>
        <tr r="H45" s="22"/>
      </tp>
      <tp t="e">
        <v>#N/A</v>
        <stp/>
        <stp>BDP|17044979004963053434</stp>
        <tr r="QO21" s="1"/>
      </tp>
      <tp t="e">
        <v>#N/A</v>
        <stp/>
        <stp>BDP|13109270203621366958</stp>
        <tr r="OL19" s="1"/>
      </tp>
      <tp t="e">
        <v>#N/A</v>
        <stp/>
        <stp>BDP|10164078995079002903</stp>
        <tr r="KI14" s="1"/>
      </tp>
      <tp t="e">
        <v>#N/A</v>
        <stp/>
        <stp>BDP|10944985919867996620</stp>
        <tr r="HN38" s="1"/>
      </tp>
      <tp t="e">
        <v>#N/A</v>
        <stp/>
        <stp>BDP|11682809275377223026</stp>
        <tr r="C313" s="22"/>
      </tp>
      <tp t="e">
        <v>#N/A</v>
        <stp/>
        <stp>BDP|16768081994071152797</stp>
        <tr r="P9" s="24"/>
      </tp>
      <tp t="e">
        <v>#N/A</v>
        <stp/>
        <stp>BDP|16929205129718647743</stp>
        <tr r="PN7" s="1"/>
      </tp>
      <tp t="e">
        <v>#N/A</v>
        <stp/>
        <stp>BDP|16823467089876219505</stp>
        <tr r="QE7" s="1"/>
      </tp>
      <tp t="e">
        <v>#N/A</v>
        <stp/>
        <stp>BDP|11803290463658654416</stp>
        <tr r="N8" s="25"/>
      </tp>
      <tp t="e">
        <v>#N/A</v>
        <stp/>
        <stp>BDP|12266136057706224910</stp>
        <tr r="O60" s="22"/>
        <tr r="O97" s="22"/>
      </tp>
      <tp t="e">
        <v>#N/A</v>
        <stp/>
        <stp>BDP|11805947172924351291</stp>
        <tr r="O252" s="22"/>
      </tp>
      <tp t="e">
        <v>#N/A</v>
        <stp/>
        <stp>BDP|10475001385346087752</stp>
        <tr r="MD20" s="1"/>
        <tr r="HZ25" s="1"/>
      </tp>
      <tp t="e">
        <v>#N/A</v>
        <stp/>
        <stp>BDP|14086044827039239652</stp>
        <tr r="KB36" s="1"/>
        <tr r="FX32" s="1"/>
        <tr r="EW21" s="1"/>
        <tr r="R26" s="1"/>
      </tp>
      <tp t="e">
        <v>#N/A</v>
        <stp/>
        <stp>BDP|14594782694764845754</stp>
        <tr r="KQ20" s="1"/>
      </tp>
      <tp t="e">
        <v>#N/A</v>
        <stp/>
        <stp>BDP|11730962545023292628</stp>
        <tr r="M313" s="22"/>
      </tp>
      <tp t="e">
        <v>#N/A</v>
        <stp/>
        <stp>BDP|15880352895233803571</stp>
        <tr r="M251" s="22"/>
      </tp>
      <tp t="e">
        <v>#N/A</v>
        <stp/>
        <stp>BDP|13676939803657472453</stp>
        <tr r="P290" s="22"/>
        <tr r="P53" s="22"/>
      </tp>
      <tp t="e">
        <v>#N/A</v>
        <stp/>
        <stp>BDP|17040073288092890402</stp>
        <tr r="DS15" s="1"/>
      </tp>
      <tp t="e">
        <v>#N/A</v>
        <stp/>
        <stp>BDP|11051082282692529283</stp>
        <tr r="IX26" s="1"/>
        <tr r="RF34" s="1"/>
      </tp>
      <tp t="e">
        <v>#N/A</v>
        <stp/>
        <stp>BDP|11491452768942758890</stp>
        <tr r="CW14" s="1"/>
      </tp>
      <tp t="e">
        <v>#N/A</v>
        <stp/>
        <stp>BDP|10494319033708748165</stp>
        <tr r="KH29" s="1"/>
        <tr r="RO23" s="1"/>
      </tp>
      <tp t="e">
        <v>#N/A</v>
        <stp/>
        <stp>BDP|14270346129744006883</stp>
        <tr r="LR16" s="1"/>
      </tp>
      <tp t="e">
        <v>#N/A</v>
        <stp/>
        <stp>BDP|14596164599235512094</stp>
        <tr r="M125" s="22"/>
        <tr r="M167" s="22"/>
      </tp>
      <tp t="e">
        <v>#N/A</v>
        <stp/>
        <stp>BDP|15677331891465679348</stp>
        <tr r="AY23" s="1"/>
      </tp>
      <tp t="e">
        <v>#N/A</v>
        <stp/>
        <stp>BDP|12277818462066199367</stp>
        <tr r="NE26" s="1"/>
      </tp>
      <tp t="e">
        <v>#N/A</v>
        <stp/>
        <stp>BDP|15731027213679447446</stp>
        <tr r="NT21" s="1"/>
      </tp>
      <tp t="e">
        <v>#N/A</v>
        <stp/>
        <stp>BDP|11920648000268784130</stp>
        <tr r="H187" s="22"/>
        <tr r="H147" s="22"/>
      </tp>
      <tp t="e">
        <v>#N/A</v>
        <stp/>
        <stp>BDP|15735889134629233912</stp>
        <tr r="CR12" s="1"/>
        <tr r="KZ10" s="1"/>
      </tp>
      <tp t="e">
        <v>#N/A</v>
        <stp/>
        <stp>BDP|15483366008468105037</stp>
        <tr r="FL25" s="1"/>
        <tr r="GM18" s="1"/>
        <tr r="JP11" s="1"/>
        <tr r="NT10" s="1"/>
        <tr r="QW9" s="1"/>
        <tr r="AG30" s="1"/>
      </tp>
      <tp t="e">
        <v>#N/A</v>
        <stp/>
        <stp>BDP|13503544493488228984</stp>
        <tr r="OF6" s="1"/>
      </tp>
      <tp t="e">
        <v>#N/A</v>
        <stp/>
        <stp>BDP|13990600282777735449</stp>
        <tr r="N15" s="25"/>
      </tp>
      <tp t="e">
        <v>#N/A</v>
        <stp/>
        <stp>BDP|13037965652673827279</stp>
        <tr r="HE20" s="1"/>
      </tp>
      <tp t="e">
        <v>#N/A</v>
        <stp/>
        <stp>BDP|17417841043021830401</stp>
        <tr r="HF11" s="1"/>
        <tr r="MK10" s="1"/>
      </tp>
      <tp t="e">
        <v>#N/A</v>
        <stp/>
        <stp>BDP|10986440783071031359</stp>
        <tr r="DX9" s="1"/>
      </tp>
      <tp t="e">
        <v>#N/A</v>
        <stp/>
        <stp>BDP|15103595540239479371</stp>
        <tr r="NL25" s="1"/>
      </tp>
      <tp t="e">
        <v>#N/A</v>
        <stp/>
        <stp>BDP|10285017881181896717</stp>
        <tr r="JG32" s="1"/>
      </tp>
      <tp t="e">
        <v>#N/A</v>
        <stp/>
        <stp>BDP|14723081167525328901</stp>
        <tr r="HA12" s="1"/>
        <tr r="PI14" s="1"/>
      </tp>
      <tp t="e">
        <v>#N/A</v>
        <stp/>
        <stp>BDP|17107131178268888780</stp>
        <tr r="H329" s="22"/>
      </tp>
      <tp t="e">
        <v>#N/A</v>
        <stp/>
        <stp>BDP|16761942129906625566</stp>
        <tr r="RO25" s="1"/>
      </tp>
      <tp t="e">
        <v>#N/A</v>
        <stp/>
        <stp>BDP|10486587840669118675</stp>
        <tr r="BH19" s="1"/>
        <tr r="MS30" s="1"/>
        <tr r="OU26" s="1"/>
        <tr r="AG27" s="1"/>
      </tp>
      <tp t="e">
        <v>#N/A</v>
        <stp/>
        <stp>BDP|17673788811816649948</stp>
        <tr r="J15" s="23"/>
      </tp>
      <tp t="e">
        <v>#N/A</v>
        <stp/>
        <stp>BDP|13852927540078651818</stp>
        <tr r="J253" s="22"/>
      </tp>
      <tp t="e">
        <v>#N/A</v>
        <stp/>
        <stp>BDP|16078655019617070811</stp>
        <tr r="C146" s="22"/>
        <tr r="C186" s="22"/>
      </tp>
      <tp t="e">
        <v>#N/A</v>
        <stp/>
        <stp>BDP|11627162112036671995</stp>
        <tr r="CR7" s="1"/>
        <tr r="KZ7" s="1"/>
      </tp>
      <tp t="e">
        <v>#N/A</v>
        <stp/>
        <stp>BDP|15935926680662600819</stp>
        <tr r="JP30" s="1"/>
        <tr r="RX36" s="1"/>
      </tp>
      <tp t="e">
        <v>#N/A</v>
        <stp/>
        <stp>BDP|18333519052702531492</stp>
        <tr r="GV21" s="1"/>
      </tp>
      <tp t="e">
        <v>#N/A</v>
        <stp/>
        <stp>BDP|11595531651709398684</stp>
        <tr r="ET28" s="1"/>
        <tr r="FU21" s="1"/>
        <tr r="IX16" s="1"/>
        <tr r="NB18" s="1"/>
        <tr r="O33" s="1"/>
      </tp>
      <tp t="e">
        <v>#N/A</v>
        <stp/>
        <stp>BDP|18268602440322753692</stp>
        <tr r="LE9" s="1"/>
      </tp>
      <tp t="e">
        <v>#N/A</v>
        <stp/>
        <stp>BDP|17971624396681596749</stp>
        <tr r="J19" s="24"/>
      </tp>
      <tp t="e">
        <v>#N/A</v>
        <stp/>
        <stp>BDP|15435596481857738145</stp>
        <tr r="OL21" s="1"/>
      </tp>
      <tp t="e">
        <v>#N/A</v>
        <stp/>
        <stp>BDP|12014478199541032013</stp>
        <tr r="EY31" s="1"/>
        <tr r="T18" s="1"/>
      </tp>
      <tp t="e">
        <v>#N/A</v>
        <stp/>
        <stp>BDP|12454571912768627081</stp>
        <tr r="MS6" s="1"/>
        <tr r="OU7" s="1"/>
        <tr r="AG23" s="1"/>
      </tp>
      <tp t="e">
        <v>#N/A</v>
        <stp/>
        <stp>BDP|12095158725608854775</stp>
        <tr r="JG28" s="1"/>
        <tr r="RO35" s="1"/>
      </tp>
      <tp t="e">
        <v>#N/A</v>
        <stp/>
        <stp>BDP|17454420718389120502</stp>
        <tr r="M9" s="23"/>
      </tp>
      <tp t="e">
        <v>#N/A</v>
        <stp/>
        <stp>BDP|11665214294062421685</stp>
        <tr r="NB9" s="1"/>
      </tp>
      <tp t="e">
        <v>#N/A</v>
        <stp/>
        <stp>BDP|16090890766202728463</stp>
        <tr r="JH22" s="1"/>
      </tp>
      <tp t="e">
        <v>#N/A</v>
        <stp/>
        <stp>BDP|13571278222669784499</stp>
        <tr r="PI11" s="1"/>
      </tp>
      <tp t="e">
        <v>#N/A</v>
        <stp/>
        <stp>BDP|13385934708532284640</stp>
        <tr r="H92" s="22"/>
        <tr r="H50" s="22"/>
      </tp>
      <tp t="e">
        <v>#N/A</v>
        <stp/>
        <stp>BDP|16066048969907205910</stp>
        <tr r="JC28" s="1"/>
        <tr r="RK35" s="1"/>
      </tp>
      <tp t="e">
        <v>#N/A</v>
        <stp/>
        <stp>BDP|13177413740454653981</stp>
        <tr r="RK20" s="1"/>
      </tp>
      <tp t="e">
        <v>#N/A</v>
        <stp/>
        <stp>BDP|15106771913994242964</stp>
        <tr r="KI34" s="1"/>
      </tp>
      <tp t="e">
        <v>#N/A</v>
        <stp/>
        <stp>BDP|16841443037787991835</stp>
        <tr r="HW11" s="1"/>
      </tp>
      <tp t="e">
        <v>#N/A</v>
        <stp/>
        <stp>BDP|12471756985815272666</stp>
        <tr r="KI22" s="1"/>
      </tp>
      <tp t="e">
        <v>#N/A</v>
        <stp/>
        <stp>BDP|10858316692003830731</stp>
        <tr r="HA37" s="1"/>
      </tp>
      <tp t="e">
        <v>#N/A</v>
        <stp/>
        <stp>BDP|11277435413649028320</stp>
        <tr r="NG9" s="1"/>
      </tp>
      <tp t="e">
        <v>#N/A</v>
        <stp/>
        <stp>BDP|14419652183782362614</stp>
        <tr r="QE12" s="1"/>
      </tp>
      <tp t="e">
        <v>#N/A</v>
        <stp/>
        <stp>BDP|16727821894018160100</stp>
        <tr r="JP14" s="1"/>
      </tp>
      <tp t="e">
        <v>#N/A</v>
        <stp/>
        <stp>BDP|17364670881541671630</stp>
        <tr r="M270" s="22"/>
      </tp>
      <tp t="e">
        <v>#N/A</v>
        <stp/>
        <stp>BDP|18088826692821869684</stp>
        <tr r="NE29" s="1"/>
        <tr r="MD36" s="1"/>
        <tr r="EW12" s="1"/>
        <tr r="R14" s="1"/>
      </tp>
      <tp t="e">
        <v>#N/A</v>
        <stp/>
        <stp>BDP|10670295072472998974</stp>
        <tr r="IX19" s="1"/>
      </tp>
      <tp t="e">
        <v>#N/A</v>
        <stp/>
        <stp>BDP|13277840446800329107</stp>
        <tr r="HF14" s="1"/>
        <tr r="PN19" s="1"/>
      </tp>
      <tp t="e">
        <v>#N/A</v>
        <stp/>
        <stp>BDP|17624795564398177094</stp>
        <tr r="IG8" s="1"/>
      </tp>
      <tp t="e">
        <v>#N/A</v>
        <stp/>
        <stp>BDP|14768210329572864843</stp>
        <tr r="NG25" s="1"/>
      </tp>
      <tp t="e">
        <v>#N/A</v>
        <stp/>
        <stp>BDP|10696588709698291373</stp>
        <tr r="OH16" s="1"/>
      </tp>
      <tp t="e">
        <v>#N/A</v>
        <stp/>
        <stp>BDP|18157480534955846474</stp>
        <tr r="OM23" s="1"/>
      </tp>
      <tp t="e">
        <v>#N/A</v>
        <stp/>
        <stp>BDP|11407843142847715478</stp>
        <tr r="FD10" s="1"/>
        <tr r="MK27" s="1"/>
        <tr r="NL23" s="1"/>
        <tr r="Y11" s="1"/>
      </tp>
      <tp t="e">
        <v>#N/A</v>
        <stp/>
        <stp>BDP|17015297732808188082</stp>
        <tr r="C404" s="22"/>
      </tp>
      <tp t="e">
        <v>#N/A</v>
        <stp/>
        <stp>BDP|17858144398153630278</stp>
        <tr r="CI11" s="1"/>
      </tp>
      <tp t="e">
        <v>#N/A</v>
        <stp/>
        <stp>BDP|15662275004340115918</stp>
        <tr r="C16" s="22"/>
      </tp>
      <tp t="e">
        <v>#N/A</v>
        <stp/>
        <stp>BDP|17171991230597548480</stp>
        <tr r="FX34" s="1"/>
      </tp>
      <tp t="e">
        <v>#N/A</v>
        <stp/>
        <stp>BDP|13851367191676368197</stp>
        <tr r="O349" s="22"/>
      </tp>
      <tp t="e">
        <v>#N/A</v>
        <stp/>
        <stp>BDP|12366673810492953980</stp>
        <tr r="EW14" s="1"/>
        <tr r="R16" s="1"/>
      </tp>
      <tp t="e">
        <v>#N/A</v>
        <stp/>
        <stp>BDP|13949120324078885634</stp>
        <tr r="N100" s="22"/>
        <tr r="N59" s="22"/>
      </tp>
      <tp t="e">
        <v>#N/A</v>
        <stp/>
        <stp>BDP|12462188344910925952</stp>
        <tr r="RI13" s="1"/>
      </tp>
      <tp t="e">
        <v>#N/A</v>
        <stp/>
        <stp>BDP|18141338864935433660</stp>
        <tr r="KD31" s="1"/>
      </tp>
      <tp t="e">
        <v>#N/A</v>
        <stp/>
        <stp>BDP|16134060786171677133</stp>
        <tr r="HN16" s="1"/>
        <tr r="IO9" s="1"/>
      </tp>
      <tp t="e">
        <v>#N/A</v>
        <stp/>
        <stp>BDP|13268432005261503853</stp>
        <tr r="FZ29" s="1"/>
        <tr r="JC24" s="1"/>
      </tp>
      <tp t="e">
        <v>#N/A</v>
        <stp/>
        <stp>BDP|12505920401811861496</stp>
        <tr r="GV10" s="1"/>
      </tp>
      <tp t="e">
        <v>#N/A</v>
        <stp/>
        <stp>BDP|18153443529179264993</stp>
        <tr r="OF31" s="1"/>
        <tr r="MD38" s="1"/>
        <tr r="DV25" s="1"/>
      </tp>
      <tp t="e">
        <v>#N/A</v>
        <stp/>
        <stp>BDP|12637384048109688279</stp>
        <tr r="C7" s="25"/>
      </tp>
      <tp t="e">
        <v>#N/A</v>
        <stp/>
        <stp>BDP|14685660399921916475</stp>
        <tr r="IB23" s="1"/>
      </tp>
      <tp t="e">
        <v>#N/A</v>
        <stp/>
        <stp>BDP|15373180767409928525</stp>
        <tr r="IO25" s="1"/>
        <tr r="MS20" s="1"/>
      </tp>
      <tp t="e">
        <v>#N/A</v>
        <stp/>
        <stp>BDP|14452029196586140573</stp>
        <tr r="KH6" s="1"/>
        <tr r="RO6" s="1"/>
      </tp>
      <tp t="e">
        <v>#N/A</v>
        <stp/>
        <stp>BDP|14668837337798543910</stp>
        <tr r="QW15" s="1"/>
      </tp>
      <tp t="e">
        <v>#N/A</v>
        <stp/>
        <stp>BDP|16513404801115376913</stp>
        <tr r="GY9" s="1"/>
      </tp>
      <tp t="e">
        <v>#N/A</v>
        <stp/>
        <stp>BDP|10419353402354145940</stp>
        <tr r="HF29" s="1"/>
      </tp>
      <tp t="e">
        <v>#N/A</v>
        <stp/>
        <stp>BDP|10625351965359300235</stp>
        <tr r="JP25" s="1"/>
      </tp>
      <tp t="e">
        <v>#N/A</v>
        <stp/>
        <stp>BDP|15710022484976871406</stp>
        <tr r="OF25" s="1"/>
        <tr r="DV20" s="1"/>
      </tp>
      <tp t="e">
        <v>#N/A</v>
        <stp/>
        <stp>BDP|11888380864208851350</stp>
        <tr r="BH8" s="1"/>
        <tr r="EK8" s="1"/>
      </tp>
      <tp t="e">
        <v>#N/A</v>
        <stp/>
        <stp>BDP|10235331627709692791</stp>
        <tr r="MA15" s="1"/>
        <tr r="OC13" s="1"/>
      </tp>
      <tp t="e">
        <v>#N/A</v>
        <stp/>
        <stp>BDP|13531698781923213164</stp>
        <tr r="CI9" s="1"/>
      </tp>
      <tp t="e">
        <v>#N/A</v>
        <stp/>
        <stp>BDP|10381128150438081396</stp>
        <tr r="N133" s="22"/>
        <tr r="N173" s="22"/>
      </tp>
      <tp t="e">
        <v>#N/A</v>
        <stp/>
        <stp>BDP|15418447715977944844</stp>
        <tr r="CA14" s="1"/>
      </tp>
      <tp t="e">
        <v>#N/A</v>
        <stp/>
        <stp>BDP|18194316938546011108</stp>
        <tr r="MJ21" s="1"/>
        <tr r="NK19" s="1"/>
      </tp>
      <tp t="e">
        <v>#N/A</v>
        <stp/>
        <stp>BDP|13964334413776755866</stp>
        <tr r="HW17" s="1"/>
      </tp>
      <tp t="e">
        <v>#N/A</v>
        <stp/>
        <stp>BDP|13191084929898886608</stp>
        <tr r="NT15" s="1"/>
      </tp>
      <tp t="e">
        <v>#N/A</v>
        <stp/>
        <stp>BDP|14187844798458648205</stp>
        <tr r="J10" s="22"/>
      </tp>
      <tp t="e">
        <v>#N/A</v>
        <stp/>
        <stp>BDP|10959934340784974688</stp>
        <tr r="LC7" s="1"/>
        <tr r="CU7" s="1"/>
      </tp>
      <tp t="e">
        <v>#N/A</v>
        <stp/>
        <stp>BDP|16289946553843967671</stp>
        <tr r="M268" s="22"/>
      </tp>
      <tp t="e">
        <v>#N/A</v>
        <stp/>
        <stp>BDP|16768207035959889110</stp>
        <tr r="O210" s="22"/>
        <tr r="O232" s="22"/>
      </tp>
      <tp t="e">
        <v>#N/A</v>
        <stp/>
        <stp>BDP|14431947128577335702</stp>
        <tr r="KB7" s="1"/>
        <tr r="EW13" s="1"/>
        <tr r="AS7" s="1"/>
        <tr r="R15" s="1"/>
      </tp>
      <tp t="e">
        <v>#N/A</v>
        <stp/>
        <stp>BDP|12424828750060998052</stp>
        <tr r="ET33" s="1"/>
        <tr r="O39" s="1"/>
      </tp>
      <tp t="e">
        <v>#N/A</v>
        <stp/>
        <stp>BDP|12428154614579947467</stp>
        <tr r="HF9" s="1"/>
      </tp>
      <tp t="e">
        <v>#N/A</v>
        <stp/>
        <stp>BDP|18271614606109635891</stp>
        <tr r="M11" s="25"/>
      </tp>
      <tp t="e">
        <v>#N/A</v>
        <stp/>
        <stp>BDP|10969170914108293729</stp>
        <tr r="KQ37" s="1"/>
      </tp>
      <tp t="e">
        <v>#N/A</v>
        <stp/>
        <stp>BDP|12945695196184283690</stp>
        <tr r="CA16" s="1"/>
      </tp>
      <tp t="e">
        <v>#N/A</v>
        <stp/>
        <stp>BDP|10507991833730690541</stp>
        <tr r="MS35" s="1"/>
        <tr r="OU30" s="1"/>
        <tr r="AG25" s="1"/>
      </tp>
      <tp t="e">
        <v>#N/A</v>
        <stp/>
        <stp>BDP|12257595241109466535</stp>
        <tr r="FZ7" s="1"/>
        <tr r="HA6" s="1"/>
      </tp>
      <tp t="e">
        <v>#N/A</v>
        <stp/>
        <stp>BDP|16760856948400605515</stp>
        <tr r="JP32" s="1"/>
      </tp>
      <tp t="e">
        <v>#N/A</v>
        <stp/>
        <stp>BDP|13856986014483093799</stp>
        <tr r="QN26" s="1"/>
      </tp>
      <tp t="e">
        <v>#N/A</v>
        <stp/>
        <stp>BDP|14015728866422022886</stp>
        <tr r="EC20" s="1"/>
        <tr r="OM25" s="1"/>
      </tp>
      <tp t="e">
        <v>#N/A</v>
        <stp/>
        <stp>BDP|17047164895751689196</stp>
        <tr r="GE29" s="1"/>
        <tr r="JH24" s="1"/>
      </tp>
      <tp t="e">
        <v>#N/A</v>
        <stp/>
        <stp>BDP|13209998705107045225</stp>
        <tr r="DB17" s="1"/>
        <tr r="LJ13" s="1"/>
      </tp>
      <tp t="e">
        <v>#N/A</v>
        <stp/>
        <stp>BDP|17597630986636452086</stp>
        <tr r="HW15" s="1"/>
      </tp>
      <tp t="e">
        <v>#N/A</v>
        <stp/>
        <stp>BDP|13720270075349015092</stp>
        <tr r="JA32" s="1"/>
      </tp>
      <tp t="e">
        <v>#N/A</v>
        <stp/>
        <stp>BDP|17990029170786113967</stp>
        <tr r="ET29" s="1"/>
        <tr r="O34" s="1"/>
      </tp>
      <tp t="e">
        <v>#N/A</v>
        <stp/>
        <stp>BDP|13505953264696154590</stp>
        <tr r="FL20" s="1"/>
      </tp>
      <tp t="e">
        <v>#N/A</v>
        <stp/>
        <stp>BDP|14095768499396515359</stp>
        <tr r="QJ14" s="1"/>
      </tp>
      <tp t="e">
        <v>#N/A</v>
        <stp/>
        <stp>BDP|17950365453978042637</stp>
        <tr r="O253" s="22"/>
      </tp>
      <tp t="e">
        <v>#N/A</v>
        <stp/>
        <stp>BDP|11238492876985125839</stp>
        <tr r="JC9" s="1"/>
        <tr r="KD12" s="1"/>
        <tr r="RK11" s="1"/>
      </tp>
      <tp t="e">
        <v>#N/A</v>
        <stp/>
        <stp>BDP|16159311518059571221</stp>
        <tr r="EY30" s="1"/>
        <tr r="MF11" s="1"/>
        <tr r="NG8" s="1"/>
        <tr r="T36" s="1"/>
      </tp>
      <tp t="e">
        <v>#N/A</v>
        <stp/>
        <stp>BDP|14399572029824566872</stp>
        <tr r="J4" s="23"/>
      </tp>
      <tp t="e">
        <v>#N/A</v>
        <stp/>
        <stp>BDP|16931020536378626258</stp>
        <tr r="QJ12" s="1"/>
      </tp>
      <tp t="e">
        <v>#N/A</v>
        <stp/>
        <stp>BDP|13227587602369399051</stp>
        <tr r="RX15" s="1"/>
      </tp>
      <tp t="e">
        <v>#N/A</v>
        <stp/>
        <stp>BDP|12308822564650930329</stp>
        <tr r="JP28" s="1"/>
        <tr r="RX35" s="1"/>
      </tp>
      <tp t="e">
        <v>#N/A</v>
        <stp/>
        <stp>BDP|10952376135028354766</stp>
        <tr r="GM16" s="1"/>
      </tp>
      <tp t="e">
        <v>#N/A</v>
        <stp/>
        <stp>BDP|14639289381842150300</stp>
        <tr r="DX19" s="1"/>
      </tp>
      <tp t="e">
        <v>#N/A</v>
        <stp/>
        <stp>BDP|11594796259368530411</stp>
        <tr r="P413" s="22"/>
      </tp>
      <tp t="e">
        <v>#N/A</v>
        <stp/>
        <stp>BDP|18113457469100992552</stp>
        <tr r="NE18" s="1"/>
        <tr r="JA16" s="1"/>
        <tr r="FX21" s="1"/>
        <tr r="EW28" s="1"/>
        <tr r="R33" s="1"/>
      </tp>
      <tp t="e">
        <v>#N/A</v>
        <stp/>
        <stp>BDP|18174458440786588102</stp>
        <tr r="JH13" s="1"/>
      </tp>
      <tp t="e">
        <v>#N/A</v>
        <stp/>
        <stp>BDP|10242453807972038906</stp>
        <tr r="C126" s="22"/>
        <tr r="C168" s="22"/>
      </tp>
      <tp t="e">
        <v>#N/A</v>
        <stp/>
        <stp>BDP|15855818599762934996</stp>
        <tr r="DJ12" s="1"/>
        <tr r="LR10" s="1"/>
      </tp>
      <tp t="e">
        <v>#N/A</v>
        <stp/>
        <stp>BDP|17852122589594559562</stp>
        <tr r="J405" s="22"/>
      </tp>
      <tp t="e">
        <v>#N/A</v>
        <stp/>
        <stp>BDP|11216505482481739277</stp>
        <tr r="GV22" s="1"/>
      </tp>
      <tp t="e">
        <v>#N/A</v>
        <stp/>
        <stp>BDP|10280679189286857779</stp>
        <tr r="GV23" s="1"/>
        <tr r="PD22" s="1"/>
      </tp>
      <tp t="e">
        <v>#N/A</v>
        <stp/>
        <stp>BDP|14744238255859186533</stp>
        <tr r="IF23" s="1"/>
      </tp>
      <tp t="e">
        <v>#N/A</v>
        <stp/>
        <stp>BDP|13927985501015168021</stp>
        <tr r="ET18" s="1"/>
        <tr r="O22" s="1"/>
      </tp>
      <tp t="e">
        <v>#N/A</v>
        <stp/>
        <stp>BDP|13736465613608238134</stp>
        <tr r="PV21" s="1"/>
      </tp>
      <tp t="e">
        <v>#N/A</v>
        <stp/>
        <stp>BDP|10693798158284580903</stp>
        <tr r="P44" s="22"/>
        <tr r="P91" s="22"/>
      </tp>
      <tp t="e">
        <v>#N/A</v>
        <stp/>
        <stp>BDP|17868351333160867848</stp>
        <tr r="AU13" s="1"/>
      </tp>
      <tp t="e">
        <v>#N/A</v>
        <stp/>
        <stp>BDP|13853299964618676012</stp>
        <tr r="P14" s="25"/>
      </tp>
      <tp t="e">
        <v>#N/A</v>
        <stp/>
        <stp>BDP|17255340497452314002</stp>
        <tr r="JA22" s="1"/>
      </tp>
      <tp t="e">
        <v>#N/A</v>
        <stp/>
        <stp>BDP|16666557980310654477</stp>
        <tr r="GV9" s="1"/>
      </tp>
      <tp t="e">
        <v>#N/A</v>
        <stp/>
        <stp>BDP|17043071980356521600</stp>
        <tr r="RO39" s="1"/>
      </tp>
      <tp t="e">
        <v>#N/A</v>
        <stp/>
        <stp>BDP|10174138987410018604</stp>
        <tr r="J101" s="22"/>
        <tr r="J56" s="22"/>
      </tp>
      <tp t="e">
        <v>#N/A</v>
        <stp/>
        <stp>BDP|15690309995201079168</stp>
        <tr r="MK39" s="1"/>
        <tr r="OM32" s="1"/>
      </tp>
      <tp t="e">
        <v>#N/A</v>
        <stp/>
        <stp>BDP|15579021105798587225</stp>
        <tr r="QH7" s="1"/>
      </tp>
      <tp t="e">
        <v>#N/A</v>
        <stp/>
        <stp>BDP|18217647273185204325</stp>
        <tr r="H268" s="22"/>
      </tp>
      <tp t="e">
        <v>#N/A</v>
        <stp/>
        <stp>BDP|12604469393190691000</stp>
        <tr r="C346" s="22"/>
      </tp>
      <tp t="e">
        <v>#N/A</v>
        <stp/>
        <stp>BDP|11670325030557442948</stp>
        <tr r="RI18" s="1"/>
      </tp>
      <tp t="e">
        <v>#N/A</v>
        <stp/>
        <stp>BDP|13215794086551867219</stp>
        <tr r="HZ7" s="1"/>
      </tp>
      <tp t="e">
        <v>#N/A</v>
        <stp/>
        <stp>BDP|16326166077729268649</stp>
        <tr r="C7" s="22"/>
      </tp>
      <tp t="e">
        <v>#N/A</v>
        <stp/>
        <stp>BDP|14067880807922353188</stp>
        <tr r="JH17" s="1"/>
        <tr r="KI26" s="1"/>
        <tr r="RP19" s="1"/>
      </tp>
      <tp t="e">
        <v>#N/A</v>
        <stp/>
        <stp>BDP|10672641466536239920</stp>
        <tr r="RI12" s="1"/>
        <tr r="KB18" s="1"/>
      </tp>
      <tp t="e">
        <v>#N/A</v>
        <stp/>
        <stp>BDP|14072041341469910684</stp>
        <tr r="EK23" s="1"/>
      </tp>
      <tp t="e">
        <v>#N/A</v>
        <stp/>
        <stp>BDP|17298670506676183863</stp>
        <tr r="N18" s="23"/>
      </tp>
      <tp t="e">
        <v>#N/A</v>
        <stp/>
        <stp>BDP|16889967497018905174</stp>
        <tr r="C17" s="24"/>
      </tp>
      <tp t="e">
        <v>#N/A</v>
        <stp/>
        <stp>BDP|12478088499760407460</stp>
        <tr r="RX22" s="1"/>
      </tp>
      <tp t="e">
        <v>#N/A</v>
        <stp/>
        <stp>BDP|12216611536039480160</stp>
        <tr r="N413" s="22"/>
      </tp>
      <tp t="e">
        <v>#N/A</v>
        <stp/>
        <stp>BDP|10840092084595083228</stp>
        <tr r="P363" s="22"/>
        <tr r="P381" s="22"/>
        <tr r="P403" s="22"/>
      </tp>
      <tp t="e">
        <v>#N/A</v>
        <stp/>
        <stp>BDP|12226061819218850424</stp>
        <tr r="PI16" s="1"/>
      </tp>
      <tp t="e">
        <v>#N/A</v>
        <stp/>
        <stp>BDP|18370238955080465069</stp>
        <tr r="HE25" s="1"/>
        <tr r="PM26" s="1"/>
      </tp>
      <tp t="e">
        <v>#N/A</v>
        <stp/>
        <stp>BDP|16254171501779467172</stp>
        <tr r="DX14" s="1"/>
        <tr r="OH18" s="1"/>
      </tp>
      <tp t="e">
        <v>#N/A</v>
        <stp/>
        <stp>BDP|12355005196615043126</stp>
        <tr r="J205" s="22"/>
        <tr r="J227" s="22"/>
      </tp>
      <tp t="e">
        <v>#N/A</v>
        <stp/>
        <stp>BDP|17287618573339667006</stp>
        <tr r="BH16" s="1"/>
      </tp>
      <tp t="e">
        <v>#N/A</v>
        <stp/>
        <stp>BDP|13199604411429213249</stp>
        <tr r="FC27" s="1"/>
        <tr r="X32" s="1"/>
      </tp>
      <tp t="e">
        <v>#N/A</v>
        <stp/>
        <stp>BDP|14575578887802250412</stp>
        <tr r="H86" s="22"/>
        <tr r="H54" s="22"/>
      </tp>
      <tp t="e">
        <v>#N/A</v>
        <stp/>
        <stp>BDP|11781672624313287901</stp>
        <tr r="HZ15" s="1"/>
      </tp>
      <tp t="e">
        <v>#N/A</v>
        <stp/>
        <stp>BDP|15780359704469443041</stp>
        <tr r="AG20" s="1"/>
        <tr r="BH18" s="1"/>
        <tr r="MS23" s="1"/>
        <tr r="OU22" s="1"/>
      </tp>
      <tp t="e">
        <v>#N/A</v>
        <stp/>
        <stp>BDP|11172992979141508121</stp>
        <tr r="MK28" s="1"/>
        <tr r="NL24" s="1"/>
      </tp>
      <tp t="e">
        <v>#N/A</v>
        <stp/>
        <stp>BDP|17670480728717709974</stp>
        <tr r="IX20" s="1"/>
        <tr r="RF24" s="1"/>
      </tp>
      <tp t="e">
        <v>#N/A</v>
        <stp/>
        <stp>BDP|11344638151339994714</stp>
        <tr r="H97" s="22"/>
        <tr r="H60" s="22"/>
      </tp>
      <tp t="e">
        <v>#N/A</v>
        <stp/>
        <stp>BDP|10289012290123235689</stp>
        <tr r="H291" s="22"/>
      </tp>
      <tp t="e">
        <v>#N/A</v>
        <stp/>
        <stp>BDP|15372921262665305395</stp>
        <tr r="BZ10" s="1"/>
        <tr r="DA13" s="1"/>
      </tp>
      <tp t="e">
        <v>#N/A</v>
        <stp/>
        <stp>BDP|10092509893129355989</stp>
        <tr r="J270" s="22"/>
      </tp>
      <tp t="e">
        <v>#N/A</v>
        <stp/>
        <stp>BDP|12523764540558215590</stp>
        <tr r="FC33" s="1"/>
        <tr r="X39" s="1"/>
      </tp>
      <tp t="e">
        <v>#N/A</v>
        <stp/>
        <stp>BDP|17567948339055165419</stp>
        <tr r="RP31" s="1"/>
      </tp>
      <tp t="e">
        <v>#N/A</v>
        <stp/>
        <stp>BDP|13438698625923452842</stp>
        <tr r="C309" s="22"/>
      </tp>
      <tp t="e">
        <v>#N/A</v>
        <stp/>
        <stp>BDP|16448821138818791911</stp>
        <tr r="HF33" s="1"/>
      </tp>
      <tp t="e">
        <v>#N/A</v>
        <stp/>
        <stp>BDP|10761527729698182367</stp>
        <tr r="OH14" s="1"/>
      </tp>
      <tp t="e">
        <v>#N/A</v>
        <stp/>
        <stp>BDP|12286805978525401457</stp>
        <tr r="AP9" s="1"/>
      </tp>
      <tp t="e">
        <v>#N/A</v>
        <stp/>
        <stp>BDP|15777313887032836025</stp>
        <tr r="HN17" s="1"/>
      </tp>
      <tp t="e">
        <v>#N/A</v>
        <stp/>
        <stp>BDP|15761445106915697884</stp>
        <tr r="GD15" s="1"/>
        <tr r="JG8" s="1"/>
        <tr r="KH11" s="1"/>
      </tp>
      <tp t="e">
        <v>#N/A</v>
        <stp/>
        <stp>BDP|10690516488179699821</stp>
        <tr r="P101" s="22"/>
        <tr r="P56" s="22"/>
      </tp>
      <tp t="e">
        <v>#N/A</v>
        <stp/>
        <stp>BDP|18165693245201560734</stp>
        <tr r="RX31" s="1"/>
      </tp>
      <tp t="e">
        <v>#N/A</v>
        <stp/>
        <stp>BDP|11043745660949653587</stp>
        <tr r="M15" s="25"/>
      </tp>
      <tp t="e">
        <v>#N/A</v>
        <stp/>
        <stp>BDP|17098328740104897801</stp>
        <tr r="J251" s="22"/>
      </tp>
      <tp t="e">
        <v>#N/A</v>
        <stp/>
        <stp>BDP|18348803878062636977</stp>
        <tr r="P17" s="25"/>
      </tp>
      <tp t="e">
        <v>#N/A</v>
        <stp/>
        <stp>BDP|15818170797679761855</stp>
        <tr r="N15" s="22"/>
      </tp>
      <tp t="e">
        <v>#N/A</v>
        <stp/>
        <stp>BDP|12398572688222212135</stp>
        <tr r="O126" s="22"/>
        <tr r="O168" s="22"/>
      </tp>
      <tp t="e">
        <v>#N/A</v>
        <stp/>
        <stp>BDP|10345382372509400107</stp>
        <tr r="DS19" s="1"/>
      </tp>
      <tp t="e">
        <v>#N/A</v>
        <stp/>
        <stp>BDP|16869706007785442878</stp>
        <tr r="O275" s="22"/>
      </tp>
      <tp t="e">
        <v>#N/A</v>
        <stp/>
        <stp>BDP|15208825223675636697</stp>
        <tr r="P347" s="22"/>
      </tp>
      <tp t="e">
        <v>#N/A</v>
        <stp/>
        <stp>BDP|16905860035126741712</stp>
        <tr r="LC16" s="1"/>
      </tp>
      <tp t="e">
        <v>#N/A</v>
        <stp/>
        <stp>BDP|12985303716428211425</stp>
        <tr r="C45" s="22"/>
        <tr r="C90" s="22"/>
      </tp>
      <tp t="e">
        <v>#N/A</v>
        <stp/>
        <stp>BDP|16636008691327933418</stp>
        <tr r="AS24" s="1"/>
      </tp>
      <tp t="e">
        <v>#N/A</v>
        <stp/>
        <stp>BDP|14566889126684610632</stp>
        <tr r="QH10" s="1"/>
      </tp>
      <tp t="e">
        <v>#N/A</v>
        <stp/>
        <stp>BDP|10798764499583310150</stp>
        <tr r="JY25" s="1"/>
      </tp>
      <tp t="e">
        <v>#N/A</v>
        <stp/>
        <stp>BDP|17120536244833852900</stp>
        <tr r="FZ20" s="1"/>
        <tr r="QJ13" s="1"/>
      </tp>
      <tp t="e">
        <v>#N/A</v>
        <stp/>
        <stp>BDP|10200025656331097886</stp>
        <tr r="M132" s="22"/>
        <tr r="M172" s="22"/>
      </tp>
      <tp t="e">
        <v>#N/A</v>
        <stp/>
        <stp>BDP|18255463447915541186</stp>
        <tr r="J347" s="22"/>
      </tp>
      <tp t="e">
        <v>#N/A</v>
        <stp/>
        <stp>BDP|10294822673035859652</stp>
        <tr r="C15" s="22"/>
      </tp>
      <tp t="e">
        <v>#N/A</v>
        <stp/>
        <stp>BDP|12183164211958039674</stp>
        <tr r="O15" s="24"/>
      </tp>
      <tp t="e">
        <v>#N/A</v>
        <stp/>
        <stp>BDP|11899220151968235283</stp>
        <tr r="RI23" s="1"/>
        <tr r="KB29" s="1"/>
      </tp>
      <tp t="e">
        <v>#N/A</v>
        <stp/>
        <stp>BDP|13577538431398694100</stp>
        <tr r="X28" s="1"/>
      </tp>
      <tp t="e">
        <v>#N/A</v>
        <stp/>
        <stp>BDP|15793593679632195970</stp>
        <tr r="FU27" s="1"/>
        <tr r="GV30" s="1"/>
      </tp>
      <tp t="e">
        <v>#N/A</v>
        <stp/>
        <stp>BDP|12555390719239013542</stp>
        <tr r="AY25" s="1"/>
        <tr r="JG31" s="1"/>
      </tp>
      <tp t="e">
        <v>#N/A</v>
        <stp/>
        <stp>BDP|14933181790387510749</stp>
        <tr r="IO20" s="1"/>
      </tp>
      <tp t="e">
        <v>#N/A</v>
        <stp/>
        <stp>BDP|12946754287658399981</stp>
        <tr r="DV15" s="1"/>
      </tp>
      <tp t="e">
        <v>#N/A</v>
        <stp/>
        <stp>BDP|16221828110635064608</stp>
        <tr r="QE15" s="1"/>
      </tp>
      <tp t="e">
        <v>#N/A</v>
        <stp/>
        <stp>BDP|15843788588600891607</stp>
        <tr r="QO24" s="1"/>
      </tp>
      <tp t="e">
        <v>#N/A</v>
        <stp/>
        <stp>BDP|15680403400499776422</stp>
        <tr r="PV24" s="1"/>
      </tp>
      <tp t="e">
        <v>#N/A</v>
        <stp/>
        <stp>BDP|11926759439178655105</stp>
        <tr r="IG12" s="1"/>
      </tp>
      <tp t="e">
        <v>#N/A</v>
        <stp/>
        <stp>BDP|12675205241849709135</stp>
        <tr r="N10" s="25"/>
      </tp>
      <tp t="e">
        <v>#N/A</v>
        <stp/>
        <stp>BDP|11114070085443893683</stp>
        <tr r="RK13" s="1"/>
      </tp>
      <tp t="e">
        <v>#N/A</v>
        <stp/>
        <stp>BDP|14692724885975218209</stp>
        <tr r="J4" s="25"/>
      </tp>
      <tp t="e">
        <v>#N/A</v>
        <stp/>
        <stp>BDP|12127905065370011176</stp>
        <tr r="PG7" s="1"/>
      </tp>
      <tp t="e">
        <v>#N/A</v>
        <stp/>
        <stp>BDP|18081126586689787401</stp>
        <tr r="C367" s="22"/>
        <tr r="C389" s="22"/>
        <tr r="C411" s="22"/>
      </tp>
      <tp t="e">
        <v>#N/A</v>
        <stp/>
        <stp>BDP|10370863557341933085</stp>
        <tr r="IB12" s="1"/>
      </tp>
      <tp t="e">
        <v>#N/A</v>
        <stp/>
        <stp>BDP|10692390788996442104</stp>
        <tr r="BQ19" s="1"/>
        <tr r="CR22" s="1"/>
      </tp>
      <tp t="e">
        <v>#N/A</v>
        <stp/>
        <stp>BDP|17022253802428373176</stp>
        <tr r="RP38" s="1"/>
      </tp>
      <tp t="e">
        <v>#N/A</v>
        <stp/>
        <stp>BDP|13881174879530417901</stp>
        <tr r="QW26" s="1"/>
      </tp>
      <tp t="e">
        <v>#N/A</v>
        <stp/>
        <stp>BDP|12738567807719284262</stp>
        <tr r="HF21" s="1"/>
      </tp>
      <tp t="e">
        <v>#N/A</v>
        <stp/>
        <stp>BDP|13923840425387289280</stp>
        <tr r="H9" s="22"/>
      </tp>
      <tp t="e">
        <v>#N/A</v>
        <stp/>
        <stp>BDP|16088031071039299429</stp>
        <tr r="DJ21" s="1"/>
        <tr r="LR18" s="1"/>
      </tp>
      <tp t="e">
        <v>#N/A</v>
        <stp/>
        <stp>BDP|17193219070407649940</stp>
        <tr r="EK7" s="1"/>
        <tr r="OU8" s="1"/>
      </tp>
      <tp t="e">
        <v>#N/A</v>
        <stp/>
        <stp>BDP|12366654690631071038</stp>
        <tr r="JY14" s="1"/>
      </tp>
      <tp t="e">
        <v>#N/A</v>
        <stp/>
        <stp>BDP|15529533713415263820</stp>
        <tr r="BQ16" s="1"/>
      </tp>
      <tp t="e">
        <v>#N/A</v>
        <stp/>
        <stp>BDP|12011834930380347550</stp>
        <tr r="JA29" s="1"/>
      </tp>
      <tp t="e">
        <v>#N/A</v>
        <stp/>
        <stp>BDP|13819052787712655597</stp>
        <tr r="EC13" s="1"/>
      </tp>
      <tp t="e">
        <v>#N/A</v>
        <stp/>
        <stp>BDP|12546885958367005407</stp>
        <tr r="AY17" s="1"/>
        <tr r="NK20" s="1"/>
      </tp>
      <tp t="e">
        <v>#N/A</v>
        <stp/>
        <stp>BDP|14267850444315043165</stp>
        <tr r="BQ11" s="1"/>
      </tp>
      <tp t="e">
        <v>#N/A</v>
        <stp/>
        <stp>BDP|14102993258940010444</stp>
        <tr r="P15" s="24"/>
      </tp>
      <tp t="e">
        <v>#N/A</v>
        <stp/>
        <stp>BDP|14050837875475649242</stp>
        <tr r="EY15" s="1"/>
        <tr r="FZ22" s="1"/>
        <tr r="JC18" s="1"/>
        <tr r="T17" s="1"/>
      </tp>
      <tp t="e">
        <v>#N/A</v>
        <stp/>
        <stp>BDP|10776063983133264778</stp>
        <tr r="DJ18" s="1"/>
        <tr r="LR14" s="1"/>
      </tp>
      <tp t="e">
        <v>#N/A</v>
        <stp/>
        <stp>BDP|15162211190973121165</stp>
        <tr r="C331" s="22"/>
      </tp>
      <tp t="e">
        <v>#N/A</v>
        <stp/>
        <stp>BDP|18438659109010777283</stp>
        <tr r="HE18" s="1"/>
      </tp>
      <tp t="e">
        <v>#N/A</v>
        <stp/>
        <stp>BDP|17213647242748017132</stp>
        <tr r="IF15" s="1"/>
      </tp>
      <tp t="e">
        <v>#N/A</v>
        <stp/>
        <stp>BDP|16260630898350762593</stp>
        <tr r="CR15" s="1"/>
      </tp>
      <tp t="e">
        <v>#N/A</v>
        <stp/>
        <stp>BDP|13462359582593406711</stp>
        <tr r="OC16" s="1"/>
      </tp>
      <tp t="e">
        <v>#N/A</v>
        <stp/>
        <stp>BDP|10690892720281058791</stp>
        <tr r="NE24" s="1"/>
        <tr r="MD28" s="1"/>
      </tp>
      <tp t="e">
        <v>#N/A</v>
        <stp/>
        <stp>BDP|10125432986548018829</stp>
        <tr r="KH27" s="1"/>
      </tp>
      <tp t="e">
        <v>#N/A</v>
        <stp/>
        <stp>BDP|18375005913216444326</stp>
        <tr r="N10" s="23"/>
      </tp>
      <tp t="e">
        <v>#N/A</v>
        <stp/>
        <stp>BDP|13293460175184531829</stp>
        <tr r="M5" s="24"/>
      </tp>
      <tp t="e">
        <v>#N/A</v>
        <stp/>
        <stp>BDP|16007963921105945484</stp>
        <tr r="J10" s="23"/>
      </tp>
      <tp t="e">
        <v>#N/A</v>
        <stp/>
        <stp>BDP|17776550093876674118</stp>
        <tr r="FC11" s="1"/>
        <tr r="GD10" s="1"/>
        <tr r="X12" s="1"/>
      </tp>
      <tp t="e">
        <v>#N/A</v>
        <stp/>
        <stp>BDP|12804188844953327815</stp>
        <tr r="NE15" s="1"/>
      </tp>
      <tp t="e">
        <v>#N/A</v>
        <stp/>
        <stp>BDP|17863632522187855874</stp>
        <tr r="DA17" s="1"/>
        <tr r="LI13" s="1"/>
      </tp>
      <tp t="e">
        <v>#N/A</v>
        <stp/>
        <stp>BDP|15464082837949221203</stp>
        <tr r="EB16" s="1"/>
      </tp>
      <tp t="e">
        <v>#N/A</v>
        <stp/>
        <stp>BDP|13003075016836956914</stp>
        <tr r="FC9" s="1"/>
        <tr r="X10" s="1"/>
      </tp>
      <tp t="e">
        <v>#N/A</v>
        <stp/>
        <stp>BDP|17828041781743626124</stp>
        <tr r="ET21" s="1"/>
        <tr r="FU32" s="1"/>
        <tr r="JY36" s="1"/>
        <tr r="O26" s="1"/>
      </tp>
      <tp t="e">
        <v>#N/A</v>
        <stp/>
        <stp>BDP|13944255231497541810</stp>
        <tr r="O289" s="22"/>
      </tp>
      <tp t="e">
        <v>#N/A</v>
        <stp/>
        <stp>BDP|13770547415318770284</stp>
        <tr r="KQ35" s="1"/>
      </tp>
      <tp t="e">
        <v>#N/A</v>
        <stp/>
        <stp>BDP|14141720634565997878</stp>
        <tr r="GY6" s="1"/>
        <tr r="FX7" s="1"/>
      </tp>
      <tp t="e">
        <v>#N/A</v>
        <stp/>
        <stp>BDP|14967344510502655925</stp>
        <tr r="DJ14" s="1"/>
      </tp>
      <tp t="e">
        <v>#N/A</v>
        <stp/>
        <stp>BDP|10066066902104568981</stp>
        <tr r="AY22" s="1"/>
      </tp>
      <tp t="e">
        <v>#N/A</v>
        <stp/>
        <stp>BDP|17044987741967549044</stp>
        <tr r="M205" s="22"/>
        <tr r="M227" s="22"/>
      </tp>
      <tp t="e">
        <v>#N/A</v>
        <stp/>
        <stp>BDP|13267596396864549604</stp>
        <tr r="FD23" s="1"/>
      </tp>
      <tp t="e">
        <v>#N/A</v>
        <stp/>
        <stp>BDP|14719107754185377882</stp>
        <tr r="HN15" s="1"/>
      </tp>
      <tp t="e">
        <v>#N/A</v>
        <stp/>
        <stp>BDP|13373255684626977208</stp>
        <tr r="EY25" s="1"/>
        <tr r="FZ18" s="1"/>
        <tr r="JC11" s="1"/>
        <tr r="NG10" s="1"/>
        <tr r="QJ9" s="1"/>
        <tr r="T30" s="1"/>
      </tp>
      <tp t="e">
        <v>#N/A</v>
        <stp/>
        <stp>BDP|13882405893795698669</stp>
        <tr r="C149" s="22"/>
      </tp>
      <tp t="e">
        <v>#N/A</v>
        <stp/>
        <stp>BDP|11388475614531209890</stp>
        <tr r="NE25" s="1"/>
      </tp>
      <tp t="e">
        <v>#N/A</v>
        <stp/>
        <stp>BDP|13100431270929166486</stp>
        <tr r="LR9" s="1"/>
      </tp>
      <tp t="e">
        <v>#N/A</v>
        <stp/>
        <stp>BDP|12502482120809136077</stp>
        <tr r="FC6" s="1"/>
        <tr r="GD8" s="1"/>
        <tr r="JG7" s="1"/>
        <tr r="X6" s="1"/>
      </tp>
      <tp t="e">
        <v>#N/A</v>
        <stp/>
        <stp>BDP|15700303607508219390</stp>
        <tr r="JH9" s="1"/>
        <tr r="KI12" s="1"/>
        <tr r="RP11" s="1"/>
      </tp>
      <tp t="e">
        <v>#N/A</v>
        <stp/>
        <stp>BDP|16554819628991171067</stp>
        <tr r="DF15" s="1"/>
        <tr r="HJ18" s="1"/>
        <tr r="AB273" s="22"/>
      </tp>
      <tp t="e">
        <v>#N/A</v>
        <stp/>
        <stp>BDP|15953325830979555140</stp>
        <tr r="HZ9" s="1"/>
        <tr r="GY16" s="1"/>
      </tp>
      <tp t="e">
        <v>#N/A</v>
        <stp/>
        <stp>BDP|13408288737478645701</stp>
        <tr r="M309" s="22"/>
      </tp>
      <tp t="e">
        <v>#N/A</v>
        <stp/>
        <stp>BDP|11950939022222753527</stp>
        <tr r="LJ9" s="1"/>
      </tp>
      <tp t="e">
        <v>#N/A</v>
        <stp/>
        <stp>BDP|12821995077748258994</stp>
        <tr r="M18" s="24"/>
      </tp>
      <tp t="e">
        <v>#N/A</v>
        <stp/>
        <stp>BDP|14036804509087721632</stp>
        <tr r="RI21" s="1"/>
      </tp>
      <tp t="e">
        <v>#N/A</v>
        <stp/>
        <stp>BDP|14843155972838240709</stp>
        <tr r="HF27" s="1"/>
        <tr r="IG10" s="1"/>
        <tr r="MK25" s="1"/>
      </tp>
      <tp t="e">
        <v>#N/A</v>
        <stp/>
        <stp>BDP|14178809679510528613</stp>
        <tr r="KZ12" s="1"/>
      </tp>
      <tp t="e">
        <v>#N/A</v>
        <stp/>
        <stp>BDP|15919879764532147479</stp>
        <tr r="HE37" s="1"/>
      </tp>
      <tp t="e">
        <v>#N/A</v>
        <stp/>
        <stp>BDP|15209303886265197698</stp>
        <tr r="RO33" s="1"/>
      </tp>
      <tp t="e">
        <v>#N/A</v>
        <stp/>
        <stp>BDP|15928644951319358236</stp>
        <tr r="FX12" s="1"/>
        <tr r="EW7" s="1"/>
        <tr r="R7" s="1"/>
      </tp>
      <tp t="e">
        <v>#N/A</v>
        <stp/>
        <stp>BDP|14733990650733349615</stp>
        <tr r="P18" s="23"/>
      </tp>
      <tp t="e">
        <v>#N/A</v>
        <stp/>
        <stp>BDP|14382532899851390456</stp>
        <tr r="MA18" s="1"/>
        <tr r="NB16" s="1"/>
      </tp>
      <tp t="e">
        <v>#N/A</v>
        <stp/>
        <stp>BDP|15387989472850670602</stp>
        <tr r="NT27" s="1"/>
      </tp>
      <tp t="e">
        <v>#N/A</v>
        <stp/>
        <stp>BDP|11749307997520905664</stp>
        <tr r="FD30" s="1"/>
        <tr r="MK11" s="1"/>
        <tr r="NL8" s="1"/>
        <tr r="Y36" s="1"/>
      </tp>
      <tp t="e">
        <v>#N/A</v>
        <stp/>
        <stp>BDP|13231653189288574842</stp>
        <tr r="OF7" s="1"/>
        <tr r="MD6" s="1"/>
        <tr r="R23" s="1"/>
      </tp>
      <tp t="e">
        <v>#N/A</v>
        <stp/>
        <stp>BDP|14236288880045165655</stp>
        <tr r="H167" s="22"/>
        <tr r="H125" s="22"/>
      </tp>
      <tp t="e">
        <v>#N/A</v>
        <stp/>
        <stp>BDP|10927744083760583255</stp>
        <tr r="FU35" s="1"/>
      </tp>
      <tp t="e">
        <v>#N/A</v>
        <stp/>
        <stp>BDP|14652144671169806655</stp>
        <tr r="J388" s="22"/>
      </tp>
      <tp t="e">
        <v>#N/A</v>
        <stp/>
        <stp>BDP|13792341968298373368</stp>
        <tr r="QE21" s="1"/>
      </tp>
      <tp t="e">
        <v>#N/A</v>
        <stp/>
        <stp>BDP|12442990616937811029</stp>
        <tr r="PI25" s="1"/>
      </tp>
      <tp t="e">
        <v>#N/A</v>
        <stp/>
        <stp>BDP|16828082306922532930</stp>
        <tr r="QO18" s="1"/>
      </tp>
      <tp t="e">
        <v>#N/A</v>
        <stp/>
        <stp>BDP|16021549869408507086</stp>
        <tr r="QH6" s="1"/>
      </tp>
      <tp t="e">
        <v>#N/A</v>
        <stp/>
        <stp>BDP|15181812010812029309</stp>
        <tr r="O8" s="25"/>
      </tp>
      <tp t="e">
        <v>#N/A</v>
        <stp/>
        <stp>BDP|14340704496584413319</stp>
        <tr r="C8" s="23"/>
      </tp>
      <tp t="e">
        <v>#N/A</v>
        <stp/>
        <stp>BDP|12624612162549513605</stp>
        <tr r="O5" s="23"/>
      </tp>
      <tp t="e">
        <v>#N/A</v>
        <stp/>
        <stp>BDP|13656996571911921178</stp>
        <tr r="HA33" s="1"/>
      </tp>
      <tp t="e">
        <v>#N/A</v>
        <stp/>
        <stp>BDP|16253670760838033362</stp>
        <tr r="N412" s="22"/>
      </tp>
      <tp t="e">
        <v>#N/A</v>
        <stp/>
        <stp>BDP|17892593572179338139</stp>
        <tr r="C148" s="22"/>
      </tp>
      <tp t="e">
        <v>#N/A</v>
        <stp/>
        <stp>BDP|10648986655314821505</stp>
        <tr r="BQ14" s="1"/>
      </tp>
      <tp t="e">
        <v>#N/A</v>
        <stp/>
        <stp>BDP|11059815293828156509</stp>
        <tr r="RX14" s="1"/>
      </tp>
      <tp t="e">
        <v>#N/A</v>
        <stp/>
        <stp>BDP|16173247183996269761</stp>
        <tr r="PD25" s="1"/>
      </tp>
      <tp t="e">
        <v>#N/A</v>
        <stp/>
        <stp>BDP|17243762441061282853</stp>
        <tr r="H313" s="22"/>
      </tp>
      <tp t="e">
        <v>#N/A</v>
        <stp/>
        <stp>BDP|16619863176072031640</stp>
        <tr r="P365" s="22"/>
        <tr r="P386" s="22"/>
      </tp>
      <tp t="e">
        <v>#N/A</v>
        <stp/>
        <stp>BDP|17252534182505903281</stp>
        <tr r="MS33" s="1"/>
        <tr r="PV28" s="1"/>
      </tp>
      <tp t="e">
        <v>#N/A</v>
        <stp/>
        <stp>BDP|16737676312935214952</stp>
        <tr r="AU22" s="1"/>
      </tp>
      <tp t="e">
        <v>#N/A</v>
        <stp/>
        <stp>BDP|17071641040929963185</stp>
        <tr r="C10" s="25"/>
      </tp>
      <tp t="e">
        <v>#N/A</v>
        <stp/>
        <stp>BDP|17313487514206815924</stp>
        <tr r="C205" s="22"/>
        <tr r="C227" s="22"/>
      </tp>
      <tp t="e">
        <v>#N/A</v>
        <stp/>
        <stp>BDP|11818774066194849950</stp>
        <tr r="OF29" s="1"/>
        <tr r="MD34" s="1"/>
      </tp>
      <tp t="e">
        <v>#N/A</v>
        <stp/>
        <stp>BDP|17079151700868633347</stp>
        <tr r="J17" s="25"/>
      </tp>
      <tp t="e">
        <v>#N/A</v>
        <stp/>
        <stp>BDP|14028570445780627839</stp>
        <tr r="C132" s="22"/>
        <tr r="C172" s="22"/>
      </tp>
      <tp t="e">
        <v>#N/A</v>
        <stp/>
        <stp>BDP|18131118671571070264</stp>
        <tr r="FL10" s="1"/>
        <tr r="MS27" s="1"/>
        <tr r="NT23" s="1"/>
        <tr r="AG11" s="1"/>
      </tp>
      <tp t="e">
        <v>#N/A</v>
        <stp/>
        <stp>BDP|14764069031389204350</stp>
        <tr r="C290" s="22"/>
        <tr r="C53" s="22"/>
      </tp>
      <tp t="e">
        <v>#N/A</v>
        <stp/>
        <stp>BDP|10965032233458924672</stp>
        <tr r="MA9" s="1"/>
      </tp>
      <tp t="e">
        <v>#N/A</v>
        <stp/>
        <stp>BDP|16664151863215741907</stp>
        <tr r="FC8" s="1"/>
        <tr r="GD23" s="1"/>
        <tr r="X8" s="1"/>
      </tp>
      <tp t="e">
        <v>#N/A</v>
        <stp/>
        <stp>BDP|17546523305018636732</stp>
        <tr r="RI33" s="1"/>
      </tp>
      <tp t="e">
        <v>#N/A</v>
        <stp/>
        <stp>BDP|16002282395605981527</stp>
        <tr r="J275" s="22"/>
      </tp>
      <tp t="e">
        <v>#N/A</v>
        <stp/>
        <stp>BDP|14812490256799952189</stp>
        <tr r="P130" s="22"/>
        <tr r="P170" s="22"/>
      </tp>
      <tp t="e">
        <v>#N/A</v>
        <stp/>
        <stp>BDP|17743349128778972340</stp>
        <tr r="N293" s="22"/>
      </tp>
      <tp t="e">
        <v>#N/A</v>
        <stp/>
        <stp>BDP|16792844772217348347</stp>
        <tr r="N275" s="22"/>
      </tp>
      <tp t="e">
        <v>#N/A</v>
        <stp/>
        <stp>BDP|17323204885788160814</stp>
        <tr r="GY20" s="1"/>
      </tp>
      <tp t="e">
        <v>#N/A</v>
        <stp/>
        <stp>BDP|12203117991775180259</stp>
        <tr r="N19" s="22"/>
      </tp>
      <tp t="e">
        <v>#N/A</v>
        <stp/>
        <stp>BDP|10832401893448402897</stp>
        <tr r="M275" s="22"/>
      </tp>
      <tp t="e">
        <v>#N/A</v>
        <stp/>
        <stp>BDP|14251019562596652919</stp>
        <tr r="FC25" s="1"/>
        <tr r="GD18" s="1"/>
        <tr r="JG11" s="1"/>
        <tr r="NK10" s="1"/>
        <tr r="QN9" s="1"/>
        <tr r="X30" s="1"/>
      </tp>
      <tp t="e">
        <v>#N/A</v>
        <stp/>
        <stp>BDP|10074102602469351571</stp>
        <tr r="NE30" s="1"/>
        <tr r="MD37" s="1"/>
        <tr r="LC19" s="1"/>
        <tr r="CU23" s="1"/>
      </tp>
      <tp t="e">
        <v>#N/A</v>
        <stp/>
        <stp>BDP|14550740380757332145</stp>
        <tr r="PN24" s="1"/>
      </tp>
      <tp t="e">
        <v>#N/A</v>
        <stp/>
        <stp>BDP|13064298833227516767</stp>
        <tr r="JG30" s="1"/>
        <tr r="RO36" s="1"/>
      </tp>
      <tp t="e">
        <v>#N/A</v>
        <stp/>
        <stp>BDP|18111862589513378948</stp>
        <tr r="PN20" s="1"/>
      </tp>
      <tp t="e">
        <v>#N/A</v>
        <stp/>
        <stp>BDP|13991305330225061401</stp>
        <tr r="HN7" s="1"/>
      </tp>
      <tp t="e">
        <v>#N/A</v>
        <stp/>
        <stp>BDP|14922642937690218318</stp>
        <tr r="DJ17" s="1"/>
        <tr r="LR13" s="1"/>
      </tp>
      <tp t="e">
        <v>#N/A</v>
        <stp/>
        <stp>BDP|12466161431547300591</stp>
        <tr r="RX17" s="1"/>
      </tp>
      <tp t="e">
        <v>#N/A</v>
        <stp/>
        <stp>BDP|16512170247779824847</stp>
        <tr r="JY29" s="1"/>
        <tr r="RF23" s="1"/>
      </tp>
      <tp t="e">
        <v>#N/A</v>
        <stp/>
        <stp>BDP|14876988778520295834</stp>
        <tr r="O6" s="23"/>
      </tp>
      <tp t="e">
        <v>#N/A</v>
        <stp/>
        <stp>BDP|14081712790011126981</stp>
        <tr r="O205" s="22"/>
        <tr r="O227" s="22"/>
      </tp>
      <tp t="e">
        <v>#N/A</v>
        <stp/>
        <stp>BDP|13290970905528870004</stp>
        <tr r="N7" s="22"/>
      </tp>
      <tp t="e">
        <v>#N/A</v>
        <stp/>
        <stp>BDP|10851538275114055464</stp>
        <tr r="EW29" s="1"/>
        <tr r="R34" s="1"/>
      </tp>
      <tp t="e">
        <v>#N/A</v>
        <stp/>
        <stp>BDP|16757182646477565648</stp>
        <tr r="AP15" s="1"/>
      </tp>
      <tp t="e">
        <v>#N/A</v>
        <stp/>
        <stp>BDP|11042604050591900119</stp>
        <tr r="O37" s="1"/>
      </tp>
      <tp t="e">
        <v>#N/A</v>
        <stp/>
        <stp>BDP|10253589556875142753</stp>
        <tr r="QN16" s="1"/>
      </tp>
      <tp t="e">
        <v>#N/A</v>
        <stp/>
        <stp>BDP|15243914564371822974</stp>
        <tr r="H192" s="22"/>
        <tr r="H154" s="22"/>
      </tp>
      <tp t="e">
        <v>#N/A</v>
        <stp/>
        <stp>BDP|17342759075152165790</stp>
        <tr r="KB37" s="1"/>
      </tp>
      <tp t="e">
        <v>#N/A</v>
        <stp/>
        <stp>BDP|14029627926526969464</stp>
        <tr r="KB35" s="1"/>
      </tp>
      <tp t="e">
        <v>#N/A</v>
        <stp/>
        <stp>BDP|14776006258735513615</stp>
        <tr r="P364" s="22"/>
        <tr r="P382" s="22"/>
      </tp>
      <tp t="e">
        <v>#N/A</v>
        <stp/>
        <stp>BDP|16153125191699034593</stp>
        <tr r="J329" s="22"/>
      </tp>
      <tp t="e">
        <v>#N/A</v>
        <stp/>
        <stp>BDP|10858143775212444676</stp>
        <tr r="CR20" s="1"/>
      </tp>
      <tp t="e">
        <v>#N/A</v>
        <stp/>
        <stp>BDP|13220384341624163202</stp>
        <tr r="MD12" s="1"/>
      </tp>
      <tp t="e">
        <v>#N/A</v>
        <stp/>
        <stp>BDP|12090451111333124683</stp>
        <tr r="GE33" s="1"/>
      </tp>
      <tp t="e">
        <v>#N/A</v>
        <stp/>
        <stp>BDP|10316738530022572481</stp>
        <tr r="H19" s="22"/>
      </tp>
      <tp t="e">
        <v>#N/A</v>
        <stp/>
        <stp>BDP|15217780442517214376</stp>
        <tr r="BH14" s="1"/>
      </tp>
      <tp t="e">
        <v>#N/A</v>
        <stp/>
        <stp>BDP|14613277783378965461</stp>
        <tr r="GM17" s="1"/>
        <tr r="JP10" s="1"/>
        <tr r="KQ16" s="1"/>
        <tr r="QW8" s="1"/>
      </tp>
      <tp t="e">
        <v>#N/A</v>
        <stp/>
        <stp>BDP|16926843884300464402</stp>
        <tr r="RF27" s="1"/>
      </tp>
      <tp t="e">
        <v>#N/A</v>
        <stp/>
        <stp>BDP|18003703846469332081</stp>
        <tr r="BH25" s="1"/>
        <tr r="JP31" s="1"/>
      </tp>
      <tp t="e">
        <v>#N/A</v>
        <stp/>
        <stp>BDP|11000465878305023530</stp>
        <tr r="EY27" s="1"/>
        <tr r="T32" s="1"/>
      </tp>
      <tp t="e">
        <v>#N/A</v>
        <stp/>
        <stp>BDP|10576789474513230171</stp>
        <tr r="N17" s="25"/>
      </tp>
      <tp t="e">
        <v>#N/A</v>
        <stp/>
        <stp>BDP|15157166427553470782</stp>
        <tr r="O406" s="22"/>
      </tp>
      <tp t="e">
        <v>#N/A</v>
        <stp/>
        <stp>BDP|10533045961181572590</stp>
        <tr r="N294" s="22"/>
      </tp>
      <tp t="e">
        <v>#N/A</v>
        <stp/>
        <stp>BDP|15876938618299727689</stp>
        <tr r="HE22" s="1"/>
      </tp>
      <tp t="e">
        <v>#N/A</v>
        <stp/>
        <stp>BDP|14650521373505859132</stp>
        <tr r="O293" s="22"/>
      </tp>
      <tp t="e">
        <v>#N/A</v>
        <stp/>
        <stp>BDP|14028689648555827171</stp>
        <tr r="M126" s="22"/>
        <tr r="M168" s="22"/>
      </tp>
      <tp t="e">
        <v>#N/A</v>
        <stp/>
        <stp>BDP|14412110893148131680</stp>
        <tr r="RF10" s="1"/>
      </tp>
      <tp t="e">
        <v>#N/A</v>
        <stp/>
        <stp>BDP|17530767109310638236</stp>
        <tr r="P10" s="23"/>
      </tp>
      <tp t="e">
        <v>#N/A</v>
        <stp/>
        <stp>BDP|14451121321244043182</stp>
        <tr r="O4" s="25"/>
      </tp>
      <tp t="e">
        <v>#N/A</v>
        <stp/>
        <stp>BDP|11962959770358282514</stp>
        <tr r="H170" s="22"/>
        <tr r="H130" s="22"/>
      </tp>
      <tp t="e">
        <v>#N/A</v>
        <stp/>
        <stp>BDP|16179191031467071160</stp>
        <tr r="KD23" s="1"/>
      </tp>
      <tp t="e">
        <v>#N/A</v>
        <stp/>
        <stp>BDP|16678205708714782276</stp>
        <tr r="JC13" s="1"/>
      </tp>
      <tp t="e">
        <v>#N/A</v>
        <stp/>
        <stp>BDP|13170499114525101135</stp>
        <tr r="GV16" s="1"/>
        <tr r="HW9" s="1"/>
      </tp>
      <tp t="e">
        <v>#N/A</v>
        <stp/>
        <stp>BDP|14988420835141700079</stp>
        <tr r="C151" s="22"/>
        <tr r="C189" s="22"/>
      </tp>
      <tp t="e">
        <v>#N/A</v>
        <stp/>
        <stp>BDP|10860612926383251535</stp>
        <tr r="CR19" s="1"/>
        <tr r="KZ15" s="1"/>
      </tp>
      <tp t="e">
        <v>#N/A</v>
        <stp/>
        <stp>BDP|16945331406243385419</stp>
        <tr r="QH21" s="1"/>
      </tp>
      <tp t="e">
        <v>#N/A</v>
        <stp/>
        <stp>BDP|11465294068077804036</stp>
        <tr r="N18" s="25"/>
      </tp>
      <tp t="e">
        <v>#N/A</v>
        <stp/>
        <stp>BDP|15031947275000799976</stp>
        <tr r="P17" s="24"/>
      </tp>
      <tp t="e">
        <v>#N/A</v>
        <stp/>
        <stp>BDP|14746696789970756815</stp>
        <tr r="N274" s="22"/>
      </tp>
      <tp t="e">
        <v>#N/A</v>
        <stp/>
        <stp>BDP|15881547692433974867</stp>
        <tr r="P402" s="22"/>
      </tp>
      <tp t="e">
        <v>#N/A</v>
        <stp/>
        <stp>BDP|17657170757216291754</stp>
        <tr r="GD20" s="1"/>
        <tr r="QN13" s="1"/>
      </tp>
      <tp t="e">
        <v>#N/A</v>
        <stp/>
        <stp>BDP|10280187391613394999</stp>
        <tr r="NT11" s="1"/>
      </tp>
      <tp t="e">
        <v>#N/A</v>
        <stp/>
        <stp>BDP|15638932754332256929</stp>
        <tr r="FU24" s="1"/>
        <tr r="O31" s="1"/>
      </tp>
      <tp t="e">
        <v>#N/A</v>
        <stp/>
        <stp>BDP|17689556875852685513</stp>
        <tr r="C131" s="22"/>
        <tr r="C171" s="22"/>
      </tp>
      <tp t="e">
        <v>#N/A</v>
        <stp/>
        <stp>BDP|15565960387741227771</stp>
        <tr r="FD32" s="1"/>
        <tr r="MK13" s="1"/>
        <tr r="NL12" s="1"/>
        <tr r="Y35" s="1"/>
      </tp>
      <tp t="e">
        <v>#N/A</v>
        <stp/>
        <stp>BDP|13030114692148007127</stp>
        <tr r="DA8" s="1"/>
      </tp>
      <tp t="e">
        <v>#N/A</v>
        <stp/>
        <stp>BDP|13931364314733279083</stp>
        <tr r="DS9" s="1"/>
      </tp>
      <tp t="e">
        <v>#N/A</v>
        <stp/>
        <stp>BDP|10613057013746583553</stp>
        <tr r="MF24" s="1"/>
      </tp>
      <tp t="e">
        <v>#N/A</v>
        <stp/>
        <stp>BDP|11297393787008956056</stp>
        <tr r="RK31" s="1"/>
      </tp>
      <tp t="e">
        <v>#N/A</v>
        <stp/>
        <stp>BDP|11490091259393505513</stp>
        <tr r="BT17" s="1"/>
      </tp>
      <tp t="e">
        <v>#N/A</v>
        <stp/>
        <stp>BDP|15392836843293374802</stp>
        <tr r="NL15" s="1"/>
      </tp>
      <tp t="e">
        <v>#N/A</v>
        <stp/>
        <stp>BDP|13321744443735378778</stp>
        <tr r="PG13" s="1"/>
      </tp>
      <tp t="e">
        <v>#N/A</v>
        <stp/>
        <stp>BDP|14269418941373146539</stp>
        <tr r="P147" s="22"/>
        <tr r="P187" s="22"/>
      </tp>
      <tp t="e">
        <v>#N/A</v>
        <stp/>
        <stp>BDP|16150151045349017810</stp>
        <tr r="O4" s="24"/>
      </tp>
      <tp t="e">
        <v>#N/A</v>
        <stp/>
        <stp>BDP|17233361146966798468</stp>
        <tr r="EW23" s="1"/>
      </tp>
      <tp t="e">
        <v>#N/A</v>
        <stp/>
        <stp>BDP|18385537828055809836</stp>
        <tr r="EK6" s="1"/>
      </tp>
      <tp t="e">
        <v>#N/A</v>
        <stp/>
        <stp>BDP|13182482898418641448</stp>
        <tr r="OF32" s="1"/>
        <tr r="MD39" s="1"/>
      </tp>
      <tp t="e">
        <v>#N/A</v>
        <stp/>
        <stp>BDP|16258400152576103321</stp>
        <tr r="EW19" s="1"/>
        <tr r="R24" s="1"/>
      </tp>
      <tp t="e">
        <v>#N/A</v>
        <stp/>
        <stp>BDP|17872296995697560921</stp>
        <tr r="LC14" s="1"/>
        <tr r="CU18" s="1"/>
      </tp>
      <tp t="e">
        <v>#N/A</v>
        <stp/>
        <stp>BDP|10788382175420182681</stp>
        <tr r="H10" s="22"/>
      </tp>
      <tp t="e">
        <v>#N/A</v>
        <stp/>
        <stp>BDP|12534902384284373512</stp>
        <tr r="GD31" s="1"/>
      </tp>
      <tp t="e">
        <v>#N/A</v>
        <stp/>
        <stp>BDP|10205603641790479058</stp>
        <tr r="M19" s="22"/>
      </tp>
      <tp t="e">
        <v>#N/A</v>
        <stp/>
        <stp>BDP|10137193173490172489</stp>
        <tr r="C345" s="22"/>
      </tp>
      <tp t="e">
        <v>#N/A</v>
        <stp/>
        <stp>BDP|10394735736501069741</stp>
        <tr r="DX20" s="1"/>
        <tr r="OH25" s="1"/>
      </tp>
      <tp t="e">
        <v>#N/A</v>
        <stp/>
        <stp>BDP|17421555926192357018</stp>
        <tr r="JA18" s="1"/>
        <tr r="FX22" s="1"/>
        <tr r="EW15" s="1"/>
        <tr r="R17" s="1"/>
      </tp>
      <tp t="e">
        <v>#N/A</v>
        <stp/>
        <stp>BDP|13632349350021025671</stp>
        <tr r="OL20" s="1"/>
      </tp>
      <tp t="e">
        <v>#N/A</v>
        <stp/>
        <stp>BDP|17877569313507149690</stp>
        <tr r="QH24" s="1"/>
      </tp>
      <tp t="e">
        <v>#N/A</v>
        <stp/>
        <stp>BDP|15270185556274013797</stp>
        <tr r="RI26" s="1"/>
        <tr r="JA21" s="1"/>
      </tp>
      <tp t="e">
        <v>#N/A</v>
        <stp/>
        <stp>BDP|16512517062157469062</stp>
        <tr r="KD15" s="1"/>
      </tp>
      <tp t="e">
        <v>#N/A</v>
        <stp/>
        <stp>BDP|12916482305074669067</stp>
        <tr r="C385" s="22"/>
      </tp>
      <tp t="e">
        <v>#N/A</v>
        <stp/>
        <stp>BDP|17252042330520011624</stp>
        <tr r="N349" s="22"/>
      </tp>
      <tp t="e">
        <v>#N/A</v>
        <stp/>
        <stp>BDP|14022119771205285567</stp>
        <tr r="J291" s="22"/>
      </tp>
      <tp t="e">
        <v>#N/A</v>
        <stp/>
        <stp>BDP|17548497442232359790</stp>
        <tr r="H331" s="22"/>
      </tp>
      <tp t="e">
        <v>#N/A</v>
        <stp/>
        <stp>BDP|14802582514921475374</stp>
        <tr r="M127" s="22"/>
        <tr r="M250" s="22"/>
      </tp>
      <tp t="e">
        <v>#N/A</v>
        <stp/>
        <stp>BDP|15001658492611857983</stp>
        <tr r="JY20" s="1"/>
      </tp>
      <tp t="e">
        <v>#N/A</v>
        <stp/>
        <stp>BDP|17838968868469746369</stp>
        <tr r="O11" s="22"/>
      </tp>
      <tp t="e">
        <v>#N/A</v>
        <stp/>
        <stp>BDP|11015795359675648417</stp>
        <tr r="FZ17" s="1"/>
        <tr r="JC10" s="1"/>
        <tr r="KD16" s="1"/>
        <tr r="QJ8" s="1"/>
      </tp>
      <tp t="e">
        <v>#N/A</v>
        <stp/>
        <stp>BDP|14334471590429079230</stp>
        <tr r="MA29" s="1"/>
        <tr r="OC24" s="1"/>
      </tp>
      <tp t="e">
        <v>#N/A</v>
        <stp/>
        <stp>BDP|15927945174499671084</stp>
        <tr r="BQ18" s="1"/>
      </tp>
      <tp t="e">
        <v>#N/A</v>
        <stp/>
        <stp>BDP|10745532266481462011</stp>
        <tr r="P15" s="25"/>
      </tp>
      <tp t="e">
        <v>#N/A</v>
        <stp/>
        <stp>BDP|17508395579270545168</stp>
        <tr r="KD34" s="1"/>
      </tp>
      <tp t="e">
        <v>#N/A</v>
        <stp/>
        <stp>BDP|13369663666715172448</stp>
        <tr r="H168" s="22"/>
        <tr r="H126" s="22"/>
      </tp>
      <tp t="e">
        <v>#N/A</v>
        <stp/>
        <stp>BDP|15757645115157217727</stp>
        <tr r="FU26" s="1"/>
      </tp>
      <tp t="e">
        <v>#N/A</v>
        <stp/>
        <stp>BDP|17227399026417464206</stp>
        <tr r="RF37" s="1"/>
      </tp>
      <tp t="e">
        <v>#N/A</v>
        <stp/>
        <stp>BDP|11686996936718732074</stp>
        <tr r="KB17" s="1"/>
        <tr r="FX19" s="1"/>
        <tr r="EW26" s="1"/>
      </tp>
      <tp t="e">
        <v>#N/A</v>
        <stp/>
        <stp>BDP|16954978832426369961</stp>
        <tr r="C47" s="22"/>
        <tr r="C85" s="22"/>
      </tp>
      <tp t="e">
        <v>#N/A</v>
        <stp/>
        <stp>BDP|12920792661442807207</stp>
        <tr r="GV13" s="1"/>
      </tp>
      <tp t="e">
        <v>#N/A</v>
        <stp/>
        <stp>BDP|11376686315920409539</stp>
        <tr r="HA26" s="1"/>
      </tp>
      <tp t="e">
        <v>#N/A</v>
        <stp/>
        <stp>BDP|17312499676782569508</stp>
        <tr r="O254" s="22"/>
      </tp>
      <tp t="e">
        <v>#N/A</v>
        <stp/>
        <stp>BDP|16911924782136054205</stp>
        <tr r="C206" s="22"/>
        <tr r="C228" s="22"/>
      </tp>
      <tp t="e">
        <v>#N/A</v>
        <stp/>
        <stp>BDP|16107382764984331461</stp>
        <tr r="KQ32" s="1"/>
        <tr r="RX28" s="1"/>
      </tp>
      <tp t="e">
        <v>#N/A</v>
        <stp/>
        <stp>BDP|17680260097356843976</stp>
        <tr r="RI6" s="1"/>
        <tr r="KB6" s="1"/>
      </tp>
      <tp t="e">
        <v>#N/A</v>
        <stp/>
        <stp>BDP|16180780385119736337</stp>
        <tr r="HF34" s="1"/>
      </tp>
      <tp t="e">
        <v>#N/A</v>
        <stp/>
        <stp>BDP|13394092050327019225</stp>
        <tr r="J15" s="22"/>
      </tp>
      <tp t="e">
        <v>#N/A</v>
        <stp/>
        <stp>BDP|18337624218479560547</stp>
        <tr r="J18" s="24"/>
      </tp>
      <tp t="e">
        <v>#N/A</v>
        <stp/>
        <stp>BDP|12835477634706121021</stp>
        <tr r="NK27" s="1"/>
      </tp>
      <tp t="e">
        <v>#N/A</v>
        <stp/>
        <stp>BDP|15643923558009082349</stp>
        <tr r="J330" s="22"/>
      </tp>
      <tp t="e">
        <v>#N/A</v>
        <stp/>
        <stp>BDP|10707706747746013685</stp>
        <tr r="DX13" s="1"/>
      </tp>
      <tp t="e">
        <v>#N/A</v>
        <stp/>
        <stp>BDP|18316928612123955013</stp>
        <tr r="QH12" s="1"/>
      </tp>
      <tp t="e">
        <v>#N/A</v>
        <stp/>
        <stp>BDP|15343475517031874208</stp>
        <tr r="BH6" s="1"/>
      </tp>
      <tp t="e">
        <v>#N/A</v>
        <stp/>
        <stp>BDP|17857754225596667751</stp>
        <tr r="C408" s="22"/>
      </tp>
      <tp t="e">
        <v>#N/A</v>
        <stp/>
        <stp>BDP|16953807615044744805</stp>
        <tr r="HF37" s="1"/>
      </tp>
      <tp t="e">
        <v>#N/A</v>
        <stp/>
        <stp>BDP|12243030938911789357</stp>
        <tr r="C18" s="23"/>
      </tp>
      <tp t="e">
        <v>#N/A</v>
        <stp/>
        <stp>BDP|12501769945424841659</stp>
        <tr r="AU6" s="1"/>
      </tp>
      <tp t="e">
        <v>#N/A</v>
        <stp/>
        <stp>BDP|13032186502142125302</stp>
        <tr r="BV17" s="1"/>
      </tp>
      <tp t="e">
        <v>#N/A</v>
        <stp/>
        <stp>BDP|17804366317890006631</stp>
        <tr r="KB27" s="1"/>
      </tp>
      <tp t="e">
        <v>#N/A</v>
        <stp/>
        <stp>BDP|14385109445332987055</stp>
        <tr r="M291" s="22"/>
      </tp>
      <tp t="e">
        <v>#N/A</v>
        <stp/>
        <stp>BDP|18323816224020849142</stp>
        <tr r="JC15" s="1"/>
      </tp>
      <tp t="e">
        <v>#N/A</v>
        <stp/>
        <stp>BDP|15646617287719927137</stp>
        <tr r="N332" s="22"/>
      </tp>
      <tp t="e">
        <v>#N/A</v>
        <stp/>
        <stp>BDP|12123307376750500584</stp>
        <tr r="O45" s="22"/>
        <tr r="O90" s="22"/>
      </tp>
      <tp t="e">
        <v>#N/A</v>
        <stp/>
        <stp>BDP|14483659028847314471</stp>
        <tr r="O130" s="22"/>
        <tr r="O170" s="22"/>
      </tp>
      <tp t="e">
        <v>#N/A</v>
        <stp/>
        <stp>BDP|12934167524706539438</stp>
        <tr r="ET20" s="1"/>
      </tp>
      <tp t="e">
        <v>#N/A</v>
        <stp/>
        <stp>BDP|16859926081671572530</stp>
        <tr r="H189" s="22"/>
        <tr r="H151" s="22"/>
      </tp>
      <tp t="e">
        <v>#N/A</v>
        <stp/>
        <stp>BDP|14148937233554552992</stp>
        <tr r="BH11" s="1"/>
        <tr r="EK12" s="1"/>
        <tr r="MS19" s="1"/>
        <tr r="OU17" s="1"/>
      </tp>
      <tp t="e">
        <v>#N/A</v>
        <stp/>
        <stp>BDP|12938403975373003113</stp>
        <tr r="GE35" s="1"/>
      </tp>
      <tp t="e">
        <v>#N/A</v>
        <stp/>
        <stp>BDP|12114151733424854739</stp>
        <tr r="C147" s="22"/>
        <tr r="C187" s="22"/>
      </tp>
      <tp t="e">
        <v>#N/A</v>
        <stp/>
        <stp>BDP|16605311986239581785</stp>
        <tr r="JP13" s="1"/>
      </tp>
      <tp t="e">
        <v>#N/A</v>
        <stp/>
        <stp>BDP|12951530709655693194</stp>
        <tr r="M6" s="24"/>
      </tp>
      <tp t="e">
        <v>#N/A</v>
        <stp/>
        <stp>BDP|12892261530033324318</stp>
        <tr r="P253" s="22"/>
      </tp>
      <tp t="e">
        <v>#N/A</v>
        <stp/>
        <stp>BDP|14853726777996598145</stp>
        <tr r="PG11" s="1"/>
      </tp>
      <tp t="e">
        <v>#N/A</v>
        <stp/>
        <stp>BDP|13902525897294757874</stp>
        <tr r="M312" s="22"/>
      </tp>
      <tp t="e">
        <v>#N/A</v>
        <stp/>
        <stp>BDP|17714754101186953565</stp>
        <tr r="PD20" s="1"/>
      </tp>
      <tp t="e">
        <v>#N/A</v>
        <stp/>
        <stp>BDP|11285658748045114525</stp>
        <tr r="P275" s="22"/>
      </tp>
      <tp t="e">
        <v>#N/A</v>
        <stp/>
        <stp>BDP|10489206071451940734</stp>
        <tr r="PV25" s="1"/>
      </tp>
      <tp t="e">
        <v>#N/A</v>
        <stp/>
        <stp>BDP|14231367918985600052</stp>
        <tr r="GV27" s="1"/>
        <tr r="HW10" s="1"/>
        <tr r="MA25" s="1"/>
      </tp>
      <tp t="e">
        <v>#N/A</v>
        <stp/>
        <stp>BDP|12559458652046548685</stp>
        <tr r="AZ15" s="1"/>
      </tp>
      <tp t="e">
        <v>#N/A</v>
        <stp/>
        <stp>BDP|11960140974954372041</stp>
        <tr r="MS16" s="1"/>
        <tr r="OU15" s="1"/>
        <tr r="AG13" s="1"/>
      </tp>
      <tp t="e">
        <v>#N/A</v>
        <stp/>
        <stp>BDP|14290936488766368043</stp>
        <tr r="C50" s="22"/>
        <tr r="C92" s="22"/>
      </tp>
      <tp t="e">
        <v>#N/A</v>
        <stp/>
        <stp>BDP|17667272891009603684</stp>
        <tr r="H349" s="22"/>
      </tp>
      <tp t="e">
        <v>#N/A</v>
        <stp/>
        <stp>BDP|16831724373326717300</stp>
        <tr r="KD29" s="1"/>
        <tr r="RK23" s="1"/>
      </tp>
      <tp t="e">
        <v>#N/A</v>
        <stp/>
        <stp>BDP|11271018826220675020</stp>
        <tr r="NE12" s="1"/>
        <tr r="MD13" s="1"/>
        <tr r="EW32" s="1"/>
        <tr r="R35" s="1"/>
      </tp>
      <tp t="e">
        <v>#N/A</v>
        <stp/>
        <stp>BDP|11101388715261459197</stp>
        <tr r="KD8" s="1"/>
      </tp>
      <tp t="e">
        <v>#N/A</v>
        <stp/>
        <stp>BDP|12505322007753436158</stp>
        <tr r="O54" s="22"/>
        <tr r="O86" s="22"/>
      </tp>
      <tp t="e">
        <v>#N/A</v>
        <stp/>
        <stp>BDP|13365074733842412126</stp>
        <tr r="IG18" s="1"/>
      </tp>
      <tp t="e">
        <v>#N/A</v>
        <stp/>
        <stp>BDP|15755583905662944125</stp>
        <tr r="HZ11" s="1"/>
      </tp>
      <tp t="e">
        <v>#N/A</v>
        <stp/>
        <stp>BDP|16939685502812193136</stp>
        <tr r="DX22" s="1"/>
        <tr r="MF32" s="1"/>
        <tr r="OH28" s="1"/>
        <tr r="T9" s="1"/>
      </tp>
      <tp t="e">
        <v>#N/A</v>
        <stp/>
        <stp>BDP|16247633420164731570</stp>
        <tr r="PN23" s="1"/>
      </tp>
      <tp t="e">
        <v>#N/A</v>
        <stp/>
        <stp>BDP|14257143449174922671</stp>
        <tr r="N131" s="22"/>
        <tr r="N171" s="22"/>
      </tp>
      <tp t="e">
        <v>#N/A</v>
        <stp/>
        <stp>BDP|14543614537372197023</stp>
        <tr r="M148" s="22"/>
      </tp>
      <tp t="e">
        <v>#N/A</v>
        <stp/>
        <stp>BDP|15437001047152250019</stp>
        <tr r="AB14" s="24"/>
      </tp>
      <tp t="e">
        <v>#N/A</v>
        <stp/>
        <stp>BDP|10298463390469542718</stp>
        <tr r="PI9" s="1"/>
      </tp>
      <tp t="e">
        <v>#N/A</v>
        <stp/>
        <stp>BDP|10091675271880578231</stp>
        <tr r="DB21" s="1"/>
        <tr r="LJ18" s="1"/>
      </tp>
      <tp t="e">
        <v>#N/A</v>
        <stp/>
        <stp>BDP|11807417455091970256</stp>
        <tr r="DX23" s="1"/>
      </tp>
      <tp t="e">
        <v>#N/A</v>
        <stp/>
        <stp>BDP|12488311024478104834</stp>
        <tr r="AU20" s="1"/>
        <tr r="MF31" s="1"/>
        <tr r="OH27" s="1"/>
      </tp>
      <tp t="e">
        <v>#N/A</v>
        <stp/>
        <stp>BDP|18314940142153147575</stp>
        <tr r="MA39" s="1"/>
        <tr r="OC32" s="1"/>
      </tp>
      <tp t="e">
        <v>#N/A</v>
        <stp/>
        <stp>BDP|11210462744255061730</stp>
        <tr r="EW31" s="1"/>
        <tr r="R18" s="1"/>
      </tp>
      <tp t="e">
        <v>#N/A</v>
        <stp/>
        <stp>BDP|12726758071697126606</stp>
        <tr r="BV13" s="1"/>
      </tp>
      <tp t="e">
        <v>#N/A</v>
        <stp/>
        <stp>BDP|13553655032707591256</stp>
        <tr r="P102" s="22"/>
        <tr r="P62" s="22"/>
      </tp>
      <tp t="e">
        <v>#N/A</v>
        <stp/>
        <stp>BDP|12909630780038963718</stp>
        <tr r="EY26" s="1"/>
        <tr r="FZ19" s="1"/>
        <tr r="KD17" s="1"/>
      </tp>
      <tp t="e">
        <v>#N/A</v>
        <stp/>
        <stp>BDP|12184030743482320702</stp>
        <tr r="ET11" s="1"/>
        <tr r="FU10" s="1"/>
        <tr r="O12" s="1"/>
      </tp>
      <tp t="e">
        <v>#N/A</v>
        <stp/>
        <stp>BDP|17906721214034473694</stp>
        <tr r="FX31" s="1"/>
      </tp>
      <tp t="e">
        <v>#N/A</v>
        <stp/>
        <stp>BDP|13117264027400751056</stp>
        <tr r="IF18" s="1"/>
      </tp>
      <tp t="e">
        <v>#N/A</v>
        <stp/>
        <stp>BDP|15138277121314040256</stp>
        <tr r="HA34" s="1"/>
      </tp>
      <tp t="e">
        <v>#N/A</v>
        <stp/>
        <stp>BDP|14523431511985250707</stp>
        <tr r="FZ11" s="1"/>
      </tp>
      <tp t="e">
        <v>#N/A</v>
        <stp/>
        <stp>BDP|11253221476440487777</stp>
        <tr r="AG17" s="1"/>
        <tr r="FL15" s="1"/>
        <tr r="GM22" s="1"/>
        <tr r="JP18" s="1"/>
      </tp>
      <tp t="e">
        <v>#N/A</v>
        <stp/>
        <stp>BDP|12293692568796412721</stp>
        <tr r="KD32" s="1"/>
        <tr r="RK28" s="1"/>
      </tp>
      <tp t="e">
        <v>#N/A</v>
        <stp/>
        <stp>BDP|15608328961623352039</stp>
        <tr r="JY35" s="1"/>
      </tp>
      <tp t="e">
        <v>#N/A</v>
        <stp/>
        <stp>BDP|11498372246465703079</stp>
        <tr r="PM15" s="1"/>
      </tp>
      <tp t="e">
        <v>#N/A</v>
        <stp/>
        <stp>BDP|12005402869255838658</stp>
        <tr r="J7" s="24"/>
      </tp>
      <tp t="e">
        <v>#N/A</v>
        <stp/>
        <stp>BDP|15184640582041768944</stp>
        <tr r="RI14" s="1"/>
      </tp>
      <tp t="e">
        <v>#N/A</v>
        <stp/>
        <stp>BDP|10098256633227738550</stp>
        <tr r="HA11" s="1"/>
        <tr r="MF10" s="1"/>
      </tp>
      <tp t="e">
        <v>#N/A</v>
        <stp/>
        <stp>BDP|12256782629786225253</stp>
        <tr r="C127" s="22"/>
        <tr r="C250" s="22"/>
      </tp>
      <tp t="e">
        <v>#N/A</v>
        <stp/>
        <stp>BDP|17728663026549229913</stp>
        <tr r="P11" s="23"/>
      </tp>
      <tp t="e">
        <v>#N/A</v>
        <stp/>
        <stp>BDP|17765374772053707328</stp>
        <tr r="NE23" s="1"/>
        <tr r="MD27" s="1"/>
        <tr r="EW10" s="1"/>
        <tr r="R11" s="1"/>
      </tp>
      <tp t="e">
        <v>#N/A</v>
        <stp/>
        <stp>BDP|14388003432052315653</stp>
        <tr r="C363" s="22"/>
        <tr r="C381" s="22"/>
        <tr r="C403" s="22"/>
      </tp>
      <tp t="e">
        <v>#N/A</v>
        <stp/>
        <stp>BDP|16695558804455488545</stp>
        <tr r="DA24" s="1"/>
        <tr r="LI20" s="1"/>
      </tp>
      <tp t="e">
        <v>#N/A</v>
        <stp/>
        <stp>BDP|14682440119175546795</stp>
        <tr r="GM28" s="1"/>
        <tr r="HN31" s="1"/>
      </tp>
      <tp t="e">
        <v>#N/A</v>
        <stp/>
        <stp>BDP|12418516956760070149</stp>
        <tr r="FL26" s="1"/>
        <tr r="GM19" s="1"/>
        <tr r="KQ17" s="1"/>
      </tp>
      <tp t="e">
        <v>#N/A</v>
        <stp/>
        <stp>BDP|13611658107130129627</stp>
        <tr r="FU15" s="1"/>
        <tr r="IX8" s="1"/>
        <tr r="JY11" s="1"/>
      </tp>
      <tp t="e">
        <v>#N/A</v>
        <stp/>
        <stp>BDP|11582023946343734519</stp>
        <tr r="PI6" s="1"/>
      </tp>
      <tp t="e">
        <v>#N/A</v>
        <stp/>
        <stp>BDP|18357913829582442283</stp>
        <tr r="M5" s="25"/>
      </tp>
      <tp t="e">
        <v>#N/A</v>
        <stp/>
        <stp>BDP|10332906102262445827</stp>
        <tr r="J127" s="22"/>
        <tr r="J250" s="22"/>
      </tp>
      <tp t="e">
        <v>#N/A</v>
        <stp/>
        <stp>BDP|11288402252670636304</stp>
        <tr r="AZ11" s="1"/>
        <tr r="EC12" s="1"/>
        <tr r="MK19" s="1"/>
        <tr r="OM17" s="1"/>
      </tp>
      <tp t="e">
        <v>#N/A</v>
        <stp/>
        <stp>BDP|16010310016133097413</stp>
        <tr r="C17" s="25"/>
      </tp>
      <tp t="e">
        <v>#N/A</v>
        <stp/>
        <stp>BDP|12754463431667263148</stp>
        <tr r="DA21" s="1"/>
        <tr r="LI18" s="1"/>
      </tp>
      <tp t="e">
        <v>#N/A</v>
        <stp/>
        <stp>BDP|17666468090378092167</stp>
        <tr r="EY28" s="1"/>
        <tr r="FZ21" s="1"/>
        <tr r="JC16" s="1"/>
        <tr r="NG18" s="1"/>
        <tr r="T33" s="1"/>
      </tp>
      <tp t="e">
        <v>#N/A</v>
        <stp/>
        <stp>BDP|14240650443132740750</stp>
        <tr r="J348" s="22"/>
      </tp>
      <tp t="e">
        <v>#N/A</v>
        <stp/>
        <stp>BDP|13733584209126417342</stp>
        <tr r="OQ22" s="1"/>
        <tr r="OQ26" s="1"/>
        <tr r="OQ32" s="1"/>
      </tp>
      <tp t="e">
        <v>#N/A</v>
        <stp/>
        <stp>BDP|15642453712982793103</stp>
        <tr r="HA27" s="1"/>
        <tr r="IB10" s="1"/>
        <tr r="MF25" s="1"/>
      </tp>
      <tp t="e">
        <v>#N/A</v>
        <stp/>
        <stp>BDP|11945953045758992492</stp>
        <tr r="KH35" s="1"/>
      </tp>
      <tp t="e">
        <v>#N/A</v>
        <stp/>
        <stp>BDP|11399704316040951752</stp>
        <tr r="MJ26" s="1"/>
        <tr r="NK22" s="1"/>
      </tp>
      <tp t="e">
        <v>#N/A</v>
        <stp/>
        <stp>BDP|17548218546984921525</stp>
        <tr r="BV11" s="1"/>
      </tp>
      <tp t="e">
        <v>#N/A</v>
        <stp/>
        <stp>BDP|17691302425483296587</stp>
        <tr r="H332" s="22"/>
      </tp>
      <tp t="e">
        <v>#N/A</v>
        <stp/>
        <stp>BDP|16985169522552438701</stp>
        <tr r="N16" s="25"/>
      </tp>
      <tp t="e">
        <v>#N/A</v>
        <stp/>
        <stp>BDP|15687863796190893468</stp>
        <tr r="AU23" s="1"/>
      </tp>
      <tp t="e">
        <v>#N/A</v>
        <stp/>
        <stp>BDP|11353623247215744698</stp>
        <tr r="CU13" s="1"/>
        <tr r="BT10" s="1"/>
      </tp>
      <tp t="e">
        <v>#N/A</v>
        <stp/>
        <stp>BDP|12972895026248893066</stp>
        <tr r="CU14" s="1"/>
      </tp>
      <tp t="e">
        <v>#N/A</v>
        <stp/>
        <stp>BDP|16568640780679081195</stp>
        <tr r="O410" s="22"/>
      </tp>
      <tp t="e">
        <v>#N/A</v>
        <stp/>
        <stp>BDP|12397291342053196712</stp>
        <tr r="RO7" s="1"/>
      </tp>
      <tp t="e">
        <v>#N/A</v>
        <stp/>
        <stp>BDP|12461398302540097170</stp>
        <tr r="CI13" s="1"/>
      </tp>
      <tp t="e">
        <v>#N/A</v>
        <stp/>
        <stp>BDP|11094855053124742899</stp>
        <tr r="O408" s="22"/>
      </tp>
      <tp t="e">
        <v>#N/A</v>
        <stp/>
        <stp>BDP|13976693808183775676</stp>
        <tr r="KI39" s="1"/>
      </tp>
      <tp t="e">
        <v>#N/A</v>
        <stp/>
        <stp>BDP|17011153774797930639</stp>
        <tr r="P7" s="22"/>
      </tp>
      <tp t="e">
        <v>#N/A</v>
        <stp/>
        <stp>BDP|15071653494963235981</stp>
        <tr r="JG9" s="1"/>
        <tr r="KH12" s="1"/>
        <tr r="RO11" s="1"/>
      </tp>
      <tp t="e">
        <v>#N/A</v>
        <stp/>
        <stp>BDP|15516216868240708108</stp>
        <tr r="RI38" s="1"/>
      </tp>
      <tp t="e">
        <v>#N/A</v>
        <stp/>
        <stp>BDP|10423493164240769259</stp>
        <tr r="KH20" s="1"/>
      </tp>
      <tp t="e">
        <v>#N/A</v>
        <stp/>
        <stp>BDP|10763218188592685830</stp>
        <tr r="HN10" s="1"/>
      </tp>
      <tp t="e">
        <v>#N/A</v>
        <stp/>
        <stp>BDP|11737600421131572486</stp>
        <tr r="HE38" s="1"/>
      </tp>
      <tp t="e">
        <v>#N/A</v>
        <stp/>
        <stp>BDP|14846802233898595757</stp>
        <tr r="P148" s="22"/>
      </tp>
      <tp t="e">
        <v>#N/A</v>
        <stp/>
        <stp>BDP|17927118636281400401</stp>
        <tr r="C7" s="24"/>
      </tp>
      <tp t="e">
        <v>#N/A</v>
        <stp/>
        <stp>BDP|12990232351133571645</stp>
        <tr r="O271" s="22"/>
      </tp>
      <tp t="e">
        <v>#N/A</v>
        <stp/>
        <stp>BDP|13972092668002237704</stp>
        <tr r="J269" s="22"/>
      </tp>
      <tp t="e">
        <v>#N/A</v>
        <stp/>
        <stp>BDP|13352887261934255928</stp>
        <tr r="CW23" s="1"/>
        <tr r="LE19" s="1"/>
        <tr r="MF37" s="1"/>
        <tr r="NG30" s="1"/>
      </tp>
      <tp t="e">
        <v>#N/A</v>
        <stp/>
        <stp>BDP|15802679511544125625</stp>
        <tr r="JC17" s="1"/>
        <tr r="KD26" s="1"/>
        <tr r="RK19" s="1"/>
      </tp>
      <tp t="e">
        <v>#N/A</v>
        <stp/>
        <stp>BDP|14461592661724223332</stp>
        <tr r="QE23" s="1"/>
      </tp>
      <tp t="e">
        <v>#N/A</v>
        <stp/>
        <stp>BDP|11645422749913751279</stp>
        <tr r="J274" s="22"/>
      </tp>
      <tp t="e">
        <v>#N/A</v>
        <stp/>
        <stp>BDP|17292722762124991262</stp>
        <tr r="FC15" s="1"/>
        <tr r="GD22" s="1"/>
        <tr r="JG18" s="1"/>
        <tr r="X17" s="1"/>
      </tp>
      <tp t="e">
        <v>#N/A</v>
        <stp/>
        <stp>BDP|17229865593792813426</stp>
        <tr r="CI8" s="1"/>
        <tr r="DJ10" s="1"/>
      </tp>
      <tp t="e">
        <v>#N/A</v>
        <stp/>
        <stp>BDP|17586058158653419112</stp>
        <tr r="JY9" s="1"/>
        <tr r="RF8" s="1"/>
      </tp>
      <tp t="e">
        <v>#N/A</v>
        <stp/>
        <stp>BDP|15522203007735788294</stp>
        <tr r="QE25" s="1"/>
      </tp>
      <tp t="e">
        <v>#N/A</v>
        <stp/>
        <stp>BDP|14958956639139139789</stp>
        <tr r="JH14" s="1"/>
      </tp>
      <tp t="e">
        <v>#N/A</v>
        <stp/>
        <stp>BDP|17701290451824550465</stp>
        <tr r="HF38" s="1"/>
      </tp>
      <tp t="e">
        <v>#N/A</v>
        <stp/>
        <stp>BDP|10898726837866066219</stp>
        <tr r="H171" s="22"/>
        <tr r="H131" s="22"/>
      </tp>
      <tp t="e">
        <v>#N/A</v>
        <stp/>
        <stp>BDP|15489491105776622721</stp>
        <tr r="O50" s="22"/>
        <tr r="O92" s="22"/>
      </tp>
      <tp t="e">
        <v>#N/A</v>
        <stp/>
        <stp>BDP|11842705505711111705</stp>
        <tr r="PV11" s="1"/>
      </tp>
      <tp t="e">
        <v>#N/A</v>
        <stp/>
        <stp>BDP|13650385057345613030</stp>
        <tr r="H15" s="23"/>
      </tp>
      <tp t="e">
        <v>#N/A</v>
        <stp/>
        <stp>BDP|15041935983547564396</stp>
        <tr r="DX16" s="1"/>
      </tp>
      <tp t="e">
        <v>#N/A</v>
        <stp/>
        <stp>BDP|10380218726074246496</stp>
        <tr r="RP22" s="1"/>
      </tp>
      <tp t="e">
        <v>#N/A</v>
        <stp/>
        <stp>BDP|16504265779205215676</stp>
        <tr r="O51" s="22"/>
        <tr r="O88" s="22"/>
      </tp>
      <tp t="e">
        <v>#N/A</v>
        <stp/>
        <stp>BDP|10894455245443094374</stp>
        <tr r="P207" s="22"/>
        <tr r="P229" s="22"/>
      </tp>
      <tp t="e">
        <v>#N/A</v>
        <stp/>
        <stp>BDP|10195300744901814625</stp>
        <tr r="HF13" s="1"/>
      </tp>
      <tp t="e">
        <v>#N/A</v>
        <stp/>
        <stp>BDP|10660902877116777888</stp>
        <tr r="KI28" s="1"/>
      </tp>
      <tp t="e">
        <v>#N/A</v>
        <stp/>
        <stp>BDP|12513615428000390617</stp>
        <tr r="J409" s="22"/>
      </tp>
      <tp t="e">
        <v>#N/A</v>
        <stp/>
        <stp>BDP|14647735026625484495</stp>
        <tr r="Y28" s="1"/>
      </tp>
      <tp t="e">
        <v>#N/A</v>
        <stp/>
        <stp>BDP|10609790610240134608</stp>
        <tr r="QH20" s="1"/>
      </tp>
      <tp t="e">
        <v>#N/A</v>
        <stp/>
        <stp>BDP|10672295230937027616</stp>
        <tr r="KQ28" s="1"/>
      </tp>
      <tp t="e">
        <v>#N/A</v>
        <stp/>
        <stp>BDP|12211889856429223603</stp>
        <tr r="N18" s="24"/>
      </tp>
      <tp t="e">
        <v>#N/A</v>
        <stp/>
        <stp>BDP|14175482037843845084</stp>
        <tr r="M101" s="22"/>
        <tr r="M56" s="22"/>
      </tp>
      <tp t="e">
        <v>#N/A</v>
        <stp/>
        <stp>BDP|10206560785348730581</stp>
        <tr r="AG22" s="1"/>
        <tr r="FL18" s="1"/>
      </tp>
      <tp t="e">
        <v>#N/A</v>
        <stp/>
        <stp>BDP|11267693331064302074</stp>
        <tr r="C348" s="22"/>
      </tp>
      <tp t="e">
        <v>#N/A</v>
        <stp/>
        <stp>BDP|14593922144609134035</stp>
        <tr r="C366" s="22"/>
        <tr r="C387" s="22"/>
      </tp>
      <tp t="e">
        <v>#N/A</v>
        <stp/>
        <stp>BDP|16552312258845976545</stp>
        <tr r="KI37" s="1"/>
      </tp>
      <tp t="e">
        <v>#N/A</v>
        <stp/>
        <stp>BDP|16761306370563353150</stp>
        <tr r="O251" s="22"/>
      </tp>
      <tp t="e">
        <v>#N/A</v>
        <stp/>
        <stp>BDP|18314015242284360827</stp>
        <tr r="JY38" s="1"/>
      </tp>
      <tp t="e">
        <v>#N/A</v>
        <stp/>
        <stp>BDP|17234009846646032544</stp>
        <tr r="FC14" s="1"/>
        <tr r="X16" s="1"/>
      </tp>
      <tp t="e">
        <v>#N/A</v>
        <stp/>
        <stp>BDP|11730615777815342521</stp>
        <tr r="J295" s="22"/>
      </tp>
      <tp t="e">
        <v>#N/A</v>
        <stp/>
        <stp>BDP|10971413770881167290</stp>
        <tr r="C102" s="22"/>
        <tr r="C62" s="22"/>
      </tp>
      <tp t="e">
        <v>#N/A</v>
        <stp/>
        <stp>BDP|15150038322273906491</stp>
        <tr r="M254" s="22"/>
      </tp>
      <tp t="e">
        <v>#N/A</v>
        <stp/>
        <stp>BDP|17327140136630735564</stp>
        <tr r="N15" s="24"/>
      </tp>
      <tp t="e">
        <v>#N/A</v>
        <stp/>
        <stp>BDP|12708144176220475410</stp>
        <tr r="OF22" s="1"/>
        <tr r="MD23" s="1"/>
        <tr r="AS18" s="1"/>
        <tr r="R20" s="1"/>
      </tp>
      <tp t="e">
        <v>#N/A</v>
        <stp/>
        <stp>BDP|18204927256270436427</stp>
        <tr r="FD26" s="1"/>
        <tr r="GE19" s="1"/>
        <tr r="KI17" s="1"/>
      </tp>
      <tp t="e">
        <v>#N/A</v>
        <stp/>
        <stp>BDP|10477602452033715014</stp>
        <tr r="J294" s="22"/>
      </tp>
      <tp t="e">
        <v>#N/A</v>
        <stp/>
        <stp>BDP|16126801032794367905</stp>
        <tr r="EC23" s="1"/>
      </tp>
      <tp t="e">
        <v>#N/A</v>
        <stp/>
        <stp>BDP|13867683626292467524</stp>
        <tr r="GV14" s="1"/>
        <tr r="PD19" s="1"/>
      </tp>
      <tp t="e">
        <v>#N/A</v>
        <stp/>
        <stp>BDP|10297665621330547431</stp>
        <tr r="BZ21" s="1"/>
        <tr r="PM29" s="1"/>
      </tp>
      <tp t="e">
        <v>#N/A</v>
        <stp/>
        <stp>BDP|18047157190306587631</stp>
        <tr r="PG19" s="1"/>
        <tr r="GY14" s="1"/>
      </tp>
      <tp t="e">
        <v>#N/A</v>
        <stp/>
        <stp>BDP|15104864117519473575</stp>
        <tr r="NP32" s="1"/>
        <tr r="AB13" s="22"/>
        <tr r="AB55" s="22"/>
        <tr r="AB95" s="22"/>
      </tp>
      <tp t="e">
        <v>#N/A</v>
        <stp/>
        <stp>BDP|13190892805183973862</stp>
        <tr r="M253" s="22"/>
      </tp>
      <tp t="e">
        <v>#N/A</v>
        <stp/>
        <stp>BDP|17990544705404275680</stp>
        <tr r="NK17" s="1"/>
      </tp>
      <tp t="e">
        <v>#N/A</v>
        <stp/>
        <stp>BDP|14943481778475282295</stp>
        <tr r="PM23" s="1"/>
      </tp>
      <tp t="e">
        <v>#N/A</v>
        <stp/>
        <stp>BDP|15826789920342489264</stp>
        <tr r="C12" s="24"/>
      </tp>
      <tp t="e">
        <v>#N/A</v>
        <stp/>
        <stp>BDP|13537022057285388360</stp>
        <tr r="N20" s="24"/>
        <tr r="OL33" s="1"/>
      </tp>
      <tp t="e">
        <v>#N/A</v>
        <stp/>
        <stp>BDP|12873006779373189655</stp>
        <tr r="OH11" s="1"/>
        <tr r="T38" s="1"/>
      </tp>
      <tp t="e">
        <v>#N/A</v>
        <stp/>
        <stp>BDP|17159740592611389817</stp>
        <tr r="GY37" s="1"/>
      </tp>
      <tp t="e">
        <v>#N/A</v>
        <stp/>
        <stp>BDP|10413686529452902697</stp>
        <tr r="P12" s="24"/>
      </tp>
      <tp t="e">
        <v>#N/A</v>
        <stp/>
        <stp>BDP|17118643600331114009</stp>
        <tr r="N10" s="22"/>
      </tp>
      <tp t="e">
        <v>#N/A</v>
        <stp/>
        <stp>BDP|17745059491058346646</stp>
        <tr r="H98" s="22"/>
        <tr r="H61" s="22"/>
      </tp>
      <tp t="e">
        <v>#N/A</v>
        <stp/>
        <stp>BDP|11509969383189532915</stp>
        <tr r="FL19" s="1"/>
        <tr r="AG24" s="1"/>
      </tp>
      <tp t="e">
        <v>#N/A</v>
        <stp/>
        <stp>BDP|14332052928153861526</stp>
        <tr r="HZ18" s="1"/>
      </tp>
      <tp t="e">
        <v>#N/A</v>
        <stp/>
        <stp>BDP|15979906838736726924</stp>
        <tr r="RI39" s="1"/>
      </tp>
      <tp t="e">
        <v>#N/A</v>
        <stp/>
        <stp>BDP|15555591233942015186</stp>
        <tr r="N17" s="22"/>
      </tp>
      <tp t="e">
        <v>#N/A</v>
        <stp/>
        <stp>BDP|13343756726516654018</stp>
        <tr r="JA6" s="1"/>
        <tr r="FX6" s="1"/>
        <tr r="EW34" s="1"/>
        <tr r="R41" s="1"/>
      </tp>
      <tp t="e">
        <v>#N/A</v>
        <stp/>
        <stp>BDP|15643238925421379446</stp>
        <tr r="M206" s="22"/>
        <tr r="M228" s="22"/>
      </tp>
      <tp t="e">
        <v>#N/A</v>
        <stp/>
        <stp>BDP|10024548309646851321</stp>
        <tr r="C14" s="24"/>
        <tr r="C14" s="23"/>
        <tr r="C14" s="22"/>
      </tp>
      <tp t="e">
        <v>#N/A</v>
        <stp/>
        <stp>BDP|16837791511390769008</stp>
        <tr r="N363" s="22"/>
        <tr r="N381" s="22"/>
        <tr r="N403" s="22"/>
      </tp>
      <tp t="e">
        <v>#N/A</v>
        <stp/>
        <stp>BDP|11024222023198347954</stp>
        <tr r="MS28" s="1"/>
        <tr r="NT24" s="1"/>
      </tp>
      <tp t="e">
        <v>#N/A</v>
        <stp/>
        <stp>BDP|14753100982708547571</stp>
        <tr r="MD25" s="1"/>
        <tr r="HZ10" s="1"/>
        <tr r="GY27" s="1"/>
      </tp>
      <tp t="e">
        <v>#N/A</v>
        <stp/>
        <stp>BDP|11501244367435850092</stp>
        <tr r="O44" s="22"/>
        <tr r="O91" s="22"/>
      </tp>
      <tp t="e">
        <v>#N/A</v>
        <stp/>
        <stp>BDP|17670930822085516950</stp>
        <tr r="M57" s="22"/>
        <tr r="M96" s="22"/>
      </tp>
      <tp t="e">
        <v>#N/A</v>
        <stp/>
        <stp>BDP|17039781274996994127</stp>
        <tr r="PV23" s="1"/>
      </tp>
      <tp t="e">
        <v>#N/A</v>
        <stp/>
        <stp>BDP|14575727144125033246</stp>
        <tr r="OF27" s="1"/>
        <tr r="MD31" s="1"/>
        <tr r="AS20" s="1"/>
      </tp>
      <tp t="e">
        <v>#N/A</v>
        <stp/>
        <stp>BDP|17342732825180285212</stp>
        <tr r="H9" s="23"/>
      </tp>
      <tp t="e">
        <v>#N/A</v>
        <stp/>
        <stp>BDP|12238575802821193606</stp>
        <tr r="JC20" s="1"/>
        <tr r="RK24" s="1"/>
      </tp>
      <tp t="e">
        <v>#N/A</v>
        <stp/>
        <stp>BDP|16408407120379442960</stp>
        <tr r="M349" s="22"/>
      </tp>
      <tp t="e">
        <v>#N/A</v>
        <stp/>
        <stp>BDP|14556365022261459437</stp>
        <tr r="EB21" s="1"/>
      </tp>
      <tp t="e">
        <v>#N/A</v>
        <stp/>
        <stp>BDP|16746048778824551581</stp>
        <tr r="DV9" s="1"/>
      </tp>
      <tp t="e">
        <v>#N/A</v>
        <stp/>
        <stp>BDP|12054943996276405401</stp>
        <tr r="RO37" s="1"/>
      </tp>
      <tp t="e">
        <v>#N/A</v>
        <stp/>
        <stp>BDP|16427747748781667481</stp>
        <tr r="CA17" s="1"/>
      </tp>
      <tp t="e">
        <v>#N/A</v>
        <stp/>
        <stp>BDP|10290078714712449336</stp>
        <tr r="LE17" s="1"/>
      </tp>
      <tp t="e">
        <v>#N/A</v>
        <stp/>
        <stp>BDP|13838618132474490292</stp>
        <tr r="DJ7" s="1"/>
        <tr r="LR7" s="1"/>
      </tp>
      <tp t="e">
        <v>#N/A</v>
        <stp/>
        <stp>BDP|12982985299426190507</stp>
        <tr r="M208" s="22"/>
        <tr r="M230" s="22"/>
      </tp>
      <tp t="e">
        <v>#N/A</v>
        <stp/>
        <stp>BDP|16745075664570548199</stp>
        <tr r="KD27" s="1"/>
      </tp>
      <tp t="e">
        <v>#N/A</v>
        <stp/>
        <stp>BDP|10908299378026821283</stp>
        <tr r="DV6" s="1"/>
      </tp>
      <tp t="e">
        <v>#N/A</v>
        <stp/>
        <stp>BDP|14892370946371155300</stp>
        <tr r="PM17" s="1"/>
      </tp>
      <tp t="e">
        <v>#N/A</v>
        <stp/>
        <stp>BDP|16328733930307042489</stp>
        <tr r="NE11" s="1"/>
      </tp>
      <tp t="e">
        <v>#N/A</v>
        <stp/>
        <stp>BDP|11603603812812980554</stp>
        <tr r="HE33" s="1"/>
      </tp>
      <tp t="e">
        <v>#N/A</v>
        <stp/>
        <stp>BDP|18437370755089979673</stp>
        <tr r="M347" s="22"/>
      </tp>
      <tp t="e">
        <v>#N/A</v>
        <stp/>
        <stp>BDP|12800650608402836753</stp>
        <tr r="BT6" s="1"/>
      </tp>
      <tp t="e">
        <v>#N/A</v>
        <stp/>
        <stp>BDP|17312509504350574395</stp>
        <tr r="O131" s="22"/>
        <tr r="O171" s="22"/>
      </tp>
      <tp t="e">
        <v>#N/A</v>
        <stp/>
        <stp>BDP|16962305577104476717</stp>
        <tr r="QJ20" s="1"/>
      </tp>
      <tp t="e">
        <v>#N/A</v>
        <stp/>
        <stp>BDP|14442861099816653271</stp>
        <tr r="EB15" s="1"/>
      </tp>
      <tp t="e">
        <v>#N/A</v>
        <stp/>
        <stp>BDP|12490187232859245860</stp>
        <tr r="EC16" s="1"/>
      </tp>
      <tp t="e">
        <v>#N/A</v>
        <stp/>
        <stp>BDP|12080683542988225921</stp>
        <tr r="M295" s="22"/>
      </tp>
      <tp t="e">
        <v>#N/A</v>
        <stp/>
        <stp>BDP|15111852870029643282</stp>
        <tr r="IF28" s="1"/>
      </tp>
      <tp t="e">
        <v>#N/A</v>
        <stp/>
        <stp>BDP|17892116640735411601</stp>
        <tr r="GE34" s="1"/>
      </tp>
      <tp t="e">
        <v>#N/A</v>
        <stp/>
        <stp>BDP|11767480708647215389</stp>
        <tr r="AP14" s="1"/>
      </tp>
      <tp t="e">
        <v>#N/A</v>
        <stp/>
        <stp>BDP|12067002725100193191</stp>
        <tr r="H270" s="22"/>
      </tp>
      <tp t="e">
        <v>#N/A</v>
        <stp/>
        <stp>BDP|11450487760193464155</stp>
        <tr r="JG20" s="1"/>
        <tr r="RO24" s="1"/>
      </tp>
      <tp t="e">
        <v>#N/A</v>
        <stp/>
        <stp>BDP|14228068939300985695</stp>
        <tr r="M9" s="25"/>
      </tp>
      <tp t="e">
        <v>#N/A</v>
        <stp/>
        <stp>BDP|18407923452676999311</stp>
        <tr r="GD7" s="1"/>
        <tr r="HE6" s="1"/>
      </tp>
      <tp t="e">
        <v>#N/A</v>
        <stp/>
        <stp>BDP|12670434039356102210</stp>
        <tr r="OC14" s="1"/>
      </tp>
      <tp t="e">
        <v>#N/A</v>
        <stp/>
        <stp>BDP|11021665452605857604</stp>
        <tr r="M169" s="22"/>
      </tp>
      <tp t="e">
        <v>#N/A</v>
        <stp/>
        <stp>BDP|11847934621809789217</stp>
        <tr r="NG28" s="1"/>
      </tp>
      <tp t="e">
        <v>#N/A</v>
        <stp/>
        <stp>BDP|11476650209517530116</stp>
        <tr r="O40" s="1"/>
      </tp>
      <tp t="e">
        <v>#N/A</v>
        <stp/>
        <stp>BDP|11912651011151483661</stp>
        <tr r="P9" s="22"/>
      </tp>
      <tp t="e">
        <v>#N/A</v>
        <stp/>
        <stp>BDP|16987205595784740841</stp>
        <tr r="H275" s="22"/>
      </tp>
      <tp t="e">
        <v>#N/A</v>
        <stp/>
        <stp>BDP|12935225957116359200</stp>
        <tr r="GV34" s="1"/>
      </tp>
      <tp t="e">
        <v>#N/A</v>
        <stp/>
        <stp>BDP|13426374797711992928</stp>
        <tr r="N52" s="22"/>
        <tr r="N93" s="22"/>
      </tp>
      <tp t="e">
        <v>#N/A</v>
        <stp/>
        <stp>BDP|10377309280778489284</stp>
        <tr r="J130" s="22"/>
        <tr r="J170" s="22"/>
      </tp>
      <tp t="e">
        <v>#N/A</v>
        <stp/>
        <stp>BDP|13589133758087606160</stp>
        <tr r="IF14" s="1"/>
      </tp>
      <tp t="e">
        <v>#N/A</v>
        <stp/>
        <stp>BDP|16894527496229214202</stp>
        <tr r="AZ21" s="1"/>
        <tr r="HF32" s="1"/>
      </tp>
      <tp t="e">
        <v>#N/A</v>
        <stp/>
        <stp>BDP|16683886969709996001</stp>
        <tr r="N345" s="22"/>
      </tp>
      <tp t="e">
        <v>#N/A</v>
        <stp/>
        <stp>BDP|17219264738050265702</stp>
        <tr r="J150" s="22"/>
        <tr r="J188" s="22"/>
      </tp>
      <tp t="e">
        <v>#N/A</v>
        <stp/>
        <stp>BDP|11121095825206024432</stp>
        <tr r="HA7" s="1"/>
      </tp>
      <tp t="e">
        <v>#N/A</v>
        <stp/>
        <stp>BDP|14869031856373658355</stp>
        <tr r="X40" s="1"/>
      </tp>
      <tp t="e">
        <v>#N/A</v>
        <stp/>
        <stp>BDP|15877355508110792730</stp>
        <tr r="FX30" s="1"/>
      </tp>
      <tp t="e">
        <v>#N/A</v>
        <stp/>
        <stp>BDP|12605174565474691031</stp>
        <tr r="PN9" s="1"/>
      </tp>
      <tp t="e">
        <v>#N/A</v>
        <stp/>
        <stp>BDP|14203614624238000969</stp>
        <tr r="HA29" s="1"/>
      </tp>
      <tp t="e">
        <v>#N/A</v>
        <stp/>
        <stp>BDP|12138907435970693939</stp>
        <tr r="PV9" s="1"/>
      </tp>
      <tp t="e">
        <v>#N/A</v>
        <stp/>
        <stp>BDP|11635621296377719847</stp>
        <tr r="CW12" s="1"/>
        <tr r="LE10" s="1"/>
      </tp>
      <tp t="e">
        <v>#N/A</v>
        <stp/>
        <stp>BDP|12848239463722994519</stp>
        <tr r="BV14" s="1"/>
      </tp>
      <tp t="e">
        <v>#N/A</v>
        <stp/>
        <stp>BDP|14191776630411611000</stp>
        <tr r="J349" s="22"/>
      </tp>
      <tp t="e">
        <v>#N/A</v>
        <stp/>
        <stp>BDP|14066602063070543569</stp>
        <tr r="LC15" s="1"/>
        <tr r="CU19" s="1"/>
      </tp>
      <tp t="e">
        <v>#N/A</v>
        <stp/>
        <stp>BDP|15619698431253879264</stp>
        <tr r="JG21" s="1"/>
        <tr r="RO26" s="1"/>
      </tp>
      <tp t="e">
        <v>#N/A</v>
        <stp/>
        <stp>BDP|16068007660464184511</stp>
        <tr r="M12" s="23"/>
        <tr r="M12" s="22"/>
      </tp>
      <tp t="e">
        <v>#N/A</v>
        <stp/>
        <stp>BDP|13436451372435670453</stp>
        <tr r="O4" s="23"/>
      </tp>
      <tp t="e">
        <v>#N/A</v>
        <stp/>
        <stp>BDP|14017222753127181508</stp>
        <tr r="AZ24" s="1"/>
      </tp>
      <tp t="e">
        <v>#N/A</v>
        <stp/>
        <stp>BDP|17770305756061756166</stp>
        <tr r="FD22" s="1"/>
        <tr r="NL13" s="1"/>
      </tp>
      <tp t="e">
        <v>#N/A</v>
        <stp/>
        <stp>BDP|14485006450995634522</stp>
        <tr r="JY30" s="1"/>
      </tp>
      <tp t="e">
        <v>#N/A</v>
        <stp/>
        <stp>BDP|14498331914352852584</stp>
        <tr r="M10" s="24"/>
      </tp>
      <tp t="e">
        <v>#N/A</v>
        <stp/>
        <stp>BDP|12964728318075823086</stp>
        <tr r="CW19" s="1"/>
        <tr r="LE15" s="1"/>
      </tp>
      <tp t="e">
        <v>#N/A</v>
        <stp/>
        <stp>BDP|16180212845489442822</stp>
        <tr r="C388" s="22"/>
      </tp>
      <tp t="e">
        <v>#N/A</v>
        <stp/>
        <stp>BDP|17860656505899362981</stp>
        <tr r="BV19" s="1"/>
        <tr r="CW22" s="1"/>
      </tp>
      <tp t="e">
        <v>#N/A</v>
        <stp/>
        <stp>BDP|18269591340420042888</stp>
        <tr r="RI31" s="1"/>
      </tp>
      <tp t="e">
        <v>#N/A</v>
        <stp/>
        <stp>BDP|11370397467147783294</stp>
        <tr r="MS22" s="1"/>
      </tp>
      <tp t="e">
        <v>#N/A</v>
        <stp/>
        <stp>BDP|11700073285918430032</stp>
        <tr r="J17" s="22"/>
      </tp>
      <tp t="e">
        <v>#N/A</v>
        <stp/>
        <stp>BDP|13907980825978044162</stp>
        <tr r="FC12" s="1"/>
        <tr r="MJ36" s="1"/>
        <tr r="NK29" s="1"/>
        <tr r="X14" s="1"/>
      </tp>
      <tp t="e">
        <v>#N/A</v>
        <stp/>
        <stp>BDP|18241175136328243336</stp>
        <tr r="N407" s="22"/>
      </tp>
      <tp t="e">
        <v>#N/A</v>
        <stp/>
        <stp>BDP|15743170975961007379</stp>
        <tr r="AY20" s="1"/>
        <tr r="MJ31" s="1"/>
        <tr r="OL27" s="1"/>
      </tp>
      <tp t="e">
        <v>#N/A</v>
        <stp/>
        <stp>BDP|11818827820602993866</stp>
        <tr r="AZ18" s="1"/>
        <tr r="MK23" s="1"/>
        <tr r="OM22" s="1"/>
        <tr r="Y20" s="1"/>
      </tp>
      <tp t="e">
        <v>#N/A</v>
        <stp/>
        <stp>BDP|17201431316756430568</stp>
        <tr r="O309" s="22"/>
      </tp>
      <tp t="e">
        <v>#N/A</v>
        <stp/>
        <stp>BDP|18103987578981073645</stp>
        <tr r="KQ19" s="1"/>
      </tp>
      <tp t="e">
        <v>#N/A</v>
        <stp/>
        <stp>BDP|16554206452021290106</stp>
        <tr r="M292" s="22"/>
      </tp>
      <tp t="e">
        <v>#N/A</v>
        <stp/>
        <stp>BDP|18085427793110579400</stp>
        <tr r="P149" s="22"/>
      </tp>
      <tp t="e">
        <v>#N/A</v>
        <stp/>
        <stp>BDP|17028276434654480334</stp>
        <tr r="N127" s="22"/>
        <tr r="N250" s="22"/>
      </tp>
      <tp t="e">
        <v>#N/A</v>
        <stp/>
        <stp>BDP|13193370344600355554</stp>
        <tr r="IO27" s="1"/>
      </tp>
      <tp t="e">
        <v>#N/A</v>
        <stp/>
        <stp>BDP|14979823813945827942</stp>
        <tr r="HF25" s="1"/>
        <tr r="PN26" s="1"/>
      </tp>
      <tp t="e">
        <v>#N/A</v>
        <stp/>
        <stp>BDP|17209220071054152749</stp>
        <tr r="EB22" s="1"/>
        <tr r="MJ32" s="1"/>
        <tr r="OL28" s="1"/>
        <tr r="X9" s="1"/>
      </tp>
      <tp t="e">
        <v>#N/A</v>
        <stp/>
        <stp>BDP|14943427452360797493</stp>
        <tr r="FU29" s="1"/>
        <tr r="IX24" s="1"/>
      </tp>
      <tp t="e">
        <v>#N/A</v>
        <stp/>
        <stp>BDP|13167565850866344431</stp>
        <tr r="HZ23" s="1"/>
      </tp>
      <tp t="e">
        <v>#N/A</v>
        <stp/>
        <stp>BDP|14515400423692142101</stp>
        <tr r="J6" s="22"/>
      </tp>
      <tp t="e">
        <v>#N/A</v>
        <stp/>
        <stp>BDP|17792701413348679847</stp>
        <tr r="J310" s="22"/>
      </tp>
      <tp t="e">
        <v>#N/A</v>
        <stp/>
        <stp>BDP|17796573198103975977</stp>
        <tr r="RF15" s="1"/>
      </tp>
      <tp t="e">
        <v>#N/A</v>
        <stp/>
        <stp>BDP|13377801819658528398</stp>
        <tr r="C6" s="22"/>
      </tp>
      <tp t="e">
        <v>#N/A</v>
        <stp/>
        <stp>BDP|14475671682933231853</stp>
        <tr r="M54" s="22"/>
        <tr r="M86" s="22"/>
      </tp>
      <tp t="e">
        <v>#N/A</v>
        <stp/>
        <stp>BDP|10751911584776244664</stp>
        <tr r="P293" s="22"/>
      </tp>
      <tp t="e">
        <v>#N/A</v>
        <stp/>
        <stp>BDP|12119697632546956054</stp>
        <tr r="FX23" s="1"/>
        <tr r="EW8" s="1"/>
        <tr r="R8" s="1"/>
      </tp>
      <tp t="e">
        <v>#N/A</v>
        <stp/>
        <stp>BDP|17176148263902406341</stp>
        <tr r="QO26" s="1"/>
      </tp>
      <tp t="e">
        <v>#N/A</v>
        <stp/>
        <stp>BDP|11279659910810355725</stp>
        <tr r="N11" s="22"/>
      </tp>
      <tp t="e">
        <v>#N/A</v>
        <stp/>
        <stp>BDP|14771717967632668616</stp>
        <tr r="C11" s="23"/>
      </tp>
      <tp t="e">
        <v>#N/A</v>
        <stp/>
        <stp>BDP|13589632779624898710</stp>
        <tr r="MJ24" s="1"/>
      </tp>
      <tp t="e">
        <v>#N/A</v>
        <stp/>
        <stp>BDP|13880862395236621243</stp>
        <tr r="AC13" s="1"/>
        <tr r="MO16" s="1"/>
        <tr r="MO34" s="1"/>
      </tp>
      <tp t="e">
        <v>#N/A</v>
        <stp/>
        <stp>BDP|10853761206691529048</stp>
        <tr r="N312" s="22"/>
      </tp>
      <tp t="e">
        <v>#N/A</v>
        <stp/>
        <stp>BDP|11691432869483221672</stp>
        <tr r="P15" s="22"/>
      </tp>
      <tp t="e">
        <v>#N/A</v>
        <stp/>
        <stp>BDP|16329227958347096000</stp>
        <tr r="P269" s="22"/>
      </tp>
      <tp t="e">
        <v>#N/A</v>
        <stp/>
        <stp>BDP|11704727062672863469</stp>
        <tr r="AG40" s="1"/>
      </tp>
      <tp t="e">
        <v>#N/A</v>
        <stp/>
        <stp>BDP|12427332148601342255</stp>
        <tr r="H295" s="22"/>
      </tp>
      <tp t="e">
        <v>#N/A</v>
        <stp/>
        <stp>BDP|13497067935562667488</stp>
        <tr r="P5" s="25"/>
      </tp>
      <tp t="e">
        <v>#N/A</v>
        <stp/>
        <stp>BDP|11771171459381907290</stp>
        <tr r="P19" s="24"/>
      </tp>
      <tp t="e">
        <v>#N/A</v>
        <stp/>
        <stp>BDP|16399003769251691755</stp>
        <tr r="QN22" s="1"/>
      </tp>
      <tp t="e">
        <v>#N/A</v>
        <stp/>
        <stp>BDP|10987741653827737306</stp>
        <tr r="PV7" s="1"/>
      </tp>
      <tp t="e">
        <v>#N/A</v>
        <stp/>
        <stp>BDP|11594781852587764200</stp>
        <tr r="OL6" s="1"/>
      </tp>
      <tp t="e">
        <v>#N/A</v>
        <stp/>
        <stp>BDP|15887382345916476299</stp>
        <tr r="M11" s="24"/>
      </tp>
      <tp t="e">
        <v>#N/A</v>
        <stp/>
        <stp>BDP|17745483934830206613</stp>
        <tr r="O17" s="25"/>
      </tp>
      <tp t="e">
        <v>#N/A</v>
        <stp/>
        <stp>BDP|16722020721622546095</stp>
        <tr r="O269" s="22"/>
      </tp>
      <tp t="e">
        <v>#N/A</v>
        <stp/>
        <stp>BDP|16260088962167114127</stp>
        <tr r="RK40" s="1"/>
      </tp>
      <tp t="e">
        <v>#N/A</v>
        <stp/>
        <stp>BDP|10318247901416890258</stp>
        <tr r="DA7" s="1"/>
        <tr r="LI7" s="1"/>
      </tp>
      <tp t="e">
        <v>#N/A</v>
        <stp/>
        <stp>BDP|11464670168604704376</stp>
        <tr r="KI6" s="1"/>
        <tr r="RP6" s="1"/>
      </tp>
      <tp t="e">
        <v>#N/A</v>
        <stp/>
        <stp>BDP|10804492026484427481</stp>
        <tr r="N331" s="22"/>
      </tp>
      <tp t="e">
        <v>#N/A</v>
        <stp/>
        <stp>BDP|11166836510309877711</stp>
        <tr r="GM30" s="1"/>
      </tp>
      <tp t="e">
        <v>#N/A</v>
        <stp/>
        <stp>BDP|13068799979482872725</stp>
        <tr r="EK25" s="1"/>
        <tr r="MS38" s="1"/>
        <tr r="OU31" s="1"/>
      </tp>
      <tp t="e">
        <v>#N/A</v>
        <stp/>
        <stp>BDP|12826675273705064068</stp>
        <tr r="O274" s="22"/>
      </tp>
      <tp t="e">
        <v>#N/A</v>
        <stp/>
        <stp>BDP|13691725182993416989</stp>
        <tr r="O364" s="22"/>
        <tr r="O382" s="22"/>
      </tp>
      <tp t="e">
        <v>#N/A</v>
        <stp/>
        <stp>BDP|18236339483646070387</stp>
        <tr r="RI24" s="1"/>
        <tr r="JA20" s="1"/>
      </tp>
      <tp t="e">
        <v>#N/A</v>
        <stp/>
        <stp>BDP|17603194525377102510</stp>
        <tr r="HZ6" s="1"/>
      </tp>
      <tp t="e">
        <v>#N/A</v>
        <stp/>
        <stp>BDP|14599369911184995463</stp>
        <tr r="QO20" s="1"/>
      </tp>
      <tp t="e">
        <v>#N/A</v>
        <stp/>
        <stp>BDP|12591834888151472573</stp>
        <tr r="HA16" s="1"/>
        <tr r="IB9" s="1"/>
      </tp>
      <tp t="e">
        <v>#N/A</v>
        <stp/>
        <stp>BDP|15055210612093642387</stp>
        <tr r="P346" s="22"/>
      </tp>
      <tp t="e">
        <v>#N/A</v>
        <stp/>
        <stp>BDP|14611034006872750083</stp>
        <tr r="PI24" s="1"/>
      </tp>
      <tp t="e">
        <v>#N/A</v>
        <stp/>
        <stp>BDP|11587934385657930164</stp>
        <tr r="N329" s="22"/>
      </tp>
      <tp t="e">
        <v>#N/A</v>
        <stp/>
        <stp>BDP|11202095263412701309</stp>
        <tr r="GM33" s="1"/>
      </tp>
      <tp t="e">
        <v>#N/A</v>
        <stp/>
        <stp>BDP|12346176918422255617</stp>
        <tr r="J61" s="22"/>
        <tr r="J98" s="22"/>
      </tp>
      <tp t="e">
        <v>#N/A</v>
        <stp/>
        <stp>BDP|12181296503504290266</stp>
        <tr r="CW6" s="1"/>
        <tr r="LE6" s="1"/>
      </tp>
      <tp t="e">
        <v>#N/A</v>
        <stp/>
        <stp>BDP|10430843288926255043</stp>
        <tr r="H14" s="22"/>
        <tr r="H14" s="23"/>
      </tp>
      <tp t="e">
        <v>#N/A</v>
        <stp/>
        <stp>BDP|11697077506817825011</stp>
        <tr r="KZ17" s="1"/>
      </tp>
      <tp t="e">
        <v>#N/A</v>
        <stp/>
        <stp>BDP|12209270635462952775</stp>
        <tr r="KQ23" s="1"/>
      </tp>
      <tp t="e">
        <v>#N/A</v>
        <stp/>
        <stp>BDP|11504734046853806795</stp>
        <tr r="N61" s="22"/>
        <tr r="N98" s="22"/>
      </tp>
      <tp t="e">
        <v>#N/A</v>
        <stp/>
        <stp>BDP|17465424275950751257</stp>
        <tr r="FD6" s="1"/>
        <tr r="GE8" s="1"/>
        <tr r="JH7" s="1"/>
        <tr r="Y6" s="1"/>
      </tp>
      <tp t="e">
        <v>#N/A</v>
        <stp/>
        <stp>BDP|13115563714134091524</stp>
        <tr r="FZ30" s="1"/>
      </tp>
      <tp t="e">
        <v>#N/A</v>
        <stp/>
        <stp>BDP|15522034800540197367</stp>
        <tr r="J153" s="22"/>
        <tr r="J191" s="22"/>
      </tp>
      <tp t="e">
        <v>#N/A</v>
        <stp/>
        <stp>BDP|10802936585322612597</stp>
        <tr r="PV10" s="1"/>
      </tp>
      <tp t="e">
        <v>#N/A</v>
        <stp/>
        <stp>BDP|17646401206321655475</stp>
        <tr r="EK18" s="1"/>
      </tp>
      <tp t="e">
        <v>#N/A</v>
        <stp/>
        <stp>BDP|15232502071373759252</stp>
        <tr r="T37" s="1"/>
      </tp>
      <tp t="e">
        <v>#N/A</v>
        <stp/>
        <stp>BDP|11584288948081605024</stp>
        <tr r="BV6" s="1"/>
      </tp>
      <tp t="e">
        <v>#N/A</v>
        <stp/>
        <stp>BDP|15317587563257105780</stp>
        <tr r="M310" s="22"/>
      </tp>
      <tp t="e">
        <v>#N/A</v>
        <stp/>
        <stp>BDP|13948634130378399891</stp>
        <tr r="H328" s="22"/>
      </tp>
      <tp t="e">
        <v>#N/A</v>
        <stp/>
        <stp>BDP|17324401115491161578</stp>
        <tr r="P16" s="23"/>
      </tp>
      <tp t="e">
        <v>#N/A</v>
        <stp/>
        <stp>BDP|16473677314950061777</stp>
        <tr r="CI10" s="1"/>
        <tr r="DJ13" s="1"/>
      </tp>
      <tp t="e">
        <v>#N/A</v>
        <stp/>
        <stp>BDP|10214708242554369135</stp>
        <tr r="DJ24" s="1"/>
        <tr r="LR20" s="1"/>
      </tp>
      <tp t="e">
        <v>#N/A</v>
        <stp/>
        <stp>BDP|15165382434313514089</stp>
        <tr r="HN18" s="1"/>
      </tp>
      <tp t="e">
        <v>#N/A</v>
        <stp/>
        <stp>BDP|13666825080924601124</stp>
        <tr r="MF9" s="1"/>
      </tp>
      <tp t="e">
        <v>#N/A</v>
        <stp/>
        <stp>BDP|18327883360515346583</stp>
        <tr r="M5" s="22"/>
      </tp>
      <tp t="e">
        <v>#N/A</v>
        <stp/>
        <stp>BDP|14391613314366721319</stp>
        <tr r="KD18" s="1"/>
        <tr r="RK12" s="1"/>
      </tp>
      <tp t="e">
        <v>#N/A</v>
        <stp/>
        <stp>BDP|15161544245240309230</stp>
        <tr r="C6" s="23"/>
      </tp>
      <tp t="e">
        <v>#N/A</v>
        <stp/>
        <stp>BDP|16053554518687850357</stp>
        <tr r="M48" s="22"/>
        <tr r="M89" s="22"/>
      </tp>
      <tp t="e">
        <v>#N/A</v>
        <stp/>
        <stp>BDP|17641478331470107626</stp>
        <tr r="J17" s="24"/>
      </tp>
      <tp t="e">
        <v>#N/A</v>
        <stp/>
        <stp>BDP|17363256137348304811</stp>
        <tr r="LI11" s="1"/>
      </tp>
      <tp t="e">
        <v>#N/A</v>
        <stp/>
        <stp>BDP|14631345250310239437</stp>
        <tr r="O6" s="24"/>
      </tp>
      <tp t="e">
        <v>#N/A</v>
        <stp/>
        <stp>BDP|11962202438266714050</stp>
        <tr r="HF17" s="1"/>
      </tp>
      <tp t="e">
        <v>#N/A</v>
        <stp/>
        <stp>BDP|17819886500280507962</stp>
        <tr r="N362" s="22"/>
        <tr r="N380" s="22"/>
      </tp>
      <tp t="e">
        <v>#N/A</v>
        <stp/>
        <stp>BDP|16596225263891390556</stp>
        <tr r="C15" s="23"/>
      </tp>
      <tp t="e">
        <v>#N/A</v>
        <stp/>
        <stp>BDP|11189671156003205703</stp>
        <tr r="RF40" s="1"/>
      </tp>
      <tp t="e">
        <v>#N/A</v>
        <stp/>
        <stp>BDP|16388359884303380832</stp>
        <tr r="MF26" s="1"/>
        <tr r="NG22" s="1"/>
      </tp>
      <tp t="e">
        <v>#N/A</v>
        <stp/>
        <stp>BDP|15022249126264462742</stp>
        <tr r="J58" s="22"/>
        <tr r="J99" s="22"/>
      </tp>
      <tp t="e">
        <v>#N/A</v>
        <stp/>
        <stp>BDP|10090436513337148434</stp>
        <tr r="QH23" s="1"/>
      </tp>
      <tp t="e">
        <v>#N/A</v>
        <stp/>
        <stp>BDP|10943956704197232883</stp>
        <tr r="AG19" s="1"/>
        <tr r="HN36" s="1"/>
      </tp>
      <tp t="e">
        <v>#N/A</v>
        <stp/>
        <stp>BDP|11594816071610121868</stp>
        <tr r="RI16" s="1"/>
      </tp>
      <tp t="e">
        <v>#N/A</v>
        <stp/>
        <stp>BDP|14038556158802752088</stp>
        <tr r="AC19" s="1"/>
        <tr r="AC31" s="1"/>
        <tr r="GI24" s="1"/>
        <tr r="GI7" s="1"/>
        <tr r="HJ13" s="1"/>
        <tr r="HJ16" s="1"/>
        <tr r="HJ19" s="1"/>
        <tr r="HJ22" s="1"/>
        <tr r="HJ27" s="1"/>
        <tr r="HJ28" s="1"/>
        <tr r="HJ33" s="1"/>
        <tr r="HJ34" s="1"/>
        <tr r="HJ36" s="1"/>
        <tr r="HJ38" s="1"/>
        <tr r="HJ39" s="1"/>
        <tr r="HJ6" s="1"/>
        <tr r="HJ9" s="1"/>
        <tr r="JL30" s="1"/>
        <tr r="KM18" s="1"/>
        <tr r="MO20" s="1"/>
        <tr r="MO25" s="1"/>
        <tr r="RT12" s="1"/>
        <tr r="RT17" s="1"/>
        <tr r="RT30" s="1"/>
        <tr r="RT36" s="1"/>
        <tr r="RT39" s="1"/>
        <tr r="RT40" s="1"/>
        <tr r="AB269" s="22"/>
      </tp>
      <tp t="e">
        <v>#N/A</v>
        <stp/>
        <stp>BDP|15367813475314675831</stp>
        <tr r="FZ31" s="1"/>
      </tp>
      <tp t="e">
        <v>#N/A</v>
        <stp/>
        <stp>BDP|12748474832547219420</stp>
        <tr r="N11" s="25"/>
      </tp>
      <tp t="e">
        <v>#N/A</v>
        <stp/>
        <stp>BDP|11167811803676284942</stp>
        <tr r="HF7" s="1"/>
      </tp>
      <tp t="e">
        <v>#N/A</v>
        <stp/>
        <stp>BDP|11482017175346738624</stp>
        <tr r="QN19" s="1"/>
      </tp>
      <tp t="e">
        <v>#N/A</v>
        <stp/>
        <stp>BDP|15444075929801745084</stp>
        <tr r="AC20" s="1"/>
        <tr r="AC27" s="1"/>
        <tr r="BD18" s="1"/>
        <tr r="BD19" s="1"/>
        <tr r="KM15" s="1"/>
        <tr r="KM6" s="1"/>
        <tr r="MO23" s="1"/>
        <tr r="MO30" s="1"/>
        <tr r="MO39" s="1"/>
        <tr r="RT6" s="1"/>
        <tr r="AB128" s="22"/>
      </tp>
      <tp t="e">
        <v>#N/A</v>
        <stp/>
        <stp>BDP|16913019557482366794</stp>
        <tr r="GV39" s="1"/>
      </tp>
      <tp t="e">
        <v>#N/A</v>
        <stp/>
        <stp>BDP|14103508523691323441</stp>
        <tr r="FC22" s="1"/>
        <tr r="NK13" s="1"/>
      </tp>
      <tp t="e">
        <v>#N/A</v>
        <stp/>
        <stp>BDP|11373472232675569568</stp>
        <tr r="KQ15" s="1"/>
      </tp>
      <tp t="e">
        <v>#N/A</v>
        <stp/>
        <stp>BDP|12660121710494563046</stp>
        <tr r="BH9" s="1"/>
      </tp>
      <tp t="e">
        <v>#N/A</v>
        <stp/>
        <stp>BDP|10359782353475576186</stp>
        <tr r="QH25" s="1"/>
      </tp>
      <tp t="e">
        <v>#N/A</v>
        <stp/>
        <stp>BDP|14631157833840696037</stp>
        <tr r="N101" s="22"/>
        <tr r="N56" s="22"/>
      </tp>
      <tp t="e">
        <v>#N/A</v>
        <stp/>
        <stp>BDP|14753333416409238950</stp>
        <tr r="MA6" s="1"/>
        <tr r="O23" s="1"/>
        <tr r="OC7" s="1"/>
      </tp>
      <tp t="e">
        <v>#N/A</v>
        <stp/>
        <stp>BDP|15502432132021887582</stp>
        <tr r="O16" s="22"/>
      </tp>
      <tp t="e">
        <v>#N/A</v>
        <stp/>
        <stp>BDP|17951499141454638537</stp>
        <tr r="KI32" s="1"/>
        <tr r="RP28" s="1"/>
      </tp>
      <tp t="e">
        <v>#N/A</v>
        <stp/>
        <stp>BDP|13748255174414487456</stp>
        <tr r="RK22" s="1"/>
      </tp>
      <tp t="e">
        <v>#N/A</v>
        <stp/>
        <stp>BDP|13240116692019284445</stp>
        <tr r="J14" s="25"/>
      </tp>
      <tp t="e">
        <v>#N/A</v>
        <stp/>
        <stp>BDP|14388568488189920633</stp>
        <tr r="O8" s="24"/>
      </tp>
      <tp t="e">
        <v>#N/A</v>
        <stp/>
        <stp>BDP|12638505674680995723</stp>
        <tr r="HE35" s="1"/>
        <tr r="PM12" s="1"/>
      </tp>
      <tp t="e">
        <v>#N/A</v>
        <stp/>
        <stp>BDP|12953513048456987207</stp>
        <tr r="O16" s="23"/>
      </tp>
      <tp t="e">
        <v>#N/A</v>
        <stp/>
        <stp>BDP|13460122389979645405</stp>
        <tr r="CI18" s="1"/>
      </tp>
      <tp t="e">
        <v>#N/A</v>
        <stp/>
        <stp>BDP|11118066247233815115</stp>
        <tr r="J128" s="22"/>
      </tp>
      <tp t="e">
        <v>#N/A</v>
        <stp/>
        <stp>BDP|17803602403392634443</stp>
        <tr r="EB18" s="1"/>
      </tp>
      <tp t="e">
        <v>#N/A</v>
        <stp/>
        <stp>BDP|15925355414727708779</stp>
        <tr r="O402" s="22"/>
      </tp>
      <tp t="e">
        <v>#N/A</v>
        <stp/>
        <stp>BDP|16026095571171796770</stp>
        <tr r="MS26" s="1"/>
        <tr r="NT22" s="1"/>
      </tp>
      <tp t="e">
        <v>#N/A</v>
        <stp/>
        <stp>BDP|10854306354519446801</stp>
        <tr r="MJ8" s="1"/>
        <tr r="OL9" s="1"/>
      </tp>
      <tp t="e">
        <v>#N/A</v>
        <stp/>
        <stp>BDP|10846965187753126503</stp>
        <tr r="AU12" s="1"/>
      </tp>
      <tp t="e">
        <v>#N/A</v>
        <stp/>
        <stp>BDP|16124024577143852544</stp>
        <tr r="CA19" s="1"/>
        <tr r="DB22" s="1"/>
      </tp>
      <tp t="e">
        <v>#N/A</v>
        <stp/>
        <stp>BDP|17901750601421733621</stp>
        <tr r="O9" s="22"/>
      </tp>
      <tp t="e">
        <v>#N/A</v>
        <stp/>
        <stp>BDP|10246561190323961855</stp>
        <tr r="KQ27" s="1"/>
      </tp>
      <tp t="e">
        <v>#N/A</v>
        <stp/>
        <stp>BDP|17931465037821734678</stp>
        <tr r="BV10" s="1"/>
        <tr r="CW13" s="1"/>
      </tp>
      <tp t="e">
        <v>#N/A</v>
        <stp/>
        <stp>BDP|17387191037551104348</stp>
        <tr r="P6" s="25"/>
      </tp>
      <tp t="e">
        <v>#N/A</v>
        <stp/>
        <stp>BDP|15260240416097883631</stp>
        <tr r="N310" s="22"/>
      </tp>
      <tp t="e">
        <v>#N/A</v>
        <stp/>
        <stp>BDP|14632617210223450780</stp>
        <tr r="M6" s="23"/>
      </tp>
      <tp t="e">
        <v>#N/A</v>
        <stp/>
        <stp>BDP|14027007736467864756</stp>
        <tr r="HA36" s="1"/>
        <tr r="T19" s="1"/>
      </tp>
      <tp t="e">
        <v>#N/A</v>
        <stp/>
        <stp>BDP|12834400304533327244</stp>
        <tr r="HN34" s="1"/>
      </tp>
      <tp t="e">
        <v>#N/A</v>
        <stp/>
        <stp>BDP|16779610845231010282</stp>
        <tr r="N132" s="22"/>
        <tr r="N172" s="22"/>
      </tp>
      <tp t="e">
        <v>#N/A</v>
        <stp/>
        <stp>BDP|10312630351931948527</stp>
        <tr r="BH15" s="1"/>
      </tp>
      <tp t="e">
        <v>#N/A</v>
        <stp/>
        <stp>BDP|18141996830896264305</stp>
        <tr r="P5" s="24"/>
      </tp>
      <tp t="e">
        <v>#N/A</v>
        <stp/>
        <stp>BDP|13199250812565575292</stp>
        <tr r="N4" s="24"/>
      </tp>
      <tp t="e">
        <v>#N/A</v>
        <stp/>
        <stp>BDP|16005522305572817659</stp>
        <tr r="GD17" s="1"/>
        <tr r="JG10" s="1"/>
        <tr r="KH16" s="1"/>
        <tr r="QN8" s="1"/>
      </tp>
      <tp t="e">
        <v>#N/A</v>
        <stp/>
        <stp>BDP|13502783458100856679</stp>
        <tr r="H348" s="22"/>
      </tp>
      <tp t="e">
        <v>#N/A</v>
        <stp/>
        <stp>BDP|18301428762395018896</stp>
        <tr r="PD11" s="1"/>
      </tp>
      <tp t="e">
        <v>#N/A</v>
        <stp/>
        <stp>BDP|10528992014269421663</stp>
        <tr r="BZ19" s="1"/>
        <tr r="DA22" s="1"/>
      </tp>
      <tp t="e">
        <v>#N/A</v>
        <stp/>
        <stp>BDP|12741366721115350197</stp>
        <tr r="IO6" s="1"/>
      </tp>
      <tp t="e">
        <v>#N/A</v>
        <stp/>
        <stp>BDP|12176763238202324363</stp>
        <tr r="O128" s="22"/>
      </tp>
      <tp t="e">
        <v>#N/A</v>
        <stp/>
        <stp>BDP|16954034954196256263</stp>
        <tr r="J16" s="22"/>
      </tp>
      <tp t="e">
        <v>#N/A</v>
        <stp/>
        <stp>BDP|13821292692387781891</stp>
        <tr r="JA31" s="1"/>
        <tr r="AS25" s="1"/>
      </tp>
      <tp t="e">
        <v>#N/A</v>
        <stp/>
        <stp>BDP|11427211546845661584</stp>
        <tr r="FC30" s="1"/>
        <tr r="MJ11" s="1"/>
        <tr r="NK8" s="1"/>
        <tr r="X36" s="1"/>
      </tp>
      <tp t="e">
        <v>#N/A</v>
        <stp/>
        <stp>BDP|15735389122597212422</stp>
        <tr r="NL26" s="1"/>
      </tp>
      <tp t="e">
        <v>#N/A</v>
        <stp/>
        <stp>BDP|12506357240436981448</stp>
        <tr r="J126" s="22"/>
        <tr r="J168" s="22"/>
      </tp>
      <tp t="e">
        <v>#N/A</v>
        <stp/>
        <stp>BDP|16393135134950826311</stp>
        <tr r="MK14" s="1"/>
        <tr r="OM12" s="1"/>
      </tp>
      <tp t="e">
        <v>#N/A</v>
        <stp/>
        <stp>BDP|11980570883659390232</stp>
        <tr r="MF29" s="1"/>
        <tr r="OH24" s="1"/>
      </tp>
      <tp t="e">
        <v>#N/A</v>
        <stp/>
        <stp>BDP|15426647011717881259</stp>
        <tr r="P412" s="22"/>
      </tp>
      <tp t="e">
        <v>#N/A</v>
        <stp/>
        <stp>BDP|11709768589079384072</stp>
        <tr r="H172" s="22"/>
        <tr r="H132" s="22"/>
      </tp>
      <tp t="e">
        <v>#N/A</v>
        <stp/>
        <stp>BDP|10206568270970175591</stp>
        <tr r="EB17" s="1"/>
      </tp>
      <tp t="e">
        <v>#N/A</v>
        <stp/>
        <stp>BDP|15784150058477723124</stp>
        <tr r="RK15" s="1"/>
      </tp>
      <tp t="e">
        <v>#N/A</v>
        <stp/>
        <stp>BDP|17263402312924924160</stp>
        <tr r="FC26" s="1"/>
        <tr r="GD19" s="1"/>
        <tr r="KH17" s="1"/>
      </tp>
      <tp t="e">
        <v>#N/A</v>
        <stp/>
        <stp>BDP|16594589964906154472</stp>
        <tr r="CA7" s="1"/>
      </tp>
      <tp t="e">
        <v>#N/A</v>
        <stp/>
        <stp>BDP|10197081996236248823</stp>
        <tr r="JA27" s="1"/>
      </tp>
      <tp t="e">
        <v>#N/A</v>
        <stp/>
        <stp>BDP|11024027409503642529</stp>
        <tr r="O18" s="22"/>
      </tp>
      <tp t="e">
        <v>#N/A</v>
        <stp/>
        <stp>BDP|15159776694729491591</stp>
        <tr r="J47" s="22"/>
        <tr r="J85" s="22"/>
      </tp>
      <tp t="e">
        <v>#N/A</v>
        <stp/>
        <stp>BDP|13950772171684129016</stp>
        <tr r="O46" s="22"/>
        <tr r="O87" s="22"/>
      </tp>
      <tp t="e">
        <v>#N/A</v>
        <stp/>
        <stp>BDP|10910258030564253207</stp>
        <tr r="CA13" s="1"/>
      </tp>
      <tp t="e">
        <v>#N/A</v>
        <stp/>
        <stp>BDP|10023023261869510886</stp>
        <tr r="P268" s="22"/>
      </tp>
      <tp t="e">
        <v>#N/A</v>
        <stp/>
        <stp>BDP|14178706548320580027</stp>
        <tr r="KQ8" s="1"/>
      </tp>
      <tp t="e">
        <v>#N/A</v>
        <stp/>
        <stp>BDP|12622164389335614917</stp>
        <tr r="IX9" s="1"/>
        <tr r="JY12" s="1"/>
        <tr r="RF11" s="1"/>
      </tp>
      <tp t="e">
        <v>#N/A</v>
        <stp/>
        <stp>BDP|17637844485367073791</stp>
        <tr r="PN11" s="1"/>
      </tp>
      <tp t="e">
        <v>#N/A</v>
        <stp/>
        <stp>BDP|11667205229570027615</stp>
        <tr r="NE27" s="1"/>
      </tp>
      <tp t="e">
        <v>#N/A</v>
        <stp/>
        <stp>BDP|14063166631199821813</stp>
        <tr r="P60" s="22"/>
        <tr r="P97" s="22"/>
      </tp>
      <tp t="e">
        <v>#N/A</v>
        <stp/>
        <stp>BDP|12592443183988450186</stp>
        <tr r="C413" s="22"/>
      </tp>
      <tp t="e">
        <v>#N/A</v>
        <stp/>
        <stp>BDP|15968314844207813259</stp>
        <tr r="EK20" s="1"/>
        <tr r="OU25" s="1"/>
      </tp>
      <tp t="e">
        <v>#N/A</v>
        <stp/>
        <stp>BDP|11002163705977376012</stp>
        <tr r="KH38" s="1"/>
      </tp>
      <tp t="e">
        <v>#N/A</v>
        <stp/>
        <stp>BDP|15914794743743058229</stp>
        <tr r="OC19" s="1"/>
      </tp>
      <tp t="e">
        <v>#N/A</v>
        <stp/>
        <stp>BDP|12160233114171036774</stp>
        <tr r="KD24" s="1"/>
      </tp>
      <tp t="e">
        <v>#N/A</v>
        <stp/>
        <stp>BDP|14369308653866776361</stp>
        <tr r="EY8" s="1"/>
        <tr r="FZ23" s="1"/>
        <tr r="T8" s="1"/>
      </tp>
      <tp t="e">
        <v>#N/A</v>
        <stp/>
        <stp>BDP|13902953083422721790</stp>
        <tr r="H169" s="22"/>
        <tr r="H129" s="22"/>
      </tp>
      <tp t="e">
        <v>#N/A</v>
        <stp/>
        <stp>BDP|15927231127996543485</stp>
        <tr r="GM31" s="1"/>
      </tp>
      <tp t="e">
        <v>#N/A</v>
        <stp/>
        <stp>BDP|16121274334210306014</stp>
        <tr r="KH39" s="1"/>
      </tp>
      <tp t="e">
        <v>#N/A</v>
        <stp/>
        <stp>BDP|13714912984437699249</stp>
        <tr r="QJ24" s="1"/>
      </tp>
      <tp t="e">
        <v>#N/A</v>
        <stp/>
        <stp>BDP|11227185354365612780</stp>
        <tr r="N408" s="22"/>
      </tp>
      <tp t="e">
        <v>#N/A</v>
        <stp/>
        <stp>BDP|15124481129227389303</stp>
        <tr r="NE22" s="1"/>
        <tr r="MD26" s="1"/>
      </tp>
      <tp t="e">
        <v>#N/A</v>
        <stp/>
        <stp>BDP|16677129715724119531</stp>
        <tr r="KQ14" s="1"/>
      </tp>
      <tp t="e">
        <v>#N/A</v>
        <stp/>
        <stp>BDP|12776532490139048078</stp>
        <tr r="J8" s="25"/>
      </tp>
      <tp t="e">
        <v>#N/A</v>
        <stp/>
        <stp>BDP|15192755926253042416</stp>
        <tr r="NE7" s="1"/>
      </tp>
      <tp t="e">
        <v>#N/A</v>
        <stp/>
        <stp>BDP|16366822182384844581</stp>
        <tr r="P8" s="22"/>
      </tp>
      <tp t="e">
        <v>#N/A</v>
        <stp/>
        <stp>BDP|17701929976589464748</stp>
        <tr r="KB38" s="1"/>
      </tp>
      <tp t="e">
        <v>#N/A</v>
        <stp/>
        <stp>BDP|14372141843130272657</stp>
        <tr r="M46" s="22"/>
        <tr r="M87" s="22"/>
      </tp>
      <tp t="e">
        <v>#N/A</v>
        <stp/>
        <stp>BDP|10502068360048868988</stp>
        <tr r="HA39" s="1"/>
      </tp>
      <tp t="e">
        <v>#N/A</v>
        <stp/>
        <stp>BDP|11417267690794345920</stp>
        <tr r="PG15" s="1"/>
      </tp>
      <tp t="e">
        <v>#N/A</v>
        <stp/>
        <stp>BDP|17758211061265123150</stp>
        <tr r="AS15" s="1"/>
      </tp>
      <tp t="e">
        <v>#N/A</v>
        <stp/>
        <stp>BDP|17500559280654045920</stp>
        <tr r="RK37" s="1"/>
      </tp>
      <tp t="e">
        <v>#N/A</v>
        <stp/>
        <stp>BDP|11275491565880904450</stp>
        <tr r="AZ16" s="1"/>
      </tp>
      <tp t="e">
        <v>#N/A</v>
        <stp/>
        <stp>BDP|10004538921013568353</stp>
        <tr r="PM11" s="1"/>
      </tp>
      <tp t="e">
        <v>#N/A</v>
        <stp/>
        <stp>BDP|11294002019737930002</stp>
        <tr r="J5" s="25"/>
      </tp>
      <tp t="e">
        <v>#N/A</v>
        <stp/>
        <stp>BDP|14904593854350353357</stp>
        <tr r="OF20" s="1"/>
      </tp>
      <tp t="e">
        <v>#N/A</v>
        <stp/>
        <stp>BDP|10022825180556775170</stp>
        <tr r="O10" s="24"/>
      </tp>
      <tp t="e">
        <v>#N/A</v>
        <stp/>
        <stp>BDP|12953149759827690676</stp>
        <tr r="C17" s="23"/>
      </tp>
      <tp t="e">
        <v>#N/A</v>
        <stp/>
        <stp>BDP|14710305147733283772</stp>
        <tr r="NB27" s="1"/>
      </tp>
      <tp t="e">
        <v>#N/A</v>
        <stp/>
        <stp>BDP|17253520714456663278</stp>
        <tr r="BZ6" s="1"/>
      </tp>
      <tp t="e">
        <v>#N/A</v>
        <stp/>
        <stp>BDP|11784411553465751275</stp>
        <tr r="KH9" s="1"/>
        <tr r="RO8" s="1"/>
      </tp>
      <tp t="e">
        <v>#N/A</v>
        <stp/>
        <stp>BDP|13378455842676286231</stp>
        <tr r="H186" s="22"/>
        <tr r="H146" s="22"/>
      </tp>
      <tp t="e">
        <v>#N/A</v>
        <stp/>
        <stp>BDP|18042346419854819908</stp>
        <tr r="PN25" s="1"/>
      </tp>
      <tp t="e">
        <v>#N/A</v>
        <stp/>
        <stp>BDP|13236717163345056050</stp>
        <tr r="P153" s="22"/>
        <tr r="P191" s="22"/>
      </tp>
      <tp t="e">
        <v>#N/A</v>
        <stp/>
        <stp>BDP|10963605971071979745</stp>
        <tr r="RF21" s="1"/>
      </tp>
      <tp t="e">
        <v>#N/A</v>
        <stp/>
        <stp>BDP|15271963615818690225</stp>
        <tr r="P348" s="22"/>
      </tp>
      <tp t="e">
        <v>#N/A</v>
        <stp/>
        <stp>BDP|16757137060856455058</stp>
        <tr r="C312" s="22"/>
      </tp>
      <tp t="e">
        <v>#N/A</v>
        <stp/>
        <stp>BDP|10373689568756175164</stp>
        <tr r="M252" s="22"/>
      </tp>
      <tp t="e">
        <v>#N/A</v>
        <stp/>
        <stp>BDP|11799846990580211753</stp>
        <tr r="RK25" s="1"/>
      </tp>
      <tp t="e">
        <v>#N/A</v>
        <stp/>
        <stp>BDP|14274140268202973631</stp>
        <tr r="M348" s="22"/>
      </tp>
      <tp t="e">
        <v>#N/A</v>
        <stp/>
        <stp>BDP|12000524800571481128</stp>
        <tr r="C5" s="22"/>
      </tp>
      <tp t="e">
        <v>#N/A</v>
        <stp/>
        <stp>BDP|12238220846574117731</stp>
        <tr r="H190" s="22"/>
        <tr r="H152" s="22"/>
      </tp>
      <tp t="e">
        <v>#N/A</v>
        <stp/>
        <stp>BDP|12774870332049382766</stp>
        <tr r="EB14" s="1"/>
        <tr r="OL18" s="1"/>
      </tp>
      <tp t="e">
        <v>#N/A</v>
        <stp/>
        <stp>BDP|15344843596923792019</stp>
        <tr r="P46" s="22"/>
        <tr r="P87" s="22"/>
      </tp>
      <tp t="e">
        <v>#N/A</v>
        <stp/>
        <stp>BDP|10338673181259487066</stp>
        <tr r="HN23" s="1"/>
        <tr r="PV22" s="1"/>
      </tp>
      <tp t="e">
        <v>#N/A</v>
        <stp/>
        <stp>BDP|13776398086419944663</stp>
        <tr r="QW18" s="1"/>
      </tp>
      <tp t="e">
        <v>#N/A</v>
        <stp/>
        <stp>BDP|12561828866349353258</stp>
        <tr r="CA18" s="1"/>
      </tp>
      <tp t="e">
        <v>#N/A</v>
        <stp/>
        <stp>BDP|16001981093096421783</stp>
        <tr r="EW16" s="1"/>
        <tr r="R21" s="1"/>
      </tp>
      <tp t="e">
        <v>#N/A</v>
        <stp/>
        <stp>BDP|15691543767529221812</stp>
        <tr r="DA18" s="1"/>
        <tr r="LI14" s="1"/>
      </tp>
      <tp t="e">
        <v>#N/A</v>
        <stp/>
        <stp>BDP|16828286924356709759</stp>
        <tr r="HA19" s="1"/>
        <tr r="IB19" s="1"/>
      </tp>
      <tp t="e">
        <v>#N/A</v>
        <stp/>
        <stp>BDP|15600430232721182402</stp>
        <tr r="IG20" s="1"/>
      </tp>
      <tp t="e">
        <v>#N/A</v>
        <stp/>
        <stp>BDP|16507924804710540807</stp>
        <tr r="N11" s="23"/>
      </tp>
      <tp t="e">
        <v>#N/A</v>
        <stp/>
        <stp>BDP|10370031964628159935</stp>
        <tr r="C330" s="22"/>
      </tp>
      <tp t="e">
        <v>#N/A</v>
        <stp/>
        <stp>BDP|15139366387490036965</stp>
        <tr r="DB12" s="1"/>
        <tr r="LJ10" s="1"/>
      </tp>
      <tp t="e">
        <v>#N/A</v>
        <stp/>
        <stp>BDP|13066492134284239792</stp>
        <tr r="OF19" s="1"/>
      </tp>
      <tp t="e">
        <v>#N/A</v>
        <stp/>
        <stp>BDP|12647761755120670756</stp>
        <tr r="J19" s="22"/>
      </tp>
      <tp t="e">
        <v>#N/A</v>
        <stp/>
        <stp>BDP|17310056336413426025</stp>
        <tr r="O132" s="22"/>
        <tr r="O172" s="22"/>
      </tp>
      <tp t="e">
        <v>#N/A</v>
        <stp/>
        <stp>BDP|10607285600945185090</stp>
        <tr r="BZ7" s="1"/>
      </tp>
      <tp t="e">
        <v>#N/A</v>
        <stp/>
        <stp>BDP|17624317742246940259</stp>
        <tr r="BT16" s="1"/>
      </tp>
      <tp t="e">
        <v>#N/A</v>
        <stp/>
        <stp>BDP|14695084761046030067</stp>
        <tr r="AU15" s="1"/>
      </tp>
      <tp t="e">
        <v>#N/A</v>
        <stp/>
        <stp>BDP|16429653442984970437</stp>
        <tr r="N5" s="22"/>
      </tp>
      <tp t="e">
        <v>#N/A</v>
        <stp/>
        <stp>BDP|12000314364123921055</stp>
        <tr r="IX17" s="1"/>
        <tr r="JY26" s="1"/>
        <tr r="RF19" s="1"/>
      </tp>
      <tp t="e">
        <v>#N/A</v>
        <stp/>
        <stp>BDP|11385017948426427760</stp>
        <tr r="DS6" s="1"/>
      </tp>
      <tp t="e">
        <v>#N/A</v>
        <stp/>
        <stp>BDP|18343601842588092694</stp>
        <tr r="HE14" s="1"/>
        <tr r="PM19" s="1"/>
      </tp>
      <tp t="e">
        <v>#N/A</v>
        <stp/>
        <stp>BDP|15573523909817453325</stp>
        <tr r="NE13" s="1"/>
        <tr r="EW22" s="1"/>
      </tp>
      <tp t="e">
        <v>#N/A</v>
        <stp/>
        <stp>BDP|16364484337867497200</stp>
        <tr r="EW33" s="1"/>
        <tr r="R39" s="1"/>
      </tp>
      <tp t="e">
        <v>#N/A</v>
        <stp/>
        <stp>BDP|18385048981171951574</stp>
        <tr r="AP6" s="1"/>
      </tp>
      <tp t="e">
        <v>#N/A</v>
        <stp/>
        <stp>BDP|11543493907039204812</stp>
        <tr r="LR17" s="1"/>
      </tp>
      <tp t="e">
        <v>#N/A</v>
        <stp/>
        <stp>BDP|15492697465935177414</stp>
        <tr r="N9" s="22"/>
      </tp>
      <tp t="e">
        <v>#N/A</v>
        <stp/>
        <stp>BDP|16654251813293949228</stp>
        <tr r="HF19" s="1"/>
        <tr r="IG19" s="1"/>
      </tp>
      <tp t="e">
        <v>#N/A</v>
        <stp/>
        <stp>BDP|16801100026023721228</stp>
        <tr r="N44" s="22"/>
        <tr r="N91" s="22"/>
      </tp>
      <tp t="e">
        <v>#N/A</v>
        <stp/>
        <stp>BDP|17127769372464770791</stp>
        <tr r="FD11" s="1"/>
        <tr r="GE10" s="1"/>
        <tr r="Y12" s="1"/>
      </tp>
      <tp t="e">
        <v>#N/A</v>
        <stp/>
        <stp>BDP|14438373568426482343</stp>
        <tr r="AZ8" s="1"/>
        <tr r="EC8" s="1"/>
      </tp>
      <tp t="e">
        <v>#N/A</v>
        <stp/>
        <stp>BDP|12543587818302896065</stp>
        <tr r="ET24" s="1"/>
        <tr r="O29" s="1"/>
      </tp>
      <tp t="e">
        <v>#N/A</v>
        <stp/>
        <stp>BDP|12912311733666769073</stp>
        <tr r="GY31" s="1"/>
        <tr r="FX28" s="1"/>
      </tp>
      <tp t="e">
        <v>#N/A</v>
        <stp/>
        <stp>BDP|13480609577191125790</stp>
        <tr r="GY34" s="1"/>
      </tp>
      <tp t="e">
        <v>#N/A</v>
        <stp/>
        <stp>BDP|15734384918111847243</stp>
        <tr r="PI20" s="1"/>
      </tp>
      <tp t="e">
        <v>#N/A</v>
        <stp/>
        <stp>BDP|16801733410772849681</stp>
        <tr r="C409" s="22"/>
      </tp>
      <tp t="e">
        <v>#N/A</v>
        <stp/>
        <stp>BDP|12511261127236879074</stp>
        <tr r="DV19" s="1"/>
      </tp>
      <tp t="e">
        <v>#N/A</v>
        <stp/>
        <stp>BDP|13048409779564366019</stp>
        <tr r="JC22" s="1"/>
      </tp>
      <tp t="e">
        <v>#N/A</v>
        <stp/>
        <stp>BDP|15076882625219448225</stp>
        <tr r="RF38" s="1"/>
      </tp>
      <tp t="e">
        <v>#N/A</v>
        <stp/>
        <stp>BDP|12250470878925375042</stp>
        <tr r="O273" s="22"/>
      </tp>
      <tp t="e">
        <v>#N/A</v>
        <stp/>
        <stp>BDP|18256536049688446569</stp>
        <tr r="FL6" s="1"/>
        <tr r="GM8" s="1"/>
        <tr r="JP7" s="1"/>
        <tr r="AG6" s="1"/>
      </tp>
      <tp t="e">
        <v>#N/A</v>
        <stp/>
        <stp>BDP|13232844396503382594</stp>
        <tr r="N328" s="22"/>
      </tp>
      <tp t="e">
        <v>#N/A</v>
        <stp/>
        <stp>BDP|16043027339182420352</stp>
        <tr r="J6" s="23"/>
      </tp>
      <tp t="e">
        <v>#N/A</v>
        <stp/>
        <stp>BDP|13739421428369476833</stp>
        <tr r="AG9" s="1"/>
        <tr r="EK22" s="1"/>
        <tr r="MS32" s="1"/>
        <tr r="OU28" s="1"/>
      </tp>
      <tp t="e">
        <v>#N/A</v>
        <stp/>
        <stp>BDP|11139057469260634369</stp>
        <tr r="EK19" s="1"/>
      </tp>
      <tp t="e">
        <v>#N/A</v>
        <stp/>
        <stp>BDP|17494802393795964738</stp>
        <tr r="NG11" s="1"/>
      </tp>
      <tp t="e">
        <v>#N/A</v>
        <stp/>
        <stp>BDP|12455869227915857906</stp>
        <tr r="N8" s="23"/>
      </tp>
      <tp t="e">
        <v>#N/A</v>
        <stp/>
        <stp>BDP|10522416907048827863</stp>
        <tr r="AS6" s="1"/>
      </tp>
      <tp t="e">
        <v>#N/A</v>
        <stp/>
        <stp>BDP|12589230346263886356</stp>
        <tr r="AY15" s="1"/>
      </tp>
      <tp t="e">
        <v>#N/A</v>
        <stp/>
        <stp>BDP|15049987696929012823</stp>
        <tr r="H4" s="23"/>
      </tp>
      <tp t="e">
        <v>#N/A</v>
        <stp/>
        <stp>BDP|12912542555743752536</stp>
        <tr r="M15" s="24"/>
      </tp>
      <tp t="e">
        <v>#N/A</v>
        <stp/>
        <stp>BDP|13095317660746935472</stp>
        <tr r="M14" s="24"/>
        <tr r="M14" s="23"/>
        <tr r="M14" s="22"/>
      </tp>
      <tp t="e">
        <v>#N/A</v>
        <stp/>
        <stp>BDP|14677570343879593889</stp>
        <tr r="MS15" s="1"/>
        <tr r="OU13" s="1"/>
      </tp>
      <tp t="e">
        <v>#N/A</v>
        <stp/>
        <stp>BDP|12799028578236485767</stp>
        <tr r="HZ26" s="1"/>
      </tp>
      <tp t="e">
        <v>#N/A</v>
        <stp/>
        <stp>BDP|11442074468486240563</stp>
        <tr r="PV27" s="1"/>
      </tp>
      <tp t="e">
        <v>#N/A</v>
        <stp/>
        <stp>BDP|10406386407181673621</stp>
        <tr r="GD28" s="1"/>
        <tr r="HE31" s="1"/>
      </tp>
      <tp t="e">
        <v>#N/A</v>
        <stp/>
        <stp>BDP|15359946488641321130</stp>
        <tr r="IX29" s="1"/>
      </tp>
      <tp t="e">
        <v>#N/A</v>
        <stp/>
        <stp>BDP|11681666529625549425</stp>
        <tr r="FC20" s="1"/>
      </tp>
      <tp t="e">
        <v>#N/A</v>
        <stp/>
        <stp>BDP|11829041883144656975</stp>
        <tr r="PN17" s="1"/>
      </tp>
      <tp t="e">
        <v>#N/A</v>
        <stp/>
        <stp>BDP|17971614118784627087</stp>
        <tr r="BT18" s="1"/>
      </tp>
      <tp t="e">
        <v>#N/A</v>
        <stp/>
        <stp>BDP|12884998990181666797</stp>
        <tr r="PI10" s="1"/>
      </tp>
      <tp t="e">
        <v>#N/A</v>
        <stp/>
        <stp>BDP|14887042029344451606</stp>
        <tr r="C5" s="24"/>
      </tp>
      <tp t="e">
        <v>#N/A</v>
        <stp/>
        <stp>BDP|17657915986314789673</stp>
        <tr r="AB12" s="23"/>
        <tr r="AB14" s="23"/>
      </tp>
      <tp t="e">
        <v>#N/A</v>
        <stp/>
        <stp>BDP|13360115637884076143</stp>
        <tr r="CA6" s="1"/>
      </tp>
      <tp t="e">
        <v>#N/A</v>
        <stp/>
        <stp>BDP|14652741453174991692</stp>
        <tr r="M7" s="25"/>
      </tp>
      <tp t="e">
        <v>#N/A</v>
        <stp/>
        <stp>BDP|12102727170712287405</stp>
        <tr r="RI37" s="1"/>
      </tp>
      <tp t="e">
        <v>#N/A</v>
        <stp/>
        <stp>BDP|15402058058904940018</stp>
        <tr r="M210" s="22"/>
        <tr r="M232" s="22"/>
      </tp>
      <tp t="e">
        <v>#N/A</v>
        <stp/>
        <stp>BDP|17687060116200231255</stp>
        <tr r="HN12" s="1"/>
        <tr r="PV14" s="1"/>
      </tp>
      <tp t="e">
        <v>#N/A</v>
        <stp/>
        <stp>BDP|14323232425690580019</stp>
        <tr r="O7" s="25"/>
      </tp>
      <tp t="e">
        <v>#N/A</v>
        <stp/>
        <stp>BDP|12666726394738518042</stp>
        <tr r="H16" s="22"/>
      </tp>
      <tp t="e">
        <v>#N/A</v>
        <stp/>
        <stp>BDP|13479792620194992659</stp>
        <tr r="O8" s="22"/>
      </tp>
      <tp t="e">
        <v>#N/A</v>
        <stp/>
        <stp>BDP|15858032142050897515</stp>
        <tr r="NE17" s="1"/>
      </tp>
      <tp t="e">
        <v>#N/A</v>
        <stp/>
        <stp>BDP|15532101736593438079</stp>
        <tr r="AS13" s="1"/>
      </tp>
      <tp t="e">
        <v>#N/A</v>
        <stp/>
        <stp>BDP|12223912417979535716</stp>
        <tr r="PV15" s="1"/>
      </tp>
      <tp t="e">
        <v>#N/A</v>
        <stp/>
        <stp>BDP|13427006132597779315</stp>
        <tr r="QO16" s="1"/>
      </tp>
      <tp t="e">
        <v>#N/A</v>
        <stp/>
        <stp>BDP|15950087242096265316</stp>
        <tr r="O14" s="24"/>
        <tr r="O14" s="23"/>
        <tr r="O14" s="22"/>
      </tp>
      <tp t="e">
        <v>#N/A</v>
        <stp/>
        <stp>BDP|11440734360016774205</stp>
        <tr r="KI23" s="1"/>
      </tp>
      <tp t="e">
        <v>#N/A</v>
        <stp/>
        <stp>BDP|12955281263545735750</stp>
        <tr r="J11" s="23"/>
      </tp>
      <tp t="e">
        <v>#N/A</v>
        <stp/>
        <stp>BDP|12622840820445357913</stp>
        <tr r="RO27" s="1"/>
      </tp>
      <tp t="e">
        <v>#N/A</v>
        <stp/>
        <stp>BDP|18130693915353476893</stp>
        <tr r="AU18" s="1"/>
        <tr r="MF23" s="1"/>
        <tr r="OH22" s="1"/>
        <tr r="T20" s="1"/>
      </tp>
      <tp t="e">
        <v>#N/A</v>
        <stp/>
        <stp>BDP|17651224431212193071</stp>
        <tr r="N5" s="25"/>
      </tp>
      <tp t="e">
        <v>#N/A</v>
        <stp/>
        <stp>BDP|15334197909856069609</stp>
        <tr r="C129" s="22"/>
        <tr r="C169" s="22"/>
      </tp>
      <tp t="e">
        <v>#N/A</v>
        <stp/>
        <stp>BDP|11366144912315461023</stp>
        <tr r="DA12" s="1"/>
        <tr r="LI10" s="1"/>
      </tp>
      <tp t="e">
        <v>#N/A</v>
        <stp/>
        <stp>BDP|14882190672882529449</stp>
        <tr r="IO26" s="1"/>
      </tp>
      <tp t="e">
        <v>#N/A</v>
        <stp/>
        <stp>BDP|16644979988185963622</stp>
        <tr r="QJ11" s="1"/>
      </tp>
      <tp t="e">
        <v>#N/A</v>
        <stp/>
        <stp>BDP|15683753133447418263</stp>
        <tr r="KH28" s="1"/>
      </tp>
      <tp t="e">
        <v>#N/A</v>
        <stp/>
        <stp>BDP|15914226156957843179</stp>
        <tr r="N269" s="22"/>
      </tp>
      <tp t="e">
        <v>#N/A</v>
        <stp/>
        <stp>BDP|12429655036520703323</stp>
        <tr r="C57" s="22"/>
        <tr r="C96" s="22"/>
      </tp>
      <tp t="e">
        <v>#N/A</v>
        <stp/>
        <stp>BDP|12305118150065581754</stp>
        <tr r="GE25" s="1"/>
      </tp>
      <tp t="e">
        <v>#N/A</v>
        <stp/>
        <stp>BDP|16631191739939313902</stp>
        <tr r="MS8" s="1"/>
        <tr r="OU9" s="1"/>
      </tp>
      <tp t="e">
        <v>#N/A</v>
        <stp/>
        <stp>BDP|11032119623391273751</stp>
        <tr r="IB16" s="1"/>
      </tp>
      <tp t="e">
        <v>#N/A</v>
        <stp/>
        <stp>BDP|15163208285068363327</stp>
        <tr r="OC6" s="1"/>
      </tp>
      <tp t="e">
        <v>#N/A</v>
        <stp/>
        <stp>BDP|14065198115049023993</stp>
        <tr r="HN25" s="1"/>
        <tr r="PV26" s="1"/>
      </tp>
      <tp t="e">
        <v>#N/A</v>
        <stp/>
        <stp>BDP|12349487242534958250</stp>
        <tr r="CU16" s="1"/>
        <tr r="BT15" s="1"/>
      </tp>
      <tp t="e">
        <v>#N/A</v>
        <stp/>
        <stp>BDP|14418386834270534085</stp>
        <tr r="RX10" s="1"/>
      </tp>
      <tp t="e">
        <v>#N/A</v>
        <stp/>
        <stp>BDP|10762213865421041167</stp>
        <tr r="JC14" s="1"/>
      </tp>
      <tp t="e">
        <v>#N/A</v>
        <stp/>
        <stp>BDP|10848895455161048816</stp>
        <tr r="P274" s="22"/>
      </tp>
      <tp t="e">
        <v>#N/A</v>
        <stp/>
        <stp>BDP|18418077999267627297</stp>
        <tr r="P11" s="24"/>
      </tp>
      <tp t="e">
        <v>#N/A</v>
        <stp/>
        <stp>BDP|17938491893109654706</stp>
        <tr r="P6" s="23"/>
      </tp>
      <tp t="e">
        <v>#N/A</v>
        <stp/>
        <stp>BDP|15977227413880907253</stp>
        <tr r="CW9" s="1"/>
      </tp>
      <tp t="e">
        <v>#N/A</v>
        <stp/>
        <stp>BDP|11680657728471781089</stp>
        <tr r="DA14" s="1"/>
      </tp>
      <tp t="e">
        <v>#N/A</v>
        <stp/>
        <stp>BDP|16746008820505326509</stp>
        <tr r="N54" s="22"/>
        <tr r="N86" s="22"/>
      </tp>
      <tp t="e">
        <v>#N/A</v>
        <stp/>
        <stp>BDP|11580090013430214498</stp>
        <tr r="PV13" s="1"/>
      </tp>
      <tp t="e">
        <v>#N/A</v>
        <stp/>
        <stp>BDP|11024162057150586130</stp>
        <tr r="J383" s="22"/>
      </tp>
      <tp t="e">
        <v>#N/A</v>
        <stp/>
        <stp>BDP|14584421258687842603</stp>
        <tr r="DS11" s="1"/>
        <tr r="OC10" s="1"/>
      </tp>
      <tp t="e">
        <v>#N/A</v>
        <stp/>
        <stp>BDP|15230409237045702357</stp>
        <tr r="DA23" s="1"/>
        <tr r="LI19" s="1"/>
        <tr r="MJ37" s="1"/>
        <tr r="NK30" s="1"/>
      </tp>
      <tp t="e">
        <v>#N/A</v>
        <stp/>
        <stp>BDP|14770923084466746717</stp>
        <tr r="MA28" s="1"/>
        <tr r="NB24" s="1"/>
      </tp>
      <tp t="e">
        <v>#N/A</v>
        <stp/>
        <stp>BDP|12406053763557268772</stp>
        <tr r="BH12" s="1"/>
      </tp>
      <tp t="e">
        <v>#N/A</v>
        <stp/>
        <stp>BDP|17892637158574733439</stp>
        <tr r="GY39" s="1"/>
      </tp>
      <tp t="e">
        <v>#N/A</v>
        <stp/>
        <stp>BDP|10824562895738556097</stp>
        <tr r="IO13" s="1"/>
      </tp>
      <tp t="e">
        <v>#N/A</v>
        <stp/>
        <stp>BDP|13854417106286012598</stp>
        <tr r="MF18" s="1"/>
        <tr r="NG16" s="1"/>
      </tp>
      <tp t="e">
        <v>#N/A</v>
        <stp/>
        <stp>BDP|17261167830442583373</stp>
        <tr r="IO7" s="1"/>
      </tp>
      <tp t="e">
        <v>#N/A</v>
        <stp/>
        <stp>BDP|16295767765354054776</stp>
        <tr r="JY31" s="1"/>
      </tp>
      <tp t="e">
        <v>#N/A</v>
        <stp/>
        <stp>BDP|13534069786689782643</stp>
        <tr r="P7" s="23"/>
      </tp>
      <tp t="e">
        <v>#N/A</v>
        <stp/>
        <stp>BDP|16648782966142995178</stp>
        <tr r="RP14" s="1"/>
      </tp>
      <tp t="e">
        <v>#N/A</v>
        <stp/>
        <stp>BDP|11301471336854343784</stp>
        <tr r="CA9" s="1"/>
      </tp>
      <tp t="e">
        <v>#N/A</v>
        <stp/>
        <stp>BDP|14761318402696411491</stp>
        <tr r="C349" s="22"/>
      </tp>
      <tp t="e">
        <v>#N/A</v>
        <stp/>
        <stp>BDP|13006242321916856046</stp>
        <tr r="OL11" s="1"/>
        <tr r="X38" s="1"/>
      </tp>
      <tp t="e">
        <v>#N/A</v>
        <stp/>
        <stp>BDP|10727801796893845703</stp>
        <tr r="C4" s="24"/>
      </tp>
      <tp t="e">
        <v>#N/A</v>
        <stp/>
        <stp>BDP|16236066341633839446</stp>
        <tr r="QH14" s="1"/>
      </tp>
      <tp t="e">
        <v>#N/A</v>
        <stp/>
        <stp>BDP|17989230662162737470</stp>
        <tr r="C5" s="25"/>
      </tp>
      <tp t="e">
        <v>#N/A</v>
        <stp/>
        <stp>BDP|18052978834485229296</stp>
        <tr r="GM9" s="1"/>
      </tp>
      <tp t="e">
        <v>#N/A</v>
        <stp/>
        <stp>BDP|12483624942571827448</stp>
        <tr r="DB18" s="1"/>
        <tr r="LJ14" s="1"/>
      </tp>
      <tp t="e">
        <v>#N/A</v>
        <stp/>
        <stp>BDP|13646551738773349304</stp>
        <tr r="CR21" s="1"/>
        <tr r="KZ18" s="1"/>
      </tp>
      <tp t="e">
        <v>#N/A</v>
        <stp/>
        <stp>BDP|11147131019495131119</stp>
        <tr r="LI16" s="1"/>
      </tp>
      <tp t="e">
        <v>#N/A</v>
        <stp/>
        <stp>BDP|18409883645564764552</stp>
        <tr r="HE9" s="1"/>
      </tp>
      <tp t="e">
        <v>#N/A</v>
        <stp/>
        <stp>BDP|12123145418540467722</stp>
        <tr r="HF28" s="1"/>
        <tr r="IG22" s="1"/>
      </tp>
      <tp t="e">
        <v>#N/A</v>
        <stp/>
        <stp>BDP|11497906513534940858</stp>
        <tr r="J7" s="25"/>
      </tp>
      <tp t="e">
        <v>#N/A</v>
        <stp/>
        <stp>BDP|15939521908793036682</stp>
        <tr r="GD34" s="1"/>
      </tp>
      <tp t="e">
        <v>#N/A</v>
        <stp/>
        <stp>BDP|10394090854314493417</stp>
        <tr r="IB14" s="1"/>
      </tp>
      <tp t="e">
        <v>#N/A</v>
        <stp/>
        <stp>BDP|11644180435672334422</stp>
        <tr r="MA26" s="1"/>
        <tr r="NB22" s="1"/>
      </tp>
      <tp t="e">
        <v>#N/A</v>
        <stp/>
        <stp>BDP|16849570513941177678</stp>
        <tr r="P271" s="22"/>
      </tp>
      <tp t="e">
        <v>#N/A</v>
        <stp/>
        <stp>BDP|14665734827216814203</stp>
        <tr r="QH9" s="1"/>
        <tr r="NE10" s="1"/>
        <tr r="JA11" s="1"/>
        <tr r="FX18" s="1"/>
        <tr r="EW25" s="1"/>
        <tr r="R30" s="1"/>
      </tp>
      <tp t="e">
        <v>#N/A</v>
        <stp/>
        <stp>BDP|13937099323067934308</stp>
        <tr r="KI30" s="1"/>
      </tp>
      <tp t="e">
        <v>#N/A</v>
        <stp/>
        <stp>BDP|14984741575408580972</stp>
        <tr r="AG31" s="1"/>
        <tr r="GM24" s="1"/>
      </tp>
      <tp t="e">
        <v>#N/A</v>
        <stp/>
        <stp>BDP|11422201268024235444</stp>
        <tr r="J9" s="22"/>
      </tp>
      <tp t="e">
        <v>#N/A</v>
        <stp/>
        <stp>BDP|13882281104523026794</stp>
        <tr r="RK18" s="1"/>
      </tp>
      <tp t="e">
        <v>#N/A</v>
        <stp/>
        <stp>BDP|11846879049331917925</stp>
        <tr r="O61" s="22"/>
        <tr r="O98" s="22"/>
      </tp>
      <tp t="e">
        <v>#N/A</v>
        <stp/>
        <stp>BDP|16910960949828382682</stp>
        <tr r="LI9" s="1"/>
      </tp>
      <tp t="e">
        <v>#N/A</v>
        <stp/>
        <stp>BDP|15534474901311944575</stp>
        <tr r="QH17" s="1"/>
      </tp>
      <tp t="e">
        <v>#N/A</v>
        <stp/>
        <stp>BDP|15522975033269991358</stp>
        <tr r="MK33" s="1"/>
        <tr r="PN28" s="1"/>
      </tp>
      <tp t="e">
        <v>#N/A</v>
        <stp/>
        <stp>BDP|13587593457206134061</stp>
        <tr r="P367" s="22"/>
        <tr r="P389" s="22"/>
        <tr r="P411" s="22"/>
      </tp>
      <tp t="e">
        <v>#N/A</v>
        <stp/>
        <stp>BDP|16865228671606123064</stp>
        <tr r="HE36" s="1"/>
        <tr r="X19" s="1"/>
      </tp>
      <tp t="e">
        <v>#N/A</v>
        <stp/>
        <stp>BDP|13739546534525938523</stp>
        <tr r="OF21" s="1"/>
      </tp>
      <tp t="e">
        <v>#N/A</v>
        <stp/>
        <stp>BDP|13751707618492319202</stp>
        <tr r="PI17" s="1"/>
      </tp>
      <tp t="e">
        <v>#N/A</v>
        <stp/>
        <stp>BDP|15453364677667858316</stp>
        <tr r="AU9" s="1"/>
      </tp>
      <tp t="e">
        <v>#N/A</v>
        <stp/>
        <stp>BDP|10905966740641186916</stp>
        <tr r="FC24" s="1"/>
        <tr r="X29" s="1"/>
      </tp>
      <tp t="e">
        <v>#N/A</v>
        <stp/>
        <stp>BDP|14389387091783472812</stp>
        <tr r="AZ17" s="1"/>
        <tr r="NL20" s="1"/>
      </tp>
      <tp t="e">
        <v>#N/A</v>
        <stp/>
        <stp>BDP|11277422362247525182</stp>
        <tr r="RO18" s="1"/>
      </tp>
      <tp t="e">
        <v>#N/A</v>
        <stp/>
        <stp>BDP|16500761276087380482</stp>
        <tr r="J292" s="22"/>
      </tp>
      <tp t="e">
        <v>#N/A</v>
        <stp/>
        <stp>BDP|13312215373954970765</stp>
        <tr r="P11" s="22"/>
      </tp>
      <tp t="e">
        <v>#N/A</v>
        <stp/>
        <stp>BDP|13800912382352293574</stp>
        <tr r="H93" s="22"/>
        <tr r="H52" s="22"/>
      </tp>
      <tp t="e">
        <v>#N/A</v>
        <stp/>
        <stp>BDP|16611690601347419243</stp>
        <tr r="FL12" s="1"/>
        <tr r="MS36" s="1"/>
        <tr r="NT29" s="1"/>
        <tr r="AG14" s="1"/>
      </tp>
      <tp t="e">
        <v>#N/A</v>
        <stp/>
        <stp>BDP|14093424028466367178</stp>
        <tr r="H191" s="22"/>
        <tr r="H153" s="22"/>
      </tp>
      <tp t="e">
        <v>#N/A</v>
        <stp/>
        <stp>BDP|12910126845355603761</stp>
        <tr r="PV16" s="1"/>
      </tp>
      <tp t="e">
        <v>#N/A</v>
        <stp/>
        <stp>BDP|17207367545156137319</stp>
        <tr r="H362" s="22"/>
      </tp>
      <tp t="e">
        <v>#N/A</v>
        <stp/>
        <stp>BDP|10052022223987215029</stp>
        <tr r="J45" s="22"/>
        <tr r="J90" s="22"/>
      </tp>
      <tp t="e">
        <v>#N/A</v>
        <stp/>
        <stp>BDP|10316748466697562342</stp>
        <tr r="JC19" s="1"/>
      </tp>
      <tp t="e">
        <v>#N/A</v>
        <stp/>
        <stp>BDP|14612710985877729954</stp>
        <tr r="J49" s="22"/>
      </tp>
      <tp t="e">
        <v>#N/A</v>
        <stp/>
        <stp>BDP|16536033714966410464</stp>
        <tr r="MA14" s="1"/>
        <tr r="OC12" s="1"/>
      </tp>
      <tp t="e">
        <v>#N/A</v>
        <stp/>
        <stp>BDP|15865885983361419173</stp>
        <tr r="J20" s="22"/>
      </tp>
      <tp t="e">
        <v>#N/A</v>
        <stp/>
        <stp>BDP|11635537838163823156</stp>
        <tr r="MF16" s="1"/>
        <tr r="OH15" s="1"/>
        <tr r="T13" s="1"/>
      </tp>
      <tp t="e">
        <v>#N/A</v>
        <stp/>
        <stp>BDP|17488718164533205033</stp>
        <tr r="N14" s="24"/>
        <tr r="N14" s="23"/>
        <tr r="N14" s="22"/>
      </tp>
      <tp t="e">
        <v>#N/A</v>
        <stp/>
        <stp>BDP|17881788816484256047</stp>
        <tr r="PD10" s="1"/>
      </tp>
      <tp t="e">
        <v>#N/A</v>
        <stp/>
        <stp>BDP|10749395256216986523</stp>
        <tr r="JY34" s="1"/>
      </tp>
      <tp t="e">
        <v>#N/A</v>
        <stp/>
        <stp>BDP|12832156226632186698</stp>
        <tr r="QO14" s="1"/>
      </tp>
      <tp t="e">
        <v>#N/A</v>
        <stp/>
        <stp>BDP|18373634452717847992</stp>
        <tr r="FZ15" s="1"/>
        <tr r="JC8" s="1"/>
        <tr r="KD11" s="1"/>
      </tp>
      <tp t="e">
        <v>#N/A</v>
        <stp/>
        <stp>BDP|15501327008045555694</stp>
        <tr r="OF11" s="1"/>
        <tr r="R38" s="1"/>
      </tp>
      <tp t="e">
        <v>#N/A</v>
        <stp/>
        <stp>BDP|17977136329303470240</stp>
        <tr r="C15" s="25"/>
      </tp>
      <tp t="e">
        <v>#N/A</v>
        <stp/>
        <stp>BDP|15574848607170235878</stp>
        <tr r="H290" s="22"/>
        <tr r="H53" s="22"/>
      </tp>
      <tp t="e">
        <v>#N/A</v>
        <stp/>
        <stp>BDP|15265637409996892035</stp>
        <tr r="J346" s="22"/>
      </tp>
      <tp t="e">
        <v>#N/A</v>
        <stp/>
        <stp>BDP|15308785720840164580</stp>
        <tr r="PG24" s="1"/>
      </tp>
      <tp t="e">
        <v>#N/A</v>
        <stp/>
        <stp>BDP|18420816347316146719</stp>
        <tr r="DB8" s="1"/>
      </tp>
      <tp t="e">
        <v>#N/A</v>
        <stp/>
        <stp>BDP|17983557672851889146</stp>
        <tr r="J7" s="23"/>
      </tp>
      <tp t="e">
        <v>#N/A</v>
        <stp/>
        <stp>BDP|17260089017605895679</stp>
        <tr r="EK10" s="1"/>
      </tp>
      <tp t="e">
        <v>#N/A</v>
        <stp/>
        <stp>BDP|13868411361374273081</stp>
        <tr r="P58" s="22"/>
        <tr r="P99" s="22"/>
      </tp>
      <tp t="e">
        <v>#N/A</v>
        <stp/>
        <stp>BDP|12791515860822776632</stp>
        <tr r="AS10" s="1"/>
      </tp>
      <tp t="e">
        <v>#N/A</v>
        <stp/>
        <stp>BDP|15779718524026000309</stp>
        <tr r="H271" s="22"/>
      </tp>
      <tp t="e">
        <v>#N/A</v>
        <stp/>
        <stp>BDP|16098022532987334714</stp>
        <tr r="J11" s="22"/>
      </tp>
      <tp t="e">
        <v>#N/A</v>
        <stp/>
        <stp>BDP|10583130961462190041</stp>
        <tr r="M289" s="22"/>
      </tp>
      <tp t="e">
        <v>#N/A</v>
        <stp/>
        <stp>BDP|13689036683458327600</stp>
        <tr r="J5" s="22"/>
      </tp>
      <tp t="e">
        <v>#N/A</v>
        <stp/>
        <stp>BDP|17658202102021610174</stp>
        <tr r="QH26" s="1"/>
      </tp>
      <tp t="e">
        <v>#N/A</v>
        <stp/>
        <stp>BDP|17136618746551092137</stp>
        <tr r="IG13" s="1"/>
      </tp>
      <tp t="e">
        <v>#N/A</v>
        <stp/>
        <stp>BDP|12655733078066801100</stp>
        <tr r="MJ29" s="1"/>
        <tr r="OL24" s="1"/>
      </tp>
      <tp t="e">
        <v>#N/A</v>
        <stp/>
        <stp>BDP|14620641448947951476</stp>
        <tr r="IF7" s="1"/>
      </tp>
      <tp t="e">
        <v>#N/A</v>
        <stp/>
        <stp>BDP|14699062118090425081</stp>
        <tr r="O367" s="22"/>
        <tr r="O389" s="22"/>
        <tr r="O411" s="22"/>
      </tp>
      <tp t="e">
        <v>#N/A</v>
        <stp/>
        <stp>BDP|12103962454073131869</stp>
        <tr r="BH22" s="1"/>
      </tp>
      <tp t="e">
        <v>#N/A</v>
        <stp/>
        <stp>BDP|12191290526750930732</stp>
        <tr r="IF20" s="1"/>
      </tp>
      <tp t="e">
        <v>#N/A</v>
        <stp/>
        <stp>BDP|16130373660960132634</stp>
        <tr r="O208" s="22"/>
        <tr r="O230" s="22"/>
      </tp>
      <tp t="e">
        <v>#N/A</v>
        <stp/>
        <stp>BDP|11345012635415699258</stp>
        <tr r="HW12" s="1"/>
      </tp>
      <tp t="e">
        <v>#N/A</v>
        <stp/>
        <stp>BDP|10633844055890264820</stp>
        <tr r="P252" s="22"/>
      </tp>
      <tp t="e">
        <v>#N/A</v>
        <stp/>
        <stp>BDP|16690845694834427655</stp>
        <tr r="EC6" s="1"/>
      </tp>
      <tp t="e">
        <v>#N/A</v>
        <stp/>
        <stp>BDP|17155347848450223585</stp>
        <tr r="QH13" s="1"/>
        <tr r="FX20" s="1"/>
      </tp>
      <tp t="e">
        <v>#N/A</v>
        <stp/>
        <stp>BDP|15507626729664117084</stp>
        <tr r="N208" s="22"/>
        <tr r="N230" s="22"/>
      </tp>
      <tp t="e">
        <v>#N/A</v>
        <stp/>
        <stp>BDP|11576162967292396114</stp>
        <tr r="JY27" s="1"/>
      </tp>
      <tp t="e">
        <v>#N/A</v>
        <stp/>
        <stp>BDP|14052859490295016537</stp>
        <tr r="O5" s="24"/>
      </tp>
      <tp t="e">
        <v>#N/A</v>
        <stp/>
        <stp>BDP|15844151817946812645</stp>
        <tr r="O148" s="22"/>
      </tp>
      <tp t="e">
        <v>#N/A</v>
        <stp/>
        <stp>BDP|15737981342619952422</stp>
        <tr r="J331" s="22"/>
      </tp>
      <tp t="e">
        <v>#N/A</v>
        <stp/>
        <stp>BDP|11355221196146827997</stp>
        <tr r="LC8" s="1"/>
        <tr r="CU11" s="1"/>
      </tp>
      <tp t="e">
        <v>#N/A</v>
        <stp/>
        <stp>BDP|14769611112522474462</stp>
        <tr r="N46" s="22"/>
        <tr r="N87" s="22"/>
      </tp>
      <tp t="e">
        <v>#N/A</v>
        <stp/>
        <stp>BDP|15253526691275064971</stp>
        <tr r="J48" s="22"/>
        <tr r="J89" s="22"/>
      </tp>
      <tp t="e">
        <v>#N/A</v>
        <stp/>
        <stp>BDP|11327558950964218024</stp>
        <tr r="IB15" s="1"/>
      </tp>
      <tp t="e">
        <v>#N/A</v>
        <stp/>
        <stp>BDP|8081471902861393</stp>
        <tr r="M17" s="25"/>
      </tp>
      <tp t="e">
        <v>#N/A</v>
        <stp/>
        <stp>BDP|8536120961396559594</stp>
        <tr r="H5" s="23"/>
      </tp>
      <tp t="e">
        <v>#N/A</v>
        <stp/>
        <stp>BDP|1237876062831884255</stp>
        <tr r="N130" s="22"/>
        <tr r="N170" s="22"/>
      </tp>
      <tp t="e">
        <v>#N/A</v>
        <stp/>
        <stp>BDP|4027404883445979101</stp>
        <tr r="H274" s="22"/>
      </tp>
      <tp t="e">
        <v>#N/A</v>
        <stp/>
        <stp>BDP|1434844305543995677</stp>
        <tr r="DB24" s="1"/>
        <tr r="LJ20" s="1"/>
      </tp>
      <tp t="e">
        <v>#N/A</v>
        <stp/>
        <stp>BDP|2223891573035215413</stp>
        <tr r="GV11" s="1"/>
        <tr r="MA10" s="1"/>
      </tp>
      <tp t="e">
        <v>#N/A</v>
        <stp/>
        <stp>BDP|5819755616426130912</stp>
        <tr r="NT7" s="1"/>
      </tp>
      <tp t="e">
        <v>#N/A</v>
        <stp/>
        <stp>BDP|7900127056869386654</stp>
        <tr r="P7" s="25"/>
      </tp>
      <tp t="e">
        <v>#N/A</v>
        <stp/>
        <stp>BDP|8473527962172643590</stp>
        <tr r="C365" s="22"/>
        <tr r="C386" s="22"/>
      </tp>
      <tp t="e">
        <v>#N/A</v>
        <stp/>
        <stp>BDP|6476440224225840976</stp>
        <tr r="RO15" s="1"/>
      </tp>
      <tp t="e">
        <v>#N/A</v>
        <stp/>
        <stp>BDP|8102564060350976765</stp>
        <tr r="P410" s="22"/>
      </tp>
      <tp t="e">
        <v>#N/A</v>
        <stp/>
        <stp>BDP|8939646864726002217</stp>
        <tr r="PG20" s="1"/>
      </tp>
      <tp t="e">
        <v>#N/A</v>
        <stp/>
        <stp>BDP|8313089330646697144</stp>
        <tr r="J129" s="22"/>
        <tr r="J169" s="22"/>
      </tp>
      <tp t="e">
        <v>#N/A</v>
        <stp/>
        <stp>BDP|4176360513599926343</stp>
        <tr r="FU11" s="1"/>
      </tp>
      <tp t="e">
        <v>#N/A</v>
        <stp/>
        <stp>BDP|5989460981161485433</stp>
        <tr r="KB15" s="1"/>
      </tp>
      <tp t="e">
        <v>#N/A</v>
        <stp/>
        <stp>BDP|5246526417269912408</stp>
        <tr r="KB19" s="1"/>
      </tp>
      <tp t="e">
        <v>#N/A</v>
        <stp/>
        <stp>BDP|5299403598297598318</stp>
        <tr r="CI12" s="1"/>
      </tp>
      <tp t="e">
        <v>#N/A</v>
        <stp/>
        <stp>BDP|8393801913789711492</stp>
        <tr r="IF21" s="1"/>
      </tp>
      <tp t="e">
        <v>#N/A</v>
        <stp/>
        <stp>BDP|3999955862605441557</stp>
        <tr r="EB20" s="1"/>
        <tr r="OL25" s="1"/>
      </tp>
      <tp t="e">
        <v>#N/A</v>
        <stp/>
        <stp>BDP|5938188923528530283</stp>
        <tr r="C362" s="22"/>
        <tr r="C380" s="22"/>
      </tp>
      <tp t="e">
        <v>#N/A</v>
        <stp/>
        <stp>BDP|9941492900601736083</stp>
        <tr r="KD38" s="1"/>
      </tp>
      <tp t="e">
        <v>#N/A</v>
        <stp/>
        <stp>BDP|8354988907044597961</stp>
        <tr r="OF17" s="1"/>
        <tr r="MD19" s="1"/>
        <tr r="DV12" s="1"/>
        <tr r="AS11" s="1"/>
      </tp>
      <tp t="e">
        <v>#N/A</v>
        <stp/>
        <stp>BDP|5987162393929745843</stp>
        <tr r="P345" s="22"/>
      </tp>
      <tp t="e">
        <v>#N/A</v>
        <stp/>
        <stp>BDP|3068288681194665134</stp>
        <tr r="RF20" s="1"/>
      </tp>
      <tp t="e">
        <v>#N/A</v>
        <stp/>
        <stp>BDP|1545737832491902811</stp>
        <tr r="QO22" s="1"/>
      </tp>
      <tp t="e">
        <v>#N/A</v>
        <stp/>
        <stp>BDP|8783853113135559894</stp>
        <tr r="IG7" s="1"/>
      </tp>
      <tp t="e">
        <v>#N/A</v>
        <stp/>
        <stp>BDP|6233146418293683952</stp>
        <tr r="P129" s="22"/>
        <tr r="P169" s="22"/>
      </tp>
      <tp t="e">
        <v>#N/A</v>
        <stp/>
        <stp>BDP|7909116173614560938</stp>
        <tr r="KB20" s="1"/>
      </tp>
      <tp t="e">
        <v>#N/A</v>
        <stp/>
        <stp>BDP|4073857671322867515</stp>
        <tr r="O125" s="22"/>
        <tr r="O167" s="22"/>
      </tp>
      <tp t="e">
        <v>#N/A</v>
        <stp/>
        <stp>BDP|5220955515185814470</stp>
        <tr r="C208" s="22"/>
        <tr r="C230" s="22"/>
      </tp>
      <tp t="e">
        <v>#N/A</v>
        <stp/>
        <stp>BDP|1813783130749185036</stp>
        <tr r="C18" s="25"/>
      </tp>
      <tp t="e">
        <v>#N/A</v>
        <stp/>
        <stp>BDP|1442032576508486271</stp>
        <tr r="KH33" s="1"/>
        <tr r="RO29" s="1"/>
      </tp>
      <tp t="e">
        <v>#N/A</v>
        <stp/>
        <stp>BDP|3187457774639762552</stp>
        <tr r="JH20" s="1"/>
        <tr r="RP24" s="1"/>
      </tp>
      <tp t="e">
        <v>#N/A</v>
        <stp/>
        <stp>BDP|3574767756378419537</stp>
        <tr r="LE16" s="1"/>
      </tp>
      <tp t="e">
        <v>#N/A</v>
        <stp/>
        <stp>BDP|6328104540668146703</stp>
        <tr r="M60" s="22"/>
        <tr r="M97" s="22"/>
      </tp>
      <tp t="e">
        <v>#N/A</v>
        <stp/>
        <stp>BDP|6020167911253219968</stp>
        <tr r="KI33" s="1"/>
        <tr r="RP29" s="1"/>
      </tp>
      <tp t="e">
        <v>#N/A</v>
        <stp/>
        <stp>BDP|4945817760952896432</stp>
        <tr r="QN21" s="1"/>
      </tp>
      <tp t="e">
        <v>#N/A</v>
        <stp/>
        <stp>BDP|3071896195726942862</stp>
        <tr r="AP23" s="1"/>
      </tp>
      <tp t="e">
        <v>#N/A</v>
        <stp/>
        <stp>BDP|6553657833657155811</stp>
        <tr r="PM18" s="1"/>
      </tp>
      <tp t="e">
        <v>#N/A</v>
        <stp/>
        <stp>BDP|7057936193812150928</stp>
        <tr r="JY15" s="1"/>
      </tp>
      <tp t="e">
        <v>#N/A</v>
        <stp/>
        <stp>BDP|7094935841787370116</stp>
        <tr r="M154" s="22"/>
        <tr r="M192" s="22"/>
      </tp>
      <tp t="e">
        <v>#N/A</v>
        <stp/>
        <stp>BDP|4585409570942334965</stp>
        <tr r="QJ6" s="1"/>
      </tp>
      <tp t="e">
        <v>#N/A</v>
        <stp/>
        <stp>BDP|5730056176157349970</stp>
        <tr r="OL23" s="1"/>
      </tp>
      <tp t="e">
        <v>#N/A</v>
        <stp/>
        <stp>BDP|4089870151350397552</stp>
        <tr r="P313" s="22"/>
      </tp>
      <tp t="e">
        <v>#N/A</v>
        <stp/>
        <stp>BDP|8797765314801327362</stp>
        <tr r="FZ35" s="1"/>
      </tp>
      <tp t="e">
        <v>#N/A</v>
        <stp/>
        <stp>BDP|5511368225081166978</stp>
        <tr r="AP24" s="1"/>
      </tp>
      <tp t="e">
        <v>#N/A</v>
        <stp/>
        <stp>BDP|1406310184917553154</stp>
        <tr r="PM25" s="1"/>
      </tp>
      <tp t="e">
        <v>#N/A</v>
        <stp/>
        <stp>BDP|6403799458469125154</stp>
        <tr r="P294" s="22"/>
      </tp>
      <tp t="e">
        <v>#N/A</v>
        <stp/>
        <stp>BDP|3493602770099151745</stp>
        <tr r="M15" s="22"/>
      </tp>
      <tp t="e">
        <v>#N/A</v>
        <stp/>
        <stp>BDP|7350860061342034758</stp>
        <tr r="J268" s="22"/>
      </tp>
      <tp t="e">
        <v>#N/A</v>
        <stp/>
        <stp>BDP|5342011673197931994</stp>
        <tr r="J16" s="23"/>
      </tp>
      <tp t="e">
        <v>#N/A</v>
        <stp/>
        <stp>BDP|3357939562631781146</stp>
        <tr r="GV33" s="1"/>
      </tp>
      <tp t="e">
        <v>#N/A</v>
        <stp/>
        <stp>BDP|1827676855298247694</stp>
        <tr r="FX26" s="1"/>
      </tp>
      <tp t="e">
        <v>#N/A</v>
        <stp/>
        <stp>BDP|3290311794254312126</stp>
        <tr r="JY33" s="1"/>
        <tr r="RF29" s="1"/>
      </tp>
      <tp t="e">
        <v>#N/A</v>
        <stp/>
        <stp>BDP|9102151590178472566</stp>
        <tr r="AP12" s="1"/>
      </tp>
      <tp t="e">
        <v>#N/A</v>
        <stp/>
        <stp>BDP|1248619295394660668</stp>
        <tr r="O347" s="22"/>
      </tp>
      <tp t="e">
        <v>#N/A</v>
        <stp/>
        <stp>BDP|4401820564415705330</stp>
        <tr r="JA19" s="1"/>
      </tp>
      <tp t="e">
        <v>#N/A</v>
        <stp/>
        <stp>BDP|9906608061683618697</stp>
        <tr r="NK21" s="1"/>
      </tp>
      <tp t="e">
        <v>#N/A</v>
        <stp/>
        <stp>BDP|2043267722958356604</stp>
        <tr r="T28" s="1"/>
      </tp>
      <tp t="e">
        <v>#N/A</v>
        <stp/>
        <stp>BDP|2184778720178284338</stp>
        <tr r="GD11" s="1"/>
      </tp>
      <tp t="e">
        <v>#N/A</v>
        <stp/>
        <stp>BDP|2136009456363044834</stp>
        <tr r="PG16" s="1"/>
      </tp>
      <tp t="e">
        <v>#N/A</v>
        <stp/>
        <stp>BDP|2627496869859430564</stp>
        <tr r="EC9" s="1"/>
      </tp>
      <tp t="e">
        <v>#N/A</v>
        <stp/>
        <stp>BDP|5413900743606636252</stp>
        <tr r="J4" s="24"/>
      </tp>
      <tp t="e">
        <v>#N/A</v>
        <stp/>
        <stp>BDP|3407970317360388720</stp>
        <tr r="QN12" s="1"/>
      </tp>
      <tp t="e">
        <v>#N/A</v>
        <stp/>
        <stp>BDP|9737736825649186956</stp>
        <tr r="HW6" s="1"/>
      </tp>
      <tp t="e">
        <v>#N/A</v>
        <stp/>
        <stp>BDP|9205914154909456064</stp>
        <tr r="GD26" s="1"/>
      </tp>
      <tp t="e">
        <v>#N/A</v>
        <stp/>
        <stp>BDP|1250643531499347119</stp>
        <tr r="MK17" s="1"/>
        <tr r="NL14" s="1"/>
      </tp>
      <tp t="e">
        <v>#N/A</v>
        <stp/>
        <stp>BDP|4272614433864346961</stp>
        <tr r="H253" s="22"/>
      </tp>
      <tp t="e">
        <v>#N/A</v>
        <stp/>
        <stp>BDP|4436116725433307866</stp>
        <tr r="QE14" s="1"/>
      </tp>
      <tp t="e">
        <v>#N/A</v>
        <stp/>
        <stp>BDP|3853113457789967220</stp>
        <tr r="CW17" s="1"/>
        <tr r="LE13" s="1"/>
      </tp>
      <tp t="e">
        <v>#N/A</v>
        <stp/>
        <stp>BDP|3987822422604565063</stp>
        <tr r="C11" s="24"/>
      </tp>
      <tp t="e">
        <v>#N/A</v>
        <stp/>
        <stp>BDP|6620659331629925713</stp>
        <tr r="H347" s="22"/>
      </tp>
      <tp t="e">
        <v>#N/A</v>
        <stp/>
        <stp>BDP|5058045270389972678</stp>
        <tr r="JG22" s="1"/>
      </tp>
      <tp t="e">
        <v>#N/A</v>
        <stp/>
        <stp>BDP|9676242054502985157</stp>
        <tr r="C46" s="22"/>
        <tr r="C87" s="22"/>
      </tp>
      <tp t="e">
        <v>#N/A</v>
        <stp/>
        <stp>BDP|4915019718590894824</stp>
        <tr r="HF24" s="1"/>
      </tp>
      <tp t="e">
        <v>#N/A</v>
        <stp/>
        <stp>BDP|8570184358721874077</stp>
        <tr r="GE15" s="1"/>
        <tr r="JH8" s="1"/>
        <tr r="KI11" s="1"/>
      </tp>
      <tp t="e">
        <v>#N/A</v>
        <stp/>
        <stp>BDP|2979343095237249219</stp>
        <tr r="QE6" s="1"/>
      </tp>
      <tp t="e">
        <v>#N/A</v>
        <stp/>
        <stp>BDP|7372395089068900918</stp>
        <tr r="H345" s="22"/>
      </tp>
      <tp t="e">
        <v>#N/A</v>
        <stp/>
        <stp>BDP|9558789705266340505</stp>
        <tr r="H367" s="22"/>
      </tp>
      <tp t="e">
        <v>#N/A</v>
        <stp/>
        <stp>BDP|3441320220576518980</stp>
        <tr r="JY18" s="1"/>
        <tr r="RF12" s="1"/>
      </tp>
      <tp t="e">
        <v>#N/A</v>
        <stp/>
        <stp>BDP|1871665581680146252</stp>
        <tr r="H251" s="22"/>
      </tp>
      <tp t="e">
        <v>#N/A</v>
        <stp/>
        <stp>BDP|5661831219241715002</stp>
        <tr r="JH28" s="1"/>
        <tr r="RP35" s="1"/>
      </tp>
      <tp t="e">
        <v>#N/A</v>
        <stp/>
        <stp>BDP|9055041602970633487</stp>
        <tr r="M94" s="22"/>
      </tp>
      <tp t="e">
        <v>#N/A</v>
        <stp/>
        <stp>BDP|2729576989933650175</stp>
        <tr r="IB8" s="1"/>
      </tp>
      <tp t="e">
        <v>#N/A</v>
        <stp/>
        <stp>BDP|7735339683426972766</stp>
        <tr r="GM7" s="1"/>
        <tr r="HN6" s="1"/>
      </tp>
      <tp t="e">
        <v>#N/A</v>
        <stp/>
        <stp>BDP|3429085267391008930</stp>
        <tr r="IB24" s="1"/>
      </tp>
      <tp t="e">
        <v>#N/A</v>
        <stp/>
        <stp>BDP|7858551914556921884</stp>
        <tr r="HW23" s="1"/>
      </tp>
      <tp t="e">
        <v>#N/A</v>
        <stp/>
        <stp>BDP|8851972297166505350</stp>
        <tr r="O17" s="23"/>
      </tp>
      <tp t="e">
        <v>#N/A</v>
        <stp/>
        <stp>BDP|9582195258256905659</stp>
        <tr r="H7" s="22"/>
      </tp>
      <tp t="e">
        <v>#N/A</v>
        <stp/>
        <stp>BDP|1206467008301448918</stp>
        <tr r="IB26" s="1"/>
      </tp>
      <tp t="e">
        <v>#N/A</v>
        <stp/>
        <stp>BDP|1737699540668139660</stp>
        <tr r="Y40" s="1"/>
      </tp>
      <tp t="e">
        <v>#N/A</v>
        <stp/>
        <stp>BDP|3098235861499936324</stp>
        <tr r="PG8" s="1"/>
      </tp>
      <tp t="e">
        <v>#N/A</v>
        <stp/>
        <stp>BDP|2599737887243111393</stp>
        <tr r="M16" s="25"/>
      </tp>
      <tp t="e">
        <v>#N/A</v>
        <stp/>
        <stp>BDP|8373679328407655638</stp>
        <tr r="C130" s="22"/>
        <tr r="C170" s="22"/>
      </tp>
      <tp t="e">
        <v>#N/A</v>
        <stp/>
        <stp>BDP|1733408092482852333</stp>
        <tr r="AG29" s="1"/>
        <tr r="FL24" s="1"/>
      </tp>
      <tp t="e">
        <v>#N/A</v>
        <stp/>
        <stp>BDP|5991724911476509814</stp>
        <tr r="GD29" s="1"/>
        <tr r="JG24" s="1"/>
      </tp>
      <tp t="e">
        <v>#N/A</v>
        <stp/>
        <stp>BDP|5120022341514997853</stp>
        <tr r="RF14" s="1"/>
      </tp>
      <tp t="e">
        <v>#N/A</v>
        <stp/>
        <stp>BDP|4378810458985579116</stp>
        <tr r="P254" s="22"/>
      </tp>
      <tp t="e">
        <v>#N/A</v>
        <stp/>
        <stp>BDP|2407894620156500364</stp>
        <tr r="O5" s="22"/>
      </tp>
      <tp t="e">
        <v>#N/A</v>
        <stp/>
        <stp>BDP|1844810611983596635</stp>
        <tr r="N254" s="22"/>
      </tp>
      <tp t="e">
        <v>#N/A</v>
        <stp/>
        <stp>BDP|3977094496002116592</stp>
        <tr r="LI12" s="1"/>
      </tp>
      <tp t="e">
        <v>#N/A</v>
        <stp/>
        <stp>BDP|9141914309348557523</stp>
        <tr r="IF24" s="1"/>
      </tp>
      <tp t="e">
        <v>#N/A</v>
        <stp/>
        <stp>BDP|3689572995902907034</stp>
        <tr r="JC21" s="1"/>
        <tr r="RK26" s="1"/>
      </tp>
      <tp t="e">
        <v>#N/A</v>
        <stp/>
        <stp>BDP|4420380176074425918</stp>
        <tr r="H273" s="22"/>
      </tp>
      <tp t="e">
        <v>#N/A</v>
        <stp/>
        <stp>BDP|7197953948332270515</stp>
        <tr r="GM15" s="1"/>
        <tr r="JP8" s="1"/>
        <tr r="KQ11" s="1"/>
      </tp>
      <tp t="e">
        <v>#N/A</v>
        <stp/>
        <stp>BDP|9844751976980301472</stp>
        <tr r="NE28" s="1"/>
      </tp>
      <tp t="e">
        <v>#N/A</v>
        <stp/>
        <stp>BDP|7756956559372275467</stp>
        <tr r="RI17" s="1"/>
      </tp>
      <tp t="e">
        <v>#N/A</v>
        <stp/>
        <stp>BDP|1929403062839336778</stp>
        <tr r="N291" s="22"/>
      </tp>
      <tp t="e">
        <v>#N/A</v>
        <stp/>
        <stp>BDP|1788422463979055793</stp>
        <tr r="MA24" s="1"/>
      </tp>
      <tp t="e">
        <v>#N/A</v>
        <stp/>
        <stp>BDP|7992042004108755225</stp>
        <tr r="EW24" s="1"/>
        <tr r="R29" s="1"/>
      </tp>
      <tp t="e">
        <v>#N/A</v>
        <stp/>
        <stp>BDP|4322292992980443201</stp>
        <tr r="RP15" s="1"/>
      </tp>
      <tp t="e">
        <v>#N/A</v>
        <stp/>
        <stp>BDP|5025943695561890952</stp>
        <tr r="P10" s="22"/>
      </tp>
      <tp t="e">
        <v>#N/A</v>
        <stp/>
        <stp>BDP|8918165396349789421</stp>
        <tr r="M52" s="22"/>
        <tr r="M93" s="22"/>
      </tp>
      <tp t="e">
        <v>#N/A</v>
        <stp/>
        <stp>BDP|8540507528352969086</stp>
        <tr r="CU10" s="1"/>
        <tr r="BT8" s="1"/>
      </tp>
      <tp t="e">
        <v>#N/A</v>
        <stp/>
        <stp>BDP|1405191299166966211</stp>
        <tr r="H17" s="23"/>
      </tp>
      <tp t="e">
        <v>#N/A</v>
        <stp/>
        <stp>BDP|1953613406532628847</stp>
        <tr r="FU30" s="1"/>
      </tp>
      <tp t="e">
        <v>#N/A</v>
        <stp/>
        <stp>BDP|5694700284550635790</stp>
        <tr r="JH12" s="1"/>
        <tr r="KI21" s="1"/>
      </tp>
      <tp t="e">
        <v>#N/A</v>
        <stp/>
        <stp>BDP|8428213860885184491</stp>
        <tr r="EK15" s="1"/>
      </tp>
      <tp t="e">
        <v>#N/A</v>
        <stp/>
        <stp>BDP|2753002267979733057</stp>
        <tr r="P328" s="22"/>
      </tp>
      <tp t="e">
        <v>#N/A</v>
        <stp/>
        <stp>BDP|5339726892026815099</stp>
        <tr r="J15" s="24"/>
      </tp>
      <tp t="e">
        <v>#N/A</v>
        <stp/>
        <stp>BDP|7036522226399191477</stp>
        <tr r="CA8" s="1"/>
        <tr r="DB10" s="1"/>
      </tp>
      <tp t="e">
        <v>#N/A</v>
        <stp/>
        <stp>BDP|9236436024560564227</stp>
        <tr r="KQ13" s="1"/>
      </tp>
      <tp t="e">
        <v>#N/A</v>
        <stp/>
        <stp>BDP|4170128991696513758</stp>
        <tr r="QE24" s="1"/>
      </tp>
      <tp t="e">
        <v>#N/A</v>
        <stp/>
        <stp>BDP|8417864487517061276</stp>
        <tr r="IG23" s="1"/>
      </tp>
      <tp t="e">
        <v>#N/A</v>
        <stp/>
        <stp>BDP|1689796529801266863</stp>
        <tr r="N405" s="22"/>
      </tp>
      <tp t="e">
        <v>#N/A</v>
        <stp/>
        <stp>BDP|8778266886248246772</stp>
        <tr r="MA35" s="1"/>
        <tr r="O25" s="1"/>
        <tr r="OC30" s="1"/>
      </tp>
      <tp t="e">
        <v>#N/A</v>
        <stp/>
        <stp>BDP|3202037693043387438</stp>
        <tr r="RP21" s="1"/>
      </tp>
      <tp t="e">
        <v>#N/A</v>
        <stp/>
        <stp>BDP|7459485177900930911</stp>
        <tr r="O100" s="22"/>
        <tr r="O59" s="22"/>
      </tp>
      <tp t="e">
        <v>#N/A</v>
        <stp/>
        <stp>BDP|7961744935247362987</stp>
        <tr r="H292" s="22"/>
      </tp>
      <tp t="e">
        <v>#N/A</v>
        <stp/>
        <stp>BDP|4310932305646120677</stp>
        <tr r="N153" s="22"/>
        <tr r="N191" s="22"/>
      </tp>
      <tp t="e">
        <v>#N/A</v>
        <stp/>
        <stp>BDP|3778111394062178402</stp>
        <tr r="J12" s="23"/>
        <tr r="J12" s="22"/>
      </tp>
      <tp t="e">
        <v>#N/A</v>
        <stp/>
        <stp>BDP|3581457591492094126</stp>
        <tr r="H8" s="23"/>
      </tp>
      <tp t="e">
        <v>#N/A</v>
        <stp/>
        <stp>BDP|8640155482995248934</stp>
        <tr r="LE11" s="1"/>
      </tp>
      <tp t="e">
        <v>#N/A</v>
        <stp/>
        <stp>BDP|7298157405343027827</stp>
        <tr r="C19" s="22"/>
      </tp>
      <tp t="e">
        <v>#N/A</v>
        <stp/>
        <stp>BDP|6375439234735723930</stp>
        <tr r="EY14" s="1"/>
        <tr r="T16" s="1"/>
      </tp>
      <tp t="e">
        <v>#N/A</v>
        <stp/>
        <stp>BDP|9580103046289122826</stp>
        <tr r="M58" s="22"/>
        <tr r="M99" s="22"/>
      </tp>
      <tp t="e">
        <v>#N/A</v>
        <stp/>
        <stp>BDP|3752200271819326251</stp>
        <tr r="HE26" s="1"/>
      </tp>
      <tp t="e">
        <v>#N/A</v>
        <stp/>
        <stp>BDP|2748870816074345251</stp>
        <tr r="M332" s="22"/>
      </tp>
      <tp t="e">
        <v>#N/A</v>
        <stp/>
        <stp>BDP|1621528860427274868</stp>
        <tr r="ET17" s="1"/>
        <tr r="MA7" s="1"/>
        <tr r="NB6" s="1"/>
      </tp>
      <tp t="e">
        <v>#N/A</v>
        <stp/>
        <stp>BDP|3520437498820899365</stp>
        <tr r="MA21" s="1"/>
        <tr r="NB19" s="1"/>
      </tp>
      <tp t="e">
        <v>#N/A</v>
        <stp/>
        <stp>BDP|5667318632459793127</stp>
        <tr r="QW21" s="1"/>
      </tp>
      <tp t="e">
        <v>#N/A</v>
        <stp/>
        <stp>BDP|5401541098630108484</stp>
        <tr r="N7" s="23"/>
      </tp>
      <tp t="e">
        <v>#N/A</v>
        <stp/>
        <stp>BDP|8830601769154181162</stp>
        <tr r="KD28" s="1"/>
      </tp>
      <tp t="e">
        <v>#N/A</v>
        <stp/>
        <stp>BDP|2536841763105622429</stp>
        <tr r="GV26" s="1"/>
      </tp>
      <tp t="e">
        <v>#N/A</v>
        <stp/>
        <stp>BDP|3096456181636050420</stp>
        <tr r="C207" s="22"/>
        <tr r="C229" s="22"/>
      </tp>
      <tp t="e">
        <v>#N/A</v>
        <stp/>
        <stp>BDP|8356248438065981109</stp>
        <tr r="O404" s="22"/>
      </tp>
      <tp t="e">
        <v>#N/A</v>
        <stp/>
        <stp>BDP|3083319291992273641</stp>
        <tr r="FD20" s="1"/>
      </tp>
      <tp t="e">
        <v>#N/A</v>
        <stp/>
        <stp>BDP|3324640122229498379</stp>
        <tr r="Y37" s="1"/>
      </tp>
      <tp t="e">
        <v>#N/A</v>
        <stp/>
        <stp>BDP|5211910793410237845</stp>
        <tr r="P388" s="22"/>
      </tp>
      <tp t="e">
        <v>#N/A</v>
        <stp/>
        <stp>BDP|6182350581818157821</stp>
        <tr r="O313" s="22"/>
      </tp>
      <tp t="e">
        <v>#N/A</v>
        <stp/>
        <stp>BDP|8317067763031679278</stp>
        <tr r="AS16" s="1"/>
      </tp>
      <tp t="e">
        <v>#N/A</v>
        <stp/>
        <stp>BDP|9865765179331413549</stp>
        <tr r="OU20" s="1"/>
      </tp>
      <tp t="e">
        <v>#N/A</v>
        <stp/>
        <stp>BDP|5128807764036174038</stp>
        <tr r="HE7" s="1"/>
      </tp>
      <tp t="e">
        <v>#N/A</v>
        <stp/>
        <stp>BDP|1592004502394325831</stp>
        <tr r="QO10" s="1"/>
      </tp>
      <tp t="e">
        <v>#N/A</v>
        <stp/>
        <stp>BDP|6373732307445830980</stp>
        <tr r="N16" s="22"/>
      </tp>
      <tp t="e">
        <v>#N/A</v>
        <stp/>
        <stp>BDP|2076404984410565364</stp>
        <tr r="AZ14" s="1"/>
      </tp>
      <tp t="e">
        <v>#N/A</v>
        <stp/>
        <stp>BDP|6519963502176556430</stp>
        <tr r="AY10" s="1"/>
      </tp>
      <tp t="e">
        <v>#N/A</v>
        <stp/>
        <stp>BDP|4583746987485350316</stp>
        <tr r="HN35" s="1"/>
        <tr r="PV12" s="1"/>
      </tp>
      <tp t="e">
        <v>#N/A</v>
        <stp/>
        <stp>BDP|1731868975813676065</stp>
        <tr r="M10" s="25"/>
      </tp>
      <tp t="e">
        <v>#N/A</v>
        <stp/>
        <stp>BDP|9044168626653057454</stp>
        <tr r="MF15" s="1"/>
        <tr r="OH13" s="1"/>
      </tp>
      <tp t="e">
        <v>#N/A</v>
        <stp/>
        <stp>BDP|2147800727471380405</stp>
        <tr r="MS29" s="1"/>
        <tr r="OU24" s="1"/>
      </tp>
      <tp t="e">
        <v>#N/A</v>
        <stp/>
        <stp>BDP|5823759767451971868</stp>
        <tr r="IX13" s="1"/>
      </tp>
      <tp t="e">
        <v>#N/A</v>
        <stp/>
        <stp>BDP|5049973636373427101</stp>
        <tr r="GY38" s="1"/>
      </tp>
      <tp t="e">
        <v>#N/A</v>
        <stp/>
        <stp>BDP|8572933341258497394</stp>
        <tr r="BT20" s="1"/>
      </tp>
      <tp t="e">
        <v>#N/A</v>
        <stp/>
        <stp>BDP|6358727198344788246</stp>
        <tr r="N330" s="22"/>
      </tp>
      <tp t="e">
        <v>#N/A</v>
        <stp/>
        <stp>BDP|5886864416200511271</stp>
        <tr r="NE19" s="1"/>
        <tr r="MD21" s="1"/>
      </tp>
      <tp t="e">
        <v>#N/A</v>
        <stp/>
        <stp>BDP|6196530798887843387</stp>
        <tr r="OM20" s="1"/>
      </tp>
      <tp t="e">
        <v>#N/A</v>
        <stp/>
        <stp>BDP|8418240773166171583</stp>
        <tr r="RP9" s="1"/>
      </tp>
      <tp t="e">
        <v>#N/A</v>
        <stp/>
        <stp>BDP|4038263367879376796</stp>
        <tr r="N102" s="22"/>
        <tr r="N62" s="22"/>
      </tp>
      <tp t="e">
        <v>#N/A</v>
        <stp/>
        <stp>BDP|8861968731689038544</stp>
        <tr r="H15" s="22"/>
      </tp>
      <tp t="e">
        <v>#N/A</v>
        <stp/>
        <stp>BDP|8181423526283905376</stp>
        <tr r="NB28" s="1"/>
      </tp>
      <tp t="e">
        <v>#N/A</v>
        <stp/>
        <stp>BDP|6581847049032563669</stp>
        <tr r="MA34" s="1"/>
        <tr r="OC29" s="1"/>
      </tp>
      <tp t="e">
        <v>#N/A</v>
        <stp/>
        <stp>BDP|6961768183621473606</stp>
        <tr r="EC21" s="1"/>
      </tp>
      <tp t="e">
        <v>#N/A</v>
        <stp/>
        <stp>BDP|9345562813374855768</stp>
        <tr r="PN16" s="1"/>
      </tp>
      <tp t="e">
        <v>#N/A</v>
        <stp/>
        <stp>BDP|2849386795587853151</stp>
        <tr r="OU21" s="1"/>
      </tp>
      <tp t="e">
        <v>#N/A</v>
        <stp/>
        <stp>BDP|8059051169564100440</stp>
        <tr r="EY32" s="1"/>
        <tr r="MF13" s="1"/>
        <tr r="NG12" s="1"/>
        <tr r="T35" s="1"/>
      </tp>
      <tp t="e">
        <v>#N/A</v>
        <stp/>
        <stp>BDP|9701193877547304636</stp>
        <tr r="P45" s="22"/>
        <tr r="P90" s="22"/>
      </tp>
      <tp t="e">
        <v>#N/A</v>
        <stp/>
        <stp>BDP|8906377921181805693</stp>
        <tr r="C4" s="23"/>
      </tp>
      <tp t="e">
        <v>#N/A</v>
        <stp/>
        <stp>BDP|6236376406358580388</stp>
        <tr r="C61" s="22"/>
        <tr r="C98" s="22"/>
      </tp>
      <tp t="e">
        <v>#N/A</v>
        <stp/>
        <stp>BDP|6554992603067362639</stp>
        <tr r="KI31" s="1"/>
      </tp>
      <tp t="e">
        <v>#N/A</v>
        <stp/>
        <stp>BDP|2001626466428939429</stp>
        <tr r="RK10" s="1"/>
      </tp>
      <tp t="e">
        <v>#N/A</v>
        <stp/>
        <stp>BDP|4668561996903857510</stp>
        <tr r="PD15" s="1"/>
      </tp>
      <tp t="e">
        <v>#N/A</v>
        <stp/>
        <stp>BDP|8227527935959377990</stp>
        <tr r="M17" s="24"/>
      </tp>
      <tp t="e">
        <v>#N/A</v>
        <stp/>
        <stp>BDP|2244784174048480455</stp>
        <tr r="KH13" s="1"/>
      </tp>
      <tp t="e">
        <v>#N/A</v>
        <stp/>
        <stp>BDP|5487136490785822605</stp>
        <tr r="QO12" s="1"/>
      </tp>
      <tp t="e">
        <v>#N/A</v>
        <stp/>
        <stp>BDP|2158937507884987130</stp>
        <tr r="EB6" s="1"/>
      </tp>
      <tp t="e">
        <v>#N/A</v>
        <stp/>
        <stp>BDP|6328248889612411059</stp>
        <tr r="QJ25" s="1"/>
      </tp>
      <tp t="e">
        <v>#N/A</v>
        <stp/>
        <stp>BDP|8405677819254657534</stp>
        <tr r="NT26" s="1"/>
      </tp>
      <tp t="e">
        <v>#N/A</v>
        <stp/>
        <stp>BDP|6554385615292651813</stp>
        <tr r="RI40" s="1"/>
      </tp>
      <tp t="e">
        <v>#N/A</v>
        <stp/>
        <stp>BDP|2967969924840377776</stp>
        <tr r="FX16" s="1"/>
      </tp>
      <tp t="e">
        <v>#N/A</v>
        <stp/>
        <stp>BDP|8602383753720782064</stp>
        <tr r="KH22" s="1"/>
      </tp>
      <tp t="e">
        <v>#N/A</v>
        <stp/>
        <stp>BDP|9807625233831029355</stp>
        <tr r="CI6" s="1"/>
      </tp>
      <tp t="e">
        <v>#N/A</v>
        <stp/>
        <stp>BDP|8555992318649183796</stp>
        <tr r="OQ10" s="1"/>
        <tr r="OQ17" s="1"/>
        <tr r="OQ18" s="1"/>
        <tr r="OQ25" s="1"/>
        <tr r="OQ28" s="1"/>
        <tr r="OQ31" s="1"/>
        <tr r="OQ8" s="1"/>
      </tp>
      <tp t="e">
        <v>#N/A</v>
        <stp/>
        <stp>BDP|3785861031797507190</stp>
        <tr r="O38" s="1"/>
        <tr r="OC11" s="1"/>
      </tp>
      <tp t="e">
        <v>#N/A</v>
        <stp/>
        <stp>BDP|2423206828615278925</stp>
        <tr r="M61" s="22"/>
        <tr r="M98" s="22"/>
      </tp>
      <tp t="e">
        <v>#N/A</v>
        <stp/>
        <stp>BDP|2685733884096897552</stp>
        <tr r="HF36" s="1"/>
        <tr r="Y19" s="1"/>
      </tp>
      <tp t="e">
        <v>#N/A</v>
        <stp/>
        <stp>BDP|4212629945560966809</stp>
        <tr r="O18" s="23"/>
      </tp>
      <tp t="e">
        <v>#N/A</v>
        <stp/>
        <stp>BDP|7811901324804199614</stp>
        <tr r="KI27" s="1"/>
      </tp>
      <tp t="e">
        <v>#N/A</v>
        <stp/>
        <stp>BDP|6009644295271812650</stp>
        <tr r="N205" s="22"/>
        <tr r="N227" s="22"/>
      </tp>
      <tp t="e">
        <v>#N/A</v>
        <stp/>
        <stp>BDP|9842059973220433075</stp>
        <tr r="GV37" s="1"/>
      </tp>
      <tp t="e">
        <v>#N/A</v>
        <stp/>
        <stp>BDP|9122964988713590570</stp>
        <tr r="J57" s="22"/>
        <tr r="J96" s="22"/>
      </tp>
      <tp t="e">
        <v>#N/A</v>
        <stp/>
        <stp>BDP|1292623964279825615</stp>
        <tr r="PM8" s="1"/>
      </tp>
      <tp t="e">
        <v>#N/A</v>
        <stp/>
        <stp>BDP|8607236020073813506</stp>
        <tr r="GY33" s="1"/>
      </tp>
      <tp t="e">
        <v>#N/A</v>
        <stp/>
        <stp>BDP|6897873467403528509</stp>
        <tr r="DV18" s="1"/>
      </tp>
      <tp t="e">
        <v>#N/A</v>
        <stp/>
        <stp>BDP|8522528108263392016</stp>
        <tr r="J44" s="22"/>
        <tr r="J91" s="22"/>
      </tp>
      <tp t="e">
        <v>#N/A</v>
        <stp/>
        <stp>BDP|1010199087355380305</stp>
        <tr r="O14" s="25"/>
      </tp>
      <tp t="e">
        <v>#N/A</v>
        <stp/>
        <stp>BDP|7342366902722273884</stp>
        <tr r="P49" s="22"/>
      </tp>
      <tp t="e">
        <v>#N/A</v>
        <stp/>
        <stp>BDP|4564029618679421292</stp>
        <tr r="MK26" s="1"/>
        <tr r="NL22" s="1"/>
      </tp>
      <tp t="e">
        <v>#N/A</v>
        <stp/>
        <stp>BDP|3733008565419020201</stp>
        <tr r="BZ18" s="1"/>
      </tp>
      <tp t="e">
        <v>#N/A</v>
        <stp/>
        <stp>BDP|2317883589149572556</stp>
        <tr r="DJ20" s="1"/>
      </tp>
      <tp t="e">
        <v>#N/A</v>
        <stp/>
        <stp>BDP|4110636469443020993</stp>
        <tr r="KB24" s="1"/>
      </tp>
      <tp t="e">
        <v>#N/A</v>
        <stp/>
        <stp>BDP|7261471799413738792</stp>
        <tr r="P210" s="22"/>
        <tr r="P232" s="22"/>
      </tp>
      <tp t="e">
        <v>#N/A</v>
        <stp/>
        <stp>BDP|2471902363677415415</stp>
        <tr r="GY15" s="1"/>
      </tp>
      <tp t="e">
        <v>#N/A</v>
        <stp/>
        <stp>BDP|2266104180785353036</stp>
        <tr r="KQ6" s="1"/>
        <tr r="RX6" s="1"/>
      </tp>
      <tp t="e">
        <v>#N/A</v>
        <stp/>
        <stp>BDP|7194863005276708760</stp>
        <tr r="BQ13" s="1"/>
      </tp>
      <tp t="e">
        <v>#N/A</v>
        <stp/>
        <stp>BDP|4129136954187683937</stp>
        <tr r="J12" s="24"/>
      </tp>
      <tp t="e">
        <v>#N/A</v>
        <stp/>
        <stp>BDP|8723198271659975957</stp>
        <tr r="RO16" s="1"/>
      </tp>
      <tp t="e">
        <v>#N/A</v>
        <stp/>
        <stp>BDP|6874851938874360754</stp>
        <tr r="PD23" s="1"/>
      </tp>
      <tp t="e">
        <v>#N/A</v>
        <stp/>
        <stp>BDP|5595109360065457925</stp>
        <tr r="GV36" s="1"/>
        <tr r="O19" s="1"/>
      </tp>
      <tp t="e">
        <v>#N/A</v>
        <stp/>
        <stp>BDP|4077377455028727460</stp>
        <tr r="AZ10" s="1"/>
      </tp>
      <tp t="e">
        <v>#N/A</v>
        <stp/>
        <stp>BDP|8066205638006951123</stp>
        <tr r="QW16" s="1"/>
      </tp>
      <tp t="e">
        <v>#N/A</v>
        <stp/>
        <stp>BDP|8081112055461072345</stp>
        <tr r="FU9" s="1"/>
      </tp>
      <tp t="e">
        <v>#N/A</v>
        <stp/>
        <stp>BDP|6781726053778758210</stp>
        <tr r="J10" s="24"/>
      </tp>
      <tp t="e">
        <v>#N/A</v>
        <stp/>
        <stp>BDP|3113067617844195818</stp>
        <tr r="AP7" s="1"/>
        <tr r="ET13" s="1"/>
        <tr r="JY7" s="1"/>
        <tr r="O15" s="1"/>
      </tp>
      <tp t="e">
        <v>#N/A</v>
        <stp/>
        <stp>BDP|8442624706858617866</stp>
        <tr r="O345" s="22"/>
      </tp>
      <tp t="e">
        <v>#N/A</v>
        <stp/>
        <stp>BDP|2191036682581034507</stp>
        <tr r="M102" s="22"/>
        <tr r="M62" s="22"/>
      </tp>
      <tp t="e">
        <v>#N/A</v>
        <stp/>
        <stp>BDP|3657348166718038048</stp>
        <tr r="HF22" s="1"/>
      </tp>
      <tp t="e">
        <v>#N/A</v>
        <stp/>
        <stp>BDP|6735301007163457841</stp>
        <tr r="RK30" s="1"/>
      </tp>
      <tp t="e">
        <v>#N/A</v>
        <stp/>
        <stp>BDP|8684458056491342678</stp>
        <tr r="OF14" s="1"/>
      </tp>
      <tp t="e">
        <v>#N/A</v>
        <stp/>
        <stp>BDP|3057142890991263475</stp>
        <tr r="KH15" s="1"/>
      </tp>
      <tp t="e">
        <v>#N/A</v>
        <stp/>
        <stp>BDP|1369606491847523765</stp>
        <tr r="BQ9" s="1"/>
      </tp>
      <tp t="e">
        <v>#N/A</v>
        <stp/>
        <stp>BDP|8576730531373580132</stp>
        <tr r="FL22" s="1"/>
        <tr r="NT13" s="1"/>
      </tp>
      <tp t="e">
        <v>#N/A</v>
        <stp/>
        <stp>BDP|1651342456140438913</stp>
        <tr r="O16" s="25"/>
      </tp>
      <tp t="e">
        <v>#N/A</v>
        <stp/>
        <stp>BDP|4662533984893402433</stp>
        <tr r="IB25" s="1"/>
        <tr r="MF20" s="1"/>
      </tp>
      <tp t="e">
        <v>#N/A</v>
        <stp/>
        <stp>BDP|8420941366301011800</stp>
        <tr r="FC29" s="1"/>
        <tr r="X34" s="1"/>
      </tp>
      <tp t="e">
        <v>#N/A</v>
        <stp/>
        <stp>BDP|6788391860828149594</stp>
        <tr r="QW17" s="1"/>
      </tp>
      <tp t="e">
        <v>#N/A</v>
        <stp/>
        <stp>BDP|5631927265990071478</stp>
        <tr r="AG28" s="1"/>
      </tp>
      <tp t="e">
        <v>#N/A</v>
        <stp/>
        <stp>BDP|8987421904574114694</stp>
        <tr r="P311" s="22"/>
      </tp>
      <tp t="e">
        <v>#N/A</v>
        <stp/>
        <stp>BDP|1285006985262468540</stp>
        <tr r="KH32" s="1"/>
        <tr r="RO28" s="1"/>
      </tp>
      <tp t="e">
        <v>#N/A</v>
        <stp/>
        <stp>BDP|5583705244031241943</stp>
        <tr r="GM26" s="1"/>
      </tp>
      <tp t="e">
        <v>#N/A</v>
        <stp/>
        <stp>BDP|9686710328681034381</stp>
        <tr r="DA11" s="1"/>
        <tr r="LI8" s="1"/>
      </tp>
      <tp t="e">
        <v>#N/A</v>
        <stp/>
        <stp>BDP|2275128584021505461</stp>
        <tr r="RI25" s="1"/>
      </tp>
      <tp t="e">
        <v>#N/A</v>
        <stp/>
        <stp>BDP|8404467611001225264</stp>
        <tr r="O19" s="24"/>
      </tp>
      <tp t="e">
        <v>#N/A</v>
        <stp/>
        <stp>BDP|8764176527301496449</stp>
        <tr r="HE34" s="1"/>
      </tp>
      <tp t="e">
        <v>#N/A</v>
        <stp/>
        <stp>BDP|7472518862209616355</stp>
        <tr r="ET31" s="1"/>
        <tr r="O18" s="1"/>
      </tp>
      <tp t="e">
        <v>#N/A</v>
        <stp/>
        <stp>BDP|5789176155616946984</stp>
        <tr r="BZ11" s="1"/>
      </tp>
      <tp t="e">
        <v>#N/A</v>
        <stp/>
        <stp>BDP|6729149876668356623</stp>
        <tr r="KH18" s="1"/>
        <tr r="RO12" s="1"/>
      </tp>
      <tp t="e">
        <v>#N/A</v>
        <stp/>
        <stp>BDP|5842990887513627948</stp>
        <tr r="DX15" s="1"/>
      </tp>
      <tp t="e">
        <v>#N/A</v>
        <stp/>
        <stp>BDP|4388822522275417536</stp>
        <tr r="N6" s="25"/>
      </tp>
      <tp t="e">
        <v>#N/A</v>
        <stp/>
        <stp>BDP|6860098482396092670</stp>
        <tr r="IG11" s="1"/>
      </tp>
      <tp t="e">
        <v>#N/A</v>
        <stp/>
        <stp>BDP|5472539880786790058</stp>
        <tr r="JY32" s="1"/>
        <tr r="RF28" s="1"/>
      </tp>
      <tp t="e">
        <v>#N/A</v>
        <stp/>
        <stp>BDP|9933378265993688181</stp>
        <tr r="N58" s="22"/>
        <tr r="N99" s="22"/>
      </tp>
      <tp t="e">
        <v>#N/A</v>
        <stp/>
        <stp>BDP|2737062327827032937</stp>
        <tr r="RX18" s="1"/>
      </tp>
      <tp t="e">
        <v>#N/A</v>
        <stp/>
        <stp>BDP|9348527928823927354</stp>
        <tr r="JC26" s="1"/>
        <tr r="RK34" s="1"/>
      </tp>
      <tp t="e">
        <v>#N/A</v>
        <stp/>
        <stp>BDP|6649408486125236171</stp>
        <tr r="O292" s="22"/>
      </tp>
      <tp t="e">
        <v>#N/A</v>
        <stp/>
        <stp>BDP|8544278946342152205</stp>
        <tr r="MA8" s="1"/>
        <tr r="OC9" s="1"/>
      </tp>
      <tp t="e">
        <v>#N/A</v>
        <stp/>
        <stp>BDP|3706372007936183832</stp>
        <tr r="IB11" s="1"/>
      </tp>
      <tp t="e">
        <v>#N/A</v>
        <stp/>
        <stp>BDP|1071644516860119868</stp>
        <tr r="N154" s="22"/>
        <tr r="N192" s="22"/>
      </tp>
      <tp t="e">
        <v>#N/A</v>
        <stp/>
        <stp>BDP|8982588372473571735</stp>
        <tr r="MJ39" s="1"/>
        <tr r="OL32" s="1"/>
      </tp>
      <tp t="e">
        <v>#N/A</v>
        <stp/>
        <stp>BDP|7779538364983848829</stp>
        <tr r="MF35" s="1"/>
        <tr r="OH30" s="1"/>
        <tr r="T25" s="1"/>
      </tp>
      <tp t="e">
        <v>#N/A</v>
        <stp/>
        <stp>BDP|1640690390563184245</stp>
        <tr r="QW12" s="1"/>
      </tp>
      <tp t="e">
        <v>#N/A</v>
        <stp/>
        <stp>BDP|7368182461006708976</stp>
        <tr r="C94" s="22"/>
      </tp>
      <tp t="e">
        <v>#N/A</v>
        <stp/>
        <stp>BDP|8352981134718173542</stp>
        <tr r="N348" s="22"/>
      </tp>
      <tp t="e">
        <v>#N/A</v>
        <stp/>
        <stp>BDP|6422020391346877648</stp>
        <tr r="M294" s="22"/>
      </tp>
      <tp t="e">
        <v>#N/A</v>
        <stp/>
        <stp>BDP|5572147973909854525</stp>
        <tr r="O412" s="22"/>
      </tp>
      <tp t="e">
        <v>#N/A</v>
        <stp/>
        <stp>BDP|1854308957350441832</stp>
        <tr r="C329" s="22"/>
      </tp>
      <tp t="e">
        <v>#N/A</v>
        <stp/>
        <stp>BDP|7664750753508089281</stp>
        <tr r="O11" s="25"/>
      </tp>
      <tp t="e">
        <v>#N/A</v>
        <stp/>
        <stp>BDP|2111240088132685537</stp>
        <tr r="M12" s="25"/>
      </tp>
      <tp t="e">
        <v>#N/A</v>
        <stp/>
        <stp>BDP|2131827149007026625</stp>
        <tr r="P310" s="22"/>
      </tp>
      <tp t="e">
        <v>#N/A</v>
        <stp/>
        <stp>BDP|9874043052580602318</stp>
        <tr r="P9" s="25"/>
      </tp>
      <tp t="e">
        <v>#N/A</v>
        <stp/>
        <stp>BDP|4093296437249060370</stp>
        <tr r="J16" s="24"/>
      </tp>
      <tp t="e">
        <v>#N/A</v>
        <stp/>
        <stp>BDP|9334084253392708169</stp>
        <tr r="M311" s="22"/>
      </tp>
      <tp t="e">
        <v>#N/A</v>
        <stp/>
        <stp>BDP|2881526215421791814</stp>
        <tr r="MK35" s="1"/>
        <tr r="OM30" s="1"/>
        <tr r="Y25" s="1"/>
      </tp>
      <tp t="e">
        <v>#N/A</v>
        <stp/>
        <stp>BDP|5616793517285415928</stp>
        <tr r="PM7" s="1"/>
      </tp>
      <tp t="e">
        <v>#N/A</v>
        <stp/>
        <stp>BDP|9828439156242006530</stp>
        <tr r="JC32" s="1"/>
      </tp>
      <tp t="e">
        <v>#N/A</v>
        <stp/>
        <stp>BDP|4865069711859145309</stp>
        <tr r="FD17" s="1"/>
        <tr r="MK7" s="1"/>
        <tr r="NL6" s="1"/>
      </tp>
      <tp t="e">
        <v>#N/A</v>
        <stp/>
        <stp>BDP|4524793767262791827</stp>
        <tr r="EW27" s="1"/>
        <tr r="R32" s="1"/>
      </tp>
      <tp t="e">
        <v>#N/A</v>
        <stp/>
        <stp>BDP|1803164855992426813</stp>
        <tr r="MK22" s="1"/>
      </tp>
      <tp t="e">
        <v>#N/A</v>
        <stp/>
        <stp>BDP|3817753734819456130</stp>
        <tr r="R37" s="1"/>
      </tp>
      <tp t="e">
        <v>#N/A</v>
        <stp/>
        <stp>BDP|8841090379126104675</stp>
        <tr r="C12" s="25"/>
      </tp>
      <tp t="e">
        <v>#N/A</v>
        <stp/>
        <stp>BDP|5576278015950823911</stp>
        <tr r="RF39" s="1"/>
      </tp>
      <tp t="e">
        <v>#N/A</v>
        <stp/>
        <stp>BDP|8560931829489239534</stp>
        <tr r="GE14" s="1"/>
      </tp>
      <tp t="e">
        <v>#N/A</v>
        <stp/>
        <stp>BDP|9181183172722386263</stp>
        <tr r="HF12" s="1"/>
        <tr r="PN14" s="1"/>
      </tp>
      <tp t="e">
        <v>#N/A</v>
        <stp/>
        <stp>BDP|2534629090324974608</stp>
        <tr r="PV6" s="1"/>
      </tp>
      <tp t="e">
        <v>#N/A</v>
        <stp/>
        <stp>BDP|9593564418230756231</stp>
        <tr r="J313" s="22"/>
      </tp>
      <tp t="e">
        <v>#N/A</v>
        <stp/>
        <stp>BDP|3530909514424765092</stp>
        <tr r="NB31" s="1"/>
      </tp>
      <tp t="e">
        <v>#N/A</v>
        <stp/>
        <stp>BDP|4738741229959181778</stp>
        <tr r="IX14" s="1"/>
      </tp>
      <tp t="e">
        <v>#N/A</v>
        <stp/>
        <stp>BDP|7540085700548541043</stp>
        <tr r="GE20" s="1"/>
        <tr r="QO13" s="1"/>
      </tp>
      <tp t="e">
        <v>#N/A</v>
        <stp/>
        <stp>BDP|6281771688795090314</stp>
        <tr r="HE10" s="1"/>
      </tp>
      <tp t="e">
        <v>#N/A</v>
        <stp/>
        <stp>BDP|8924348543337482765</stp>
        <tr r="M4" s="24"/>
      </tp>
      <tp t="e">
        <v>#N/A</v>
        <stp/>
        <stp>BDP|6868457470799073316</stp>
        <tr r="BH23" s="1"/>
      </tp>
      <tp t="e">
        <v>#N/A</v>
        <stp/>
        <stp>BDP|4654975659262088551</stp>
        <tr r="RF32" s="1"/>
      </tp>
      <tp t="e">
        <v>#N/A</v>
        <stp/>
        <stp>BDP|4766392295816593738</stp>
        <tr r="O295" s="22"/>
      </tp>
      <tp t="e">
        <v>#N/A</v>
        <stp/>
        <stp>BDP|9929870596234794324</stp>
        <tr r="M20" s="22"/>
      </tp>
      <tp t="e">
        <v>#N/A</v>
        <stp/>
        <stp>BDP|1929963612245653369</stp>
        <tr r="NE31" s="1"/>
      </tp>
      <tp t="e">
        <v>#N/A</v>
        <stp/>
        <stp>BDP|5440954618397186555</stp>
        <tr r="JG14" s="1"/>
      </tp>
      <tp t="e">
        <v>#N/A</v>
        <stp/>
        <stp>BDP|9948407467187718341</stp>
        <tr r="JP27" s="1"/>
      </tp>
      <tp t="e">
        <v>#N/A</v>
        <stp/>
        <stp>BDP|9203610865532822430</stp>
        <tr r="HA13" s="1"/>
      </tp>
      <tp t="e">
        <v>#N/A</v>
        <stp/>
        <stp>BDP|2324593181854099499</stp>
        <tr r="H11" s="23"/>
      </tp>
      <tp t="e">
        <v>#N/A</v>
        <stp/>
        <stp>BDP|3657990970947820553</stp>
        <tr r="GM13" s="1"/>
        <tr r="HN8" s="1"/>
        <tr r="KQ10" s="1"/>
      </tp>
      <tp t="e">
        <v>#N/A</v>
        <stp/>
        <stp>BDP|4549375582834723457</stp>
        <tr r="KZ16" s="1"/>
      </tp>
      <tp t="e">
        <v>#N/A</v>
        <stp/>
        <stp>BDP|7307147974176766862</stp>
        <tr r="RO31" s="1"/>
      </tp>
      <tp t="e">
        <v>#N/A</v>
        <stp/>
        <stp>BDP|2249038171329195330</stp>
        <tr r="M5" s="23"/>
      </tp>
      <tp t="e">
        <v>#N/A</v>
        <stp/>
        <stp>BDP|9717206490035596815</stp>
        <tr r="O129" s="22"/>
        <tr r="O169" s="22"/>
      </tp>
      <tp t="e">
        <v>#N/A</v>
        <stp/>
        <stp>BDP|9574733354860838492</stp>
        <tr r="DS22" s="1"/>
        <tr r="MA32" s="1"/>
        <tr r="O9" s="1"/>
        <tr r="OC28" s="1"/>
      </tp>
      <tp t="e">
        <v>#N/A</v>
        <stp/>
        <stp>BDP|5460339170107579916</stp>
        <tr r="H346" s="22"/>
      </tp>
      <tp t="e">
        <v>#N/A</v>
        <stp/>
        <stp>BDP|2066900905393569730</stp>
        <tr r="M8" s="23"/>
      </tp>
      <tp t="e">
        <v>#N/A</v>
        <stp/>
        <stp>BDP|7080973196161084927</stp>
        <tr r="P8" s="23"/>
      </tp>
      <tp t="e">
        <v>#N/A</v>
        <stp/>
        <stp>BDP|7466574334439589718</stp>
        <tr r="MS17" s="1"/>
        <tr r="NT14" s="1"/>
      </tp>
      <tp t="e">
        <v>#N/A</v>
        <stp/>
        <stp>BDP|9086404265455471117</stp>
        <tr r="P404" s="22"/>
      </tp>
      <tp t="e">
        <v>#N/A</v>
        <stp/>
        <stp>BDP|5544937563891016457</stp>
        <tr r="AG18" s="1"/>
        <tr r="FL31" s="1"/>
      </tp>
      <tp t="e">
        <v>#N/A</v>
        <stp/>
        <stp>BDP|5476403576899754055</stp>
        <tr r="GV15" s="1"/>
      </tp>
      <tp t="e">
        <v>#N/A</v>
        <stp/>
        <stp>BDP|5475860207346537409</stp>
        <tr r="M12" s="24"/>
      </tp>
      <tp t="e">
        <v>#N/A</v>
        <stp/>
        <stp>BDP|1678875372350497176</stp>
        <tr r="BH10" s="1"/>
      </tp>
      <tp t="e">
        <v>#N/A</v>
        <stp/>
        <stp>BDP|1080521873345270938</stp>
        <tr r="PM16" s="1"/>
      </tp>
      <tp t="e">
        <v>#N/A</v>
        <stp/>
        <stp>BDP|3202837973452069123</stp>
        <tr r="KQ31" s="1"/>
      </tp>
      <tp t="e">
        <v>#N/A</v>
        <stp/>
        <stp>BDP|6856808593109969135</stp>
        <tr r="M17" s="23"/>
      </tp>
      <tp t="e">
        <v>#N/A</v>
        <stp/>
        <stp>BDP|9417578521330427176</stp>
        <tr r="FC34" s="1"/>
        <tr r="GD6" s="1"/>
        <tr r="JG6" s="1"/>
        <tr r="X41" s="1"/>
      </tp>
      <tp t="e">
        <v>#N/A</v>
        <stp/>
        <stp>BDP|5892864125203934338</stp>
        <tr r="O11" s="24"/>
      </tp>
      <tp t="e">
        <v>#N/A</v>
        <stp/>
        <stp>BDP|9778328437105566311</stp>
        <tr r="O290" s="22"/>
        <tr r="O53" s="22"/>
      </tp>
      <tp t="e">
        <v>#N/A</v>
        <stp/>
        <stp>BDP|1556204303294380833</stp>
        <tr r="N147" s="22"/>
        <tr r="N187" s="22"/>
      </tp>
      <tp t="e">
        <v>#N/A</v>
        <stp/>
        <stp>BDP|5363920152961179743</stp>
        <tr r="LJ16" s="1"/>
      </tp>
      <tp t="e">
        <v>#N/A</v>
        <stp/>
        <stp>BDP|9590533479820909409</stp>
        <tr r="NK25" s="1"/>
      </tp>
      <tp t="e">
        <v>#N/A</v>
        <stp/>
        <stp>BDP|7012814440030100465</stp>
        <tr r="OM21" s="1"/>
      </tp>
      <tp t="e">
        <v>#N/A</v>
        <stp/>
        <stp>BDP|8465435229375850405</stp>
        <tr r="BH17" s="1"/>
        <tr r="NT20" s="1"/>
      </tp>
      <tp t="e">
        <v>#N/A</v>
        <stp/>
        <stp>BDP|4924772799132975785</stp>
        <tr r="AY9" s="1"/>
      </tp>
      <tp t="e">
        <v>#N/A</v>
        <stp/>
        <stp>BDP|3292552542868172527</stp>
        <tr r="N94" s="22"/>
      </tp>
      <tp t="e">
        <v>#N/A</v>
        <stp/>
        <stp>BDP|3370816851944138549</stp>
        <tr r="QN24" s="1"/>
      </tp>
      <tp t="e">
        <v>#N/A</v>
        <stp/>
        <stp>BDP|9242203125474865291</stp>
        <tr r="QW7" s="1"/>
      </tp>
      <tp t="e">
        <v>#N/A</v>
        <stp/>
        <stp>BDP|7923427988472502618</stp>
        <tr r="RI34" s="1"/>
        <tr r="JA26" s="1"/>
      </tp>
      <tp t="e">
        <v>#N/A</v>
        <stp/>
        <stp>BDP|8848576563076899231</stp>
        <tr r="RP32" s="1"/>
      </tp>
      <tp t="e">
        <v>#N/A</v>
        <stp/>
        <stp>BDP|7506373405412883983</stp>
        <tr r="O363" s="22"/>
        <tr r="O381" s="22"/>
        <tr r="O403" s="22"/>
      </tp>
      <tp t="e">
        <v>#N/A</v>
        <stp/>
        <stp>BDP|7800759398982359419</stp>
        <tr r="EY10" s="1"/>
        <tr r="MF27" s="1"/>
        <tr r="NG23" s="1"/>
        <tr r="T11" s="1"/>
      </tp>
      <tp t="e">
        <v>#N/A</v>
        <stp/>
        <stp>BDP|2278097849129071059</stp>
        <tr r="QE10" s="1"/>
      </tp>
      <tp t="e">
        <v>#N/A</v>
        <stp/>
        <stp>BDP|8352371553321410045</stp>
        <tr r="DX6" s="1"/>
      </tp>
      <tp t="e">
        <v>#N/A</v>
        <stp/>
        <stp>BDP|3495239055142213949</stp>
        <tr r="JA24" s="1"/>
        <tr r="FX29" s="1"/>
      </tp>
      <tp t="e">
        <v>#N/A</v>
        <stp/>
        <stp>BDP|5188543863519763051</stp>
        <tr r="KQ38" s="1"/>
      </tp>
      <tp t="e">
        <v>#N/A</v>
        <stp/>
        <stp>BDP|6967864605997653687</stp>
        <tr r="P100" s="22"/>
        <tr r="P59" s="22"/>
      </tp>
      <tp t="e">
        <v>#N/A</v>
        <stp/>
        <stp>BDP|6174418160763118852</stp>
        <tr r="BZ14" s="1"/>
      </tp>
      <tp t="e">
        <v>#N/A</v>
        <stp/>
        <stp>BDP|5720358489071944060</stp>
        <tr r="JH15" s="1"/>
      </tp>
      <tp t="e">
        <v>#N/A</v>
        <stp/>
        <stp>BDP|2506198128088993688</stp>
        <tr r="BT12" s="1"/>
      </tp>
      <tp t="e">
        <v>#N/A</v>
        <stp/>
        <stp>BDP|2581549606888309013</stp>
        <tr r="GM27" s="1"/>
        <tr r="HN30" s="1"/>
      </tp>
      <tp t="e">
        <v>#N/A</v>
        <stp/>
        <stp>BDP|8404717134456176558</stp>
        <tr r="HF18" s="1"/>
      </tp>
      <tp t="e">
        <v>#N/A</v>
        <stp/>
        <stp>BDP|7993008826543399993</stp>
        <tr r="BH13" s="1"/>
      </tp>
      <tp t="e">
        <v>#N/A</v>
        <stp/>
        <stp>BDP|4722440846498776370</stp>
        <tr r="P127" s="22"/>
        <tr r="P250" s="22"/>
      </tp>
      <tp t="e">
        <v>#N/A</v>
        <stp/>
        <stp>BDP|2235279761839494059</stp>
        <tr r="HN33" s="1"/>
      </tp>
      <tp t="e">
        <v>#N/A</v>
        <stp/>
        <stp>BDP|3129595808478299683</stp>
        <tr r="P312" s="22"/>
      </tp>
      <tp t="e">
        <v>#N/A</v>
        <stp/>
        <stp>BDP|2148353975319880736</stp>
        <tr r="RF18" s="1"/>
      </tp>
      <tp t="e">
        <v>#N/A</v>
        <stp/>
        <stp>BDP|5687991902453168766</stp>
        <tr r="FX24" s="1"/>
        <tr r="R31" s="1"/>
      </tp>
      <tp t="e">
        <v>#N/A</v>
        <stp/>
        <stp>BDP|9172788943925401747</stp>
        <tr r="O127" s="22"/>
        <tr r="O250" s="22"/>
      </tp>
      <tp t="e">
        <v>#N/A</v>
        <stp/>
        <stp>BDP|2076632702705281999</stp>
        <tr r="BV15" s="1"/>
        <tr r="CW16" s="1"/>
      </tp>
      <tp t="e">
        <v>#N/A</v>
        <stp/>
        <stp>BDP|7572086022034124941</stp>
        <tr r="J147" s="22"/>
        <tr r="J187" s="22"/>
      </tp>
      <tp t="e">
        <v>#N/A</v>
        <stp/>
        <stp>BDP|2584018010442852979</stp>
        <tr r="J9" s="25"/>
      </tp>
      <tp t="e">
        <v>#N/A</v>
        <stp/>
        <stp>BDP|7869558987516611477</stp>
        <tr r="QE26" s="1"/>
      </tp>
      <tp t="e">
        <v>#N/A</v>
        <stp/>
        <stp>BDP|1824470045008388125</stp>
        <tr r="O11" s="23"/>
      </tp>
      <tp t="e">
        <v>#N/A</v>
        <stp/>
        <stp>BDP|3588706845568955011</stp>
        <tr r="GV24" s="1"/>
      </tp>
      <tp t="e">
        <v>#N/A</v>
        <stp/>
        <stp>BDP|2495395221522685923</stp>
        <tr r="M16" s="22"/>
      </tp>
      <tp t="e">
        <v>#N/A</v>
        <stp/>
        <stp>BDP|8918325530537764743</stp>
        <tr r="AU8" s="1"/>
        <tr r="DX8" s="1"/>
      </tp>
      <tp t="e">
        <v>#N/A</v>
        <stp/>
        <stp>BDP|5820652446609591668</stp>
        <tr r="PI21" s="1"/>
      </tp>
      <tp t="e">
        <v>#N/A</v>
        <stp/>
        <stp>BDP|3094991445830585606</stp>
        <tr r="JP9" s="1"/>
        <tr r="KQ12" s="1"/>
        <tr r="RX11" s="1"/>
      </tp>
      <tp t="e">
        <v>#N/A</v>
        <stp/>
        <stp>BDP|7847870810725247346</stp>
        <tr r="JC23" s="1"/>
      </tp>
      <tp t="e">
        <v>#N/A</v>
        <stp/>
        <stp>BDP|5816906171040704377</stp>
        <tr r="RF7" s="1"/>
      </tp>
      <tp t="e">
        <v>#N/A</v>
        <stp/>
        <stp>BDP|1821829250635312108</stp>
        <tr r="MJ35" s="1"/>
        <tr r="OL30" s="1"/>
        <tr r="X25" s="1"/>
      </tp>
      <tp t="e">
        <v>#N/A</v>
        <stp/>
        <stp>BDP|3434680092694062074</stp>
        <tr r="N207" s="22"/>
        <tr r="N229" s="22"/>
      </tp>
      <tp t="e">
        <v>#N/A</v>
        <stp/>
        <stp>BDP|9312840228789581239</stp>
        <tr r="CI20" s="1"/>
      </tp>
      <tp t="e">
        <v>#N/A</v>
        <stp/>
        <stp>BDP|4596951322442478582</stp>
        <tr r="OF30" s="1"/>
        <tr r="MD35" s="1"/>
        <tr r="R25" s="1"/>
      </tp>
      <tp t="e">
        <v>#N/A</v>
        <stp/>
        <stp>BDP|7958934115923471454</stp>
        <tr r="J384" s="22"/>
      </tp>
      <tp t="e">
        <v>#N/A</v>
        <stp/>
        <stp>BDP|2332600584280112481</stp>
        <tr r="FD29" s="1"/>
        <tr r="Y34" s="1"/>
      </tp>
      <tp t="e">
        <v>#N/A</v>
        <stp/>
        <stp>BDP|9169232644662926511</stp>
        <tr r="DX21" s="1"/>
      </tp>
      <tp t="e">
        <v>#N/A</v>
        <stp/>
        <stp>BDP|6366285388541869550</stp>
        <tr r="J327" s="22"/>
      </tp>
      <tp t="e">
        <v>#N/A</v>
        <stp/>
        <stp>BDP|6875420582904680605</stp>
        <tr r="O16" s="24"/>
      </tp>
      <tp t="e">
        <v>#N/A</v>
        <stp/>
        <stp>BDP|6817925112741249743</stp>
        <tr r="FZ9" s="1"/>
      </tp>
      <tp t="e">
        <v>#N/A</v>
        <stp/>
        <stp>BDP|2640869109660784204</stp>
        <tr r="J413" s="22"/>
      </tp>
      <tp t="e">
        <v>#N/A</v>
        <stp/>
        <stp>BDP|2595313630132967825</stp>
        <tr r="H49" s="22"/>
      </tp>
      <tp t="e">
        <v>#N/A</v>
        <stp/>
        <stp>BDP|3679298894721530117</stp>
        <tr r="CR11" s="1"/>
        <tr r="KZ8" s="1"/>
      </tp>
      <tp t="e">
        <v>#N/A</v>
        <stp/>
        <stp>BDP|7150374191756246393</stp>
        <tr r="J408" s="22"/>
      </tp>
      <tp t="e">
        <v>#N/A</v>
        <stp/>
        <stp>BDP|5977912865191411355</stp>
        <tr r="CW24" s="1"/>
        <tr r="LE20" s="1"/>
      </tp>
      <tp t="e">
        <v>#N/A</v>
        <stp/>
        <stp>BDP|3056233017521916914</stp>
        <tr r="AU11" s="1"/>
        <tr r="DX12" s="1"/>
        <tr r="MF19" s="1"/>
        <tr r="OH17" s="1"/>
      </tp>
      <tp t="e">
        <v>#N/A</v>
        <stp/>
        <stp>BDP|1094060109650111933</stp>
        <tr r="M6" s="22"/>
      </tp>
      <tp t="e">
        <v>#N/A</v>
        <stp/>
        <stp>BDP|9891717161051488116</stp>
        <tr r="PM24" s="1"/>
      </tp>
      <tp t="e">
        <v>#N/A</v>
        <stp/>
        <stp>BDP|2410396495034759425</stp>
        <tr r="J51" s="22"/>
        <tr r="J88" s="22"/>
      </tp>
      <tp t="e">
        <v>#N/A</v>
        <stp/>
        <stp>BDP|7716580930071536875</stp>
        <tr r="O207" s="22"/>
        <tr r="O229" s="22"/>
      </tp>
      <tp t="e">
        <v>#N/A</v>
        <stp/>
        <stp>BDP|5995130992006252387</stp>
        <tr r="C251" s="22"/>
      </tp>
      <tp t="e">
        <v>#N/A</v>
        <stp/>
        <stp>BDP|1995598397735008057</stp>
        <tr r="LC13" s="1"/>
        <tr r="CU17" s="1"/>
      </tp>
      <tp t="e">
        <v>#N/A</v>
        <stp/>
        <stp>BDP|3338009181632465148</stp>
        <tr r="AU14" s="1"/>
      </tp>
      <tp t="e">
        <v>#N/A</v>
        <stp/>
        <stp>BDP|5423797928181743919</stp>
        <tr r="P10" s="24"/>
      </tp>
      <tp t="e">
        <v>#N/A</v>
        <stp/>
        <stp>BDP|8386627005211057775</stp>
        <tr r="HN24" s="1"/>
      </tp>
      <tp t="e">
        <v>#N/A</v>
        <stp/>
        <stp>BDP|1238974307548246836</stp>
        <tr r="IX32" s="1"/>
      </tp>
      <tp t="e">
        <v>#N/A</v>
        <stp/>
        <stp>BDP|1740766303979793766</stp>
        <tr r="FU17" s="1"/>
        <tr r="IX10" s="1"/>
        <tr r="JY16" s="1"/>
        <tr r="QE8" s="1"/>
      </tp>
      <tp t="e">
        <v>#N/A</v>
        <stp/>
        <stp>BDP|1528841475632209452</stp>
        <tr r="GV38" s="1"/>
      </tp>
      <tp t="e">
        <v>#N/A</v>
        <stp/>
        <stp>BDP|5996458394645990516</stp>
        <tr r="IG26" s="1"/>
      </tp>
      <tp t="e">
        <v>#N/A</v>
        <stp/>
        <stp>BDP|8289155896408222033</stp>
        <tr r="AP17" s="1"/>
        <tr r="NB20" s="1"/>
      </tp>
      <tp t="e">
        <v>#N/A</v>
        <stp/>
        <stp>BDP|6720258406634140853</stp>
        <tr r="PD7" s="1"/>
      </tp>
      <tp t="e">
        <v>#N/A</v>
        <stp/>
        <stp>BDP|7161438333918723068</stp>
        <tr r="MA16" s="1"/>
        <tr r="O13" s="1"/>
        <tr r="OC15" s="1"/>
      </tp>
      <tp t="e">
        <v>#N/A</v>
        <stp/>
        <stp>BDP|7301102633294282928</stp>
        <tr r="PV20" s="1"/>
      </tp>
      <tp t="e">
        <v>#N/A</v>
        <stp/>
        <stp>BDP|1499328166329278526</stp>
        <tr r="N385" s="22"/>
      </tp>
      <tp t="e">
        <v>#N/A</v>
        <stp/>
        <stp>BDP|7089548171228439512</stp>
        <tr r="GE7" s="1"/>
        <tr r="HF6" s="1"/>
      </tp>
      <tp t="e">
        <v>#N/A</v>
        <stp/>
        <stp>BDP|3863911754385402297</stp>
        <tr r="QH8" s="1"/>
        <tr r="KB16" s="1"/>
        <tr r="JA10" s="1"/>
        <tr r="FX17" s="1"/>
      </tp>
      <tp t="e">
        <v>#N/A</v>
        <stp/>
        <stp>BDP|8360655012504384367</stp>
        <tr r="HN26" s="1"/>
      </tp>
      <tp t="e">
        <v>#N/A</v>
        <stp/>
        <stp>BDP|8597648487316580823</stp>
        <tr r="J125" s="22"/>
        <tr r="J167" s="22"/>
      </tp>
      <tp t="e">
        <v>#N/A</v>
        <stp/>
        <stp>BDP|6485644573086270905</stp>
        <tr r="C405" s="22"/>
      </tp>
      <tp t="e">
        <v>#N/A</v>
        <stp/>
        <stp>BDP|1254326391081039200</stp>
        <tr r="KB23" s="1"/>
      </tp>
      <tp t="e">
        <v>#N/A</v>
        <stp/>
        <stp>BDP|5745194276063801815</stp>
        <tr r="IG6" s="1"/>
      </tp>
      <tp t="e">
        <v>#N/A</v>
        <stp/>
        <stp>BDP|6083639492656572755</stp>
        <tr r="PN15" s="1"/>
      </tp>
      <tp t="e">
        <v>#N/A</v>
        <stp/>
        <stp>BDP|4200698414969814267</stp>
        <tr r="HE17" s="1"/>
      </tp>
      <tp t="e">
        <v>#N/A</v>
        <stp/>
        <stp>BDP|8937583252543341368</stp>
        <tr r="P272" s="22"/>
      </tp>
      <tp t="e">
        <v>#N/A</v>
        <stp/>
        <stp>BDP|4149333406669287601</stp>
        <tr r="P12" s="25"/>
      </tp>
      <tp t="e">
        <v>#N/A</v>
        <stp/>
        <stp>BDP|1144976670905448242</stp>
        <tr r="O405" s="22"/>
      </tp>
      <tp t="e">
        <v>#N/A</v>
        <stp/>
        <stp>BDP|6538002939555227886</stp>
        <tr r="M18" s="23"/>
      </tp>
      <tp t="e">
        <v>#N/A</v>
        <stp/>
        <stp>BDP|1316183291451980059</stp>
        <tr r="GE30" s="1"/>
      </tp>
      <tp t="e">
        <v>#N/A</v>
        <stp/>
        <stp>BDP|1387042081739018814</stp>
        <tr r="FC28" s="1"/>
        <tr r="GD21" s="1"/>
        <tr r="JG16" s="1"/>
        <tr r="NK18" s="1"/>
        <tr r="X33" s="1"/>
      </tp>
      <tp t="e">
        <v>#N/A</v>
        <stp/>
        <stp>BDP|9703289061245138080</stp>
        <tr r="J345" s="22"/>
      </tp>
      <tp t="e">
        <v>#N/A</v>
        <stp/>
        <stp>BDP|1325319612813033870</stp>
        <tr r="J365" s="22"/>
        <tr r="J386" s="22"/>
      </tp>
      <tp t="e">
        <v>#N/A</v>
        <stp/>
        <stp>BDP|9477052367674008314</stp>
        <tr r="M45" s="22"/>
        <tr r="M90" s="22"/>
      </tp>
      <tp t="e">
        <v>#N/A</v>
        <stp/>
        <stp>BDP|9591032768313281488</stp>
        <tr r="M153" s="22"/>
        <tr r="M191" s="22"/>
      </tp>
      <tp t="e">
        <v>#N/A</v>
        <stp/>
        <stp>BDP|6775958926327455241</stp>
        <tr r="O331" s="22"/>
      </tp>
      <tp t="e">
        <v>#N/A</v>
        <stp/>
        <stp>BDP|6656671057318650543</stp>
        <tr r="N252" s="22"/>
      </tp>
      <tp t="e">
        <v>#N/A</v>
        <stp/>
        <stp>BDP|5572267324214753945</stp>
        <tr r="JG17" s="1"/>
        <tr r="KH26" s="1"/>
        <tr r="RO19" s="1"/>
      </tp>
      <tp t="e">
        <v>#N/A</v>
        <stp/>
        <stp>BDP|8322359838969839924</stp>
        <tr r="H365" s="22"/>
      </tp>
      <tp t="e">
        <v>#N/A</v>
        <stp/>
        <stp>BDP|9452123402594767470</stp>
        <tr r="EY19" s="1"/>
        <tr r="T24" s="1"/>
      </tp>
      <tp t="e">
        <v>#N/A</v>
        <stp/>
        <stp>BDP|9986395766164222008</stp>
        <tr r="OU23" s="1"/>
      </tp>
      <tp t="e">
        <v>#N/A</v>
        <stp/>
        <stp>BDP|4099022292445278076</stp>
        <tr r="O15" s="25"/>
      </tp>
      <tp t="e">
        <v>#N/A</v>
        <stp/>
        <stp>BDP|8567113128454550639</stp>
        <tr r="RK17" s="1"/>
      </tp>
      <tp t="e">
        <v>#N/A</v>
        <stp/>
        <stp>BDP|6162212845598774189</stp>
        <tr r="O268" s="22"/>
      </tp>
      <tp t="e">
        <v>#N/A</v>
        <stp/>
        <stp>BDP|4330529760789990721</stp>
        <tr r="DX17" s="1"/>
      </tp>
      <tp t="e">
        <v>#N/A</v>
        <stp/>
        <stp>BDP|6023513280034856632</stp>
        <tr r="C292" s="22"/>
      </tp>
      <tp t="e">
        <v>#N/A</v>
        <stp/>
        <stp>BDP|8698004542016948360</stp>
        <tr r="IG21" s="1"/>
      </tp>
      <tp t="e">
        <v>#N/A</v>
        <stp/>
        <stp>BDP|4824481180800970124</stp>
        <tr r="QO7" s="1"/>
      </tp>
      <tp t="e">
        <v>#N/A</v>
        <stp/>
        <stp>BDP|9973072315227892682</stp>
        <tr r="J18" s="22"/>
      </tp>
      <tp t="e">
        <v>#N/A</v>
        <stp/>
        <stp>BDP|3996513546882129945</stp>
        <tr r="QE27" s="1"/>
        <tr r="RF41" s="1"/>
        <tr r="C103" s="22"/>
        <tr r="C134" s="22"/>
        <tr r="C155" s="22"/>
        <tr r="C174" s="22"/>
        <tr r="C193" s="22"/>
        <tr r="C21" s="22"/>
        <tr r="C211" s="22"/>
        <tr r="C233" s="22"/>
        <tr r="C255" s="22"/>
        <tr r="C276" s="22"/>
        <tr r="C296" s="22"/>
        <tr r="C314" s="22"/>
        <tr r="C414" s="22"/>
        <tr r="C63" s="22"/>
      </tp>
      <tp t="e">
        <v>#N/A</v>
        <stp/>
        <stp>BDP|8437326867065812121</stp>
        <tr r="O6" s="22"/>
      </tp>
      <tp t="e">
        <v>#N/A</v>
        <stp/>
        <stp>BDP|3564286601220055871</stp>
        <tr r="IB27" s="1"/>
      </tp>
      <tp t="e">
        <v>#N/A</v>
        <stp/>
        <stp>BDP|9871070752424172144</stp>
        <tr r="HZ16" s="1"/>
      </tp>
      <tp t="e">
        <v>#N/A</v>
        <stp/>
        <stp>BDP|7302100094010750686</stp>
        <tr r="N251" s="22"/>
      </tp>
      <tp t="e">
        <v>#N/A</v>
        <stp/>
        <stp>BDP|9962025037145783627</stp>
        <tr r="N273" s="22"/>
      </tp>
      <tp t="e">
        <v>#N/A</v>
        <stp/>
        <stp>BDP|8945723067546059657</stp>
        <tr r="P12" s="23"/>
        <tr r="P12" s="22"/>
      </tp>
      <tp t="e">
        <v>#N/A</v>
        <stp/>
        <stp>BDP|3040271866088855607</stp>
        <tr r="M8" s="22"/>
      </tp>
      <tp t="e">
        <v>#N/A</v>
        <stp/>
        <stp>BDP|8449137549346321238</stp>
        <tr r="RI30" s="1"/>
      </tp>
      <tp t="e">
        <v>#N/A</v>
        <stp/>
        <stp>BDP|1464821248674509050</stp>
        <tr r="FD25" s="1"/>
        <tr r="GE18" s="1"/>
        <tr r="JH11" s="1"/>
        <tr r="NL10" s="1"/>
        <tr r="QO9" s="1"/>
        <tr r="Y30" s="1"/>
      </tp>
      <tp t="e">
        <v>#N/A</v>
        <stp/>
        <stp>BDP|4864980639107358041</stp>
        <tr r="C289" s="22"/>
      </tp>
      <tp t="e">
        <v>#N/A</v>
        <stp/>
        <stp>BDP|8212494665943600069</stp>
        <tr r="KI24" s="1"/>
      </tp>
      <tp t="e">
        <v>#N/A</v>
        <stp/>
        <stp>BDP|3791179047116055993</stp>
        <tr r="N16" s="24"/>
      </tp>
      <tp t="e">
        <v>#N/A</v>
        <stp/>
        <stp>BDP|3861540583103571458</stp>
        <tr r="M44" s="22"/>
        <tr r="M91" s="22"/>
      </tp>
      <tp t="e">
        <v>#N/A</v>
        <stp/>
        <stp>BDP|2456608209459154436</stp>
        <tr r="P6" s="24"/>
      </tp>
      <tp t="e">
        <v>#N/A</v>
        <stp/>
        <stp>BDP|3939712827779524658</stp>
        <tr r="EY24" s="1"/>
        <tr r="T29" s="1"/>
      </tp>
      <tp t="e">
        <v>#N/A</v>
        <stp/>
        <stp>BDP|1441563796806391289</stp>
        <tr r="PD13" s="1"/>
      </tp>
      <tp t="e">
        <v>#N/A</v>
        <stp/>
        <stp>BDP|2767491980872197506</stp>
        <tr r="CI17" s="1"/>
      </tp>
      <tp t="e">
        <v>#N/A</v>
        <stp/>
        <stp>BDP|1176917501839723899</stp>
        <tr r="C14" s="25"/>
      </tp>
      <tp t="e">
        <v>#N/A</v>
        <stp/>
        <stp>BDP|1901200355349163627</stp>
        <tr r="EY12" s="1"/>
        <tr r="MF36" s="1"/>
        <tr r="NG29" s="1"/>
        <tr r="T14" s="1"/>
      </tp>
      <tp t="e">
        <v>#N/A</v>
        <stp/>
        <stp>BDP|9180596452895178544</stp>
        <tr r="IX28" s="1"/>
        <tr r="RF35" s="1"/>
      </tp>
      <tp t="e">
        <v>#N/A</v>
        <stp/>
        <stp>BDP|1675605909739749775</stp>
        <tr r="JA13" s="1"/>
      </tp>
      <tp t="e">
        <v>#N/A</v>
        <stp/>
        <stp>BDP|8269158258320304539</stp>
        <tr r="H254" s="22"/>
      </tp>
      <tp t="e">
        <v>#N/A</v>
        <stp/>
        <stp>BDP|8338627941836813541</stp>
        <tr r="MF28" s="1"/>
        <tr r="NG24" s="1"/>
      </tp>
      <tp t="e">
        <v>#N/A</v>
        <stp/>
        <stp>BDP|7469888445884367661</stp>
        <tr r="MF17" s="1"/>
        <tr r="NG14" s="1"/>
      </tp>
      <tp t="e">
        <v>#N/A</v>
        <stp/>
        <stp>BDP|8964239038228927879</stp>
        <tr r="RO10" s="1"/>
      </tp>
      <tp t="e">
        <v>#N/A</v>
        <stp/>
        <stp>BDP|8485951216641391898</stp>
        <tr r="GE27" s="1"/>
        <tr r="HF30" s="1"/>
      </tp>
      <tp t="e">
        <v>#N/A</v>
        <stp/>
        <stp>BDP|9676160238192335064</stp>
        <tr r="JP19" s="1"/>
      </tp>
      <tp t="e">
        <v>#N/A</v>
        <stp/>
        <stp>BDP|3266213713580965942</stp>
        <tr r="N11" s="24"/>
      </tp>
      <tp t="e">
        <v>#N/A</v>
        <stp/>
        <stp>BDP|2535657469383063845</stp>
        <tr r="AU24" s="1"/>
      </tp>
      <tp t="e">
        <v>#N/A</v>
        <stp/>
        <stp>BDP|1890214160835662924</stp>
        <tr r="EC17" s="1"/>
      </tp>
      <tp t="e">
        <v>#N/A</v>
        <stp/>
        <stp>BDP|4652920457032183300</stp>
        <tr r="IB6" s="1"/>
      </tp>
      <tp t="e">
        <v>#N/A</v>
        <stp/>
        <stp>BDP|2741871542482688568</stp>
        <tr r="JH30" s="1"/>
        <tr r="RP36" s="1"/>
      </tp>
      <tp t="e">
        <v>#N/A</v>
        <stp/>
        <stp>BDP|6992017765759686090</stp>
        <tr r="EK11" s="1"/>
        <tr r="OU10" s="1"/>
      </tp>
      <tp t="e">
        <v>#N/A</v>
        <stp/>
        <stp>BDP|1560670190136457145</stp>
        <tr r="LC18" s="1"/>
        <tr r="CU21" s="1"/>
      </tp>
      <tp t="e">
        <v>#N/A</v>
        <stp/>
        <stp>BDP|5045973395558439458</stp>
        <tr r="IG25" s="1"/>
        <tr r="MK20" s="1"/>
      </tp>
      <tp t="e">
        <v>#N/A</v>
        <stp/>
        <stp>BDP|6852941469962514237</stp>
        <tr r="M4" s="23"/>
      </tp>
      <tp t="e">
        <v>#N/A</v>
        <stp/>
        <stp>BDP|8668228345480536772</stp>
        <tr r="OQ15" s="1"/>
        <tr r="OQ29" s="1"/>
        <tr r="OQ6" s="1"/>
      </tp>
      <tp t="e">
        <v>#N/A</v>
        <stp/>
        <stp>BDP|2627163684216097477</stp>
        <tr r="O294" s="22"/>
      </tp>
      <tp t="e">
        <v>#N/A</v>
        <stp/>
        <stp>BDP|4509023237456487873</stp>
        <tr r="M4" s="25"/>
      </tp>
      <tp t="e">
        <v>#N/A</v>
        <stp/>
        <stp>BDP|4189686762158187593</stp>
        <tr r="PG21" s="1"/>
      </tp>
      <tp t="e">
        <v>#N/A</v>
        <stp/>
        <stp>BDP|4325123080316083210</stp>
        <tr r="DV17" s="1"/>
      </tp>
      <tp t="e">
        <v>#N/A</v>
        <stp/>
        <stp>BDP|2492627324436059925</stp>
        <tr r="J152" s="22"/>
        <tr r="J190" s="22"/>
      </tp>
      <tp t="e">
        <v>#N/A</v>
        <stp/>
        <stp>BDP|2249424796077259146</stp>
        <tr r="QW11" s="1"/>
      </tp>
      <tp t="e">
        <v>#N/A</v>
        <stp/>
        <stp>BDP|4237999006935514181</stp>
        <tr r="P295" s="22"/>
      </tp>
      <tp t="e">
        <v>#N/A</v>
        <stp/>
        <stp>BDP|4714245602119123604</stp>
        <tr r="MJ6" s="1"/>
        <tr r="OL7" s="1"/>
        <tr r="X23" s="1"/>
      </tp>
      <tp t="e">
        <v>#N/A</v>
        <stp/>
        <stp>BDP|2725879987348583324</stp>
        <tr r="DX10" s="1"/>
      </tp>
      <tp t="e">
        <v>#N/A</v>
        <stp/>
        <stp>BDP|5023400445309687521</stp>
        <tr r="C310" s="22"/>
      </tp>
      <tp t="e">
        <v>#N/A</v>
        <stp/>
        <stp>BDP|6666678584403434204</stp>
        <tr r="DX11" s="1"/>
        <tr r="OH10" s="1"/>
      </tp>
      <tp t="e">
        <v>#N/A</v>
        <stp/>
        <stp>BDP|3017917645516444113</stp>
        <tr r="O58" s="22"/>
        <tr r="O99" s="22"/>
      </tp>
      <tp t="e">
        <v>#N/A</v>
        <stp/>
        <stp>BDP|2108727162749371333</stp>
        <tr r="RI15" s="1"/>
      </tp>
      <tp t="e">
        <v>#N/A</v>
        <stp/>
        <stp>BDP|6373296861669347294</stp>
        <tr r="C6" s="25"/>
      </tp>
      <tp t="e">
        <v>#N/A</v>
        <stp/>
        <stp>BDP|9296270491943319867</stp>
        <tr r="IO16" s="1"/>
      </tp>
      <tp t="e">
        <v>#N/A</v>
        <stp/>
        <stp>BDP|3971277499246832799</stp>
        <tr r="C150" s="22"/>
        <tr r="C188" s="22"/>
      </tp>
      <tp t="e">
        <v>#N/A</v>
        <stp/>
        <stp>BDP|2049905802217596517</stp>
        <tr r="C272" s="22"/>
      </tp>
      <tp t="e">
        <v>#N/A</v>
        <stp/>
        <stp>BDP|1784199491608916809</stp>
        <tr r="QJ18" s="1"/>
      </tp>
      <tp t="e">
        <v>#N/A</v>
        <stp/>
        <stp>BDP|7036397091156992273</stp>
        <tr r="N272" s="22"/>
      </tp>
      <tp t="e">
        <v>#N/A</v>
        <stp/>
        <stp>BDP|5893337406207854839</stp>
        <tr r="BQ8" s="1"/>
        <tr r="CR10" s="1"/>
      </tp>
      <tp t="e">
        <v>#N/A</v>
        <stp/>
        <stp>BDP|5332634867618551443</stp>
        <tr r="M11" s="23"/>
      </tp>
      <tp t="e">
        <v>#N/A</v>
        <stp/>
        <stp>BDP|7597339820707860887</stp>
        <tr r="PG26" s="1"/>
        <tr r="GY25" s="1"/>
      </tp>
      <tp t="e">
        <v>#N/A</v>
        <stp/>
        <stp>BDP|1415540890226126269</stp>
        <tr r="FD16" s="1"/>
        <tr r="Y21" s="1"/>
      </tp>
      <tp t="e">
        <v>#N/A</v>
        <stp/>
        <stp>BDP|3864073938918498145</stp>
        <tr r="N5" s="23"/>
      </tp>
      <tp t="e">
        <v>#N/A</v>
        <stp/>
        <stp>BDP|6971284296757006304</stp>
        <tr r="DS16" s="1"/>
      </tp>
      <tp t="e">
        <v>#N/A</v>
        <stp/>
        <stp>BDP|9278359232735507579</stp>
        <tr r="FX9" s="1"/>
      </tp>
      <tp t="e">
        <v>#N/A</v>
        <stp/>
        <stp>BDP|4740842154355639562</stp>
        <tr r="DS17" s="1"/>
      </tp>
      <tp t="e">
        <v>#N/A</v>
        <stp/>
        <stp>BDP|4662822710253198728</stp>
        <tr r="RX21" s="1"/>
      </tp>
      <tp t="e">
        <v>#N/A</v>
        <stp/>
        <stp>BDP|8916818698097362749</stp>
        <tr r="M18" s="22"/>
      </tp>
      <tp t="e">
        <v>#N/A</v>
        <stp/>
        <stp>BDP|3763893647691810759</stp>
        <tr r="KD22" s="1"/>
      </tp>
      <tp t="e">
        <v>#N/A</v>
        <stp/>
        <stp>BDP|4992731721549951165</stp>
        <tr r="NG21" s="1"/>
      </tp>
      <tp t="e">
        <v>#N/A</v>
        <stp/>
        <stp>BDP|9756020740191966583</stp>
        <tr r="KD6" s="1"/>
        <tr r="RK6" s="1"/>
      </tp>
      <tp t="e">
        <v>#N/A</v>
        <stp/>
        <stp>BDP|1687042426552781877</stp>
        <tr r="N206" s="22"/>
        <tr r="N228" s="22"/>
      </tp>
      <tp t="e">
        <v>#N/A</v>
        <stp/>
        <stp>BDP|2427333446634208877</stp>
        <tr r="M9" s="22"/>
      </tp>
      <tp t="e">
        <v>#N/A</v>
        <stp/>
        <stp>BDP|9442507144449352871</stp>
        <tr r="DJ15" s="1"/>
      </tp>
      <tp t="e">
        <v>#N/A</v>
        <stp/>
        <stp>BDP|9519533811142506660</stp>
        <tr r="GY36" s="1"/>
        <tr r="R19" s="1"/>
      </tp>
      <tp t="e">
        <v>#N/A</v>
        <stp/>
        <stp>BDP|1573708431699528559</stp>
        <tr r="J100" s="22"/>
        <tr r="J59" s="22"/>
      </tp>
      <tp t="e">
        <v>#N/A</v>
        <stp/>
        <stp>BDP|8813470559488339813</stp>
        <tr r="GM20" s="1"/>
        <tr r="QW13" s="1"/>
      </tp>
      <tp t="e">
        <v>#N/A</v>
        <stp/>
        <stp>BDP|9036254164444005057</stp>
        <tr r="KB39" s="1"/>
      </tp>
      <tp t="e">
        <v>#N/A</v>
        <stp/>
        <stp>BDP|5981896642771066177</stp>
        <tr r="OF12" s="1"/>
        <tr r="MD14" s="1"/>
      </tp>
      <tp t="e">
        <v>#N/A</v>
        <stp/>
        <stp>BDP|8191187925550889218</stp>
        <tr r="KQ22" s="1"/>
      </tp>
      <tp t="e">
        <v>#N/A</v>
        <stp/>
        <stp>BDP|8502967533863393866</stp>
        <tr r="QN25" s="1"/>
      </tp>
      <tp t="e">
        <v>#N/A</v>
        <stp/>
        <stp>BDP|8226328256636390102</stp>
        <tr r="PD9" s="1"/>
      </tp>
      <tp t="e">
        <v>#N/A</v>
        <stp/>
        <stp>BDP|9977615056605547519</stp>
        <tr r="PM27" s="1"/>
      </tp>
      <tp t="e">
        <v>#N/A</v>
        <stp/>
        <stp>BDP|6369855835022145589</stp>
        <tr r="HZ20" s="1"/>
      </tp>
      <tp t="e">
        <v>#N/A</v>
        <stp/>
        <stp>BDP|9310375127005886712</stp>
        <tr r="CI7" s="1"/>
      </tp>
      <tp t="e">
        <v>#N/A</v>
        <stp/>
        <stp>BDP|4175908761364956537</stp>
        <tr r="KB34" s="1"/>
      </tp>
      <tp t="e">
        <v>#N/A</v>
        <stp/>
        <stp>BDP|7191009539758534677</stp>
        <tr r="M147" s="22"/>
        <tr r="M187" s="22"/>
      </tp>
      <tp t="e">
        <v>#N/A</v>
        <stp/>
        <stp>BDP|9927502540033560160</stp>
        <tr r="N5" s="24"/>
      </tp>
      <tp t="e">
        <v>#N/A</v>
        <stp/>
        <stp>BDP|8920736252616510662</stp>
        <tr r="PM20" s="1"/>
      </tp>
      <tp t="e">
        <v>#N/A</v>
        <stp/>
        <stp>BDP|7997774201168707239</stp>
        <tr r="QO17" s="1"/>
      </tp>
      <tp t="e">
        <v>#N/A</v>
        <stp/>
        <stp>BDP|1866106546557160944</stp>
        <tr r="N253" s="22"/>
      </tp>
      <tp t="e">
        <v>#N/A</v>
        <stp/>
        <stp>BDP|6624752488271611265</stp>
        <tr r="EC15" s="1"/>
      </tp>
      <tp t="e">
        <v>#N/A</v>
        <stp/>
        <stp>BDP|4996656614709042005</stp>
        <tr r="FD12" s="1"/>
        <tr r="MK36" s="1"/>
        <tr r="NL29" s="1"/>
        <tr r="Y14" s="1"/>
      </tp>
      <tp t="e">
        <v>#N/A</v>
        <stp/>
        <stp>BDP|6537488706760461875</stp>
        <tr r="C58" s="22"/>
      </tp>
      <tp t="e">
        <v>#N/A</v>
        <stp/>
        <stp>BDP|9409995181816649426</stp>
        <tr r="NK28" s="1"/>
      </tp>
      <tp t="e">
        <v>#N/A</v>
        <stp/>
        <stp>BDP|9576598605787668171</stp>
        <tr r="JG29" s="1"/>
      </tp>
      <tp t="e">
        <v>#N/A</v>
        <stp/>
        <stp>BDP|7977914367504026674</stp>
        <tr r="NK9" s="1"/>
      </tp>
      <tp t="e">
        <v>#N/A</v>
        <stp/>
        <stp>BDP|8726434572838797991</stp>
        <tr r="P18" s="22"/>
      </tp>
      <tp t="e">
        <v>#N/A</v>
        <stp/>
        <stp>BDP|5569578866674530880</stp>
        <tr r="HF39" s="1"/>
      </tp>
      <tp t="e">
        <v>#N/A</v>
        <stp/>
        <stp>BDP|9831841438048963045</stp>
        <tr r="P51" s="22"/>
        <tr r="P88" s="22"/>
      </tp>
      <tp t="e">
        <v>#N/A</v>
        <stp/>
        <stp>BDP|6817546092348349841</stp>
        <tr r="QJ16" s="1"/>
      </tp>
      <tp t="e">
        <v>#N/A</v>
        <stp/>
        <stp>BDP|9807633555404534427</stp>
        <tr r="LR12" s="1"/>
      </tp>
      <tp t="e">
        <v>#N/A</v>
        <stp/>
        <stp>BDP|5842809327507739218</stp>
        <tr r="O10" s="22"/>
      </tp>
      <tp t="e">
        <v>#N/A</v>
        <stp/>
        <stp>BDP|7147389977960700903</stp>
        <tr r="IO17" s="1"/>
      </tp>
      <tp t="e">
        <v>#N/A</v>
        <stp/>
        <stp>BDP|1219855684229999239</stp>
        <tr r="RK9" s="1"/>
      </tp>
      <tp t="e">
        <v>#N/A</v>
        <stp/>
        <stp>BDP|9885155571645408063</stp>
        <tr r="EB7" s="1"/>
        <tr r="OL8" s="1"/>
      </tp>
      <tp t="e">
        <v>#N/A</v>
        <stp/>
        <stp>BDP|6979849021633314515</stp>
        <tr r="GY29" s="1"/>
      </tp>
      <tp t="e">
        <v>#N/A</v>
        <stp/>
        <stp>BDP|7732130159361394809</stp>
        <tr r="O52" s="22"/>
        <tr r="O93" s="22"/>
      </tp>
      <tp t="e">
        <v>#N/A</v>
        <stp/>
        <stp>BDP|2696300570819188599</stp>
        <tr r="MF33" s="1"/>
        <tr r="PI28" s="1"/>
      </tp>
      <tp t="e">
        <v>#N/A</v>
        <stp/>
        <stp>BDP|1776096085360032348</stp>
        <tr r="PI27" s="1"/>
      </tp>
      <tp t="e">
        <v>#N/A</v>
        <stp/>
        <stp>BDP|6596505190172863220</stp>
        <tr r="NG31" s="1"/>
      </tp>
      <tp t="e">
        <v>#N/A</v>
        <stp/>
        <stp>BDP|1394117228149399166</stp>
        <tr r="H7" s="23"/>
      </tp>
      <tp t="e">
        <v>#N/A</v>
        <stp/>
        <stp>BDP|9708432154541675393</stp>
        <tr r="N402" s="22"/>
      </tp>
      <tp t="e">
        <v>#N/A</v>
        <stp/>
        <stp>BDP|7447781597387696414</stp>
        <tr r="PD6" s="1"/>
      </tp>
      <tp t="e">
        <v>#N/A</v>
        <stp/>
        <stp>BDP|4853633021362588837</stp>
        <tr r="C19" s="24"/>
      </tp>
      <tp t="e">
        <v>#N/A</v>
        <stp/>
        <stp>BDP|5254747408359755158</stp>
        <tr r="J18" s="23"/>
      </tp>
      <tp t="e">
        <v>#N/A</v>
        <stp/>
        <stp>BDP|4586004292104320380</stp>
        <tr r="EW18" s="1"/>
        <tr r="R22" s="1"/>
      </tp>
      <tp t="e">
        <v>#N/A</v>
        <stp/>
        <stp>BDP|4254989145501690253</stp>
        <tr r="AS12" s="1"/>
      </tp>
      <tp t="e">
        <v>#N/A</v>
        <stp/>
        <stp>BDP|1885539953322456902</stp>
        <tr r="QE11" s="1"/>
      </tp>
      <tp t="e">
        <v>#N/A</v>
        <stp/>
        <stp>BDP|9331493478576970676</stp>
        <tr r="NT31" s="1"/>
      </tp>
      <tp t="e">
        <v>#N/A</v>
        <stp/>
        <stp>BDP|8046237061924788296</stp>
        <tr r="RX37" s="1"/>
      </tp>
      <tp t="e">
        <v>#N/A</v>
        <stp/>
        <stp>BDP|9770274105680181196</stp>
        <tr r="C407" s="22"/>
      </tp>
      <tp t="e">
        <v>#N/A</v>
        <stp/>
        <stp>BDP|7306085053790599807</stp>
        <tr r="C364" s="22"/>
        <tr r="C382" s="22"/>
      </tp>
      <tp t="e">
        <v>#N/A</v>
        <stp/>
        <stp>BDP|8184876171185913832</stp>
        <tr r="QJ19" s="1"/>
      </tp>
      <tp t="e">
        <v>#N/A</v>
        <stp/>
        <stp>BDP|5046159092502842523</stp>
        <tr r="P409" s="22"/>
      </tp>
      <tp t="e">
        <v>#N/A</v>
        <stp/>
        <stp>BDP|2852882325896935412</stp>
        <tr r="JP21" s="1"/>
        <tr r="RX26" s="1"/>
      </tp>
      <tp t="e">
        <v>#N/A</v>
        <stp/>
        <stp>BDP|7119824732635942356</stp>
        <tr r="O8" s="23"/>
      </tp>
      <tp t="e">
        <v>#N/A</v>
        <stp/>
        <stp>BDP|7377424878006336875</stp>
        <tr r="RP17" s="1"/>
      </tp>
      <tp t="e">
        <v>#N/A</v>
        <stp/>
        <stp>BDP|7011385501897585912</stp>
        <tr r="C100" s="22"/>
        <tr r="C59" s="22"/>
      </tp>
      <tp t="e">
        <v>#N/A</v>
        <stp/>
        <stp>BDP|7479296957219191393</stp>
        <tr r="OM16" s="1"/>
      </tp>
      <tp t="e">
        <v>#N/A</v>
        <stp/>
        <stp>BDP|4749825729234704092</stp>
        <tr r="QJ7" s="1"/>
      </tp>
      <tp t="e">
        <v>#N/A</v>
        <stp/>
        <stp>BDP|4659525682255630624</stp>
        <tr r="HA22" s="1"/>
      </tp>
      <tp t="e">
        <v>#N/A</v>
        <stp/>
        <stp>BDP|1939594201196798856</stp>
        <tr r="O94" s="22"/>
      </tp>
      <tp t="e">
        <v>#N/A</v>
        <stp/>
        <stp>BDP|3223879921260689311</stp>
        <tr r="O385" s="22"/>
      </tp>
      <tp t="e">
        <v>#N/A</v>
        <stp/>
        <stp>BDP|1845555234005354894</stp>
        <tr r="P206" s="22"/>
        <tr r="P228" s="22"/>
      </tp>
      <tp t="e">
        <v>#N/A</v>
        <stp/>
        <stp>BDP|6273716210743793979</stp>
        <tr r="O154" s="22"/>
        <tr r="O192" s="22"/>
      </tp>
      <tp t="e">
        <v>#N/A</v>
        <stp/>
        <stp>BDP|5076996179076337704</stp>
        <tr r="CI15" s="1"/>
        <tr r="DJ16" s="1"/>
      </tp>
      <tp t="e">
        <v>#N/A</v>
        <stp/>
        <stp>BDP|7684103847638857094</stp>
        <tr r="J15" s="25"/>
      </tp>
      <tp t="e">
        <v>#N/A</v>
        <stp/>
        <stp>BDP|8705036166943186738</stp>
        <tr r="N404" s="22"/>
      </tp>
      <tp t="e">
        <v>#N/A</v>
        <stp/>
        <stp>BDP|8224477160558268877</stp>
        <tr r="RX13" s="1"/>
      </tp>
      <tp t="e">
        <v>#N/A</v>
        <stp/>
        <stp>BDP|6145565170678418634</stp>
        <tr r="HE13" s="1"/>
      </tp>
      <tp t="e">
        <v>#N/A</v>
        <stp/>
        <stp>BDP|9516436826824403148</stp>
        <tr r="N149" s="22"/>
      </tp>
      <tp t="e">
        <v>#N/A</v>
        <stp/>
        <stp>BDP|9714595632786878342</stp>
        <tr r="N295" s="22"/>
      </tp>
      <tp t="e">
        <v>#N/A</v>
        <stp/>
        <stp>BDP|5114197148839923385</stp>
        <tr r="IX22" s="1"/>
      </tp>
      <tp t="e">
        <v>#N/A</v>
        <stp/>
        <stp>BDP|3742452882660623576</stp>
        <tr r="P125" s="22"/>
        <tr r="P167" s="22"/>
      </tp>
      <tp t="e">
        <v>#N/A</v>
        <stp/>
        <stp>BDP|8765169971112897690</stp>
        <tr r="EY17" s="1"/>
        <tr r="MF7" s="1"/>
        <tr r="NG6" s="1"/>
      </tp>
      <tp t="e">
        <v>#N/A</v>
        <stp/>
        <stp>BDP|5982790176949165661</stp>
        <tr r="J364" s="22"/>
        <tr r="J382" s="22"/>
      </tp>
      <tp t="e">
        <v>#N/A</v>
        <stp/>
        <stp>BDP|9850355473081198690</stp>
        <tr r="O206" s="22"/>
        <tr r="O228" s="22"/>
      </tp>
      <tp t="e">
        <v>#N/A</v>
        <stp/>
        <stp>BDP|9902051813366079494</stp>
        <tr r="O10" s="23"/>
      </tp>
      <tp t="e">
        <v>#N/A</v>
        <stp/>
        <stp>BDP|2492756153638386273</stp>
        <tr r="RX9" s="1"/>
      </tp>
      <tp t="e">
        <v>#N/A</v>
        <stp/>
        <stp>BDP|4213323971672787809</stp>
        <tr r="C10" s="22"/>
      </tp>
      <tp t="e">
        <v>#N/A</v>
        <stp/>
        <stp>BDP|8282209984341764971</stp>
        <tr r="CA10" s="1"/>
        <tr r="DB13" s="1"/>
      </tp>
      <tp t="e">
        <v>#N/A</v>
        <stp/>
        <stp>BDP|7716914651600402157</stp>
        <tr r="HE19" s="1"/>
        <tr r="IF19" s="1"/>
      </tp>
      <tp t="e">
        <v>#N/A</v>
        <stp/>
        <stp>BDP|3392117321853469914</stp>
        <tr r="QW14" s="1"/>
      </tp>
      <tp t="e">
        <v>#N/A</v>
        <stp/>
        <stp>BDP|9810986603639681320</stp>
        <tr r="J6" s="25"/>
      </tp>
      <tp t="e">
        <v>#N/A</v>
        <stp/>
        <stp>BDP|9660112851417195001</stp>
        <tr r="H230" s="22"/>
        <tr r="H208" s="22"/>
      </tp>
      <tp t="e">
        <v>#N/A</v>
        <stp/>
        <stp>BDP|4443938511031833790</stp>
        <tr r="EB24" s="1"/>
      </tp>
      <tp t="e">
        <v>#N/A</v>
        <stp/>
        <stp>BDP|9475481662178961903</stp>
        <tr r="BH7" s="1"/>
        <tr r="FL13" s="1"/>
        <tr r="KQ7" s="1"/>
        <tr r="AG15" s="1"/>
      </tp>
      <tp t="e">
        <v>#N/A</v>
        <stp/>
        <stp>BDP|6037764583031183206</stp>
        <tr r="AG34" s="1"/>
        <tr r="FL29" s="1"/>
      </tp>
      <tp t="e">
        <v>#N/A</v>
        <stp/>
        <stp>BDP|9408422227813506600</stp>
        <tr r="M51" s="22"/>
        <tr r="M88" s="22"/>
      </tp>
      <tp t="e">
        <v>#N/A</v>
        <stp/>
        <stp>BDP|5485504128670801804</stp>
        <tr r="O147" s="22"/>
        <tr r="O187" s="22"/>
      </tp>
      <tp t="e">
        <v>#N/A</v>
        <stp/>
        <stp>BDP|2320897883441587987</stp>
        <tr r="H102" s="22"/>
        <tr r="H62" s="22"/>
      </tp>
      <tp t="e">
        <v>#N/A</v>
        <stp/>
        <stp>BDP|6164440725479266365</stp>
        <tr r="DB19" s="1"/>
        <tr r="LJ15" s="1"/>
      </tp>
      <tp t="e">
        <v>#N/A</v>
        <stp/>
        <stp>BDP|3728864433853695101</stp>
        <tr r="GY17" s="1"/>
      </tp>
      <tp t="e">
        <v>#N/A</v>
        <stp/>
        <stp>BDP|6676064991130130559</stp>
        <tr r="MF14" s="1"/>
        <tr r="OH12" s="1"/>
      </tp>
      <tp t="e">
        <v>#N/A</v>
        <stp/>
        <stp>BDP|2060460857760289965</stp>
        <tr r="NB17" s="1"/>
      </tp>
      <tp t="e">
        <v>#N/A</v>
        <stp/>
        <stp>BDP|8036659550621911091</stp>
        <tr r="RP39" s="1"/>
      </tp>
      <tp t="e">
        <v>#N/A</v>
        <stp/>
        <stp>BDP|3183398990426518580</stp>
        <tr r="N309" s="22"/>
      </tp>
      <tp t="e">
        <v>#N/A</v>
        <stp/>
        <stp>BDP|3900970165996815193</stp>
        <tr r="HA9" s="1"/>
      </tp>
      <tp t="e">
        <v>#N/A</v>
        <stp/>
        <stp>BDP|8645572069866230602</stp>
        <tr r="O346" s="22"/>
      </tp>
      <tp t="e">
        <v>#N/A</v>
        <stp/>
        <stp>BDP|5245907108654964393</stp>
        <tr r="MS9" s="1"/>
      </tp>
      <tp t="e">
        <v>#N/A</v>
        <stp/>
        <stp>BDP|2265114638333999888</stp>
        <tr r="C48" s="22"/>
        <tr r="C89" s="22"/>
      </tp>
      <tp t="e">
        <v>#N/A</v>
        <stp/>
        <stp>BDP|8292929271745212892</stp>
        <tr r="P151" s="22"/>
        <tr r="P189" s="22"/>
      </tp>
      <tp t="e">
        <v>#N/A</v>
        <stp/>
        <stp>BDP|2667390984640563241</stp>
        <tr r="H12" s="22"/>
        <tr r="H12" s="23"/>
      </tp>
      <tp t="e">
        <v>#N/A</v>
        <stp/>
        <stp>BDP|8945532223483113725</stp>
        <tr r="GE26" s="1"/>
      </tp>
      <tp t="e">
        <v>#N/A</v>
        <stp/>
        <stp>BDP|2599336759249674623</stp>
        <tr r="FD14" s="1"/>
        <tr r="Y16" s="1"/>
      </tp>
      <tp t="e">
        <v>#N/A</v>
        <stp/>
        <stp>BDP|6047908930143336484</stp>
        <tr r="KH31" s="1"/>
      </tp>
      <tp t="e">
        <v>#N/A</v>
        <stp/>
        <stp>BDP|2032169429419639327</stp>
        <tr r="O20" s="22"/>
      </tp>
      <tp t="e">
        <v>#N/A</v>
        <stp/>
        <stp>BDP|6534376608147024916</stp>
        <tr r="M346" s="22"/>
      </tp>
      <tp t="e">
        <v>#N/A</v>
        <stp/>
        <stp>BDP|8924683425126671197</stp>
        <tr r="OH6" s="1"/>
      </tp>
      <tp t="e">
        <v>#N/A</v>
        <stp/>
        <stp>BDP|2732294705978657358</stp>
        <tr r="AS22" s="1"/>
      </tp>
      <tp t="e">
        <v>#N/A</v>
        <stp/>
        <stp>BDP|8978192735599933841</stp>
        <tr r="QJ10" s="1"/>
      </tp>
      <tp t="e">
        <v>#N/A</v>
        <stp/>
        <stp>BDP|5962208600454200838</stp>
        <tr r="JP23" s="1"/>
      </tp>
      <tp t="e">
        <v>#N/A</v>
        <stp/>
        <stp>BDP|1707518995207206183</stp>
        <tr r="FU14" s="1"/>
      </tp>
      <tp t="e">
        <v>#N/A</v>
        <stp/>
        <stp>BDP|8266308178763757444</stp>
        <tr r="FD15" s="1"/>
        <tr r="GE22" s="1"/>
        <tr r="JH18" s="1"/>
        <tr r="Y17" s="1"/>
      </tp>
      <tp t="e">
        <v>#N/A</v>
        <stp/>
        <stp>BDP|1158582770381467949</stp>
        <tr r="FD34" s="1"/>
        <tr r="GE6" s="1"/>
        <tr r="JH6" s="1"/>
        <tr r="Y41" s="1"/>
      </tp>
      <tp t="e">
        <v>#N/A</v>
        <stp/>
        <stp>BDP|9096958680601999255</stp>
        <tr r="HE16" s="1"/>
        <tr r="IF9" s="1"/>
      </tp>
      <tp t="e">
        <v>#N/A</v>
        <stp/>
        <stp>BDP|7638922457030816058</stp>
        <tr r="H310" s="22"/>
      </tp>
      <tp t="e">
        <v>#N/A</v>
        <stp/>
        <stp>BDP|3482692443379915398</stp>
        <tr r="AG10" s="1"/>
        <tr r="FL9" s="1"/>
      </tp>
      <tp t="e">
        <v>#N/A</v>
        <stp/>
        <stp>BDP|5951879982198238617</stp>
        <tr r="N383" s="22"/>
      </tp>
      <tp t="e">
        <v>#N/A</v>
        <stp/>
        <stp>BDP|8514719629440302611</stp>
        <tr r="H101" s="22"/>
        <tr r="H56" s="22"/>
      </tp>
      <tp t="e">
        <v>#N/A</v>
        <stp/>
        <stp>BDP|8047415970527899762</stp>
        <tr r="NL11" s="1"/>
      </tp>
      <tp t="e">
        <v>#N/A</v>
        <stp/>
        <stp>BDP|3628261795100246388</stp>
        <tr r="MK29" s="1"/>
        <tr r="OM24" s="1"/>
      </tp>
      <tp t="e">
        <v>#N/A</v>
        <stp/>
        <stp>BDP|5418468980702574089</stp>
        <tr r="J309" s="22"/>
      </tp>
      <tp t="e">
        <v>#N/A</v>
        <stp/>
        <stp>BDP|8287530975812327381</stp>
        <tr r="M49" s="22"/>
      </tp>
      <tp t="e">
        <v>#N/A</v>
        <stp/>
        <stp>BDP|2634203282227960420</stp>
        <tr r="QW6" s="1"/>
      </tp>
      <tp t="e">
        <v>#N/A</v>
        <stp/>
        <stp>BDP|3850422188383990749</stp>
        <tr r="MD24" s="1"/>
      </tp>
      <tp t="e">
        <v>#N/A</v>
        <stp/>
        <stp>BDP|7635054856650900936</stp>
        <tr r="AS23" s="1"/>
      </tp>
      <tp t="e">
        <v>#N/A</v>
        <stp/>
        <stp>BDP|2545838155291968565</stp>
        <tr r="J131" s="22"/>
        <tr r="J171" s="22"/>
      </tp>
      <tp t="e">
        <v>#N/A</v>
        <stp/>
        <stp>BDP|9130782122834670313</stp>
        <tr r="HE39" s="1"/>
      </tp>
      <tp t="e">
        <v>#N/A</v>
        <stp/>
        <stp>BDP|2208903561016827074</stp>
        <tr r="M15" s="23"/>
      </tp>
      <tp t="e">
        <v>#N/A</v>
        <stp/>
        <stp>BDP|6039555682723254390</stp>
        <tr r="GY30" s="1"/>
        <tr r="FX27" s="1"/>
      </tp>
      <tp t="e">
        <v>#N/A</v>
        <stp/>
        <stp>BDP|3857882721550897240</stp>
        <tr r="AP8" s="1"/>
        <tr r="DS8" s="1"/>
      </tp>
      <tp t="e">
        <v>#N/A</v>
        <stp/>
        <stp>BDP|3607303486896965547</stp>
        <tr r="C254" s="22"/>
      </tp>
      <tp t="e">
        <v>#N/A</v>
        <stp/>
        <stp>BDP|9557681080024231827</stp>
        <tr r="C20" s="24"/>
      </tp>
      <tp t="e">
        <v>#N/A</v>
        <stp/>
        <stp>BDP|4522536740308315685</stp>
        <tr r="JC25" s="1"/>
      </tp>
      <tp t="e">
        <v>#N/A</v>
        <stp/>
        <stp>BDP|2440122718598295118</stp>
        <tr r="IB20" s="1"/>
      </tp>
      <tp t="e">
        <v>#N/A</v>
        <stp/>
        <stp>BDP|8709565631011535481</stp>
        <tr r="MS39" s="1"/>
        <tr r="OU32" s="1"/>
      </tp>
      <tp t="e">
        <v>#N/A</v>
        <stp/>
        <stp>BDP|7766233860889380157</stp>
        <tr r="PG28" s="1"/>
        <tr r="MD33" s="1"/>
      </tp>
      <tp t="e">
        <v>#N/A</v>
        <stp/>
        <stp>BDP|3223538552669595141</stp>
        <tr r="HA24" s="1"/>
      </tp>
      <tp t="e">
        <v>#N/A</v>
        <stp/>
        <stp>BDP|2158418833379735769</stp>
        <tr r="HZ21" s="1"/>
      </tp>
      <tp t="e">
        <v>#N/A</v>
        <stp/>
        <stp>BDP|2394318865715080945</stp>
        <tr r="BZ15" s="1"/>
        <tr r="DA16" s="1"/>
      </tp>
      <tp t="e">
        <v>#N/A</v>
        <stp/>
        <stp>BDP|5692924536285139100</stp>
        <tr r="HE12" s="1"/>
        <tr r="PM14" s="1"/>
      </tp>
      <tp t="e">
        <v>#N/A</v>
        <stp/>
        <stp>BDP|9105868303269555321</stp>
        <tr r="DV16" s="1"/>
      </tp>
      <tp t="e">
        <v>#N/A</v>
        <stp/>
        <stp>BDP|1374037021749710152</stp>
        <tr r="QE17" s="1"/>
      </tp>
      <tp t="e">
        <v>#N/A</v>
        <stp/>
        <stp>BDP|8069512404962004469</stp>
        <tr r="PN21" s="1"/>
      </tp>
      <tp t="e">
        <v>#N/A</v>
        <stp/>
        <stp>BDP|8431514133347488224</stp>
        <tr r="EY29" s="1"/>
        <tr r="T34" s="1"/>
      </tp>
      <tp t="e">
        <v>#N/A</v>
        <stp/>
        <stp>BDP|6218507493212984384</stp>
        <tr r="HZ13" s="1"/>
      </tp>
      <tp t="e">
        <v>#N/A</v>
        <stp/>
        <stp>BDP|6491507446714758853</stp>
        <tr r="JA23" s="1"/>
      </tp>
      <tp t="e">
        <v>#N/A</v>
        <stp/>
        <stp>BDP|5095394634858417696</stp>
        <tr r="RP18" s="1"/>
      </tp>
      <tp t="e">
        <v>#N/A</v>
        <stp/>
        <stp>BDP|1872144323920673999</stp>
        <tr r="P14" s="24"/>
        <tr r="P14" s="23"/>
        <tr r="P14" s="22"/>
      </tp>
      <tp t="e">
        <v>#N/A</v>
        <stp/>
        <stp>BDP|3940360199785630704</stp>
        <tr r="DS14" s="1"/>
        <tr r="OC18" s="1"/>
      </tp>
      <tp t="e">
        <v>#N/A</v>
        <stp/>
        <stp>BDP|1111350478698511691</stp>
        <tr r="OU14" s="1"/>
      </tp>
      <tp t="e">
        <v>#N/A</v>
        <stp/>
        <stp>BDP|4454545496983612013</stp>
        <tr r="N289" s="22"/>
      </tp>
      <tp t="e">
        <v>#N/A</v>
        <stp/>
        <stp>BDP|3791811476131963685</stp>
        <tr r="LC11" s="1"/>
      </tp>
      <tp t="e">
        <v>#N/A</v>
        <stp/>
        <stp>BDP|6074236432509173519</stp>
        <tr r="FC19" s="1"/>
        <tr r="X24" s="1"/>
      </tp>
      <tp t="e">
        <v>#N/A</v>
        <stp/>
        <stp>BDP|8971692845112129357</stp>
        <tr r="N10" s="24"/>
      </tp>
      <tp t="e">
        <v>#N/A</v>
        <stp/>
        <stp>BDP|9586378711651253103</stp>
        <tr r="J11" s="24"/>
      </tp>
      <tp t="e">
        <v>#N/A</v>
        <stp/>
        <stp>BDP|5051364810989477546</stp>
        <tr r="QN15" s="1"/>
      </tp>
      <tp t="e">
        <v>#N/A</v>
        <stp/>
        <stp>BDP|2293756745882125851</stp>
        <tr r="O348" s="22"/>
      </tp>
      <tp t="e">
        <v>#N/A</v>
        <stp/>
        <stp>BDP|1456306884733596239</stp>
        <tr r="C17" s="22"/>
      </tp>
      <tp t="e">
        <v>#N/A</v>
        <stp/>
        <stp>BDP|8416724303597667352</stp>
        <tr r="RP33" s="1"/>
      </tp>
      <tp t="e">
        <v>#N/A</v>
        <stp/>
        <stp>BDP|5471544724941506865</stp>
        <tr r="RO17" s="1"/>
      </tp>
      <tp t="e">
        <v>#N/A</v>
        <stp/>
        <stp>BDP|8458714857317126645</stp>
        <tr r="CW21" s="1"/>
        <tr r="LE18" s="1"/>
      </tp>
      <tp t="e">
        <v>#N/A</v>
        <stp/>
        <stp>BDP|8846582887537746948</stp>
        <tr r="AG32" s="1"/>
        <tr r="FL27" s="1"/>
      </tp>
      <tp t="e">
        <v>#N/A</v>
        <stp/>
        <stp>BDP|6413263292663446503</stp>
        <tr r="CR24" s="1"/>
        <tr r="KZ20" s="1"/>
      </tp>
      <tp t="e">
        <v>#N/A</v>
        <stp/>
        <stp>BDP|9901030527525160581</stp>
        <tr r="J410" s="22"/>
      </tp>
      <tp t="e">
        <v>#N/A</v>
        <stp/>
        <stp>BDP|5768059905547583966</stp>
        <tr r="IF6" s="1"/>
      </tp>
      <tp t="e">
        <v>#N/A</v>
        <stp/>
        <stp>BDP|9568081515572421187</stp>
        <tr r="N346" s="22"/>
      </tp>
      <tp t="e">
        <v>#N/A</v>
        <stp/>
        <stp>BDP|7349988269365308659</stp>
        <tr r="M345" s="22"/>
      </tp>
      <tp t="e">
        <v>#N/A</v>
        <stp/>
        <stp>BDP|8503748776620344313</stp>
        <tr r="HA25" s="1"/>
        <tr r="PI26" s="1"/>
      </tp>
      <tp t="e">
        <v>#N/A</v>
        <stp/>
        <stp>BDP|2859779494252760590</stp>
        <tr r="AP22" s="1"/>
      </tp>
      <tp t="e">
        <v>#N/A</v>
        <stp/>
        <stp>BDP|5218548282686341521</stp>
        <tr r="N9" s="25"/>
      </tp>
      <tp t="e">
        <v>#N/A</v>
        <stp/>
        <stp>BDP|9660308564856090170</stp>
        <tr r="PG25" s="1"/>
      </tp>
      <tp t="e">
        <v>#N/A</v>
        <stp/>
        <stp>BDP|3495321440436743947</stp>
        <tr r="ET9" s="1"/>
        <tr r="O10" s="1"/>
      </tp>
      <tp t="e">
        <v>#N/A</v>
        <stp/>
        <stp>BDP|4303961470478913996</stp>
        <tr r="J293" s="22"/>
      </tp>
      <tp t="e">
        <v>#N/A</v>
        <stp/>
        <stp>BDP|5103090752171546559</stp>
        <tr r="N148" s="22"/>
      </tp>
      <tp t="e">
        <v>#N/A</v>
        <stp/>
        <stp>BDP|4273565472413416189</stp>
        <tr r="FX35" s="1"/>
      </tp>
      <tp t="e">
        <v>#N/A</v>
        <stp/>
        <stp>BDP|9643131151240831964</stp>
        <tr r="FD18" s="1"/>
        <tr r="Y22" s="1"/>
      </tp>
      <tp t="e">
        <v>#N/A</v>
        <stp/>
        <stp>BDP|4065135067916926178</stp>
        <tr r="C54" s="22"/>
        <tr r="C86" s="22"/>
      </tp>
      <tp t="e">
        <v>#N/A</v>
        <stp/>
        <stp>BDP|8811531500121756862</stp>
        <tr r="MJ16" s="1"/>
        <tr r="OL15" s="1"/>
        <tr r="X13" s="1"/>
      </tp>
      <tp t="e">
        <v>#N/A</v>
        <stp/>
        <stp>BDP|4663053278611999695</stp>
        <tr r="CR9" s="1"/>
      </tp>
      <tp t="e">
        <v>#N/A</v>
        <stp/>
        <stp>BDP|6732986327611523860</stp>
        <tr r="MD10" s="1"/>
        <tr r="GY11" s="1"/>
      </tp>
      <tp t="e">
        <v>#N/A</v>
        <stp/>
        <stp>BDP|5104750249464380665</stp>
        <tr r="N150" s="22"/>
        <tr r="N188" s="22"/>
      </tp>
      <tp t="e">
        <v>#N/A</v>
        <stp/>
        <stp>BDP|6295514663759075884</stp>
        <tr r="O270" s="22"/>
      </tp>
      <tp t="e">
        <v>#N/A</v>
        <stp/>
        <stp>BDP|2877454416736759542</stp>
        <tr r="RI10" s="1"/>
      </tp>
      <tp t="e">
        <v>#N/A</v>
        <stp/>
        <stp>BDP|1483493560813660432</stp>
        <tr r="OF24" s="1"/>
        <tr r="MD29" s="1"/>
      </tp>
      <tp t="e">
        <v>#N/A</v>
        <stp/>
        <stp>BDP|8269899332886096175</stp>
        <tr r="N60" s="22"/>
        <tr r="N97" s="22"/>
      </tp>
      <tp t="e">
        <v>#N/A</v>
        <stp/>
        <stp>BDP|7015778528176743061</stp>
        <tr r="PN18" s="1"/>
      </tp>
      <tp t="e">
        <v>#N/A</v>
        <stp/>
        <stp>BDP|4722709729302978792</stp>
        <tr r="M128" s="22"/>
      </tp>
      <tp t="e">
        <v>#N/A</v>
        <stp/>
        <stp>BDP|8008982042891214064</stp>
        <tr r="P61" s="22"/>
        <tr r="P98" s="22"/>
      </tp>
      <tp t="e">
        <v>#N/A</v>
        <stp/>
        <stp>BDP|6555664731034850344</stp>
        <tr r="C128" s="22"/>
      </tp>
      <tp t="e">
        <v>#N/A</v>
        <stp/>
        <stp>BDP|8815572021632158916</stp>
        <tr r="IF17" s="1"/>
      </tp>
      <tp t="e">
        <v>#N/A</v>
        <stp/>
        <stp>BDP|7656792366785585731</stp>
        <tr r="C52" s="22"/>
        <tr r="C93" s="22"/>
      </tp>
      <tp t="e">
        <v>#N/A</v>
        <stp/>
        <stp>BDP|4588611264043627390</stp>
        <tr r="JA7" s="1"/>
        <tr r="FX8" s="1"/>
        <tr r="EW6" s="1"/>
        <tr r="R6" s="1"/>
      </tp>
      <tp t="e">
        <v>#N/A</v>
        <stp/>
        <stp>BDP|2039620462424682290</stp>
        <tr r="N409" s="22"/>
      </tp>
      <tp t="e">
        <v>#N/A</v>
        <stp/>
        <stp>BDP|7969719208897931361</stp>
        <tr r="BH20" s="1"/>
        <tr r="MS31" s="1"/>
        <tr r="OU27" s="1"/>
      </tp>
      <tp t="e">
        <v>#N/A</v>
        <stp/>
        <stp>BDP|7157230578211549704</stp>
        <tr r="ET6" s="1"/>
        <tr r="FU8" s="1"/>
        <tr r="IX7" s="1"/>
        <tr r="O6" s="1"/>
      </tp>
      <tp t="e">
        <v>#N/A</v>
        <stp/>
        <stp>BDP|9689560349009567538</stp>
        <tr r="EY7" s="1"/>
        <tr r="FZ12" s="1"/>
        <tr r="T7" s="1"/>
      </tp>
      <tp t="e">
        <v>#N/A</v>
        <stp/>
        <stp>BDP|6726421104963905547</stp>
        <tr r="AP11" s="1"/>
        <tr r="DS12" s="1"/>
        <tr r="MA19" s="1"/>
        <tr r="OC17" s="1"/>
      </tp>
      <tp t="e">
        <v>#N/A</v>
        <stp/>
        <stp>BDP|2393591120338444922</stp>
        <tr r="NE20" s="1"/>
        <tr r="AS17" s="1"/>
      </tp>
      <tp t="e">
        <v>#N/A</v>
        <stp/>
        <stp>BDP|6593553840440988354</stp>
        <tr r="GV18" s="1"/>
      </tp>
      <tp t="e">
        <v>#N/A</v>
        <stp/>
        <stp>BDP|8904983919656024245</stp>
        <tr r="QH22" s="1"/>
      </tp>
      <tp t="e">
        <v>#N/A</v>
        <stp/>
        <stp>BDP|7938553511314178301</stp>
        <tr r="O362" s="22"/>
        <tr r="O380" s="22"/>
      </tp>
      <tp t="e">
        <v>#N/A</v>
        <stp/>
        <stp>BDP|7072471859586205406</stp>
        <tr r="H18" s="22"/>
      </tp>
      <tp t="e">
        <v>#N/A</v>
        <stp/>
        <stp>BDP|4349485173407581407</stp>
        <tr r="P57" s="22"/>
        <tr r="P96" s="22"/>
      </tp>
      <tp t="e">
        <v>#N/A</v>
        <stp/>
        <stp>BDP|9639439668207939894</stp>
        <tr r="PI7" s="1"/>
      </tp>
      <tp t="e">
        <v>#N/A</v>
        <stp/>
        <stp>BDP|8832239296215135215</stp>
        <tr r="FZ24" s="1"/>
        <tr r="T31" s="1"/>
      </tp>
      <tp t="e">
        <v>#N/A</v>
        <stp/>
        <stp>BDP|5166190268255437399</stp>
        <tr r="C154" s="22"/>
        <tr r="C192" s="22"/>
      </tp>
      <tp t="e">
        <v>#N/A</v>
        <stp/>
        <stp>BDP|1230872799671173507</stp>
        <tr r="P406" s="22"/>
      </tp>
      <tp t="e">
        <v>#N/A</v>
        <stp/>
        <stp>BDP|1206615041145617293</stp>
        <tr r="IG14" s="1"/>
      </tp>
      <tp t="e">
        <v>#N/A</v>
        <stp/>
        <stp>BDP|4507513298259918586</stp>
        <tr r="M327" s="22"/>
      </tp>
      <tp t="e">
        <v>#N/A</v>
        <stp/>
        <stp>BDP|4492134361442375576</stp>
        <tr r="N47" s="22"/>
        <tr r="N85" s="22"/>
      </tp>
      <tp t="e">
        <v>#N/A</v>
        <stp/>
        <stp>BDP|9307466453489006549</stp>
        <tr r="M130" s="22"/>
        <tr r="M170" s="22"/>
      </tp>
      <tp t="e">
        <v>#N/A</v>
        <stp/>
        <stp>BDP|4482941575269278757</stp>
        <tr r="HN19" s="1"/>
        <tr r="IO19" s="1"/>
      </tp>
      <tp t="e">
        <v>#N/A</v>
        <stp/>
        <stp>BDP|5214989793556311783</stp>
        <tr r="AP20" s="1"/>
        <tr r="MA31" s="1"/>
        <tr r="OC27" s="1"/>
      </tp>
      <tp t="e">
        <v>#N/A</v>
        <stp/>
        <stp>BDP|6134575282916338953</stp>
        <tr r="O57" s="22"/>
        <tr r="O96" s="22"/>
      </tp>
      <tp t="e">
        <v>#N/A</v>
        <stp/>
        <stp>BDP|1137535340022267623</stp>
        <tr r="ET27" s="1"/>
        <tr r="O32" s="1"/>
      </tp>
      <tp t="e">
        <v>#N/A</v>
        <stp/>
        <stp>BDP|5664659314875205371</stp>
        <tr r="OU16" s="1"/>
      </tp>
      <tp t="e">
        <v>#N/A</v>
        <stp/>
        <stp>BDP|1661945824828412613</stp>
        <tr r="HW27" s="1"/>
      </tp>
      <tp t="e">
        <v>#N/A</v>
        <stp/>
        <stp>BDP|9865824569900578354</stp>
        <tr r="DB11" s="1"/>
        <tr r="LJ8" s="1"/>
      </tp>
      <tp t="e">
        <v>#N/A</v>
        <stp/>
        <stp>BDP|7552373965896453006</stp>
        <tr r="CR17" s="1"/>
        <tr r="KZ13" s="1"/>
      </tp>
      <tp t="e">
        <v>#N/A</v>
        <stp/>
        <stp>BDP|6436342215833647301</stp>
        <tr r="NL9" s="1"/>
      </tp>
      <tp t="e">
        <v>#N/A</v>
        <stp/>
        <stp>BDP|4791560816020031444</stp>
        <tr r="P407" s="22"/>
      </tp>
      <tp t="e">
        <v>#N/A</v>
        <stp/>
        <stp>BDP|6919854696931065299</stp>
        <tr r="RO9" s="1"/>
      </tp>
      <tp t="e">
        <v>#N/A</v>
        <stp/>
        <stp>BDP|2587364846110284147</stp>
        <tr r="EC14" s="1"/>
        <tr r="OM18" s="1"/>
      </tp>
      <tp t="e">
        <v>#N/A</v>
        <stp/>
        <stp>BDP|9880439802279082093</stp>
        <tr r="HN9" s="1"/>
      </tp>
      <tp t="e">
        <v>#N/A</v>
        <stp/>
        <stp>BDP|5498099786760923928</stp>
        <tr r="RF17" s="1"/>
      </tp>
      <tp t="e">
        <v>#N/A</v>
        <stp/>
        <stp>BDP|7751915546716354833</stp>
        <tr r="IX30" s="1"/>
        <tr r="RF36" s="1"/>
      </tp>
      <tp t="e">
        <v>#N/A</v>
        <stp/>
        <stp>BDP|2781998264638351190</stp>
        <tr r="C406" s="22"/>
      </tp>
      <tp t="e">
        <v>#N/A</v>
        <stp/>
        <stp>BDP|5856744219681586614</stp>
        <tr r="M330" s="22"/>
      </tp>
      <tp t="e">
        <v>#N/A</v>
        <stp/>
        <stp>BDP|5966292092833390904</stp>
        <tr r="BQ15" s="1"/>
        <tr r="CR16" s="1"/>
      </tp>
      <tp t="e">
        <v>#N/A</v>
        <stp/>
        <stp>BDP|5021505237015122276</stp>
        <tr r="N12" s="24"/>
      </tp>
      <tp t="e">
        <v>#N/A</v>
        <stp/>
        <stp>BDP|8731783463668928547</stp>
        <tr r="O311" s="22"/>
      </tp>
      <tp t="e">
        <v>#N/A</v>
        <stp/>
        <stp>BDP|5610381539246427722</stp>
        <tr r="M151" s="22"/>
        <tr r="M189" s="22"/>
      </tp>
      <tp t="e">
        <v>#N/A</v>
        <stp/>
        <stp>BDP|5653537251766055755</stp>
        <tr r="FD19" s="1"/>
        <tr r="Y24" s="1"/>
      </tp>
      <tp t="e">
        <v>#N/A</v>
        <stp/>
        <stp>BDP|3804970529545959993</stp>
        <tr r="QJ15" s="1"/>
      </tp>
      <tp t="e">
        <v>#N/A</v>
        <stp/>
        <stp>BDP|7432182133781131087</stp>
        <tr r="JY28" s="1"/>
      </tp>
      <tp t="e">
        <v>#N/A</v>
        <stp/>
        <stp>BDP|6267237448341876570</stp>
        <tr r="FC21" s="1"/>
        <tr r="GD32" s="1"/>
        <tr r="KH36" s="1"/>
        <tr r="X26" s="1"/>
      </tp>
      <tp t="e">
        <v>#N/A</v>
        <stp/>
        <stp>BDP|5943039818391403109</stp>
        <tr r="EY22" s="1"/>
        <tr r="NG13" s="1"/>
      </tp>
      <tp t="e">
        <v>#N/A</v>
        <stp/>
        <stp>BDP|3879434001250914357</stp>
        <tr r="HW26" s="1"/>
      </tp>
      <tp t="e">
        <v>#N/A</v>
        <stp/>
        <stp>BDP|7133471739596867208</stp>
        <tr r="RX7" s="1"/>
      </tp>
      <tp t="e">
        <v>#N/A</v>
        <stp/>
        <stp>BDP|8193773457218160675</stp>
        <tr r="HA14" s="1"/>
        <tr r="PI19" s="1"/>
      </tp>
      <tp t="e">
        <v>#N/A</v>
        <stp/>
        <stp>BDP|2520604234916386558</stp>
        <tr r="BH21" s="1"/>
        <tr r="HN32" s="1"/>
      </tp>
      <tp t="e">
        <v>#N/A</v>
        <stp/>
        <stp>BDP|7313462606827757031</stp>
        <tr r="HE23" s="1"/>
        <tr r="PM22" s="1"/>
      </tp>
      <tp t="e">
        <v>#N/A</v>
        <stp/>
        <stp>BDP|7084350637815760629</stp>
        <tr r="KD25" s="1"/>
      </tp>
      <tp t="e">
        <v>#N/A</v>
        <stp/>
        <stp>BDP|5115049193239561142</stp>
        <tr r="O12" s="23"/>
        <tr r="O12" s="22"/>
      </tp>
      <tp t="e">
        <v>#N/A</v>
        <stp/>
        <stp>BDP|1843172035250579783</stp>
        <tr r="N384" s="22"/>
      </tp>
      <tp t="e">
        <v>#N/A</v>
        <stp/>
        <stp>BDP|5610034932381755348</stp>
        <tr r="P383" s="22"/>
      </tp>
      <tp t="e">
        <v>#N/A</v>
        <stp/>
        <stp>BDP|2338356524665005268</stp>
        <tr r="MK6" s="1"/>
        <tr r="OM7" s="1"/>
        <tr r="Y23" s="1"/>
      </tp>
      <tp t="e">
        <v>#N/A</v>
        <stp/>
        <stp>BDP|8054847520164355239</stp>
        <tr r="JH32" s="1"/>
      </tp>
      <tp t="e">
        <v>#N/A</v>
        <stp/>
        <stp>BDP|1659108332182580556</stp>
        <tr r="AY13" s="1"/>
      </tp>
      <tp t="e">
        <v>#N/A</v>
        <stp/>
        <stp>BDP|6669336109487118690</stp>
        <tr r="M19" s="23"/>
      </tp>
      <tp t="e">
        <v>#N/A</v>
        <stp/>
        <stp>BDP|8274348967278123149</stp>
        <tr r="KQ34" s="1"/>
      </tp>
      <tp t="e">
        <v>#N/A</v>
        <stp/>
        <stp>BDP|2991514858407648134</stp>
        <tr r="H149" s="22"/>
      </tp>
      <tp t="e">
        <v>#N/A</v>
        <stp/>
        <stp>BDP|4195564475111039377</stp>
        <tr r="C347" s="22"/>
      </tp>
      <tp t="e">
        <v>#N/A</v>
        <stp/>
        <stp>BDP|8994236485722264485</stp>
        <tr r="IO14" s="1"/>
      </tp>
      <tp t="e">
        <v>#N/A</v>
        <stp/>
        <stp>BDP|3863327375172850128</stp>
        <tr r="FX33" s="1"/>
      </tp>
      <tp t="e">
        <v>#N/A</v>
        <stp/>
        <stp>BDP|1901869077568898255</stp>
        <tr r="KD37" s="1"/>
      </tp>
      <tp t="e">
        <v>#N/A</v>
        <stp/>
        <stp>BDP|1712365404174401246</stp>
        <tr r="FZ16" s="1"/>
      </tp>
      <tp t="e">
        <v>#N/A</v>
        <stp/>
        <stp>BDP|4288342512634575649</stp>
        <tr r="P4" s="22"/>
      </tp>
      <tp t="e">
        <v>#N/A</v>
        <stp/>
        <stp>BDP|2582702531865414755</stp>
        <tr r="RF9" s="1"/>
      </tp>
      <tp t="e">
        <v>#N/A</v>
        <stp/>
        <stp>BDP|4601038787048160197</stp>
        <tr r="N14" s="25"/>
      </tp>
      <tp t="e">
        <v>#N/A</v>
        <stp/>
        <stp>BDP|5826613547055293762</stp>
        <tr r="PM6" s="1"/>
      </tp>
      <tp t="e">
        <v>#N/A</v>
        <stp/>
        <stp>BDP|6516774555966851756</stp>
        <tr r="PG10" s="1"/>
      </tp>
      <tp t="e">
        <v>#N/A</v>
        <stp/>
        <stp>BDP|9935659300122325842</stp>
        <tr r="O5" s="25"/>
      </tp>
      <tp t="e">
        <v>#N/A</v>
        <stp/>
        <stp>BDP|9758606920148896044</stp>
        <tr r="QH11" s="1"/>
      </tp>
      <tp t="e">
        <v>#N/A</v>
        <stp/>
        <stp>BDP|7263492350556917594</stp>
        <tr r="H232" s="22"/>
        <tr r="H210" s="22"/>
      </tp>
      <tp t="e">
        <v>#N/A</v>
        <stp/>
        <stp>BDP|4152062655807821324</stp>
        <tr r="H250" s="22"/>
        <tr r="H127" s="22"/>
      </tp>
      <tp t="e">
        <v>#N/A</v>
        <stp/>
        <stp>BDP|2007084113204704245</stp>
        <tr r="N146" s="22"/>
        <tr r="N186" s="22"/>
      </tp>
      <tp t="e">
        <v>#N/A</v>
        <stp/>
        <stp>BDP|4012808839108198204</stp>
        <tr r="PN27" s="1"/>
      </tp>
      <tp t="e">
        <v>#N/A</v>
        <stp/>
        <stp>BDP|9700435750319581498</stp>
        <tr r="N347" s="22"/>
      </tp>
      <tp t="e">
        <v>#N/A</v>
        <stp/>
        <stp>BDP|6059312027017743589</stp>
        <tr r="DJ19" s="1"/>
        <tr r="LR15" s="1"/>
      </tp>
      <tp t="e">
        <v>#N/A</v>
        <stp/>
        <stp>BDP|7334906839478181024</stp>
        <tr r="QH19" s="1"/>
      </tp>
      <tp t="e">
        <v>#N/A</v>
        <stp/>
        <stp>BDP|4522065108748497966</stp>
        <tr r="C383" s="22"/>
      </tp>
      <tp t="e">
        <v>#N/A</v>
        <stp/>
        <stp>BDP|9784590384511465075</stp>
        <tr r="OF23" s="1"/>
      </tp>
      <tp t="e">
        <v>#N/A</v>
        <stp/>
        <stp>BDP|2663946693512103594</stp>
        <tr r="RO14" s="1"/>
      </tp>
      <tp t="e">
        <v>#N/A</v>
        <stp/>
        <stp>BDP|4878153802814624408</stp>
        <tr r="RP27" s="1"/>
      </tp>
      <tp t="e">
        <v>#N/A</v>
        <stp/>
        <stp>BDP|2725816029849450453</stp>
        <tr r="J8" s="23"/>
      </tp>
      <tp t="e">
        <v>#N/A</v>
        <stp/>
        <stp>BDP|4964197519190666113</stp>
        <tr r="KH23" s="1"/>
      </tp>
      <tp t="e">
        <v>#N/A</v>
        <stp/>
        <stp>BDP|9232997066220246314</stp>
        <tr r="HA21" s="1"/>
      </tp>
      <tp t="e">
        <v>#N/A</v>
        <stp/>
        <stp>BDP|3485537551114006293</stp>
        <tr r="J132" s="22"/>
        <tr r="J172" s="22"/>
      </tp>
      <tp t="e">
        <v>#N/A</v>
        <stp/>
        <stp>BDP|3813536209206498591</stp>
        <tr r="H88" s="22"/>
        <tr r="H51" s="22"/>
      </tp>
      <tp t="e">
        <v>#N/A</v>
        <stp/>
        <stp>BDP|4578221384802486989</stp>
        <tr r="KH8" s="1"/>
      </tp>
      <tp t="e">
        <v>#N/A</v>
        <stp/>
        <stp>BDP|6248269442997162283</stp>
        <tr r="J273" s="22"/>
      </tp>
      <tp t="e">
        <v>#N/A</v>
        <stp/>
        <stp>BDP|6347267046000571594</stp>
        <tr r="CW20" s="1"/>
      </tp>
      <tp t="e">
        <v>#N/A</v>
        <stp/>
        <stp>BDP|5861255570564043122</stp>
        <tr r="JG23" s="1"/>
      </tp>
      <tp t="e">
        <v>#N/A</v>
        <stp/>
        <stp>BDP|3629014144513565195</stp>
        <tr r="AP16" s="1"/>
      </tp>
      <tp t="e">
        <v>#N/A</v>
        <stp/>
        <stp>BDP|2027226441831641093</stp>
        <tr r="H6" s="23"/>
      </tp>
      <tp t="e">
        <v>#N/A</v>
        <stp/>
        <stp>BDP|6950366532163263036</stp>
        <tr r="O17" s="24"/>
      </tp>
      <tp t="e">
        <v>#N/A</v>
        <stp/>
        <stp>BDP|2557084307794527336</stp>
        <tr r="OL14" s="1"/>
      </tp>
      <tp t="e">
        <v>#N/A</v>
        <stp/>
        <stp>BDP|8856871856698000856</stp>
        <tr r="MF34" s="1"/>
        <tr r="OH29" s="1"/>
      </tp>
      <tp t="e">
        <v>#N/A</v>
        <stp/>
        <stp>BDP|4581118688098957091</stp>
        <tr r="KD39" s="1"/>
      </tp>
      <tp t="e">
        <v>#N/A</v>
        <stp/>
        <stp>BDP|2875905055123572842</stp>
        <tr r="N211" s="22"/>
        <tr r="N233" s="22"/>
        <tr r="N255" s="22"/>
        <tr r="N276" s="22"/>
        <tr r="N296" s="22"/>
        <tr r="N314" s="22"/>
        <tr r="N414" s="22"/>
      </tp>
      <tp t="e">
        <v>#N/A</v>
        <stp/>
        <stp>BDP|9540808828863452557</stp>
        <tr r="QW22" s="1"/>
      </tp>
      <tp t="e">
        <v>#N/A</v>
        <stp/>
        <stp>BDP|6955183818987226465</stp>
        <tr r="BQ7" s="1"/>
      </tp>
      <tp t="e">
        <v>#N/A</v>
        <stp/>
        <stp>BDP|6437210334696457488</stp>
        <tr r="RI20" s="1"/>
      </tp>
      <tp t="e">
        <v>#N/A</v>
        <stp/>
        <stp>BDP|3130991486684337309</stp>
        <tr r="DV10" s="1"/>
      </tp>
      <tp t="e">
        <v>#N/A</v>
        <stp/>
        <stp>BDP|6385317858962218756</stp>
        <tr r="N388" s="22"/>
      </tp>
      <tp t="e">
        <v>#N/A</v>
        <stp/>
        <stp>BDP|8913454023513557875</stp>
        <tr r="KM23" s="1"/>
        <tr r="KM30" s="1"/>
      </tp>
      <tp t="e">
        <v>#N/A</v>
        <stp/>
        <stp>BDP|6955454743511155233</stp>
        <tr r="O409" s="22"/>
      </tp>
      <tp t="e">
        <v>#N/A</v>
        <stp/>
        <stp>BDP|1903489125153196184</stp>
        <tr r="QW19" s="1"/>
      </tp>
      <tp t="e">
        <v>#N/A</v>
        <stp/>
        <stp>BDP|9933197174083850914</stp>
        <tr r="EK13" s="1"/>
      </tp>
      <tp t="e">
        <v>#N/A</v>
        <stp/>
        <stp>BDP|4569796552601328203</stp>
        <tr r="DB7" s="1"/>
        <tr r="LJ7" s="1"/>
      </tp>
      <tp t="e">
        <v>#N/A</v>
        <stp/>
        <stp>BDP|5356104527994749714</stp>
        <tr r="H289" s="22"/>
      </tp>
      <tp t="e">
        <v>#N/A</v>
        <stp/>
        <stp>BDP|5783731320051532430</stp>
        <tr r="KI38" s="1"/>
      </tp>
      <tp t="e">
        <v>#N/A</v>
        <stp/>
        <stp>BDP|9399301380251736663</stp>
        <tr r="OH21" s="1"/>
      </tp>
      <tp t="e">
        <v>#N/A</v>
        <stp/>
        <stp>BDP|1707896899816605332</stp>
        <tr r="RI8" s="1"/>
        <tr r="KB9" s="1"/>
      </tp>
      <tp t="e">
        <v>#N/A</v>
        <stp/>
        <stp>BDP|7416744124797084065</stp>
        <tr r="KH37" s="1"/>
      </tp>
      <tp t="e">
        <v>#N/A</v>
        <stp/>
        <stp>BDP|2075740577170514747</stp>
        <tr r="MF8" s="1"/>
        <tr r="OH9" s="1"/>
      </tp>
      <tp t="e">
        <v>#N/A</v>
        <stp/>
        <stp>BDP|5621375135725558531</stp>
        <tr r="O28" s="1"/>
      </tp>
      <tp t="e">
        <v>#N/A</v>
        <stp/>
        <stp>BDP|1935267618831389662</stp>
        <tr r="OM6" s="1"/>
      </tp>
      <tp t="e">
        <v>#N/A</v>
        <stp/>
        <stp>BDP|6735575149982973031</stp>
        <tr r="GE13" s="1"/>
        <tr r="HF8" s="1"/>
        <tr r="KI10" s="1"/>
      </tp>
      <tp t="e">
        <v>#N/A</v>
        <stp/>
        <stp>BDP|7634512070660790033</stp>
        <tr r="DA19" s="1"/>
        <tr r="LI15" s="1"/>
      </tp>
      <tp t="e">
        <v>#N/A</v>
        <stp/>
        <stp>BDP|5638708207853127430</stp>
        <tr r="NB25" s="1"/>
      </tp>
      <tp t="e">
        <v>#N/A</v>
        <stp/>
        <stp>BDP|3107246645250600054</stp>
        <tr r="NT9" s="1"/>
      </tp>
      <tp t="e">
        <v>#N/A</v>
        <stp/>
        <stp>BDP|8424099744148380192</stp>
        <tr r="PG12" s="1"/>
        <tr r="GY35" s="1"/>
      </tp>
      <tp t="e">
        <v>#N/A</v>
        <stp/>
        <stp>BDP|2856157371321729080</stp>
        <tr r="MK16" s="1"/>
        <tr r="OM15" s="1"/>
        <tr r="Y13" s="1"/>
      </tp>
      <tp t="e">
        <v>#N/A</v>
        <stp/>
        <stp>BDP|8265271985533541461</stp>
        <tr r="NE14" s="1"/>
        <tr r="MD17" s="1"/>
      </tp>
      <tp t="e">
        <v>#N/A</v>
        <stp/>
        <stp>BDP|8350452493420612039</stp>
        <tr r="BZ12" s="1"/>
      </tp>
      <tp t="e">
        <v>#N/A</v>
        <stp/>
        <stp>BDP|6236773874810243331</stp>
        <tr r="EC19" s="1"/>
      </tp>
      <tp t="e">
        <v>#N/A</v>
        <stp/>
        <stp>BDP|8741851432571554759</stp>
        <tr r="BV8" s="1"/>
        <tr r="CW10" s="1"/>
      </tp>
      <tp t="e">
        <v>#N/A</v>
        <stp/>
        <stp>BDP|4312594453501866018</stp>
        <tr r="IX21" s="1"/>
        <tr r="RF26" s="1"/>
      </tp>
      <tp t="e">
        <v>#N/A</v>
        <stp/>
        <stp>BDP|7737285226786969404</stp>
        <tr r="N290" s="22"/>
        <tr r="N53" s="22"/>
      </tp>
      <tp t="e">
        <v>#N/A</v>
        <stp/>
        <stp>BDP|5087432863875465746</stp>
        <tr r="H5" s="22"/>
      </tp>
      <tp t="e">
        <v>#N/A</v>
        <stp/>
        <stp>BDP|1511018036360049729</stp>
        <tr r="O9" s="24"/>
      </tp>
      <tp t="e">
        <v>#N/A</v>
        <stp/>
        <stp>BDP|2782666267410377745</stp>
        <tr r="H96" s="22"/>
        <tr r="H57" s="22"/>
      </tp>
      <tp t="e">
        <v>#N/A</v>
        <stp/>
        <stp>BDP|4393271175835763179</stp>
        <tr r="HE15" s="1"/>
      </tp>
      <tp t="e">
        <v>#N/A</v>
        <stp/>
        <stp>BDP|5630179301860742168</stp>
        <tr r="N126" s="22"/>
        <tr r="N168" s="22"/>
      </tp>
      <tp t="e">
        <v>#N/A</v>
        <stp/>
        <stp>BDP|3690616635173023032</stp>
        <tr r="KQ25" s="1"/>
      </tp>
      <tp t="e">
        <v>#N/A</v>
        <stp/>
        <stp>BDP|6209714164034430629</stp>
        <tr r="N128" s="22"/>
      </tp>
      <tp t="e">
        <v>#N/A</v>
        <stp/>
        <stp>BDP|6648175319404130788</stp>
        <tr r="LJ12" s="1"/>
      </tp>
      <tp t="e">
        <v>#N/A</v>
        <stp/>
        <stp>BDP|1539634523766647625</stp>
        <tr r="HN21" s="1"/>
      </tp>
      <tp t="e">
        <v>#N/A</v>
        <stp/>
        <stp>BDP|9383125180094744103</stp>
        <tr r="KI19" s="1"/>
      </tp>
      <tp t="e">
        <v>#N/A</v>
        <stp/>
        <stp>BDP|4614178137173918093</stp>
        <tr r="P16" s="24"/>
      </tp>
      <tp t="e">
        <v>#N/A</v>
        <stp/>
        <stp>BDP|8250401516568261002</stp>
        <tr r="EK9" s="1"/>
      </tp>
      <tp t="e">
        <v>#N/A</v>
        <stp/>
        <stp>BDP|5963337075681038591</stp>
        <tr r="RO22" s="1"/>
      </tp>
      <tp t="e">
        <v>#N/A</v>
        <stp/>
        <stp>BDP|3047381818461353551</stp>
        <tr r="N6" s="22"/>
      </tp>
      <tp t="e">
        <v>#N/A</v>
        <stp/>
        <stp>BDP|2583508321845250515</stp>
        <tr r="AZ6" s="1"/>
      </tp>
      <tp t="e">
        <v>#N/A</v>
        <stp/>
        <stp>BDP|4470703973707339638</stp>
        <tr r="H85" s="22"/>
        <tr r="H47" s="22"/>
      </tp>
      <tp t="e">
        <v>#N/A</v>
        <stp/>
        <stp>BDP|1134736867951113436</stp>
        <tr r="J50" s="22"/>
        <tr r="J92" s="22"/>
      </tp>
      <tp t="e">
        <v>#N/A</v>
        <stp/>
        <stp>BDP|6440003253253125519</stp>
        <tr r="GV35" s="1"/>
        <tr r="PD12" s="1"/>
      </tp>
      <tp t="e">
        <v>#N/A</v>
        <stp/>
        <stp>BDP|5499402036775027250</stp>
        <tr r="JC30" s="1"/>
        <tr r="RK36" s="1"/>
      </tp>
      <tp t="e">
        <v>#N/A</v>
        <stp/>
        <stp>BDP|3423013734211718412</stp>
        <tr r="C51" s="22"/>
        <tr r="C88" s="22"/>
      </tp>
      <tp t="e">
        <v>#N/A</v>
        <stp/>
        <stp>BDP|9448351773261533904</stp>
        <tr r="C293" s="22"/>
      </tp>
      <tp t="e">
        <v>#N/A</v>
        <stp/>
        <stp>BDP|9219695799506668535</stp>
        <tr r="BH24" s="1"/>
      </tp>
      <tp t="e">
        <v>#N/A</v>
        <stp/>
        <stp>BDP|4795859907950239908</stp>
        <tr r="CI16" s="1"/>
      </tp>
      <tp t="e">
        <v>#N/A</v>
        <stp/>
        <stp>BDP|2150551962003471754</stp>
        <tr r="DA15" s="1"/>
      </tp>
      <tp t="e">
        <v>#N/A</v>
        <stp/>
        <stp>BDP|9942830614560052592</stp>
        <tr r="J54" s="22"/>
        <tr r="J86" s="22"/>
      </tp>
      <tp t="e">
        <v>#N/A</v>
        <stp/>
        <stp>BDP|7546054955493890494</stp>
        <tr r="IO23" s="1"/>
      </tp>
      <tp t="e">
        <v>#N/A</v>
        <stp/>
        <stp>BDP|2581644717609427961</stp>
        <tr r="QN17" s="1"/>
      </tp>
      <tp t="e">
        <v>#N/A</v>
        <stp/>
        <stp>BDP|7474390847876675381</stp>
        <tr r="FX10" s="1"/>
        <tr r="EW11" s="1"/>
        <tr r="R12" s="1"/>
      </tp>
      <tp t="e">
        <v>#N/A</v>
        <stp/>
        <stp>BDP|7132011004446361431</stp>
        <tr r="GD24" s="1"/>
        <tr r="X31" s="1"/>
      </tp>
      <tp t="e">
        <v>#N/A</v>
        <stp/>
        <stp>BDP|2010668068905212280</stp>
        <tr r="FC17" s="1"/>
        <tr r="MJ7" s="1"/>
        <tr r="NK6" s="1"/>
      </tp>
      <tp t="e">
        <v>#N/A</v>
        <stp/>
        <stp>BDP|1698722429132116392</stp>
        <tr r="O153" s="22"/>
        <tr r="O191" s="22"/>
      </tp>
      <tp t="e">
        <v>#N/A</v>
        <stp/>
        <stp>BDP|3094070021745426173</stp>
        <tr r="N15" s="23"/>
      </tp>
      <tp t="e">
        <v>#N/A</v>
        <stp/>
        <stp>BDP|6467655258571585198</stp>
        <tr r="IO18" s="1"/>
      </tp>
      <tp t="e">
        <v>#N/A</v>
        <stp/>
        <stp>BDP|7135101902823146385</stp>
        <tr r="PI8" s="1"/>
      </tp>
      <tp t="e">
        <v>#N/A</v>
        <stp/>
        <stp>BDP|2991840817404496948</stp>
        <tr r="IO11" s="1"/>
      </tp>
      <tp t="e">
        <v>#N/A</v>
        <stp/>
        <stp>BDP|6763744829250988599</stp>
        <tr r="RP13" s="1"/>
      </tp>
      <tp t="e">
        <v>#N/A</v>
        <stp/>
        <stp>BDP|7740858182506980733</stp>
        <tr r="DX18" s="1"/>
      </tp>
      <tp t="e">
        <v>#N/A</v>
        <stp/>
        <stp>BDP|2355757109237410415</stp>
        <tr r="HN39" s="1"/>
      </tp>
      <tp t="e">
        <v>#N/A</v>
        <stp/>
        <stp>BDP|2687332877616135687</stp>
        <tr r="IX27" s="1"/>
      </tp>
      <tp t="e">
        <v>#N/A</v>
        <stp/>
        <stp>BDP|7682390551685709221</stp>
        <tr r="EK16" s="1"/>
      </tp>
      <tp t="e">
        <v>#N/A</v>
        <stp/>
        <stp>BDP|4010925199033381132</stp>
        <tr r="N151" s="22"/>
        <tr r="N189" s="22"/>
      </tp>
      <tp t="e">
        <v>#N/A</v>
        <stp/>
        <stp>BDP|6593628063158951865</stp>
        <tr r="N292" s="22"/>
      </tp>
      <tp t="e">
        <v>#N/A</v>
        <stp/>
        <stp>BDP|7299499131776632077</stp>
        <tr r="RX40" s="1"/>
      </tp>
      <tp t="e">
        <v>#N/A</v>
        <stp/>
        <stp>BDP|5106761429146510003</stp>
        <tr r="JP15" s="1"/>
      </tp>
      <tp t="e">
        <v>#N/A</v>
        <stp/>
        <stp>BDP|3910860007898775548</stp>
        <tr r="C11" s="22"/>
      </tp>
      <tp t="e">
        <v>#N/A</v>
        <stp/>
        <stp>BDP|8731588396760936280</stp>
        <tr r="J406" s="22"/>
      </tp>
      <tp t="e">
        <v>#N/A</v>
        <stp/>
        <stp>BDP|1872971483731655724</stp>
        <tr r="RI36" s="1"/>
        <tr r="JA30" s="1"/>
      </tp>
      <tp t="e">
        <v>#N/A</v>
        <stp/>
        <stp>BDP|7897055952394207058</stp>
        <tr r="ET19" s="1"/>
        <tr r="O24" s="1"/>
      </tp>
      <tp t="e">
        <v>#N/A</v>
        <stp/>
        <stp>BDP|2924555392731320954</stp>
        <tr r="H10" s="23"/>
      </tp>
      <tp t="e">
        <v>#N/A</v>
        <stp/>
        <stp>BDP|2653893947329480157</stp>
        <tr r="AG7" s="1"/>
        <tr r="FL7" s="1"/>
        <tr r="GM12" s="1"/>
      </tp>
      <tp t="e">
        <v>#N/A</v>
        <stp/>
        <stp>BDP|9044208950089061199</stp>
        <tr r="GD27" s="1"/>
        <tr r="HE30" s="1"/>
      </tp>
      <tp t="e">
        <v>#N/A</v>
        <stp/>
        <stp>BDP|9629874154432995058</stp>
        <tr r="PI23" s="1"/>
      </tp>
      <tp t="e">
        <v>#N/A</v>
        <stp/>
        <stp>BDP|5040606409094744173</stp>
        <tr r="N313" s="22"/>
      </tp>
      <tp t="e">
        <v>#N/A</v>
        <stp/>
        <stp>BDP|4994341935495095712</stp>
        <tr r="C4" s="25"/>
      </tp>
      <tp t="e">
        <v>#N/A</v>
        <stp/>
        <stp>BDP|6104086825650787250</stp>
        <tr r="HE27" s="1"/>
        <tr r="IF10" s="1"/>
        <tr r="MJ25" s="1"/>
      </tp>
      <tp t="e">
        <v>#N/A</v>
        <stp/>
        <stp>BDP|5576789725497553134</stp>
        <tr r="KD13" s="1"/>
      </tp>
      <tp t="e">
        <v>#N/A</v>
        <stp/>
        <stp>BDP|7232794073428312958</stp>
        <tr r="PD8" s="1"/>
      </tp>
      <tp t="e">
        <v>#N/A</v>
        <stp/>
        <stp>BDP|1224203669822103144</stp>
        <tr r="H17" s="22"/>
      </tp>
      <tp t="e">
        <v>#N/A</v>
        <stp/>
        <stp>BDP|3710240658837430515</stp>
        <tr r="MJ34" s="1"/>
        <tr r="OL29" s="1"/>
      </tp>
      <tp t="e">
        <v>#N/A</v>
        <stp/>
        <stp>BDP|9746711871807108883</stp>
        <tr r="CA12" s="1"/>
      </tp>
      <tp t="e">
        <v>#N/A</v>
        <stp/>
        <stp>BDP|2955460948774142083</stp>
        <tr r="QH16" s="1"/>
      </tp>
      <tp t="e">
        <v>#N/A</v>
        <stp/>
        <stp>BDP|4060910490772858071</stp>
        <tr r="DJ11" s="1"/>
        <tr r="LR8" s="1"/>
      </tp>
      <tp t="e">
        <v>#N/A</v>
        <stp/>
        <stp>BDP|4125257134801626289</stp>
        <tr r="QN14" s="1"/>
      </tp>
      <tp t="e">
        <v>#N/A</v>
        <stp/>
        <stp>BDP|5154120475417971209</stp>
        <tr r="RF25" s="1"/>
      </tp>
      <tp t="e">
        <v>#N/A</v>
        <stp/>
        <stp>BDP|3822510476696596152</stp>
        <tr r="O12" s="24"/>
      </tp>
      <tp t="e">
        <v>#N/A</v>
        <stp/>
        <stp>BDP|2969522296819555179</stp>
        <tr r="EC7" s="1"/>
        <tr r="OM8" s="1"/>
      </tp>
      <tp t="e">
        <v>#N/A</v>
        <stp/>
        <stp>BDP|9114638261349880640</stp>
        <tr r="GV17" s="1"/>
      </tp>
      <tp t="e">
        <v>#N/A</v>
        <stp/>
        <stp>BDP|6927652127284073041</stp>
        <tr r="P349" s="22"/>
      </tp>
      <tp t="e">
        <v>#N/A</v>
        <stp/>
        <stp>BDP|5754047899509044357</stp>
        <tr r="BT11" s="1"/>
      </tp>
      <tp t="e">
        <v>#N/A</v>
        <stp/>
        <stp>BDP|4513327005723935279</stp>
        <tr r="J148" s="22"/>
      </tp>
      <tp t="e">
        <v>#N/A</v>
        <stp/>
        <stp>BDP|5379481917864068202</stp>
        <tr r="PD16" s="1"/>
      </tp>
      <tp t="e">
        <v>#N/A</v>
        <stp/>
        <stp>BDP|8866627406468493043</stp>
        <tr r="HE28" s="1"/>
        <tr r="IF22" s="1"/>
      </tp>
      <tp t="e">
        <v>#N/A</v>
        <stp/>
        <stp>BDP|4882617060772289070</stp>
        <tr r="P50" s="22"/>
        <tr r="P92" s="22"/>
      </tp>
      <tp t="e">
        <v>#N/A</v>
        <stp/>
        <stp>BDP|2995628107387205522</stp>
        <tr r="DS20" s="1"/>
        <tr r="OC25" s="1"/>
      </tp>
      <tp t="e">
        <v>#N/A</v>
        <stp/>
        <stp>BDP|3517941648639271173</stp>
        <tr r="O310" s="22"/>
      </tp>
      <tp t="e">
        <v>#N/A</v>
        <stp/>
        <stp>BDP|2069332488178311746</stp>
        <tr r="DV24" s="1"/>
      </tp>
      <tp t="e">
        <v>#N/A</v>
        <stp/>
        <stp>BDP|5225233377182311495</stp>
        <tr r="JH29" s="1"/>
      </tp>
      <tp t="e">
        <v>#N/A</v>
        <stp/>
        <stp>BDP|2299111291074874868</stp>
        <tr r="KB31" s="1"/>
      </tp>
      <tp t="e">
        <v>#N/A</v>
        <stp/>
        <stp>BDP|1179142133392316791</stp>
        <tr r="HW25" s="1"/>
        <tr r="MA20" s="1"/>
      </tp>
      <tp t="e">
        <v>#N/A</v>
        <stp/>
        <stp>BDP|8244250018194495965</stp>
        <tr r="DB6" s="1"/>
        <tr r="LJ6" s="1"/>
      </tp>
      <tp t="e">
        <v>#N/A</v>
        <stp/>
        <stp>BDP|7547473969617251445</stp>
        <tr r="H173" s="22"/>
        <tr r="H133" s="22"/>
      </tp>
      <tp t="e">
        <v>#N/A</v>
        <stp/>
        <stp>BDP|5743606968554144732</stp>
        <tr r="HN37" s="1"/>
      </tp>
      <tp t="e">
        <v>#N/A</v>
        <stp/>
        <stp>BDP|1374247433291840711</stp>
        <tr r="M269" s="22"/>
      </tp>
      <tp t="e">
        <v>#N/A</v>
        <stp/>
        <stp>BDP|2252062758116347724</stp>
        <tr r="IB21" s="1"/>
      </tp>
      <tp t="e">
        <v>#N/A</v>
        <stp/>
        <stp>BDP|1326151223403578728</stp>
        <tr r="O102" s="22"/>
        <tr r="O62" s="22"/>
      </tp>
      <tp t="e">
        <v>#N/A</v>
        <stp/>
        <stp>BDP|5350566543036201468</stp>
        <tr r="KH14" s="1"/>
      </tp>
      <tp t="e">
        <v>#N/A</v>
        <stp/>
        <stp>BDP|3773744080622970888</stp>
        <tr r="LC20" s="1"/>
        <tr r="CU24" s="1"/>
      </tp>
      <tp t="e">
        <v>#N/A</v>
        <stp/>
        <stp>BDP|6607725850717642507</stp>
        <tr r="MS18" s="1"/>
        <tr r="NT16" s="1"/>
      </tp>
      <tp t="e">
        <v>#N/A</v>
        <stp/>
        <stp>BDP|9617898470458533888</stp>
        <tr r="PI15" s="1"/>
      </tp>
      <tp t="e">
        <v>#N/A</v>
        <stp/>
        <stp>BDP|1706339359156819761</stp>
        <tr r="JY23" s="1"/>
      </tp>
      <tp t="e">
        <v>#N/A</v>
        <stp/>
        <stp>BDP|5457145936336762728</stp>
        <tr r="C125" s="22"/>
        <tr r="C167" s="22"/>
      </tp>
      <tp t="e">
        <v>#N/A</v>
        <stp/>
        <stp>BDP|6867070626446261486</stp>
        <tr r="HN14" s="1"/>
        <tr r="PV19" s="1"/>
      </tp>
      <tp t="e">
        <v>#N/A</v>
        <stp/>
        <stp>BDP|7762742909657809110</stp>
        <tr r="N4" s="25"/>
      </tp>
      <tp t="e">
        <v>#N/A</v>
        <stp/>
        <stp>BDP|6709274812601411251</stp>
        <tr r="NE21" s="1"/>
      </tp>
      <tp t="e">
        <v>#N/A</v>
        <stp/>
        <stp>BDP|3407808925797580872</stp>
        <tr r="AU17" s="1"/>
        <tr r="NG20" s="1"/>
      </tp>
      <tp t="e">
        <v>#N/A</v>
        <stp/>
        <stp>BDP|7466247667872586716</stp>
        <tr r="N327" s="22"/>
      </tp>
      <tp t="e">
        <v>#N/A</v>
        <stp/>
        <stp>BDP|5765686409722666700</stp>
        <tr r="P273" s="22"/>
      </tp>
      <tp t="e">
        <v>#N/A</v>
        <stp/>
        <stp>BDP|4428803798840502399</stp>
        <tr r="N7" s="25"/>
      </tp>
      <tp t="e">
        <v>#N/A</v>
        <stp/>
        <stp>BDP|9091597305843869943</stp>
        <tr r="BQ20" s="1"/>
      </tp>
      <tp t="e">
        <v>#N/A</v>
        <stp/>
        <stp>BDP|4671045344494632206</stp>
        <tr r="MJ14" s="1"/>
        <tr r="OL12" s="1"/>
      </tp>
      <tp t="e">
        <v>#N/A</v>
        <stp/>
        <stp>BDP|1211261968461814241</stp>
        <tr r="AY18" s="1"/>
        <tr r="MJ23" s="1"/>
        <tr r="OL22" s="1"/>
        <tr r="X20" s="1"/>
      </tp>
      <tp t="e">
        <v>#N/A</v>
        <stp/>
        <stp>BDP|2306560850703412711</stp>
        <tr r="M8" s="24"/>
      </tp>
      <tp t="e">
        <v>#N/A</v>
        <stp/>
        <stp>BDP|1475361318976840333</stp>
        <tr r="J328" s="22"/>
      </tp>
      <tp t="e">
        <v>#N/A</v>
        <stp/>
        <stp>BDP|2810483968365838319</stp>
        <tr r="MS14" s="1"/>
        <tr r="OU12" s="1"/>
      </tp>
      <tp t="e">
        <v>#N/A</v>
        <stp/>
        <stp>BDP|6591959420412772961</stp>
        <tr r="HF10" s="1"/>
      </tp>
      <tp t="e">
        <v>#N/A</v>
        <stp/>
        <stp>BDP|4810079631820663194</stp>
        <tr r="J17" s="23"/>
      </tp>
      <tp t="e">
        <v>#N/A</v>
        <stp/>
        <stp>BDP|8611391346461839800</stp>
        <tr r="J149" s="22"/>
      </tp>
      <tp t="e">
        <v>#N/A</v>
        <stp/>
        <stp>BDP|6487102776450336673</stp>
        <tr r="N364" s="22"/>
        <tr r="N382" s="22"/>
      </tp>
      <tp t="e">
        <v>#N/A</v>
        <stp/>
        <stp>BDP|9099067707508200755</stp>
        <tr r="JY6" s="1"/>
        <tr r="RF6" s="1"/>
      </tp>
      <tp t="e">
        <v>#N/A</v>
        <stp/>
        <stp>BDP|4839156835638834860</stp>
        <tr r="RO13" s="1"/>
      </tp>
      <tp t="e">
        <v>#N/A</v>
        <stp/>
        <stp>BDP|1807691416847585741</stp>
        <tr r="N20" s="22"/>
      </tp>
      <tp t="e">
        <v>#N/A</v>
        <stp/>
        <stp>BDP|5602108328332117299</stp>
        <tr r="H272" s="22"/>
      </tp>
      <tp t="e">
        <v>#N/A</v>
        <stp/>
        <stp>BDP|4267224173984419319</stp>
        <tr r="HW14" s="1"/>
      </tp>
      <tp t="e">
        <v>#N/A</v>
        <stp/>
        <stp>BDP|6325837888111908170</stp>
        <tr r="J407" s="22"/>
      </tp>
      <tp t="e">
        <v>#N/A</v>
        <stp/>
        <stp>BDP|9128164581707177112</stp>
        <tr r="AC23" s="1"/>
        <tr r="AC25" s="1"/>
        <tr r="AC28" s="1"/>
        <tr r="AC38" s="1"/>
        <tr r="BD20" s="1"/>
        <tr r="BD22" s="1"/>
        <tr r="DF14" s="1"/>
        <tr r="DF20" s="1"/>
        <tr r="GI14" s="1"/>
        <tr r="GI9" s="1"/>
        <tr r="JL25" s="1"/>
        <tr r="KM20" s="1"/>
        <tr r="KM22" s="1"/>
        <tr r="KM24" s="1"/>
        <tr r="KM29" s="1"/>
        <tr r="KM37" s="1"/>
        <tr r="KM38" s="1"/>
        <tr r="MO14" s="1"/>
        <tr r="MO15" s="1"/>
        <tr r="MO22" s="1"/>
        <tr r="MO29" s="1"/>
        <tr r="MO31" s="1"/>
        <tr r="MO35" s="1"/>
        <tr r="MO6" s="1"/>
        <tr r="MO8" s="1"/>
        <tr r="QS24" s="1"/>
        <tr r="RT23" s="1"/>
        <tr r="RT32" s="1"/>
        <tr r="RT33" s="1"/>
      </tp>
      <tp t="e">
        <v>#N/A</v>
        <stp/>
        <stp>BDP|3227075063362713167</stp>
        <tr r="EB10" s="1"/>
      </tp>
      <tp t="e">
        <v>#N/A</v>
        <stp/>
        <stp>BDP|9081871954864517629</stp>
        <tr r="J332" s="22"/>
      </tp>
      <tp t="e">
        <v>#N/A</v>
        <stp/>
        <stp>BDP|2471274176785643479</stp>
        <tr r="LE12" s="1"/>
      </tp>
      <tp t="e">
        <v>#N/A</v>
        <stp/>
        <stp>BDP|6236150517181293163</stp>
        <tr r="P289" s="22"/>
      </tp>
      <tp t="e">
        <v>#N/A</v>
        <stp/>
        <stp>BDP|9391551243636464859</stp>
        <tr r="AY21" s="1"/>
        <tr r="HE32" s="1"/>
      </tp>
      <tp t="e">
        <v>#N/A</v>
        <stp/>
        <stp>BDP|7591666723870215564</stp>
        <tr r="GY18" s="1"/>
      </tp>
      <tp t="e">
        <v>#N/A</v>
        <stp/>
        <stp>BDP|4487755035404585257</stp>
        <tr r="P327" s="22"/>
      </tp>
      <tp t="e">
        <v>#N/A</v>
        <stp/>
        <stp>BDP|7017385981963408980</stp>
        <tr r="O365" s="22"/>
        <tr r="O386" s="22"/>
      </tp>
      <tp t="e">
        <v>#N/A</v>
        <stp/>
        <stp>BDP|9979962208304593272</stp>
        <tr r="RI29" s="1"/>
        <tr r="KB33" s="1"/>
      </tp>
      <tp t="e">
        <v>#N/A</v>
        <stp/>
        <stp>BDP|5806902393002999175</stp>
        <tr r="QN18" s="1"/>
      </tp>
      <tp t="e">
        <v>#N/A</v>
        <stp/>
        <stp>BDP|1836240428131340627</stp>
        <tr r="DX24" s="1"/>
      </tp>
      <tp t="e">
        <v>#N/A</v>
        <stp/>
        <stp>BDP|1325243342466952792</stp>
        <tr r="P5" s="23"/>
      </tp>
      <tp t="e">
        <v>#N/A</v>
        <stp/>
        <stp>BDP|4163637577840854388</stp>
        <tr r="FC16" s="1"/>
        <tr r="X21" s="1"/>
      </tp>
      <tp t="e">
        <v>#N/A</v>
        <stp/>
        <stp>BDP|3328770141154066203</stp>
        <tr r="IG17" s="1"/>
      </tp>
      <tp t="e">
        <v>#N/A</v>
        <stp/>
        <stp>BDP|2247687781829462254</stp>
        <tr r="HZ17" s="1"/>
      </tp>
      <tp t="e">
        <v>#N/A</v>
        <stp/>
        <stp>BDP|5390178799462686815</stp>
        <tr r="C18" s="22"/>
      </tp>
      <tp t="e">
        <v>#N/A</v>
        <stp/>
        <stp>BDP|1812449771821334449</stp>
        <tr r="NG26" s="1"/>
      </tp>
      <tp t="e">
        <v>#N/A</v>
        <stp/>
        <stp>BDP|6518632867651931025</stp>
        <tr r="KQ39" s="1"/>
      </tp>
      <tp t="e">
        <v>#N/A</v>
        <stp/>
        <stp>BDP|1976103340597165424</stp>
        <tr r="QW20" s="1"/>
      </tp>
      <tp t="e">
        <v>#N/A</v>
        <stp/>
        <stp>BDP|6667143139712921182</stp>
        <tr r="P146" s="22"/>
        <tr r="P186" s="22"/>
      </tp>
      <tp t="e">
        <v>#N/A</v>
        <stp/>
        <stp>BDP|9925986287386987947</stp>
        <tr r="C332" s="22"/>
      </tp>
      <tp t="e">
        <v>#N/A</v>
        <stp/>
        <stp>BDP|3165878539428454705</stp>
        <tr r="MS34" s="1"/>
        <tr r="OU29" s="1"/>
      </tp>
      <tp t="e">
        <v>#N/A</v>
        <stp/>
        <stp>BDP|9892378795902719665</stp>
        <tr r="HW8" s="1"/>
      </tp>
      <tp t="e">
        <v>#N/A</v>
        <stp/>
        <stp>BDP|3724121882178716589</stp>
        <tr r="RI28" s="1"/>
        <tr r="KB32" s="1"/>
      </tp>
      <tp t="e">
        <v>#N/A</v>
        <stp/>
        <stp>BDP|3050858131379424680</stp>
        <tr r="AZ20" s="1"/>
        <tr r="MK31" s="1"/>
        <tr r="OM27" s="1"/>
      </tp>
      <tp t="e">
        <v>#N/A</v>
        <stp/>
        <stp>BDP|5627750038131436773</stp>
        <tr r="KQ29" s="1"/>
        <tr r="RX23" s="1"/>
      </tp>
      <tp t="e">
        <v>#N/A</v>
        <stp/>
        <stp>BDP|9589992584898991781</stp>
        <tr r="P385" s="22"/>
      </tp>
      <tp t="e">
        <v>#N/A</v>
        <stp/>
        <stp>BDP|2739248830767873326</stp>
        <tr r="FX11" s="1"/>
      </tp>
      <tp t="e">
        <v>#N/A</v>
        <stp/>
        <stp>BDP|9635773479838419654</stp>
        <tr r="M331" s="22"/>
      </tp>
      <tp t="e">
        <v>#N/A</v>
        <stp/>
        <stp>BDP|9826004016168619717</stp>
        <tr r="HW7" s="1"/>
      </tp>
      <tp t="e">
        <v>#N/A</v>
        <stp/>
        <stp>BDP|3402765379360122434</stp>
        <tr r="H294" s="22"/>
      </tp>
      <tp t="e">
        <v>#N/A</v>
        <stp/>
        <stp>BDP|5646086703622265067</stp>
        <tr r="KH24" s="1"/>
      </tp>
      <tp t="e">
        <v>#N/A</v>
        <stp/>
        <stp>BDP|6856437693648709463</stp>
        <tr r="IG15" s="1"/>
      </tp>
      <tp t="e">
        <v>#N/A</v>
        <stp/>
        <stp>BDP|1584853491435195290</stp>
        <tr r="PD24" s="1"/>
      </tp>
      <tp t="e">
        <v>#N/A</v>
        <stp/>
        <stp>BDP|9164625905638198095</stp>
        <tr r="NB15" s="1"/>
      </tp>
      <tp t="e">
        <v>#N/A</v>
        <stp/>
        <stp>BDP|7044619547474861607</stp>
        <tr r="FU31" s="1"/>
      </tp>
      <tp t="e">
        <v>#N/A</v>
        <stp/>
        <stp>BDP|1883666708305919517</stp>
        <tr r="HA20" s="1"/>
      </tp>
      <tp t="e">
        <v>#N/A</v>
        <stp/>
        <stp>BDP|5529862148828273673</stp>
        <tr r="C271" s="22"/>
      </tp>
      <tp t="e">
        <v>#N/A</v>
        <stp/>
        <stp>BDP|4242062455557752188</stp>
        <tr r="RP16" s="1"/>
      </tp>
      <tp t="e">
        <v>#N/A</v>
        <stp/>
        <stp>BDP|3311556711718929800</stp>
        <tr r="LC6" s="1"/>
        <tr r="CU6" s="1"/>
      </tp>
      <tp t="e">
        <v>#N/A</v>
        <stp/>
        <stp>BDP|1631791757056136277</stp>
        <tr r="H269" s="22"/>
      </tp>
      <tp t="e">
        <v>#N/A</v>
        <stp/>
        <stp>BDP|1215080146186140432</stp>
        <tr r="OF18" s="1"/>
        <tr r="DV14" s="1"/>
      </tp>
      <tp t="e">
        <v>#N/A</v>
        <stp/>
        <stp>BDP|9248094860288092042</stp>
        <tr r="N17" s="24"/>
      </tp>
      <tp t="e">
        <v>#N/A</v>
        <stp/>
        <stp>BDP|2760405076823832560</stp>
        <tr r="O47" s="22"/>
        <tr r="O85" s="22"/>
      </tp>
      <tp t="e">
        <v>#N/A</v>
        <stp/>
        <stp>BDP|9302520466594984915</stp>
        <tr r="JG26" s="1"/>
        <tr r="RO34" s="1"/>
      </tp>
      <tp t="e">
        <v>#N/A</v>
        <stp/>
        <stp>BDP|2337075657610997056</stp>
        <tr r="QW25" s="1"/>
      </tp>
      <tp t="e">
        <v>#N/A</v>
        <stp/>
        <stp>BDP|6820777776736497725</stp>
        <tr r="X37" s="1"/>
      </tp>
      <tp t="e">
        <v>#N/A</v>
        <stp/>
        <stp>BDP|7549517813667972311</stp>
        <tr r="ET7" s="1"/>
        <tr r="FU12" s="1"/>
        <tr r="O7" s="1"/>
      </tp>
      <tp t="e">
        <v>#N/A</v>
        <stp/>
        <stp>BDP|8742820119600615650</stp>
        <tr r="HW24" s="1"/>
      </tp>
      <tp t="e">
        <v>#N/A</v>
        <stp/>
        <stp>BDP|2049786874550997590</stp>
        <tr r="FD7" s="1"/>
        <tr r="GE12" s="1"/>
        <tr r="Y7" s="1"/>
      </tp>
      <tp t="e">
        <v>#N/A</v>
        <stp/>
        <stp>BDP|5933220208502864270</stp>
        <tr r="MF6" s="1"/>
        <tr r="OH7" s="1"/>
        <tr r="T23" s="1"/>
      </tp>
      <tp t="e">
        <v>#N/A</v>
        <stp/>
        <stp>BDP|6415681071006904682</stp>
        <tr r="KB13" s="1"/>
      </tp>
      <tp t="e">
        <v>#N/A</v>
        <stp/>
        <stp>BDP|2294647551116953031</stp>
        <tr r="P16" s="25"/>
      </tp>
      <tp t="e">
        <v>#N/A</v>
        <stp/>
        <stp>BDP|6276655858980325214</stp>
        <tr r="AG38" s="1"/>
        <tr r="OU11" s="1"/>
      </tp>
      <tp t="e">
        <v>#N/A</v>
        <stp/>
        <stp>BDP|7085795625861728465</stp>
        <tr r="CR8" s="1"/>
      </tp>
      <tp t="e">
        <v>#N/A</v>
        <stp/>
        <stp>BDP|6472868102360582982</stp>
        <tr r="M271" s="22"/>
      </tp>
      <tp t="e">
        <v>#N/A</v>
        <stp/>
        <stp>BDP|6074489416454285014</stp>
        <tr r="PG22" s="1"/>
        <tr r="GY23" s="1"/>
      </tp>
      <tp t="e">
        <v>#N/A</v>
        <stp/>
        <stp>BDP|3985014303640119481</stp>
        <tr r="H20" s="22"/>
      </tp>
      <tp t="e">
        <v>#N/A</v>
        <stp/>
        <stp>BDP|5280207544162326671</stp>
        <tr r="FX14" s="1"/>
      </tp>
      <tp t="e">
        <v>#N/A</v>
        <stp/>
        <stp>BDP|6477560070693353039</stp>
        <tr r="JG27" s="1"/>
      </tp>
      <tp t="e">
        <v>#N/A</v>
        <stp/>
        <stp>BDP|4799115877406661350</stp>
        <tr r="PM10" s="1"/>
      </tp>
      <tp t="e">
        <v>#N/A</v>
        <stp/>
        <stp>BDP|4146205425687342448</stp>
        <tr r="P48" s="22"/>
        <tr r="P89" s="22"/>
      </tp>
      <tp t="e">
        <v>#N/A</v>
        <stp/>
        <stp>BDP|5166721200074896180</stp>
        <tr r="GD35" s="1"/>
      </tp>
      <tp t="e">
        <v>#N/A</v>
        <stp/>
        <stp>BDP|2203172004672228604</stp>
        <tr r="RP30" s="1"/>
      </tp>
      <tp t="e">
        <v>#N/A</v>
        <stp/>
        <stp>BDP|2047866124209804695</stp>
        <tr r="P4" s="23"/>
      </tp>
      <tp t="e">
        <v>#N/A</v>
        <stp/>
        <stp>BDP|3821168961820855340</stp>
        <tr r="JG13" s="1"/>
      </tp>
      <tp t="e">
        <v>#N/A</v>
        <stp/>
        <stp>BDP|8445455990451398324</stp>
        <tr r="EC10" s="1"/>
      </tp>
      <tp t="e">
        <v>#N/A</v>
        <stp/>
        <stp>BDP|7034814798633838218</stp>
        <tr r="RO20" s="1"/>
      </tp>
      <tp t="e">
        <v>#N/A</v>
        <stp/>
        <stp>BDP|4771421621913658627</stp>
        <tr r="HN22" s="1"/>
      </tp>
      <tp t="e">
        <v>#N/A</v>
        <stp/>
        <stp>BDP|6158246785648001308</stp>
        <tr r="RI9" s="1"/>
      </tp>
      <tp t="e">
        <v>#N/A</v>
        <stp/>
        <stp>BDP|1773402224326490673</stp>
        <tr r="BT7" s="1"/>
      </tp>
      <tp t="e">
        <v>#N/A</v>
        <stp/>
        <stp>BDP|5015590488797591843</stp>
        <tr r="O272" s="22"/>
      </tp>
      <tp t="e">
        <v>#N/A</v>
        <stp/>
        <stp>BDP|2355099011294338083</stp>
        <tr r="EC18" s="1"/>
      </tp>
      <tp t="e">
        <v>#N/A</v>
        <stp/>
        <stp>BDP|5915138525084999563</stp>
        <tr r="BQ12" s="1"/>
      </tp>
      <tp t="e">
        <v>#N/A</v>
        <stp/>
        <stp>BDP|7275807626812460817</stp>
        <tr r="QO6" s="1"/>
      </tp>
      <tp t="e">
        <v>#N/A</v>
        <stp/>
        <stp>BDP|8685659426842425903</stp>
        <tr r="GD16" s="1"/>
      </tp>
      <tp t="e">
        <v>#N/A</v>
        <stp/>
        <stp>BDP|9995484911608730360</stp>
        <tr r="RF16" s="1"/>
      </tp>
      <tp t="e">
        <v>#N/A</v>
        <stp/>
        <stp>BDP|9855309198071200537</stp>
        <tr r="AU25" s="1"/>
        <tr r="JC31" s="1"/>
      </tp>
      <tp t="e">
        <v>#N/A</v>
        <stp/>
        <stp>BDP|7659682577447151692</stp>
        <tr r="JH19" s="1"/>
      </tp>
      <tp t="e">
        <v>#N/A</v>
        <stp/>
        <stp>BDP|6579543566824183672</stp>
        <tr r="H87" s="22"/>
        <tr r="H46" s="22"/>
      </tp>
      <tp t="e">
        <v>#N/A</v>
        <stp/>
        <stp>BDP|6418073273322598432</stp>
        <tr r="EB13" s="1"/>
      </tp>
      <tp t="e">
        <v>#N/A</v>
        <stp/>
        <stp>BDP|7197477427071101763</stp>
        <tr r="FC23" s="1"/>
      </tp>
      <tp t="e">
        <v>#N/A</v>
        <stp/>
        <stp>BDP|6404126603836571666</stp>
        <tr r="CW8" s="1"/>
      </tp>
      <tp t="e">
        <v>#N/A</v>
        <stp/>
        <stp>BDP|8106752706191355979</stp>
        <tr r="IB18" s="1"/>
      </tp>
      <tp t="e">
        <v>#N/A</v>
        <stp/>
        <stp>BDP|6541492938510618642</stp>
        <tr r="CW18" s="1"/>
        <tr r="LE14" s="1"/>
      </tp>
      <tp t="e">
        <v>#N/A</v>
        <stp/>
        <stp>BDP|2964364940441918304</stp>
        <tr r="AZ19" s="1"/>
        <tr r="MK30" s="1"/>
        <tr r="OM26" s="1"/>
        <tr r="Y27" s="1"/>
      </tp>
      <tp t="e">
        <v>#N/A</v>
        <stp/>
        <stp>BDP|3609404551935638078</stp>
        <tr r="N152" s="22"/>
        <tr r="N190" s="22"/>
      </tp>
      <tp t="e">
        <v>#N/A</v>
        <stp/>
        <stp>BDP|4287761727200322671</stp>
        <tr r="J9" s="23"/>
      </tp>
      <tp t="e">
        <v>#N/A</v>
        <stp/>
        <stp>BDP|1361424651890366747</stp>
        <tr r="JG12" s="1"/>
        <tr r="KH21" s="1"/>
      </tp>
      <tp t="e">
        <v>#N/A</v>
        <stp/>
        <stp>BDP|4511676249018921958</stp>
        <tr r="FZ14" s="1"/>
      </tp>
      <tp t="e">
        <v>#N/A</v>
        <stp/>
        <stp>BDP|8758102035654623931</stp>
        <tr r="J102" s="22"/>
        <tr r="J62" s="22"/>
      </tp>
      <tp t="e">
        <v>#N/A</v>
        <stp/>
        <stp>BDP|2362094350465575584</stp>
        <tr r="FC10" s="1"/>
        <tr r="MJ27" s="1"/>
        <tr r="NK23" s="1"/>
        <tr r="X11" s="1"/>
      </tp>
      <tp t="e">
        <v>#N/A</v>
        <stp/>
        <stp>BDP|7749002171436213137</stp>
        <tr r="J10" s="25"/>
      </tp>
      <tp t="e">
        <v>#N/A</v>
        <stp/>
        <stp>BDP|9811037398964019377</stp>
        <tr r="C327" s="22"/>
      </tp>
      <tp t="e">
        <v>#N/A</v>
        <stp/>
        <stp>BDP|6279025002956191779</stp>
        <tr r="EB9" s="1"/>
      </tp>
      <tp t="e">
        <v>#N/A</v>
        <stp/>
        <stp>BDP|6356975073178639755</stp>
        <tr r="O329" s="22"/>
      </tp>
      <tp t="e">
        <v>#N/A</v>
        <stp/>
        <stp>BDP|9636622556898566527</stp>
        <tr r="QJ23" s="1"/>
      </tp>
      <tp t="e">
        <v>#N/A</v>
        <stp/>
        <stp>BDP|2099779521689666950</stp>
        <tr r="O19" s="22"/>
      </tp>
      <tp t="e">
        <v>#N/A</v>
        <stp/>
        <stp>BDP|4548480558327503554</stp>
        <tr r="O291" s="22"/>
      </tp>
      <tp t="e">
        <v>#N/A</v>
        <stp/>
        <stp>BDP|6249716658205652680</stp>
        <tr r="HW18" s="1"/>
      </tp>
      <tp t="e">
        <v>#N/A</v>
        <stp/>
        <stp>BDP|4944135271600679585</stp>
        <tr r="P128" s="22"/>
      </tp>
      <tp t="e">
        <v>#N/A</v>
        <stp/>
        <stp>BDP|1077794672484644285</stp>
        <tr r="MJ17" s="1"/>
        <tr r="NK14" s="1"/>
      </tp>
      <tp t="e">
        <v>#N/A</v>
        <stp/>
        <stp>BDP|5592320538521174442</stp>
        <tr r="QW10" s="1"/>
      </tp>
      <tp t="e">
        <v>#N/A</v>
        <stp/>
        <stp>BDP|3890925780254610665</stp>
        <tr r="MS12" s="1"/>
      </tp>
      <tp t="e">
        <v>#N/A</v>
        <stp/>
        <stp>BDP|6758565011417889520</stp>
        <tr r="RX39" s="1"/>
      </tp>
      <tp t="e">
        <v>#N/A</v>
        <stp/>
        <stp>BDP|4076395930300151427</stp>
        <tr r="BT14" s="1"/>
      </tp>
      <tp t="e">
        <v>#N/A</v>
        <stp/>
        <stp>BDP|2815550696716977898</stp>
        <tr r="HE21" s="1"/>
      </tp>
      <tp t="e">
        <v>#N/A</v>
        <stp/>
        <stp>BDP|3678537143407449599</stp>
        <tr r="BZ8" s="1"/>
        <tr r="DA10" s="1"/>
      </tp>
      <tp t="e">
        <v>#N/A</v>
        <stp/>
        <stp>BDP|1342425263356139580</stp>
        <tr r="C16" s="24"/>
      </tp>
      <tp t="e">
        <v>#N/A</v>
        <stp/>
        <stp>BDP|4307958644731995806</stp>
        <tr r="HZ12" s="1"/>
      </tp>
      <tp t="e">
        <v>#N/A</v>
        <stp/>
        <stp>BDP|3970412124882587726</stp>
        <tr r="CU15" s="1"/>
      </tp>
      <tp t="e">
        <v>#N/A</v>
        <stp/>
        <stp>BDP|3602029799718344258</stp>
        <tr r="MO12" s="1"/>
      </tp>
      <tp t="e">
        <v>#N/A</v>
        <stp/>
        <stp>BDP|6344515542532936523</stp>
        <tr r="CU8" s="1"/>
      </tp>
      <tp t="e">
        <v>#N/A</v>
        <stp/>
        <stp>BDP|7385196577917793619</stp>
        <tr r="C252" s="22"/>
      </tp>
      <tp t="e">
        <v>#N/A</v>
        <stp/>
        <stp>BDP|8317040294292832338</stp>
        <tr r="QN10" s="1"/>
      </tp>
      <tp t="e">
        <v>#N/A</v>
        <stp/>
        <stp>BDP|4130085501944112013</stp>
        <tr r="DA20" s="1"/>
      </tp>
      <tp t="e">
        <v>#N/A</v>
        <stp/>
        <stp>BDP|2037084515264101749</stp>
        <tr r="M152" s="22"/>
        <tr r="M190" s="22"/>
      </tp>
      <tp t="e">
        <v>#N/A</v>
        <stp/>
        <stp>BDP|1911426495928448426</stp>
        <tr r="AU10" s="1"/>
      </tp>
      <tp t="e">
        <v>#N/A</v>
        <stp/>
        <stp>BDP|6372224709483612767</stp>
        <tr r="H18" s="23"/>
      </tp>
      <tp t="e">
        <v>#N/A</v>
        <stp/>
        <stp>BDP|7168427018591538377</stp>
        <tr r="C294" s="22"/>
      </tp>
      <tp t="e">
        <v>#N/A</v>
        <stp/>
        <stp>BDP|7373918589750227608</stp>
        <tr r="MJ18" s="1"/>
        <tr r="NK16" s="1"/>
      </tp>
      <tp t="e">
        <v>#N/A</v>
        <stp/>
        <stp>BDP|5685481187138234150</stp>
        <tr r="DA6" s="1"/>
        <tr r="LI6" s="1"/>
      </tp>
      <tp t="e">
        <v>#N/A</v>
        <stp/>
        <stp>BDP|7143898472400389873</stp>
        <tr r="GM11" s="1"/>
      </tp>
      <tp t="e">
        <v>#N/A</v>
        <stp/>
        <stp>BDP|6330789925583749062</stp>
        <tr r="RK38" s="1"/>
      </tp>
      <tp t="e">
        <v>#N/A</v>
        <stp/>
        <stp>BDP|9937863332970383219</stp>
        <tr r="OH19" s="1"/>
      </tp>
      <tp t="e">
        <v>#N/A</v>
        <stp/>
        <stp>BDP|2478077978115090043</stp>
        <tr r="N4" s="23"/>
      </tp>
      <tp t="e">
        <v>#N/A</v>
        <stp/>
        <stp>BDP|8887931067834449379</stp>
        <tr r="NE16" s="1"/>
        <tr r="MD18" s="1"/>
      </tp>
      <tp t="e">
        <v>#N/A</v>
        <stp/>
        <stp>BDP|6301303609772003757</stp>
        <tr r="P20" s="22"/>
      </tp>
      <tp t="e">
        <v>#N/A</v>
        <stp/>
        <stp>BDP|4388053738657287036</stp>
        <tr r="J412" s="22"/>
      </tp>
      <tp t="e">
        <v>#N/A</v>
        <stp/>
        <stp>BDP|7467486386208465316</stp>
        <tr r="FU16" s="1"/>
      </tp>
      <tp t="e">
        <v>#N/A</v>
        <stp/>
        <stp>BDP|1044896905790587950</stp>
        <tr r="AY14" s="1"/>
      </tp>
      <tp t="e">
        <v>#N/A</v>
        <stp/>
        <stp>BDP|8440443903425902966</stp>
        <tr r="FD28" s="1"/>
        <tr r="GE21" s="1"/>
        <tr r="JH16" s="1"/>
        <tr r="NL18" s="1"/>
        <tr r="Y33" s="1"/>
      </tp>
      <tp t="e">
        <v>#N/A</v>
        <stp/>
        <stp>BDP|2309793551290128067</stp>
        <tr r="RI11" s="1"/>
        <tr r="KB12" s="1"/>
        <tr r="JA9" s="1"/>
      </tp>
      <tp t="e">
        <v>#N/A</v>
        <stp/>
        <stp>BDP|1368300006187168585</stp>
        <tr r="KH25" s="1"/>
      </tp>
      <tp t="e">
        <v>#N/A</v>
        <stp/>
        <stp>BDP|6374539673943652795</stp>
        <tr r="EW20" s="1"/>
      </tp>
      <tp t="e">
        <v>#N/A</v>
        <stp/>
        <stp>BDP|1524791743413309100</stp>
        <tr r="RX30" s="1"/>
      </tp>
      <tp t="e">
        <v>#N/A</v>
        <stp/>
        <stp>BDP|5667553529704269642</stp>
        <tr r="NB7" s="1"/>
      </tp>
      <tp t="e">
        <v>#N/A</v>
        <stp/>
        <stp>BDP|3000049188022986989</stp>
        <tr r="DJ8" s="1"/>
      </tp>
      <tp t="e">
        <v>#N/A</v>
        <stp/>
        <stp>BDP|1424404504980452592</stp>
        <tr r="J14" s="24"/>
        <tr r="J14" s="23"/>
        <tr r="J14" s="22"/>
      </tp>
      <tp t="e">
        <v>#N/A</v>
        <stp/>
        <stp>BDP|7717160361984420497</stp>
        <tr r="ET34" s="1"/>
        <tr r="FU6" s="1"/>
        <tr r="IX6" s="1"/>
        <tr r="O41" s="1"/>
      </tp>
      <tp t="e">
        <v>#N/A</v>
        <stp/>
        <stp>BDP|8832584776068883233</stp>
        <tr r="EK17" s="1"/>
      </tp>
      <tp t="e">
        <v>#N/A</v>
        <stp/>
        <stp>BDP|7395714146195803112</stp>
        <tr r="J19" s="23"/>
      </tp>
      <tp t="e">
        <v>#N/A</v>
        <stp/>
        <stp>BDP|7878207527851594672</stp>
        <tr r="GV7" s="1"/>
      </tp>
      <tp t="e">
        <v>#N/A</v>
        <stp/>
        <stp>BDP|4835771494799702316</stp>
        <tr r="NK11" s="1"/>
      </tp>
      <tp t="e">
        <v>#N/A</v>
        <stp/>
        <stp>BDP|4323985497531089518</stp>
        <tr r="IX25" s="1"/>
      </tp>
      <tp t="e">
        <v>#N/A</v>
        <stp/>
        <stp>BDP|2142634571911438253</stp>
        <tr r="O328" s="22"/>
      </tp>
      <tp t="e">
        <v>#N/A</v>
        <stp/>
        <stp>BDP|1045398087282468880</stp>
        <tr r="GY10" s="1"/>
      </tp>
      <tp t="e">
        <v>#N/A</v>
        <stp/>
        <stp>BDP|5341779271095764003</stp>
        <tr r="P4" s="24"/>
      </tp>
      <tp t="e">
        <v>#N/A</v>
        <stp/>
        <stp>BDP|6380959251933160944</stp>
        <tr r="H100" s="22"/>
        <tr r="H59" s="22"/>
      </tp>
      <tp t="e">
        <v>#N/A</v>
        <stp/>
        <stp>BDP|5722606943906752117</stp>
        <tr r="C5" s="23"/>
      </tp>
      <tp t="e">
        <v>#N/A</v>
        <stp/>
        <stp>BDP|9130469188124981142</stp>
        <tr r="QO11" s="1"/>
      </tp>
      <tp t="e">
        <v>#N/A</v>
        <stp/>
        <stp>BDP|3050639776292594026</stp>
        <tr r="JY19" s="1"/>
      </tp>
      <tp t="e">
        <v>#N/A</v>
        <stp/>
        <stp>BDP|3229217221522280132</stp>
        <tr r="JP17" s="1"/>
        <tr r="KQ26" s="1"/>
        <tr r="RX19" s="1"/>
      </tp>
      <tp t="e">
        <v>#N/A</v>
        <stp/>
        <stp>BDP|5663125015502081723</stp>
        <tr r="BT13" s="1"/>
      </tp>
      <tp t="e">
        <v>#N/A</v>
        <stp/>
        <stp>BDP|2569291002701589186</stp>
        <tr r="P270" s="22"/>
      </tp>
      <tp t="e">
        <v>#N/A</v>
        <stp/>
        <stp>BDP|3229070870847625309</stp>
        <tr r="H6" s="22"/>
      </tp>
      <tp t="e">
        <v>#N/A</v>
        <stp/>
        <stp>BDP|1435042621466251505</stp>
        <tr r="J133" s="22"/>
        <tr r="J173" s="22"/>
      </tp>
      <tp t="e">
        <v>#N/A</v>
        <stp/>
        <stp>BDP|3287111431541697070</stp>
        <tr r="RX33" s="1"/>
      </tp>
      <tp t="e">
        <v>#N/A</v>
        <stp/>
        <stp>BDP|1722419224666452161</stp>
        <tr r="H8" s="22"/>
      </tp>
      <tp t="e">
        <v>#N/A</v>
        <stp/>
        <stp>BDP|9188079195611477179</stp>
        <tr r="H312" s="22"/>
      </tp>
      <tp t="e">
        <v>#N/A</v>
        <stp/>
        <stp>BDP|4951275199146393946</stp>
        <tr r="QO19" s="1"/>
      </tp>
      <tp t="e">
        <v>#N/A</v>
        <stp/>
        <stp>BDP|6338998258843463964</stp>
        <tr r="C15" s="24"/>
      </tp>
      <tp t="e">
        <v>#N/A</v>
        <stp/>
        <stp>BDP|1455665317321471712</stp>
        <tr r="RO32" s="1"/>
      </tp>
      <tp t="e">
        <v>#N/A</v>
        <stp/>
        <stp>BDP|5163817337627299942</stp>
        <tr r="HN13" s="1"/>
      </tp>
      <tp t="e">
        <v>#N/A</v>
        <stp/>
        <stp>BDP|8069609685315631321</stp>
        <tr r="H188" s="22"/>
        <tr r="H150" s="22"/>
      </tp>
      <tp t="e">
        <v>#N/A</v>
        <stp/>
        <stp>BDP|3770765252646712752</stp>
        <tr r="N57" s="22"/>
        <tr r="N96" s="22"/>
      </tp>
      <tp t="e">
        <v>#N/A</v>
        <stp/>
        <stp>BDP|1062421047687092630</stp>
        <tr r="QH18" s="1"/>
      </tp>
      <tp t="e">
        <v>#N/A</v>
        <stp/>
        <stp>BDP|6600306562511272209</stp>
        <tr r="QJ21" s="1"/>
      </tp>
      <tp t="e">
        <v>#N/A</v>
        <stp/>
        <stp>BDP|4777813770938204321</stp>
        <tr r="PM9" s="1"/>
      </tp>
      <tp t="e">
        <v>#N/A</v>
        <stp/>
        <stp>BDP|5817515256921086494</stp>
        <tr r="KZ11" s="1"/>
      </tp>
      <tp t="e">
        <v>#N/A</v>
        <stp/>
        <stp>BDP|6104152649350238393</stp>
        <tr r="GD9" s="1"/>
      </tp>
      <tp t="e">
        <v>#N/A</v>
        <stp/>
        <stp>BDP|6502335467115262656</stp>
        <tr r="J210" s="22"/>
        <tr r="J232" s="22"/>
      </tp>
      <tp t="e">
        <v>#N/A</v>
        <stp/>
        <stp>BDP|7896647339863580177</stp>
        <tr r="PN6" s="1"/>
      </tp>
      <tp t="e">
        <v>#N/A</v>
        <stp/>
        <stp>BDP|7194068205427578009</stp>
        <tr r="O330" s="22"/>
      </tp>
      <tp t="e">
        <v>#N/A</v>
        <stp/>
        <stp>BDP|4732056716462373706</stp>
        <tr r="PV17" s="1"/>
      </tp>
      <tp t="e">
        <v>#N/A</v>
        <stp/>
        <stp>BDP|7360594319342535111</stp>
        <tr r="H148" s="22"/>
      </tp>
      <tp t="e">
        <v>#N/A</v>
        <stp/>
        <stp>BDP|2416427772440366107</stp>
        <tr r="C18" s="24"/>
      </tp>
      <tp t="e">
        <v>#N/A</v>
        <stp/>
        <stp>BDP|8518615530315509863</stp>
        <tr r="N16" s="23"/>
      </tp>
      <tp t="e">
        <v>#N/A</v>
        <stp/>
        <stp>BDP|3248540221494735077</stp>
        <tr r="KI25" s="1"/>
      </tp>
      <tp t="e">
        <v>#N/A</v>
        <stp/>
        <stp>BDP|1104115764564469271</stp>
        <tr r="GM35" s="1"/>
      </tp>
      <tp t="e">
        <v>#N/A</v>
        <stp/>
        <stp>BDP|9134153117831422833</stp>
        <tr r="EK14" s="1"/>
        <tr r="OU18" s="1"/>
      </tp>
      <tp t="e">
        <v>#N/A</v>
        <stp/>
        <stp>BDP|1122443112226471278</stp>
        <tr r="OF8" s="1"/>
        <tr r="DV7" s="1"/>
      </tp>
      <tp t="e">
        <v>#N/A</v>
        <stp/>
        <stp>BDP|2442067731500774102</stp>
        <tr r="RK14" s="1"/>
      </tp>
      <tp t="e">
        <v>#N/A</v>
        <stp/>
        <stp>BDP|1455659931463284763</stp>
        <tr r="DJ9" s="1"/>
      </tp>
      <tp t="e">
        <v>#N/A</v>
        <stp/>
        <stp>BDP|3423370723133723135</stp>
        <tr r="ET32" s="1"/>
        <tr r="MA13" s="1"/>
        <tr r="NB12" s="1"/>
        <tr r="O35" s="1"/>
      </tp>
      <tp t="e">
        <v>#N/A</v>
        <stp/>
        <stp>BDP|3025567902483807586</stp>
        <tr r="MS24" s="1"/>
      </tp>
      <tp t="e">
        <v>#N/A</v>
        <stp/>
        <stp>BDP|7749792954172663787</stp>
        <tr r="C153" s="22"/>
        <tr r="C191" s="22"/>
      </tp>
      <tp t="e">
        <v>#N/A</v>
        <stp/>
        <stp>BDP|8825607782593814579</stp>
        <tr r="RK21" s="1"/>
      </tp>
      <tp t="e">
        <v>#N/A</v>
        <stp/>
        <stp>BDP|8069473281712164629</stp>
        <tr r="BV7" s="1"/>
      </tp>
      <tp t="e">
        <v>#N/A</v>
        <stp/>
        <stp>BDP|5129241842810657340</stp>
        <tr r="OU6" s="1"/>
      </tp>
      <tp t="e">
        <v>#N/A</v>
        <stp/>
        <stp>BDP|8114972901357201603</stp>
        <tr r="KI15" s="1"/>
      </tp>
      <tp t="e">
        <v>#N/A</v>
        <stp/>
        <stp>BDP|1257896649519274457</stp>
        <tr r="IG27" s="1"/>
      </tp>
      <tp t="e">
        <v>#N/A</v>
        <stp/>
        <stp>BDP|1426084751896359342</stp>
        <tr r="RP25" s="1"/>
      </tp>
      <tp t="e">
        <v>#N/A</v>
        <stp/>
        <stp>BDP|9061572692822859670</stp>
        <tr r="RP20" s="1"/>
      </tp>
      <tp t="e">
        <v>#N/A</v>
        <stp/>
        <stp>BDP|3210519469401154018</stp>
        <tr r="GE24" s="1"/>
        <tr r="Y31" s="1"/>
      </tp>
      <tp t="e">
        <v>#N/A</v>
        <stp/>
        <stp>BDP|3055009496819449285</stp>
        <tr r="P5" s="22"/>
      </tp>
      <tp t="e">
        <v>#N/A</v>
        <stp/>
        <stp>BDP|5878652664427648348</stp>
        <tr r="J367" s="22"/>
        <tr r="J389" s="22"/>
        <tr r="J411" s="22"/>
      </tp>
      <tp t="e">
        <v>#N/A</v>
        <stp/>
        <stp>BDP|7112353933622807448</stp>
        <tr r="C12" s="23"/>
        <tr r="C12" s="22"/>
      </tp>
      <tp t="e">
        <v>#N/A</v>
        <stp/>
        <stp>BDP|2882023222556153725</stp>
        <tr r="PG9" s="1"/>
      </tp>
      <tp t="e">
        <v>#N/A</v>
        <stp/>
        <stp>BDP|8901025794648568816</stp>
        <tr r="R28" s="1"/>
      </tp>
      <tp t="e">
        <v>#N/A</v>
        <stp/>
        <stp>BDP|4216633675983974768</stp>
        <tr r="QN7" s="1"/>
      </tp>
      <tp t="e">
        <v>#N/A</v>
        <stp/>
        <stp>BDP|1638086080138621032</stp>
        <tr r="EC11" s="1"/>
        <tr r="OM10" s="1"/>
      </tp>
      <tp t="e">
        <v>#N/A</v>
        <stp/>
        <stp>BDP|3223734856986875679</stp>
        <tr r="M7" s="23"/>
      </tp>
      <tp t="e">
        <v>#N/A</v>
        <stp/>
        <stp>BDP|2351987666585506904</stp>
        <tr r="BZ13" s="1"/>
      </tp>
      <tp t="e">
        <v>#N/A</v>
        <stp/>
        <stp>BDP|7775632302764889469</stp>
        <tr r="GY21" s="1"/>
      </tp>
      <tp t="e">
        <v>#N/A</v>
        <stp/>
        <stp>BDP|8859210792804703648</stp>
        <tr r="GM29" s="1"/>
        <tr r="JP24" s="1"/>
      </tp>
      <tp t="e">
        <v>#N/A</v>
        <stp/>
        <stp>BDP|7163070659743227057</stp>
        <tr r="J207" s="22"/>
        <tr r="J229" s="22"/>
      </tp>
      <tp t="e">
        <v>#N/A</v>
        <stp/>
        <stp>BDP|7530535437205987508</stp>
        <tr r="MA12" s="1"/>
      </tp>
      <tp t="e">
        <v>#N/A</v>
        <stp/>
        <stp>BDP|3758826419642367974</stp>
        <tr r="QW24" s="1"/>
      </tp>
      <tp t="e">
        <v>#N/A</v>
        <stp/>
        <stp>BDP|7277109573876171687</stp>
        <tr r="GM34" s="1"/>
      </tp>
      <tp t="e">
        <v>#N/A</v>
        <stp/>
        <stp>BDP|4020979699705275053</stp>
        <tr r="JH21" s="1"/>
        <tr r="RP26" s="1"/>
      </tp>
      <tp t="e">
        <v>#N/A</v>
        <stp/>
        <stp>BDP|2487399965022995483</stp>
        <tr r="MF12" s="1"/>
      </tp>
      <tp t="e">
        <v>#N/A</v>
        <stp/>
        <stp>BDP|9506855379384715378</stp>
        <tr r="P18" s="24"/>
      </tp>
      <tp t="e">
        <v>#N/A</v>
        <stp/>
        <stp>BDP|3457322310723922361</stp>
        <tr r="RO30" s="1"/>
      </tp>
      <tp t="e">
        <v>#N/A</v>
        <stp/>
        <stp>BDP|2750406257795835714</stp>
        <tr r="O9" s="23"/>
      </tp>
      <tp t="e">
        <v>#N/A</v>
        <stp/>
        <stp>BDP|2329160428441532116</stp>
        <tr r="C16" s="23"/>
      </tp>
      <tp t="e">
        <v>#N/A</v>
        <stp/>
        <stp>BDP|2428210029955600639</stp>
        <tr r="DV21" s="1"/>
      </tp>
      <tp t="e">
        <v>#N/A</v>
        <stp/>
        <stp>BDP|5900151597439618541</stp>
        <tr r="FU7" s="1"/>
        <tr r="GV6" s="1"/>
      </tp>
      <tp t="e">
        <v>#N/A</v>
        <stp/>
        <stp>BDP|6904253745347879680</stp>
        <tr r="O384" s="22"/>
      </tp>
      <tp t="e">
        <v>#N/A</v>
        <stp/>
        <stp>BDP|3882012720920597022</stp>
        <tr r="C152" s="22"/>
        <tr r="C190" s="22"/>
      </tp>
      <tp t="e">
        <v>#N/A</v>
        <stp/>
        <stp>BDP|2476533838545555048</stp>
        <tr r="JA15" s="1"/>
      </tp>
      <tp t="e">
        <v>#N/A</v>
        <stp/>
        <stp>BDP|8750807471861930718</stp>
        <tr r="PM21" s="1"/>
      </tp>
      <tp t="e">
        <v>#N/A</v>
        <stp/>
        <stp>BDP|1074328605456983506</stp>
        <tr r="FU33" s="1"/>
      </tp>
      <tp t="e">
        <v>#N/A</v>
        <stp/>
        <stp>BDP|4908647666372259768</stp>
        <tr r="J8" s="22"/>
      </tp>
      <tp t="e">
        <v>#N/A</v>
        <stp/>
        <stp>BDP|9815271201562625879</stp>
        <tr r="H94" s="22"/>
      </tp>
      <tp t="e">
        <v>#N/A</v>
        <stp/>
        <stp>BDP|9527878642477436384</stp>
        <tr r="ET23" s="1"/>
      </tp>
      <tp t="e">
        <v>#N/A</v>
        <stp/>
        <stp>BDP|4112599210199132852</stp>
        <tr r="P11" s="25"/>
      </tp>
      <tp t="e">
        <v>#N/A</v>
        <stp/>
        <stp>BDP|5051248118123400447</stp>
        <tr r="M17" s="22"/>
      </tp>
      <tp t="e">
        <v>#N/A</v>
        <stp/>
        <stp>BDP|7747450453387987044</stp>
        <tr r="GD30" s="1"/>
      </tp>
      <tp t="e">
        <v>#N/A</v>
        <stp/>
        <stp>BDP|9381159529949439274</stp>
        <tr r="AP19" s="1"/>
        <tr r="MA30" s="1"/>
        <tr r="O27" s="1"/>
        <tr r="OC26" s="1"/>
      </tp>
      <tp t="e">
        <v>#N/A</v>
        <stp/>
        <stp>BDP|4245075366786807578</stp>
        <tr r="NL27" s="1"/>
      </tp>
      <tp t="e">
        <v>#N/A</v>
        <stp/>
        <stp>BDP|3954053074096049340</stp>
        <tr r="OF26" s="1"/>
        <tr r="MD30" s="1"/>
        <tr r="AS19" s="1"/>
        <tr r="R27" s="1"/>
      </tp>
      <tp t="e">
        <v>#N/A</v>
        <stp/>
        <stp>BDP|5933774593542730863</stp>
        <tr r="QE18" s="1"/>
      </tp>
      <tp t="e">
        <v>#N/A</v>
        <stp/>
        <stp>BDP|4635385812915913282</stp>
        <tr r="EC22" s="1"/>
        <tr r="MK32" s="1"/>
        <tr r="OM28" s="1"/>
        <tr r="Y9" s="1"/>
      </tp>
      <tp t="e">
        <v>#N/A</v>
        <stp/>
        <stp>BDP|7387599627484237529</stp>
        <tr r="J311" s="22"/>
      </tp>
      <tp t="e">
        <v>#N/A</v>
        <stp/>
        <stp>BDP|5131539236773179184</stp>
        <tr r="GE9" s="1"/>
      </tp>
      <tp t="e">
        <v>#N/A</v>
        <stp/>
        <stp>BDP|6183923503446997847</stp>
        <tr r="N12" s="23"/>
        <tr r="N12" s="22"/>
      </tp>
      <tp t="e">
        <v>#N/A</v>
        <stp/>
        <stp>BDP|7908664811537061637</stp>
        <tr r="NK7" s="1"/>
      </tp>
      <tp t="e">
        <v>#N/A</v>
        <stp/>
        <stp>BDP|7285291327965964384</stp>
        <tr r="KH30" s="1"/>
      </tp>
      <tp t="e">
        <v>#N/A</v>
        <stp/>
        <stp>BDP|2339895211669019398</stp>
        <tr r="RX20" s="1"/>
      </tp>
      <tp t="e">
        <v>#N/A</v>
        <stp/>
        <stp>BDP|5007035161870649261</stp>
        <tr r="LJ11" s="1"/>
      </tp>
      <tp t="e">
        <v>#N/A</v>
        <stp/>
        <stp>BDP|1092513778174252695</stp>
        <tr r="P329" s="22"/>
      </tp>
      <tp t="e">
        <v>#N/A</v>
        <stp/>
        <stp>BDP|4080693202934156788</stp>
        <tr r="M4" s="22"/>
      </tp>
      <tp t="e">
        <v>#N/A</v>
        <stp/>
        <stp>BDP|2590370207458655816</stp>
        <tr r="P208" s="22"/>
        <tr r="P230" s="22"/>
      </tp>
      <tp t="e">
        <v>#N/A</v>
        <stp/>
        <stp>BDP|2221330814437073671</stp>
        <tr r="M273" s="22"/>
      </tp>
      <tp t="e">
        <v>#N/A</v>
        <stp/>
        <stp>BDP|1633844830759934293</stp>
        <tr r="RF33" s="1"/>
      </tp>
      <tp t="e">
        <v>#N/A</v>
        <stp/>
        <stp>BDP|2126132994669472201</stp>
        <tr r="P408" s="22"/>
      </tp>
      <tp t="e">
        <v>#N/A</v>
        <stp/>
        <stp>BDP|2250374677785956295</stp>
        <tr r="J206" s="22"/>
        <tr r="J228" s="22"/>
      </tp>
      <tp t="e">
        <v>#N/A</v>
        <stp/>
        <stp>BDP|4747641260976285328</stp>
        <tr r="N9" s="23"/>
      </tp>
      <tp t="e">
        <v>#N/A</v>
        <stp/>
        <stp>BDP|6274854891573020555</stp>
        <tr r="J8" s="24"/>
      </tp>
      <tp t="e">
        <v>#N/A</v>
        <stp/>
        <stp>BDP|1401436658613522290</stp>
        <tr r="P251" s="22"/>
      </tp>
      <tp t="e">
        <v>#N/A</v>
        <stp/>
        <stp>BDP|5634095512614732197</stp>
        <tr r="N365" s="22"/>
        <tr r="N386" s="22"/>
      </tp>
      <tp t="e">
        <v>#N/A</v>
        <stp/>
        <stp>BDP|6577074463674778554</stp>
        <tr r="JH27" s="1"/>
      </tp>
      <tp t="e">
        <v>#N/A</v>
        <stp/>
        <stp>BDP|8164853415981067112</stp>
        <tr r="HN29" s="1"/>
      </tp>
      <tp t="e">
        <v>#N/A</v>
        <stp/>
        <stp>BDP|9330323318823838910</stp>
        <tr r="J385" s="22"/>
      </tp>
      <tp t="e">
        <v>#N/A</v>
        <stp/>
        <stp>BDP|2402419169404905553</stp>
        <tr r="KB14" s="1"/>
      </tp>
      <tp t="e">
        <v>#N/A</v>
        <stp/>
        <stp>BDP|3148604714110457515</stp>
        <tr r="IF27" s="1"/>
      </tp>
      <tp t="e">
        <v>#N/A</v>
        <stp/>
        <stp>BDP|1013020386070335876</stp>
        <tr r="EY34" s="1"/>
        <tr r="FZ6" s="1"/>
        <tr r="JC6" s="1"/>
        <tr r="T41" s="1"/>
      </tp>
      <tp t="e">
        <v>#N/A</v>
        <stp/>
        <stp>BDP|7540179731891446577</stp>
        <tr r="DF8" s="1"/>
        <tr r="MO9" s="1"/>
      </tp>
      <tp t="e">
        <v>#N/A</v>
        <stp/>
        <stp>BDP|1857879213299472091</stp>
        <tr r="RF31" s="1"/>
      </tp>
      <tp t="e">
        <v>#N/A</v>
        <stp/>
        <stp>BDP|7590354746464508521</stp>
        <tr r="EY20" s="1"/>
      </tp>
      <tp t="e">
        <v>#N/A</v>
        <stp/>
        <stp>BDP|7492586177953377790</stp>
        <tr r="PN8" s="1"/>
      </tp>
      <tp t="e">
        <v>#N/A</v>
        <stp/>
        <stp>BDP|5293112803432773769</stp>
        <tr r="PV8" s="1"/>
      </tp>
      <tp t="e">
        <v>#N/A</v>
        <stp/>
        <stp>BDP|4919641759474556201</stp>
        <tr r="P4" s="25"/>
      </tp>
      <tp t="e">
        <v>#N/A</v>
        <stp/>
        <stp>BDP|2568008901832638137</stp>
        <tr r="AP18" s="1"/>
        <tr r="MA23" s="1"/>
        <tr r="O20" s="1"/>
        <tr r="OC22" s="1"/>
      </tp>
      <tp t="e">
        <v>#N/A</v>
        <stp/>
        <stp>BDP|6076444203512623101</stp>
        <tr r="OC20" s="1"/>
      </tp>
      <tp t="e">
        <v>#N/A</v>
        <stp/>
        <stp>BDP|8474210852397455926</stp>
        <tr r="RO40" s="1"/>
      </tp>
      <tp t="e">
        <v>#N/A</v>
        <stp/>
        <stp>BDP|1597404032592638576</stp>
        <tr r="C20" s="22"/>
      </tp>
      <tp t="e">
        <v>#N/A</v>
        <stp/>
        <stp>BDP|9285599019119349575</stp>
        <tr r="PN10" s="1"/>
      </tp>
      <tp t="e">
        <v>#N/A</v>
        <stp/>
        <stp>BDP|4724179566892210023</stp>
        <tr r="H99" s="22"/>
        <tr r="H58" s="22"/>
      </tp>
      <tp t="e">
        <v>#N/A</v>
        <stp/>
        <stp>BDP|1513018865612283456</stp>
        <tr r="ET15" s="1"/>
        <tr r="FU22" s="1"/>
        <tr r="IX18" s="1"/>
        <tr r="O17" s="1"/>
      </tp>
      <tp t="e">
        <v>#N/A</v>
        <stp/>
        <stp>BDP|2578154197352408953</stp>
        <tr r="PD27" s="1"/>
      </tp>
      <tp t="e">
        <v>#N/A</v>
        <stp/>
        <stp>BDP|1744425561172358012</stp>
        <tr r="QN6" s="1"/>
      </tp>
      <tp t="e">
        <v>#N/A</v>
        <stp/>
        <stp>BDP|9806003740999780595</stp>
        <tr r="M16" s="23"/>
      </tp>
      <tp t="e">
        <v>#N/A</v>
        <stp/>
        <stp>BDP|6911652635515652795</stp>
        <tr r="EY33" s="1"/>
        <tr r="T39" s="1"/>
      </tp>
      <tp t="e">
        <v>#N/A</v>
        <stp/>
        <stp>BDP|1286801141879751522</stp>
        <tr r="N12" s="25"/>
      </tp>
      <tp t="e">
        <v>#N/A</v>
        <stp/>
        <stp>BDP|4639478209131813073</stp>
        <tr r="NG7" s="1"/>
      </tp>
      <tp t="e">
        <v>#N/A</v>
        <stp/>
        <stp>BDP|9426809150242645757</stp>
        <tr r="GE11" s="1"/>
      </tp>
      <tp t="e">
        <v>#N/A</v>
        <stp/>
        <stp>BDP|8460869900459197848</stp>
        <tr r="KB28" s="1"/>
      </tp>
      <tp t="e">
        <v>#N/A</v>
        <stp/>
        <stp>BDP|7670797209997662672</stp>
        <tr r="C402" s="22"/>
      </tp>
      <tp t="e">
        <v>#N/A</v>
        <stp/>
        <stp>BDP|9220626583296652023</stp>
        <tr r="KI8" s="1"/>
      </tp>
      <tp t="e">
        <v>#N/A</v>
        <stp/>
        <stp>BDP|7493716142780503558</stp>
        <tr r="JY39" s="1"/>
      </tp>
      <tp t="e">
        <v>#N/A</v>
        <stp/>
        <stp>BDP|5542067036547440061</stp>
        <tr r="QN11" s="1"/>
      </tp>
      <tp t="e">
        <v>#N/A</v>
        <stp/>
        <stp>BDP|9043343014738547227</stp>
        <tr r="FD9" s="1"/>
        <tr r="Y10" s="1"/>
      </tp>
      <tp t="e">
        <v>#N/A</v>
        <stp/>
        <stp>BDP|9231040257674206946</stp>
        <tr r="DV8" s="1"/>
        <tr r="AS8" s="1"/>
      </tp>
      <tp t="e">
        <v>#N/A</v>
        <stp/>
        <stp>BDP|7610321969744834726</stp>
        <tr r="KZ9" s="1"/>
      </tp>
      <tp t="e">
        <v>#N/A</v>
        <stp/>
        <stp>BDP|2754106416335654601</stp>
        <tr r="CU22" s="1"/>
        <tr r="BT19" s="1"/>
      </tp>
      <tp t="e">
        <v>#N/A</v>
        <stp/>
        <stp>BDP|7676371513754747023</stp>
        <tr r="H89" s="22"/>
        <tr r="H48" s="22"/>
      </tp>
      <tp t="e">
        <v>#N/A</v>
        <stp/>
        <stp>BDP|2499198554575580287</stp>
        <tr r="M150" s="22"/>
        <tr r="M188" s="22"/>
      </tp>
      <tp t="e">
        <v>#N/A</v>
        <stp/>
        <stp>BDP|3829080293613063878</stp>
        <tr r="CR14" s="1"/>
      </tp>
      <tp t="e">
        <v>#N/A</v>
        <stp/>
        <stp>BDP|2486456120651231476</stp>
        <tr r="BV18" s="1"/>
      </tp>
      <tp t="e">
        <v>#N/A</v>
        <stp/>
        <stp>BDP|2798173289618941245</stp>
        <tr r="FL34" s="1"/>
        <tr r="GM6" s="1"/>
        <tr r="JP6" s="1"/>
      </tp>
      <tp t="e">
        <v>#N/A</v>
        <stp/>
        <stp>BDP|6271395094628258590</stp>
        <tr r="GE28" s="1"/>
        <tr r="HF31" s="1"/>
      </tp>
      <tp t="e">
        <v>#N/A</v>
        <stp/>
        <stp>BDP|9574850407494309407</stp>
        <tr r="CW15" s="1"/>
      </tp>
      <tp t="e">
        <v>#N/A</v>
        <stp/>
        <stp>BDP|7883517429297339678</stp>
        <tr r="O15" s="23"/>
      </tp>
      <tp t="e">
        <v>#N/A</v>
        <stp/>
        <stp>BDP|1496524919171396583</stp>
        <tr r="EY16" s="1"/>
        <tr r="T21" s="1"/>
      </tp>
      <tp t="e">
        <v>#N/A</v>
        <stp/>
        <stp>BDP|7687722435691514316</stp>
        <tr r="P15" s="23"/>
      </tp>
      <tp t="e">
        <v>#N/A</v>
        <stp/>
        <stp>BDP|4085522427304610664</stp>
        <tr r="IB17" s="1"/>
      </tp>
      <tp t="e">
        <v>#N/A</v>
        <stp/>
        <stp>BDP|4761840037259284732</stp>
        <tr r="C19" s="23"/>
      </tp>
      <tp t="e">
        <v>#N/A</v>
        <stp/>
        <stp>BDP|2901178038695076437</stp>
        <tr r="N50" s="22"/>
        <tr r="N92" s="22"/>
      </tp>
      <tp t="e">
        <v>#N/A</v>
        <stp/>
        <stp>BDP|5068110907720234512</stp>
        <tr r="ET16" s="1"/>
        <tr r="O21" s="1"/>
      </tp>
      <tp t="e">
        <v>#N/A</v>
        <stp/>
        <stp>BDP|3758508322745495043</stp>
        <tr r="RI22" s="1"/>
      </tp>
      <tp t="e">
        <v>#N/A</v>
        <stp/>
        <stp>BDP|8628039991927783493</stp>
        <tr r="EK24" s="1"/>
      </tp>
      <tp t="e">
        <v>#N/A</v>
        <stp/>
        <stp>BDP|6141962387800960531</stp>
        <tr r="ET30" s="1"/>
        <tr r="MA11" s="1"/>
        <tr r="NB8" s="1"/>
        <tr r="O36" s="1"/>
      </tp>
      <tp t="e">
        <v>#N/A</v>
        <stp/>
        <stp>BDP|3068700527695843158</stp>
        <tr r="BT9" s="1"/>
      </tp>
      <tp t="e">
        <v>#N/A</v>
        <stp/>
        <stp>BDP|9315306148259825596</stp>
        <tr r="P366" s="22"/>
        <tr r="P387" s="22"/>
      </tp>
      <tp t="e">
        <v>#N/A</v>
        <stp/>
        <stp>BDP|4249467839489727804</stp>
        <tr r="M146" s="22"/>
        <tr r="M186" s="22"/>
      </tp>
      <tp t="e">
        <v>#N/A</v>
        <stp/>
        <stp>BDP|2538159354232794693</stp>
        <tr r="MJ28" s="1"/>
        <tr r="NK24" s="1"/>
      </tp>
      <tp t="e">
        <v>#N/A</v>
        <stp/>
        <stp>BDP|9857826837050153063</stp>
        <tr r="QW23" s="1"/>
      </tp>
      <tp t="e">
        <v>#N/A</v>
        <stp/>
        <stp>BDP|6558945954799871177</stp>
        <tr r="M274" s="22"/>
      </tp>
      <tp t="e">
        <v>#N/A</v>
        <stp/>
        <stp>BDP|2335047361865811355</stp>
        <tr r="RI27" s="1"/>
      </tp>
      <tp t="e">
        <v>#N/A</v>
        <stp/>
        <stp>BDP|2504684660451783113</stp>
        <tr r="EC24" s="1"/>
      </tp>
      <tp t="e">
        <v>#N/A</v>
        <stp/>
        <stp>BDP|9142691697903465707</stp>
        <tr r="P362" s="22"/>
        <tr r="P380" s="22"/>
      </tp>
      <tp t="e">
        <v>#N/A</v>
        <stp/>
        <stp>BDP|6155305392837239990</stp>
        <tr r="AG8" s="1"/>
        <tr r="FL8" s="1"/>
        <tr r="GM23" s="1"/>
      </tp>
      <tp t="e">
        <v>#N/A</v>
        <stp/>
        <stp>BDP|6246430517104982570</stp>
        <tr r="J9" s="24"/>
      </tp>
      <tp t="e">
        <v>#N/A</v>
        <stp/>
        <stp>BDP|3377326051491965612</stp>
        <tr r="N20" s="23"/>
      </tp>
      <tp t="e">
        <v>#N/A</v>
        <stp/>
        <stp>BDP|7136122521894232290</stp>
        <tr r="AG36" s="1"/>
        <tr r="FL30" s="1"/>
        <tr r="MS11" s="1"/>
        <tr r="NT8" s="1"/>
      </tp>
      <tp t="e">
        <v>#N/A</v>
        <stp/>
        <stp>BDP|8562098291557113455</stp>
        <tr r="KQ24" s="1"/>
      </tp>
      <tp t="e">
        <v>#N/A</v>
        <stp/>
        <stp>BDP|5728718823292467081</stp>
        <tr r="QO27" s="1"/>
        <tr r="RP41" s="1"/>
        <tr r="P103" s="22"/>
        <tr r="P134" s="22"/>
        <tr r="P155" s="22"/>
        <tr r="P174" s="22"/>
        <tr r="P193" s="22"/>
        <tr r="P21" s="22"/>
        <tr r="P63" s="22"/>
      </tp>
      <tp t="e">
        <v>#N/A</v>
        <stp/>
        <stp>BDP|2663632215087934001</stp>
        <tr r="AY7" s="1"/>
        <tr r="FC13" s="1"/>
        <tr r="KH7" s="1"/>
        <tr r="X15" s="1"/>
      </tp>
      <tp t="e">
        <v>#N/A</v>
        <stp/>
        <stp>BDP|8934981378412773608</stp>
        <tr r="CA20" s="1"/>
      </tp>
      <tp t="e">
        <v>#N/A</v>
        <stp/>
        <stp>BDP|2415086910411630049</stp>
        <tr r="NG27" s="1"/>
      </tp>
      <tp t="e">
        <v>#N/A</v>
        <stp/>
        <stp>BDP|7109507126783921109</stp>
        <tr r="RK32" s="1"/>
      </tp>
      <tp t="e">
        <v>#N/A</v>
        <stp/>
        <stp>BDP|1848091341516731198</stp>
        <tr r="IF13" s="1"/>
      </tp>
      <tp t="e">
        <v>#N/A</v>
        <stp/>
        <stp>BDP|9238719828348229674</stp>
        <tr r="PD17" s="1"/>
      </tp>
      <tp t="e">
        <v>#N/A</v>
        <stp/>
        <stp>BDP|4912957533554401850</stp>
        <tr r="QN23" s="1"/>
      </tp>
      <tp t="e">
        <v>#N/A</v>
        <stp/>
        <stp>BDP|4157605866600975602</stp>
        <tr r="FD21" s="1"/>
        <tr r="GE32" s="1"/>
        <tr r="KI36" s="1"/>
        <tr r="Y26" s="1"/>
      </tp>
      <tp t="e">
        <v>#N/A</v>
        <stp/>
        <stp>BDP|6931440017067210667</stp>
        <tr r="NK26" s="1"/>
      </tp>
      <tp t="e">
        <v>#N/A</v>
        <stp/>
        <stp>BDP|3515597662524959692</stp>
        <tr r="DA9" s="1"/>
      </tp>
      <tp t="e">
        <v>#N/A</v>
        <stp/>
        <stp>BDP|8984688095875397097</stp>
        <tr r="P9" s="23"/>
      </tp>
      <tp t="e">
        <v>#N/A</v>
        <stp/>
        <stp>BDP|9812078414499326369</stp>
        <tr r="FL14" s="1"/>
        <tr r="AG16" s="1"/>
      </tp>
      <tp t="e">
        <v>#N/A</v>
        <stp/>
        <stp>BDP|1926055924898403936</stp>
        <tr r="IF26" s="1"/>
      </tp>
      <tp t="e">
        <v>#N/A</v>
        <stp/>
        <stp>BDP|6165679568913581740</stp>
        <tr r="DJ23" s="1"/>
        <tr r="LR19" s="1"/>
        <tr r="MS37" s="1"/>
        <tr r="NT30" s="1"/>
      </tp>
      <tp t="e">
        <v>#N/A</v>
        <stp/>
        <stp>BDP|4121377765436494588</stp>
        <tr r="RP40" s="1"/>
      </tp>
      <tp t="e">
        <v>#N/A</v>
        <stp/>
        <stp>BDP|2646539905672783785</stp>
        <tr r="IX12" s="1"/>
        <tr r="JY21" s="1"/>
      </tp>
      <tp t="e">
        <v>#N/A</v>
        <stp/>
        <stp>BDP|2681325139237445753</stp>
        <tr r="C410" s="22"/>
      </tp>
      <tp t="e">
        <v>#N/A</v>
        <stp/>
        <stp>BDP|9832309041045735933</stp>
        <tr r="AY12" s="1"/>
      </tp>
      <tp t="e">
        <v>#N/A</v>
        <stp/>
        <stp>BDP|5744146288348400626</stp>
        <tr r="H311" s="22"/>
      </tp>
      <tp t="e">
        <v>#N/A</v>
        <stp/>
        <stp>BDP|3612210678876925242</stp>
        <tr r="O7" s="22"/>
      </tp>
      <tp t="e">
        <v>#N/A</v>
        <stp/>
        <stp>BDP|3835328278520253522</stp>
        <tr r="M7" s="24"/>
      </tp>
      <tp t="e">
        <v>#N/A</v>
        <stp/>
        <stp>BDP|6590903084392269714</stp>
        <tr r="MS21" s="1"/>
        <tr r="NT19" s="1"/>
      </tp>
      <tp t="e">
        <v>#N/A</v>
        <stp/>
        <stp>BDP|8581059155747448832</stp>
        <tr r="O151" s="22"/>
        <tr r="O189" s="22"/>
      </tp>
      <tp t="e">
        <v>#N/A</v>
        <stp/>
        <stp>BDP|5640387169032595011</stp>
        <tr r="LC17" s="1"/>
      </tp>
      <tp t="e">
        <v>#N/A</v>
        <stp/>
        <stp>BDP|3409276805110782320</stp>
        <tr r="JY37" s="1"/>
      </tp>
      <tp t="e">
        <v>#N/A</v>
        <stp/>
        <stp>BDP|1335985720918064087</stp>
        <tr r="C9" s="23"/>
      </tp>
      <tp t="e">
        <v>#N/A</v>
        <stp/>
        <stp>BDP|1211242410738045856</stp>
        <tr r="AP21" s="1"/>
        <tr r="GV32" s="1"/>
      </tp>
      <tp t="e">
        <v>#N/A</v>
        <stp/>
        <stp>BDP|9319992444316775098</stp>
        <tr r="KI20" s="1"/>
      </tp>
      <tp t="e">
        <v>#N/A</v>
        <stp/>
        <stp>BDP|1194955490405701639</stp>
        <tr r="GD25" s="1"/>
      </tp>
      <tp t="e">
        <v>#N/A</v>
        <stp/>
        <stp>BDP|9591148925568796024</stp>
        <tr r="MD22" s="1"/>
      </tp>
      <tp t="e">
        <v>#N/A</v>
        <stp/>
        <stp>BDP|1485404544306277537</stp>
        <tr r="KB30" s="1"/>
      </tp>
      <tp t="e">
        <v>#N/A</v>
        <stp/>
        <stp>BDP|3205970758468523593</stp>
        <tr r="AY26" s="1"/>
        <tr r="DA25" s="1"/>
        <tr r="FC35" s="1"/>
        <tr r="GD36" s="1"/>
        <tr r="HE40" s="1"/>
        <tr r="JG33" s="1"/>
        <tr r="KH40" s="1"/>
        <tr r="LI21" s="1"/>
        <tr r="MJ40" s="1"/>
        <tr r="NK32" s="1"/>
        <tr r="QN27" s="1"/>
        <tr r="RO41" s="1"/>
        <tr r="X42" s="1"/>
        <tr r="N103" s="22"/>
        <tr r="N134" s="22"/>
        <tr r="N155" s="22"/>
        <tr r="N174" s="22"/>
        <tr r="N193" s="22"/>
        <tr r="N21" s="22"/>
        <tr r="N63" s="22"/>
      </tp>
      <tp t="e">
        <v>#N/A</v>
        <stp/>
        <stp>BDP|1105561344533679146</stp>
        <tr r="DJ6" s="1"/>
        <tr r="LR6" s="1"/>
      </tp>
      <tp t="e">
        <v>#N/A</v>
        <stp/>
        <stp>BDP|4569527913757732522</stp>
        <tr r="DS21" s="1"/>
      </tp>
      <tp t="e">
        <v>#N/A</v>
        <stp/>
        <stp>BDP|3497461105880552532</stp>
        <tr r="NB26" s="1"/>
      </tp>
      <tp t="e">
        <v>#N/A</v>
        <stp/>
        <stp>BDP|8104699504288947433</stp>
        <tr r="J154" s="22"/>
        <tr r="J192" s="22"/>
      </tp>
      <tp t="e">
        <v>#N/A</v>
        <stp/>
        <stp>BDP|8033197783337808448</stp>
        <tr r="CA11" s="1"/>
      </tp>
      <tp t="e">
        <v>#N/A</v>
        <stp/>
        <stp>BDP|8799945214272677076</stp>
        <tr r="GV19" s="1"/>
        <tr r="HW19" s="1"/>
      </tp>
      <tp t="e">
        <v>#N/A</v>
        <stp/>
        <stp>BDP|9221235994542340206</stp>
        <tr r="RX32" s="1"/>
      </tp>
      <tp t="e">
        <v>#N/A</v>
        <stp/>
        <stp>BDP|1329058722826011720</stp>
        <tr r="PD18" s="1"/>
      </tp>
      <tp t="e">
        <v>#N/A</v>
        <stp/>
        <stp>BDP|7651922564719414338</stp>
        <tr r="ET25" s="1"/>
        <tr r="FU18" s="1"/>
        <tr r="IX11" s="1"/>
        <tr r="NB10" s="1"/>
        <tr r="O30" s="1"/>
        <tr r="QE9" s="1"/>
      </tp>
      <tp t="e">
        <v>#N/A</v>
        <stp/>
        <stp>BDP|1221607836544294212</stp>
        <tr r="GY7" s="1"/>
      </tp>
      <tp t="e">
        <v>#N/A</v>
        <stp/>
        <stp>BDP|3694755637745194023</stp>
        <tr r="EY23" s="1"/>
      </tp>
      <tp t="e">
        <v>#N/A</v>
        <stp/>
        <stp>BDP|8571613926336624835</stp>
        <tr r="FL23" s="1"/>
      </tp>
      <tp t="e">
        <v>#N/A</v>
        <stp/>
        <stp>BDP|2780726640446011528</stp>
        <tr r="RF22" s="1"/>
      </tp>
      <tp t="e">
        <v>#N/A</v>
        <stp/>
        <stp>BDP|9384726261238196266</stp>
        <tr r="FD31" s="1"/>
        <tr r="Y18" s="1"/>
      </tp>
      <tp t="e">
        <v>#N/A</v>
        <stp/>
        <stp>BDP|7426145556020878193</stp>
        <tr r="RK7" s="1"/>
      </tp>
      <tp t="e">
        <v>#N/A</v>
        <stp/>
        <stp>BDP|2278052674604683329</stp>
        <tr r="O6" s="25"/>
      </tp>
      <tp t="e">
        <v>#N/A</v>
        <stp/>
        <stp>BDP|2223219347361081734</stp>
        <tr r="IB13" s="1"/>
      </tp>
      <tp t="e">
        <v>#N/A</v>
        <stp/>
        <stp>BDP|5420820494822711411</stp>
        <tr r="QJ26" s="1"/>
      </tp>
      <tp t="e">
        <v>#N/A</v>
        <stp/>
        <stp>BDP|4162747275220217660</stp>
        <tr r="EB19" s="1"/>
      </tp>
      <tp t="e">
        <v>#N/A</v>
        <stp/>
        <stp>BDP|3485899272278344682</stp>
        <tr r="N410" s="22"/>
      </tp>
      <tp t="e">
        <v>#N/A</v>
        <stp/>
        <stp>BDP|6608295855101634282</stp>
        <tr r="C9" s="22"/>
      </tp>
      <tp t="e">
        <v>#N/A</v>
        <stp/>
        <stp>BDP|2371255027020693022</stp>
        <tr r="HZ19" s="1"/>
        <tr r="GY19" s="1"/>
      </tp>
      <tp t="e">
        <v>#N/A</v>
        <stp/>
        <stp>BDP|3576166057646557341</stp>
        <tr r="N270" s="22"/>
      </tp>
      <tp t="e">
        <v>#N/A</v>
        <stp/>
        <stp>BDP|8703158592535634739</stp>
        <tr r="RK27" s="1"/>
      </tp>
      <tp t="e">
        <v>#N/A</v>
        <stp/>
        <stp>BDP|7263492641583671691</stp>
        <tr r="C60" s="22"/>
        <tr r="C97" s="22"/>
      </tp>
      <tp t="e">
        <v>#N/A</v>
        <stp/>
        <stp>BDP|3727089907564541476</stp>
        <tr r="HZ27" s="1"/>
      </tp>
      <tp t="e">
        <v>#N/A</v>
        <stp/>
        <stp>BDP|3511498063542162045</stp>
        <tr r="KD35" s="1"/>
      </tp>
      <tp t="e">
        <v>#N/A</v>
        <stp/>
        <stp>BDP|8980309167429628721</stp>
        <tr r="NL17" s="1"/>
      </tp>
      <tp t="e">
        <v>#N/A</v>
        <stp/>
        <stp>BDP|7367690128491139188</stp>
        <tr r="PI18" s="1"/>
      </tp>
      <tp t="e">
        <v>#N/A</v>
        <stp/>
        <stp>BDP|5928411963410569458</stp>
        <tr r="C44" s="22"/>
        <tr r="C91" s="22"/>
      </tp>
      <tp t="e">
        <v>#N/A</v>
        <stp/>
        <stp>BDP|3948823772876307915</stp>
        <tr r="KB22" s="1"/>
      </tp>
      <tp t="e">
        <v>#N/A</v>
        <stp/>
        <stp>BDP|9343292175296619928</stp>
        <tr r="N17" s="23"/>
      </tp>
      <tp t="e">
        <v>#N/A</v>
        <stp/>
        <stp>BDP|7980732423321031024</stp>
        <tr r="FZ13" s="1"/>
        <tr r="HA8" s="1"/>
        <tr r="KD10" s="1"/>
      </tp>
      <tp t="e">
        <v>#N/A</v>
        <stp/>
        <stp>BDP|3132500408064778154</stp>
        <tr r="JY13" s="1"/>
      </tp>
      <tp t="e">
        <v>#N/A</v>
        <stp/>
        <stp>BDP|1274551129251657433</stp>
        <tr r="CR23" s="1"/>
        <tr r="KZ19" s="1"/>
        <tr r="MA37" s="1"/>
        <tr r="NB30" s="1"/>
      </tp>
      <tp t="e">
        <v>#N/A</v>
        <stp/>
        <stp>BDP|4957789311664211599</stp>
        <tr r="IB7" s="1"/>
      </tp>
      <tp t="e">
        <v>#N/A</v>
        <stp/>
        <stp>BDP|3961497069353611144</stp>
        <tr r="EY6" s="1"/>
        <tr r="FZ8" s="1"/>
        <tr r="JC7" s="1"/>
        <tr r="T6" s="1"/>
      </tp>
      <tp t="e">
        <v>#N/A</v>
        <stp/>
        <stp>BDP|1559019676790248583</stp>
        <tr r="J404" s="22"/>
      </tp>
      <tp t="e">
        <v>#N/A</v>
        <stp/>
        <stp>BDP|6386063667092249180</stp>
        <tr r="AG12" s="1"/>
        <tr r="FL11" s="1"/>
        <tr r="GM10" s="1"/>
      </tp>
      <tp t="e">
        <v>#N/A</v>
        <stp/>
        <stp>BDP|2742742327953435783</stp>
        <tr r="AU19" s="1"/>
        <tr r="MF30" s="1"/>
        <tr r="OH26" s="1"/>
        <tr r="T27" s="1"/>
      </tp>
      <tp t="e">
        <v>#N/A</v>
        <stp/>
        <stp>BDP|1524988700593666837</stp>
        <tr r="DS25" s="1"/>
        <tr r="MA38" s="1"/>
        <tr r="OC31" s="1"/>
      </tp>
      <tp t="e">
        <v>#N/A</v>
        <stp/>
        <stp>BDP|2555091110930353078</stp>
        <tr r="P7" s="24"/>
      </tp>
      <tp t="e">
        <v>#N/A</v>
        <stp/>
        <stp>BDP|7496063650834843524</stp>
        <tr r="FU34" s="1"/>
      </tp>
      <tp t="e">
        <v>#N/A</v>
        <stp/>
        <stp>BDP|1709875764398426495</stp>
        <tr r="H327" s="22"/>
      </tp>
      <tp t="e">
        <v>#N/A</v>
        <stp/>
        <stp>BDP|1271270374261009684</stp>
        <tr r="J12" s="25"/>
      </tp>
      <tp t="e">
        <v>#N/A</v>
        <stp/>
        <stp>BDP|6709658336331584183</stp>
        <tr r="C295" s="22"/>
      </tp>
      <tp t="e">
        <v>#N/A</v>
        <stp/>
        <stp>BDP|3301655119144744314</stp>
        <tr r="O49" s="22"/>
      </tp>
      <tp t="e">
        <v>#N/A</v>
        <stp/>
        <stp>BDP|5138576399022745869</stp>
        <tr r="ET22" s="1"/>
        <tr r="NB13" s="1"/>
      </tp>
      <tp t="e">
        <v>#N/A</v>
        <stp/>
        <stp>BDP|2112758968063787354</stp>
        <tr r="M16" s="24"/>
      </tp>
      <tp t="e">
        <v>#N/A</v>
        <stp/>
        <stp>BDP|7623600934312847341</stp>
        <tr r="H227" s="22"/>
        <tr r="H205" s="22"/>
      </tp>
      <tp t="e">
        <v>#N/A</v>
        <stp/>
        <stp>BDP|7273668852096018193</stp>
        <tr r="LI17" s="1"/>
      </tp>
      <tp t="e">
        <v>#N/A</v>
        <stp/>
        <stp>BDP|8171531289450056647</stp>
        <tr r="DS18" s="1"/>
      </tp>
      <tp t="e">
        <v>#N/A</v>
        <stp/>
        <stp>BDP|6098395937462383725</stp>
        <tr r="MK34" s="1"/>
        <tr r="OM29" s="1"/>
      </tp>
      <tp t="e">
        <v>#N/A</v>
        <stp/>
        <stp>BDP|3122308562540965560</stp>
        <tr r="IF8" s="1"/>
      </tp>
      <tp t="e">
        <v>#N/A</v>
        <stp/>
        <stp>BDP|9094225599144411530</stp>
        <tr r="RK16" s="1"/>
      </tp>
      <tp t="e">
        <v>#N/A</v>
        <stp/>
        <stp>BDP|1333560134060982445</stp>
        <tr r="MJ15" s="1"/>
        <tr r="OL13" s="1"/>
      </tp>
      <tp t="e">
        <v>#N/A</v>
        <stp/>
        <stp>BDP|3150785715231973796</stp>
        <tr r="H19" s="23"/>
      </tp>
      <tp t="e">
        <v>#N/A</v>
        <stp/>
        <stp>BDP|7249549265520825779</stp>
        <tr r="AC9" s="1"/>
        <tr r="BD11" s="1"/>
        <tr r="BD23" s="1"/>
        <tr r="BD8" s="1"/>
        <tr r="MO19" s="1"/>
        <tr r="MO32" s="1"/>
        <tr r="MO38" s="1"/>
      </tp>
      <tp t="e">
        <v>#N/A</v>
        <stp/>
        <stp>BDP|2653236208412376125</stp>
        <tr r="M328" s="22"/>
      </tp>
      <tp t="e">
        <v>#N/A</v>
        <stp/>
        <stp>BDP|7840137744655411471</stp>
        <tr r="P133" s="22"/>
        <tr r="P173" s="22"/>
      </tp>
      <tp t="e">
        <v>#N/A</v>
        <stp/>
        <stp>BDP|8838839512300483214</stp>
        <tr r="O7" s="23"/>
      </tp>
      <tp t="e">
        <v>#N/A</v>
        <stp/>
        <stp>BDP|3542142910236977644</stp>
        <tr r="GD13" s="1"/>
        <tr r="HE8" s="1"/>
        <tr r="KH10" s="1"/>
      </tp>
      <tp t="e">
        <v>#N/A</v>
        <stp/>
        <stp>BDP|1842553830501903584</stp>
        <tr r="OF15" s="1"/>
        <tr r="MD16" s="1"/>
        <tr r="R13" s="1"/>
      </tp>
      <tp t="e">
        <v>#N/A</v>
        <stp/>
        <stp>BDP|8734484342813775870</stp>
        <tr r="RI32" s="1"/>
      </tp>
      <tp t="e">
        <v>#N/A</v>
        <stp/>
        <stp>BDP|2298398751465479238</stp>
        <tr r="P309" s="22"/>
      </tp>
      <tp t="e">
        <v>#N/A</v>
        <stp/>
        <stp>BDP|6877187064304105689</stp>
        <tr r="KH34" s="1"/>
      </tp>
      <tp t="e">
        <v>#N/A</v>
        <stp/>
        <stp>BDP|7195894392344731101</stp>
        <tr r="JP22" s="1"/>
      </tp>
      <tp t="e">
        <v>#N/A</v>
        <stp/>
        <stp>BDP|5177128835627267366</stp>
        <tr r="N125" s="22"/>
        <tr r="N167" s="22"/>
      </tp>
      <tp t="e">
        <v>#N/A</v>
        <stp/>
        <stp>BDP|5236769837827468559</stp>
        <tr r="O407" s="22"/>
      </tp>
      <tp t="e">
        <v>#N/A</v>
        <stp/>
        <stp>BDP|6276351975767886686</stp>
        <tr r="H363" s="22"/>
      </tp>
      <tp t="e">
        <v>#N/A</v>
        <stp/>
        <stp>BDP|3553220909111413387</stp>
        <tr r="QO25" s="1"/>
      </tp>
      <tp t="e">
        <v>#N/A</v>
        <stp/>
        <stp>BDP|8597354284838741815</stp>
        <tr r="KB8" s="1"/>
      </tp>
      <tp t="e">
        <v>#N/A</v>
        <stp/>
        <stp>BDP|8353949164386293231</stp>
        <tr r="MJ9" s="1"/>
      </tp>
      <tp t="e">
        <v>#N/A</v>
        <stp/>
        <stp>BDP|9101305803951586852</stp>
        <tr r="FZ26" s="1"/>
      </tp>
      <tp t="e">
        <v>#N/A</v>
        <stp/>
        <stp>BDP|9639900729488808946</stp>
        <tr r="FL16" s="1"/>
        <tr r="AG21" s="1"/>
      </tp>
      <tp t="e">
        <v>#N/A</v>
        <stp/>
        <stp>BDP|2233614816423376556</stp>
        <tr r="HA15" s="1"/>
      </tp>
      <tp t="e">
        <v>#N/A</v>
        <stp/>
        <stp>BDP|8141299099441681144</stp>
        <tr r="N210" s="22"/>
        <tr r="N232" s="22"/>
      </tp>
      <tp t="e">
        <v>#N/A</v>
        <stp/>
        <stp>BDP|3503363200334656763</stp>
        <tr r="C4" s="22"/>
      </tp>
      <tp t="e">
        <v>#N/A</v>
        <stp/>
        <stp>BDP|1679430268986441693</stp>
        <tr r="FL17" s="1"/>
        <tr r="MS7" s="1"/>
        <tr r="NT6" s="1"/>
      </tp>
      <tp t="e">
        <v>#N/A</v>
        <stp/>
        <stp>BDP|9926842547213950539</stp>
        <tr r="N4" s="22"/>
      </tp>
      <tp t="e">
        <v>#N/A</v>
        <stp/>
        <stp>BDP|5704529015983597157</stp>
        <tr r="P154" s="22"/>
        <tr r="P192" s="22"/>
      </tp>
      <tp t="e">
        <v>#N/A</v>
        <stp/>
        <stp>BDP|1252213122604274634</stp>
        <tr r="JY8" s="1"/>
      </tp>
      <tp t="e">
        <v>#N/A</v>
        <stp/>
        <stp>BDP|5676183658054467621</stp>
        <tr r="MK9" s="1"/>
      </tp>
      <tp t="e">
        <v>#N/A</v>
        <stp/>
        <stp>BDP|4495561340800043623</stp>
        <tr r="RP37" s="1"/>
      </tp>
      <tp t="e">
        <v>#N/A</v>
        <stp/>
        <stp>BDP|3361517464364541730</stp>
        <tr r="O388" s="22"/>
      </tp>
      <tp t="e">
        <v>#N/A</v>
        <stp/>
        <stp>BDP|6418698644622198595</stp>
        <tr r="OF10" s="1"/>
        <tr r="DV11" s="1"/>
      </tp>
      <tp t="e">
        <v>#N/A</v>
        <stp/>
        <stp>BDP|4479686996691253991</stp>
        <tr r="EY9" s="1"/>
        <tr r="T10" s="1"/>
      </tp>
      <tp t="e">
        <v>#N/A</v>
        <stp/>
        <stp>BDP|7437306390666425814</stp>
        <tr r="HA35" s="1"/>
        <tr r="PI12" s="1"/>
      </tp>
      <tp t="e">
        <v>#N/A</v>
        <stp/>
        <stp>BDP|3147886248269600566</stp>
        <tr r="NK15" s="1"/>
      </tp>
      <tp t="e">
        <v>#N/A</v>
        <stp/>
        <stp>BDP|1285052699782919915</stp>
        <tr r="DS7" s="1"/>
        <tr r="OC8" s="1"/>
      </tp>
      <tp t="e">
        <v>#N/A</v>
        <stp/>
        <stp>BDP|4002449430679044920</stp>
        <tr r="PG18" s="1"/>
      </tp>
      <tp t="e">
        <v>#N/A</v>
        <stp/>
        <stp>BDP|5244657412770282110</stp>
        <tr r="FU28" s="1"/>
        <tr r="GV31" s="1"/>
      </tp>
      <tp t="e">
        <v>#N/A</v>
        <stp/>
        <stp>BDP|3169790332974804041</stp>
        <tr r="CA15" s="1"/>
        <tr r="DB16" s="1"/>
      </tp>
      <tp t="e">
        <v>#N/A</v>
        <stp/>
        <stp>BDP|5727066016274746362</stp>
        <tr r="QO15" s="1"/>
      </tp>
      <tp t="e">
        <v>#N/A</v>
        <stp/>
        <stp>BDP|9768855738085400481</stp>
        <tr r="HF35" s="1"/>
        <tr r="PN12" s="1"/>
      </tp>
      <tp t="e">
        <v>#N/A</v>
        <stp/>
        <stp>BDP|5439600622410832281</stp>
        <tr r="HN28" s="1"/>
        <tr r="IO22" s="1"/>
      </tp>
      <tp t="e">
        <v>#N/A</v>
        <stp/>
        <stp>BDP|5913145317515462383</stp>
        <tr r="C7" s="23"/>
      </tp>
      <tp t="e">
        <v>#N/A</v>
        <stp/>
        <stp>BDP|6508071977244337618</stp>
        <tr r="KQ9" s="1"/>
        <tr r="RX8" s="1"/>
      </tp>
      <tp t="e">
        <v>#N/A</v>
        <stp/>
        <stp>BDP|8238012480033313071</stp>
        <tr r="NT17" s="1"/>
      </tp>
      <tp t="e">
        <v>#N/A</v>
        <stp/>
        <stp>BDP|2906244236506847647</stp>
        <tr r="J208" s="22"/>
        <tr r="J230" s="22"/>
      </tp>
      <tp t="e">
        <v>#N/A</v>
        <stp/>
        <stp>BDP|9359493279588758134</stp>
        <tr r="AU16" s="1"/>
      </tp>
      <tp t="e">
        <v>#N/A</v>
        <stp/>
        <stp>BDP|1729621584058023466</stp>
        <tr r="M19" s="24"/>
      </tp>
      <tp t="e">
        <v>#N/A</v>
        <stp/>
        <stp>BDP|4572510486028698205</stp>
        <tr r="GE31" s="1"/>
      </tp>
      <tp t="e">
        <v>#N/A</v>
        <stp/>
        <stp>BDP|1069943383962374104</stp>
        <tr r="IG24" s="1"/>
      </tp>
      <tp t="e">
        <v>#N/A</v>
        <stp/>
        <stp>BDP|1672493413674988315</stp>
        <tr r="O15" s="22"/>
      </tp>
      <tp t="e">
        <v>#N/A</v>
        <stp/>
        <stp>BDP|2281128126211478364</stp>
        <tr r="OM11" s="1"/>
        <tr r="Y38" s="1"/>
      </tp>
      <tp t="e">
        <v>#N/A</v>
        <stp/>
        <stp>BDP|9864341898586321633</stp>
        <tr r="AP13" s="1"/>
      </tp>
      <tp t="e">
        <v>#N/A</v>
        <stp/>
        <stp>BDP|2437876994781022136</stp>
        <tr r="J46" s="22"/>
        <tr r="J87" s="22"/>
      </tp>
      <tp t="e">
        <v>#N/A</v>
        <stp/>
        <stp>BDP|7897075566275406787</stp>
        <tr r="FU13" s="1"/>
        <tr r="GV8" s="1"/>
        <tr r="JY10" s="1"/>
      </tp>
      <tp t="e">
        <v>#N/A</v>
        <stp/>
        <stp>BDP|2854269940751973625</stp>
        <tr r="JP29" s="1"/>
      </tp>
      <tp t="e">
        <v>#N/A</v>
        <stp/>
        <stp>BDP|8699347968727972966</stp>
        <tr r="HW13" s="1"/>
      </tp>
      <tp t="e">
        <v>#N/A</v>
        <stp/>
        <stp>BDP|9113473892504384324</stp>
        <tr r="C6" s="24"/>
      </tp>
      <tp t="e">
        <v>#N/A</v>
        <stp/>
        <stp>BDP|5136341233150067639</stp>
        <tr r="JP20" s="1"/>
        <tr r="RX24" s="1"/>
      </tp>
      <tp t="e">
        <v>#N/A</v>
        <stp/>
        <stp>BDP|8102645073623693955</stp>
        <tr r="KI13" s="1"/>
      </tp>
      <tp t="e">
        <v>#N/A</v>
        <stp/>
        <stp>BDP|3243732902582143579</stp>
        <tr r="C270" s="22"/>
      </tp>
      <tp t="e">
        <v>#N/A</v>
        <stp/>
        <stp>BDP|3511962988764770592</stp>
        <tr r="N45" s="22"/>
        <tr r="N90" s="22"/>
      </tp>
      <tp t="e">
        <v>#N/A</v>
        <stp/>
        <stp>BDP|4868275591368965427</stp>
        <tr r="C9" s="24"/>
      </tp>
      <tp t="e">
        <v>#N/A</v>
        <stp/>
        <stp>BDP|4503175276504820590</stp>
        <tr r="OF13" s="1"/>
        <tr r="MD15" s="1"/>
      </tp>
      <tp t="e">
        <v>#N/A</v>
        <stp/>
        <stp>BDP|6140125675582240114</stp>
        <tr r="ET8" s="1"/>
        <tr r="FU23" s="1"/>
        <tr r="O8" s="1"/>
      </tp>
      <tp t="e">
        <v>#N/A</v>
        <stp/>
        <stp>BDP|63143793485004590</stp>
        <tr r="HA28" s="1"/>
        <tr r="IB22" s="1"/>
      </tp>
      <tp t="e">
        <v>#N/A</v>
        <stp/>
        <stp>BDP|35659998527108215</stp>
        <tr r="MK24" s="1"/>
      </tp>
      <tp t="e">
        <v>#N/A</v>
        <stp/>
        <stp>BDP|82789198505354715</stp>
        <tr r="GV12" s="1"/>
        <tr r="PD14" s="1"/>
      </tp>
      <tp t="e">
        <v>#N/A</v>
        <stp/>
        <stp>BDP|87833933843853417</stp>
        <tr r="O12" s="25"/>
      </tp>
      <tp t="e">
        <v>#N/A</v>
        <stp/>
        <stp>BDP|70850602983093476</stp>
        <tr r="HZ8" s="1"/>
      </tp>
      <tp t="e">
        <v>#N/A</v>
        <stp/>
        <stp>BDP|23256945201884898</stp>
        <tr r="O413" s="22"/>
      </tp>
      <tp t="e">
        <v>#N/A</v>
        <stp/>
        <stp>BDP|72250930965582570</stp>
        <tr r="J5" s="24"/>
      </tp>
      <tp t="e">
        <v>#N/A</v>
        <stp/>
        <stp>BDP|35317942070767663</stp>
        <tr r="DV23" s="1"/>
      </tp>
      <tp t="e">
        <v>#N/A</v>
        <stp/>
        <stp>BDP|49774039457988263</stp>
        <tr r="LC10" s="1"/>
        <tr r="CU12" s="1"/>
      </tp>
      <tp t="e">
        <v>#N/A</v>
        <stp/>
        <stp>BDP|23456431864171315</stp>
        <tr r="KQ33" s="1"/>
        <tr r="RX29" s="1"/>
      </tp>
      <tp t="e">
        <v>#N/A</v>
        <stp/>
        <stp>BDP|67131712041314167</stp>
        <tr r="O149" s="22"/>
      </tp>
      <tp t="e">
        <v>#N/A</v>
        <stp/>
        <stp>BDP|47432118747858231</stp>
        <tr r="J290" s="22"/>
        <tr r="J53" s="22"/>
      </tp>
      <tp t="e">
        <v>#N/A</v>
        <stp/>
        <stp>BDP|99506843412818324</stp>
        <tr r="RF30" s="1"/>
      </tp>
      <tp t="e">
        <v>#N/A</v>
        <stp/>
        <stp>BDP|37548700292060505</stp>
        <tr r="HA23" s="1"/>
        <tr r="PI22" s="1"/>
      </tp>
      <tp t="e">
        <v>#N/A</v>
        <stp/>
        <stp>BDP|47576473193058312</stp>
        <tr r="AZ9" s="1"/>
      </tp>
      <tp t="e">
        <v>#N/A</v>
        <stp/>
        <stp>BDP|16186179267923345</stp>
        <tr r="FD27" s="1"/>
        <tr r="Y32" s="1"/>
      </tp>
      <tp t="e">
        <v>#N/A</v>
        <stp/>
        <stp>BDP|49654124435261539</stp>
        <tr r="P152" s="22"/>
        <tr r="P190" s="22"/>
      </tp>
      <tp t="e">
        <v>#N/A</v>
        <stp/>
        <stp>BDP|35786315505476766</stp>
        <tr r="N406" s="22"/>
      </tp>
      <tp t="e">
        <v>#N/A</v>
        <stp/>
        <stp>BDP|72494967825196003</stp>
        <tr r="MA33" s="1"/>
        <tr r="PD28" s="1"/>
      </tp>
      <tp t="e">
        <v>#N/A</v>
        <stp/>
        <stp>BDP|93277583654083866</stp>
        <tr r="BZ17" s="1"/>
      </tp>
      <tp t="e">
        <v>#N/A</v>
        <stp/>
        <stp>BDP|889723426622529246</stp>
        <tr r="DS10" s="1"/>
      </tp>
      <tp t="e">
        <v>#N/A</v>
        <stp/>
        <stp>BDP|494667326917578690</stp>
        <tr r="MF22" s="1"/>
      </tp>
      <tp t="e">
        <v>#N/A</v>
        <stp/>
        <stp>BDP|801919367653614926</stp>
        <tr r="IO12" s="1"/>
      </tp>
      <tp t="e">
        <v>#N/A</v>
        <stp/>
        <stp>BDP|909908826376175841</stp>
        <tr r="EY21" s="1"/>
        <tr r="FZ32" s="1"/>
        <tr r="KD36" s="1"/>
        <tr r="T26" s="1"/>
      </tp>
      <tp t="e">
        <v>#N/A</v>
        <stp/>
        <stp>BDP|589488006644259522</stp>
        <tr r="FU20" s="1"/>
        <tr r="QE13" s="1"/>
      </tp>
      <tp t="e">
        <v>#N/A</v>
        <stp/>
        <stp>BDP|339269968300062192</stp>
        <tr r="N8" s="22"/>
      </tp>
      <tp t="e">
        <v>#N/A</v>
        <stp/>
        <stp>BDP|243412731794684638</stp>
        <tr r="C253" s="22"/>
      </tp>
      <tp t="e">
        <v>#N/A</v>
        <stp/>
        <stp>BDP|937685824776615736</stp>
        <tr r="OC23" s="1"/>
      </tp>
      <tp t="e">
        <v>#N/A</v>
        <stp/>
        <stp>BDP|274917509794940827</stp>
        <tr r="O7" s="24"/>
      </tp>
      <tp t="e">
        <v>#N/A</v>
        <stp/>
        <stp>BDP|675768027715109543</stp>
        <tr r="C8" s="24"/>
      </tp>
      <tp t="e">
        <v>#N/A</v>
        <stp/>
        <stp>BDP|286006623197110031</stp>
        <tr r="J6" s="24"/>
      </tp>
      <tp t="e">
        <v>#N/A</v>
        <stp/>
        <stp>BDP|951527331664149786</stp>
        <tr r="M6" s="25"/>
      </tp>
      <tp t="e">
        <v>#N/A</v>
        <stp/>
        <stp>BDP|290797318381758385</stp>
        <tr r="QE20" s="1"/>
      </tp>
      <tp t="e">
        <v>#N/A</v>
        <stp/>
        <stp>BDP|758598496530473838</stp>
        <tr r="KB11" s="1"/>
        <tr r="JA8" s="1"/>
        <tr r="FX15" s="1"/>
      </tp>
      <tp t="e">
        <v>#N/A</v>
        <stp/>
        <stp>BDP|488741966416642393</stp>
        <tr r="IX23" s="1"/>
      </tp>
      <tp t="e">
        <v>#N/A</v>
        <stp/>
        <stp>BDP|569725280398201369</stp>
        <tr r="QH15" s="1"/>
      </tp>
      <tp t="e">
        <v>#N/A</v>
        <stp/>
        <stp>BDP|605802288257368015</stp>
        <tr r="NL28" s="1"/>
      </tp>
      <tp t="e">
        <v>#N/A</v>
        <stp/>
        <stp>BDP|448746909001275140</stp>
        <tr r="P331" s="22"/>
      </tp>
      <tp t="e">
        <v>#N/A</v>
        <stp/>
        <stp>BDP|590340999108240523</stp>
        <tr r="MK8" s="1"/>
        <tr r="OM9" s="1"/>
      </tp>
      <tp t="e">
        <v>#N/A</v>
        <stp/>
        <stp>BDP|974393148293873347</stp>
        <tr r="OH20" s="1"/>
      </tp>
      <tp t="e">
        <v>#N/A</v>
        <stp/>
        <stp>BDP|896098339730993444</stp>
        <tr r="AP25" s="1"/>
        <tr r="IX31" s="1"/>
      </tp>
      <tp t="e">
        <v>#N/A</v>
        <stp/>
        <stp>BDP|448725329272922038</stp>
        <tr r="HA18" s="1"/>
      </tp>
      <tp t="e">
        <v>#N/A</v>
        <stp/>
        <stp>BDP|378587759665598266</stp>
        <tr r="O150" s="22"/>
        <tr r="O188" s="22"/>
      </tp>
      <tp t="e">
        <v>#N/A</v>
        <stp/>
        <stp>BDP|804403967092625780</stp>
        <tr r="GM25" s="1"/>
      </tp>
      <tp t="e">
        <v>#N/A</v>
        <stp/>
        <stp>BDP|962079032071463598</stp>
        <tr r="IF25" s="1"/>
        <tr r="MJ20" s="1"/>
      </tp>
      <tp t="e">
        <v>#N/A</v>
        <stp/>
        <stp>BDP|458437155170275626</stp>
        <tr r="GY26" s="1"/>
      </tp>
      <tp t="e">
        <v>#N/A</v>
        <stp/>
        <stp>BDP|380678404520764154</stp>
        <tr r="C10" s="23"/>
      </tp>
      <tp t="e">
        <v>#N/A</v>
        <stp/>
        <stp>BDP|404988463230588892</stp>
        <tr r="C101" s="22"/>
        <tr r="C56" s="22"/>
      </tp>
      <tp t="e">
        <v>#N/A</v>
        <stp/>
        <stp>BDP|526971092794487296</stp>
        <tr r="GD33" s="1"/>
      </tp>
      <tp t="e">
        <v>#N/A</v>
        <stp/>
        <stp>BDP|665759673167966166</stp>
        <tr r="C8" s="22"/>
      </tp>
      <tp t="e">
        <v>#N/A</v>
        <stp/>
        <stp>BDP|322381379961276382</stp>
        <tr r="JG19" s="1"/>
      </tp>
      <tp t="e">
        <v>#N/A</v>
        <stp/>
        <stp>BDP|636388876460594243</stp>
        <tr r="P16" s="22"/>
      </tp>
      <tp t="e">
        <v>#N/A</v>
        <stp/>
        <stp>BDP|868105469144344578</stp>
        <tr r="PD21" s="1"/>
      </tp>
      <tp t="e">
        <v>#N/A</v>
        <stp/>
        <stp>BDP|593938899180178699</stp>
        <tr r="RI35" s="1"/>
        <tr r="JA28" s="1"/>
      </tp>
      <tp t="e">
        <v>#N/A</v>
        <stp/>
        <stp>BDP|189130966376633756</stp>
        <tr r="RI19" s="1"/>
        <tr r="KB26" s="1"/>
        <tr r="JA17" s="1"/>
      </tp>
      <tp t="e">
        <v>#N/A</v>
        <stp/>
        <stp>BDP|533372845732601317</stp>
        <tr r="GE17" s="1"/>
        <tr r="JH10" s="1"/>
        <tr r="KI16" s="1"/>
        <tr r="QO8" s="1"/>
      </tp>
      <tp t="e">
        <v>#N/A</v>
        <stp/>
        <stp>BDP|721081033157798536</stp>
        <tr r="C10" s="24"/>
      </tp>
      <tp t="e">
        <v>#N/A</v>
        <stp/>
        <stp>BDP|319951892589857851</stp>
        <tr r="JH23" s="1"/>
      </tp>
      <tp t="e">
        <v>#N/A</v>
        <stp/>
        <stp>BDP|967585869400380229</stp>
        <tr r="HA10" s="1"/>
      </tp>
      <tp t="e">
        <v>#N/A</v>
        <stp/>
        <stp>BDP|221648577944163493</stp>
        <tr r="GV29" s="1"/>
      </tp>
      <tp t="e">
        <v>#N/A</v>
        <stp/>
        <stp>BDP|419114928743434129</stp>
        <tr r="HZ14" s="1"/>
      </tp>
      <tp t="e">
        <v>#N/A</v>
        <stp/>
        <stp>BDP|645646985598393707</stp>
        <tr r="HW16" s="1"/>
      </tp>
      <tp t="e">
        <v>#N/A</v>
        <stp/>
        <stp>BDP|188688598246665838</stp>
        <tr r="MJ12" s="1"/>
      </tp>
      <tp t="e">
        <v>#N/A</v>
        <stp/>
        <stp>BDP|728016545090482530</stp>
        <tr r="P10" s="25"/>
      </tp>
      <tp t="e">
        <v>#N/A</v>
        <stp/>
        <stp>BDP|962080572804369253</stp>
        <tr r="AS14" s="1"/>
      </tp>
      <tp t="e">
        <v>#N/A</v>
        <stp/>
        <stp>BDP|882849290376237681</stp>
        <tr r="J402" s="22"/>
      </tp>
      <tp t="e">
        <v>#N/A</v>
        <stp/>
        <stp>BDP|764909198184796465</stp>
        <tr r="KD9" s="1"/>
        <tr r="RK8" s="1"/>
      </tp>
      <tp t="e">
        <v>#N/A</v>
        <stp/>
        <stp>BDP|824453489064943837</stp>
        <tr r="DV13" s="1"/>
      </tp>
      <tp t="e">
        <v>#N/A</v>
        <stp/>
        <stp>BDP|854131493688577023</stp>
        <tr r="C274" s="22"/>
      </tp>
      <tp t="e">
        <v>#N/A</v>
        <stp/>
        <stp>BDP|955438462335221711</stp>
        <tr r="C9" s="25"/>
      </tp>
      <tp t="e">
        <v>#N/A</v>
        <stp/>
        <stp>BDP|567913692321405168</stp>
        <tr r="O152" s="22"/>
        <tr r="O190" s="22"/>
      </tp>
      <tp t="e">
        <v>#N/A</v>
        <stp/>
        <stp>BDP|544323253544403257</stp>
        <tr r="N51" s="22"/>
        <tr r="N88" s="22"/>
      </tp>
      <tp t="e">
        <v>#N/A</v>
        <stp/>
        <stp>BDP|654946291843250377</stp>
        <tr r="P291" s="22"/>
      </tp>
      <tp t="e">
        <v>#N/A</v>
        <stp/>
        <stp>BDP|494866294349147809</stp>
        <tr r="M207" s="22"/>
        <tr r="M229" s="22"/>
      </tp>
      <tp t="e">
        <v>#N/A</v>
        <stp/>
        <stp>BDP|302736230646877167</stp>
        <tr r="C8" s="25"/>
      </tp>
      <tp t="e">
        <v>#N/A</v>
        <stp/>
        <stp>BDP|277405745577629483</stp>
        <tr r="GY32" s="1"/>
        <tr r="AS21" s="1"/>
      </tp>
      <tp t="e">
        <v>#N/A</v>
        <stp/>
        <stp>BDP|771746499329827469</stp>
        <tr r="J151" s="22"/>
        <tr r="J189" s="22"/>
      </tp>
      <tp t="e">
        <v>#N/A</v>
        <stp/>
        <stp>BDP|360579705662485594</stp>
        <tr r="BZ9" s="1"/>
      </tp>
      <tp t="e">
        <v>#N/A</v>
        <stp/>
        <stp>BDP|569158519850711200</stp>
        <tr r="AG39" s="1"/>
        <tr r="FL33" s="1"/>
      </tp>
      <tp t="e">
        <v>#N/A</v>
        <stp/>
        <stp>BDP|156564130743800750</stp>
        <tr r="OH23" s="1"/>
      </tp>
      <tp t="e">
        <v>#N/A</v>
        <stp/>
        <stp>BDP|998878677735298804</stp>
        <tr r="PG14" s="1"/>
        <tr r="GY12" s="1"/>
      </tp>
      <tp t="e">
        <v>#N/A</v>
        <stp/>
        <stp>BDP|729152026916330732</stp>
        <tr r="AG33" s="1"/>
        <tr r="FL28" s="1"/>
        <tr r="GM21" s="1"/>
        <tr r="JP16" s="1"/>
        <tr r="NT18" s="1"/>
      </tp>
      <tp t="e">
        <v>#N/A</v>
        <stp/>
        <stp>BDP|698217360973469551</stp>
        <tr r="CU20" s="1"/>
      </tp>
      <tp t="e">
        <v>#N/A</v>
        <stp/>
        <stp>BDP|481188894693939970</stp>
        <tr r="H11" s="22"/>
      </tp>
      <tp t="e">
        <v>#N/A</v>
        <stp/>
        <stp>BDP|155532787318241715</stp>
        <tr r="JC29" s="1"/>
      </tp>
      <tp t="e">
        <v>#N/A</v>
        <stp/>
        <stp>BDP|778238147271672543</stp>
        <tr r="GI26" s="1"/>
        <tr r="HJ11" s="1"/>
        <tr r="HJ15" s="1"/>
        <tr r="HJ29" s="1"/>
        <tr r="KM14" s="1"/>
        <tr r="KM34" s="1"/>
        <tr r="MO10" s="1"/>
        <tr r="AB274" s="22"/>
      </tp>
      <tp t="e">
        <v>#N/A</v>
        <stp/>
        <stp>BDP|770136856887827183</stp>
        <tr r="C384" s="22"/>
      </tp>
      <tp t="e">
        <v>#N/A</v>
        <stp/>
        <stp>BDP|945595744475748613</stp>
        <tr r="C328" s="22"/>
      </tp>
      <tp t="e">
        <v>#N/A</v>
        <stp/>
        <stp>BDP|643926083917426400</stp>
        <tr r="HZ22" s="1"/>
        <tr r="GY28" s="1"/>
      </tp>
      <tp t="e">
        <v>#N/A</v>
        <stp/>
        <stp>BDP|662540272857593880</stp>
        <tr r="J11" s="25"/>
      </tp>
      <tp t="e">
        <v>#N/A</v>
        <stp/>
        <stp>BDP|116879019053795755</stp>
        <tr r="HE24" s="1"/>
      </tp>
      <tp t="e">
        <v>#N/A</v>
        <stp/>
        <stp>BDP|419091605524999952</stp>
        <tr r="N6" s="24"/>
      </tp>
      <tp t="e">
        <v>#N/A</v>
        <stp/>
        <stp>BDP|295520735589263239</stp>
        <tr r="H228" s="22"/>
        <tr r="H206" s="22"/>
      </tp>
      <tp t="e">
        <v>#N/A</v>
        <stp/>
        <stp>BDP|214470911809721165</stp>
        <tr r="DB9" s="1"/>
      </tp>
      <tp t="e">
        <v>#N/A</v>
        <stp/>
        <stp>BDP|847552347559959557</stp>
        <tr r="BV9" s="1"/>
      </tp>
      <tp t="e">
        <v>#N/A</v>
        <stp/>
        <stp>BDP|234612736208423065</stp>
        <tr r="GD14" s="1"/>
      </tp>
      <tp t="e">
        <v>#N/A</v>
        <stp/>
        <stp>BDP|853133013669865405</stp>
        <tr r="AU7" s="1"/>
        <tr r="EY13" s="1"/>
        <tr r="KD7" s="1"/>
        <tr r="T15" s="1"/>
      </tp>
      <tp t="e">
        <v>#N/A</v>
        <stp/>
        <stp>BDP|827223585591233713</stp>
        <tr r="GE16" s="1"/>
      </tp>
      <tp t="e">
        <v>#N/A</v>
        <stp/>
        <stp>BDP|171903078195664721</stp>
        <tr r="N6" s="23"/>
      </tp>
      <tp t="e">
        <v>#N/A</v>
        <stp/>
        <stp>BDP|239696015743713830</stp>
        <tr r="P17" s="22"/>
      </tp>
      <tp t="e">
        <v>#N/A</v>
        <stp/>
        <stp>BDP|778547023112122957</stp>
        <tr r="HN27" s="1"/>
        <tr r="IO10" s="1"/>
        <tr r="MS25" s="1"/>
      </tp>
      <tp t="e">
        <v>#N/A</v>
        <stp/>
        <stp>BDP|146822242278350832</stp>
        <tr r="P330" s="22"/>
      </tp>
      <tp t="e">
        <v>#N/A</v>
        <stp/>
        <stp>BDP|719747122219460070</stp>
        <tr r="KD19" s="1"/>
      </tp>
      <tp t="e">
        <v>#N/A</v>
        <stp/>
        <stp>BDP|651586801952677872</stp>
        <tr r="RO38" s="1"/>
      </tp>
      <tp t="e">
        <v>#N/A</v>
        <stp/>
        <stp>BDP|969333413754561928</stp>
        <tr r="FZ34" s="1"/>
      </tp>
      <tp t="e">
        <v>#N/A</v>
        <stp/>
        <stp>BDP|838409239951675990</stp>
        <tr r="J363" s="22"/>
        <tr r="J381" s="22"/>
        <tr r="J403" s="22"/>
      </tp>
      <tp t="e">
        <v>#N/A</v>
        <stp/>
        <stp>BDP|730900745992900001</stp>
        <tr r="PM13" s="1"/>
      </tp>
      <tp t="e">
        <v>#N/A</v>
        <stp/>
        <stp>BDP|913679892865504523</stp>
        <tr r="AU21" s="1"/>
        <tr r="HA32" s="1"/>
      </tp>
      <tp t="e">
        <v>#N/A</v>
        <stp/>
        <stp>BDP|343199373750518995</stp>
        <tr r="H91" s="22"/>
        <tr r="H44" s="22"/>
      </tp>
      <tp t="e">
        <v>#N/A</v>
        <stp/>
        <stp>BDP|519869206475683261</stp>
        <tr r="AZ7" s="1"/>
        <tr r="FD13" s="1"/>
        <tr r="KI7" s="1"/>
        <tr r="Y15" s="1"/>
      </tp>
      <tp t="e">
        <v>#N/A</v>
        <stp/>
        <stp>BDP|684019322335630854</stp>
        <tr r="FC7" s="1"/>
        <tr r="GD12" s="1"/>
        <tr r="X7" s="1"/>
      </tp>
      <tp t="e">
        <v>#N/A</v>
        <stp/>
        <stp>BDP|867562815643877848</stp>
        <tr r="AY8" s="1"/>
        <tr r="EB8" s="1"/>
      </tp>
      <tp t="e">
        <v>#N/A</v>
        <stp/>
        <stp>BDP|583712032608790302</stp>
        <tr r="NE8" s="1"/>
        <tr r="MD11" s="1"/>
        <tr r="EW30" s="1"/>
        <tr r="R36" s="1"/>
      </tp>
      <tp t="e">
        <v>#N/A</v>
        <stp/>
        <stp>BDP|307804436643182762</stp>
        <tr r="M14" s="25"/>
      </tp>
      <tp t="e">
        <v>#N/A</v>
        <stp/>
        <stp>BDP|321557590010497302</stp>
        <tr r="ET10" s="1"/>
        <tr r="MA27" s="1"/>
        <tr r="NB23" s="1"/>
        <tr r="O11" s="1"/>
      </tp>
      <tp t="e">
        <v>#N/A</v>
        <stp/>
        <stp>BDP|369491889902258128</stp>
        <tr r="KI29" s="1"/>
        <tr r="RP23" s="1"/>
      </tp>
      <tp t="e">
        <v>#N/A</v>
        <stp/>
        <stp>BDP|642756031518387245</stp>
        <tr r="HE11" s="1"/>
        <tr r="MJ10" s="1"/>
      </tp>
      <tp t="e">
        <v>#N/A</v>
        <stp/>
        <stp>BDP|695916377037658718</stp>
        <tr r="RX38" s="1"/>
      </tp>
      <tp t="e">
        <v>#N/A</v>
        <stp/>
        <stp>BDP|191808854452435112</stp>
        <tr r="MA17" s="1"/>
        <tr r="NB14" s="1"/>
      </tp>
      <tp t="e">
        <v>#N/A</v>
        <stp/>
        <stp>BDP|189104560410696961</stp>
        <tr r="J94" s="22"/>
      </tp>
      <tp t="e">
        <v>#N/A</v>
        <stp/>
        <stp>BDP|759101604119046607</stp>
        <tr r="RO21" s="1"/>
      </tp>
      <tp t="e">
        <v>#N/A</v>
        <stp/>
        <stp>BDP|710928018700407140</stp>
        <tr r="N9" s="24"/>
      </tp>
      <tp t="e">
        <v>#N/A</v>
        <stp/>
        <stp>BDP|420564493304949155</stp>
        <tr r="PI13" s="1"/>
      </tp>
      <tp t="e">
        <v>#N/A</v>
        <stp/>
        <stp>BDP|335509394980854518</stp>
        <tr r="FC32" s="1"/>
        <tr r="MJ13" s="1"/>
        <tr r="NK12" s="1"/>
        <tr r="X35" s="1"/>
      </tp>
      <tp t="e">
        <v>#N/A</v>
        <stp/>
        <stp>BDP|905460554641528821</stp>
        <tr r="AZ22" s="1"/>
      </tp>
      <tp t="e">
        <v>#N/A</v>
        <stp/>
        <stp>BDP|936642486291240761</stp>
        <tr r="KB25" s="1"/>
      </tp>
      <tp t="e">
        <v>#N/A</v>
        <stp/>
        <stp>BDP|773207441286959802</stp>
        <tr r="NE9" s="1"/>
      </tp>
      <tp t="e">
        <v>#N/A</v>
        <stp/>
        <stp>BDP|117041767386697812</stp>
        <tr r="NT25" s="1"/>
      </tp>
      <tp t="e">
        <v>#N/A</v>
        <stp/>
        <stp>BDP|931279038719014006</stp>
        <tr r="N49" s="22"/>
      </tp>
      <tp t="e">
        <v>#N/A</v>
        <stp/>
        <stp>BDP|280069686592151248</stp>
        <tr r="C291" s="22"/>
      </tp>
      <tp t="e">
        <v>#N/A</v>
        <stp/>
        <stp>BDP|404353183214695739</stp>
        <tr r="HE29" s="1"/>
      </tp>
      <tp t="e">
        <v>#N/A</v>
        <stp/>
        <stp>BDP|556486177013874812</stp>
        <tr r="OU19" s="1"/>
      </tp>
      <tp t="e">
        <v>#N/A</v>
        <stp/>
        <stp>BDP|856952316354318743</stp>
        <tr r="N8" s="24"/>
      </tp>
      <tp t="e">
        <v>#N/A</v>
        <stp/>
        <stp>BDP|220170258236312934</stp>
        <tr r="IF12" s="1"/>
      </tp>
      <tp t="e">
        <v>#N/A</v>
        <stp/>
        <stp>BDP|157245469679337673</stp>
        <tr r="AG35" s="1"/>
        <tr r="FL32" s="1"/>
        <tr r="MS13" s="1"/>
        <tr r="NT12" s="1"/>
      </tp>
      <tp t="e">
        <v>#N/A</v>
        <stp/>
        <stp>BDP|972318802398256015</stp>
        <tr r="FZ25" s="1"/>
      </tp>
      <tp t="e">
        <v>#N/A</v>
        <stp/>
        <stp>BDP|267912127001620183</stp>
        <tr r="NB21" s="1"/>
      </tp>
      <tp t="e">
        <v>#N/A</v>
        <stp/>
        <stp>BDP|427732247158778076</stp>
        <tr r="AY11" s="1"/>
        <tr r="EB12" s="1"/>
        <tr r="MJ19" s="1"/>
        <tr r="OL17" s="1"/>
      </tp>
      <tp t="e">
        <v>#N/A</v>
        <stp/>
        <stp>BDP|957131599787605456</stp>
        <tr r="CW7" s="1"/>
        <tr r="LE7" s="1"/>
      </tp>
      <tp t="e">
        <v>#N/A</v>
        <stp/>
        <stp>BDP|911856678885313098</stp>
        <tr r="P131" s="22"/>
        <tr r="P171" s="22"/>
      </tp>
      <tp t="e">
        <v>#N/A</v>
        <stp/>
        <stp>BDP|437326293977324725</stp>
        <tr r="KQ3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</xdr:row>
          <xdr:rowOff>76200</xdr:rowOff>
        </xdr:from>
        <xdr:to>
          <xdr:col>7</xdr:col>
          <xdr:colOff>647700</xdr:colOff>
          <xdr:row>32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ETF Copy to 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676275</xdr:colOff>
          <xdr:row>5</xdr:row>
          <xdr:rowOff>76200</xdr:rowOff>
        </xdr:from>
        <xdr:to>
          <xdr:col>13</xdr:col>
          <xdr:colOff>790575</xdr:colOff>
          <xdr:row>31</xdr:row>
          <xdr:rowOff>171450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Single Stock Copy to 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1685925</xdr:colOff>
          <xdr:row>36</xdr:row>
          <xdr:rowOff>133350</xdr:rowOff>
        </xdr:from>
        <xdr:to>
          <xdr:col>16</xdr:col>
          <xdr:colOff>2200275</xdr:colOff>
          <xdr:row>38</xdr:row>
          <xdr:rowOff>38100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1657350</xdr:colOff>
          <xdr:row>36</xdr:row>
          <xdr:rowOff>142875</xdr:rowOff>
        </xdr:from>
        <xdr:to>
          <xdr:col>18</xdr:col>
          <xdr:colOff>2171700</xdr:colOff>
          <xdr:row>38</xdr:row>
          <xdr:rowOff>57150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9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1590675</xdr:colOff>
          <xdr:row>36</xdr:row>
          <xdr:rowOff>161925</xdr:rowOff>
        </xdr:from>
        <xdr:to>
          <xdr:col>20</xdr:col>
          <xdr:colOff>2105025</xdr:colOff>
          <xdr:row>38</xdr:row>
          <xdr:rowOff>66675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9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1724025</xdr:colOff>
          <xdr:row>36</xdr:row>
          <xdr:rowOff>142875</xdr:rowOff>
        </xdr:from>
        <xdr:to>
          <xdr:col>22</xdr:col>
          <xdr:colOff>2238375</xdr:colOff>
          <xdr:row>38</xdr:row>
          <xdr:rowOff>57150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9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1647825</xdr:colOff>
          <xdr:row>36</xdr:row>
          <xdr:rowOff>171450</xdr:rowOff>
        </xdr:from>
        <xdr:to>
          <xdr:col>24</xdr:col>
          <xdr:colOff>2162175</xdr:colOff>
          <xdr:row>38</xdr:row>
          <xdr:rowOff>85725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9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1743075</xdr:colOff>
          <xdr:row>76</xdr:row>
          <xdr:rowOff>133350</xdr:rowOff>
        </xdr:from>
        <xdr:to>
          <xdr:col>16</xdr:col>
          <xdr:colOff>2257425</xdr:colOff>
          <xdr:row>78</xdr:row>
          <xdr:rowOff>38100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9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1714500</xdr:colOff>
          <xdr:row>76</xdr:row>
          <xdr:rowOff>95250</xdr:rowOff>
        </xdr:from>
        <xdr:to>
          <xdr:col>18</xdr:col>
          <xdr:colOff>2228850</xdr:colOff>
          <xdr:row>78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9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1724025</xdr:colOff>
          <xdr:row>76</xdr:row>
          <xdr:rowOff>123825</xdr:rowOff>
        </xdr:from>
        <xdr:to>
          <xdr:col>20</xdr:col>
          <xdr:colOff>2238375</xdr:colOff>
          <xdr:row>78</xdr:row>
          <xdr:rowOff>28575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9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1752600</xdr:colOff>
          <xdr:row>76</xdr:row>
          <xdr:rowOff>161925</xdr:rowOff>
        </xdr:from>
        <xdr:to>
          <xdr:col>22</xdr:col>
          <xdr:colOff>2266950</xdr:colOff>
          <xdr:row>78</xdr:row>
          <xdr:rowOff>66675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9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1590675</xdr:colOff>
          <xdr:row>76</xdr:row>
          <xdr:rowOff>114300</xdr:rowOff>
        </xdr:from>
        <xdr:to>
          <xdr:col>24</xdr:col>
          <xdr:colOff>2105025</xdr:colOff>
          <xdr:row>78</xdr:row>
          <xdr:rowOff>28575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9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1695450</xdr:colOff>
          <xdr:row>115</xdr:row>
          <xdr:rowOff>123825</xdr:rowOff>
        </xdr:from>
        <xdr:to>
          <xdr:col>16</xdr:col>
          <xdr:colOff>2209800</xdr:colOff>
          <xdr:row>117</xdr:row>
          <xdr:rowOff>28575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9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1838325</xdr:colOff>
          <xdr:row>115</xdr:row>
          <xdr:rowOff>161925</xdr:rowOff>
        </xdr:from>
        <xdr:to>
          <xdr:col>19</xdr:col>
          <xdr:colOff>66675</xdr:colOff>
          <xdr:row>117</xdr:row>
          <xdr:rowOff>66675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9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1714500</xdr:colOff>
          <xdr:row>116</xdr:row>
          <xdr:rowOff>9525</xdr:rowOff>
        </xdr:from>
        <xdr:to>
          <xdr:col>20</xdr:col>
          <xdr:colOff>2228850</xdr:colOff>
          <xdr:row>117</xdr:row>
          <xdr:rowOff>95250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9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1695450</xdr:colOff>
          <xdr:row>115</xdr:row>
          <xdr:rowOff>171450</xdr:rowOff>
        </xdr:from>
        <xdr:to>
          <xdr:col>22</xdr:col>
          <xdr:colOff>2209800</xdr:colOff>
          <xdr:row>117</xdr:row>
          <xdr:rowOff>85725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9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1724025</xdr:colOff>
          <xdr:row>116</xdr:row>
          <xdr:rowOff>9525</xdr:rowOff>
        </xdr:from>
        <xdr:to>
          <xdr:col>24</xdr:col>
          <xdr:colOff>2238375</xdr:colOff>
          <xdr:row>117</xdr:row>
          <xdr:rowOff>95250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9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1743075</xdr:colOff>
          <xdr:row>134</xdr:row>
          <xdr:rowOff>171450</xdr:rowOff>
        </xdr:from>
        <xdr:to>
          <xdr:col>16</xdr:col>
          <xdr:colOff>2257425</xdr:colOff>
          <xdr:row>136</xdr:row>
          <xdr:rowOff>85725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9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1714500</xdr:colOff>
          <xdr:row>158</xdr:row>
          <xdr:rowOff>47625</xdr:rowOff>
        </xdr:from>
        <xdr:to>
          <xdr:col>16</xdr:col>
          <xdr:colOff>2228850</xdr:colOff>
          <xdr:row>159</xdr:row>
          <xdr:rowOff>142875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9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1619250</xdr:colOff>
          <xdr:row>177</xdr:row>
          <xdr:rowOff>9525</xdr:rowOff>
        </xdr:from>
        <xdr:to>
          <xdr:col>16</xdr:col>
          <xdr:colOff>2133600</xdr:colOff>
          <xdr:row>178</xdr:row>
          <xdr:rowOff>95250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9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1800225</xdr:colOff>
          <xdr:row>196</xdr:row>
          <xdr:rowOff>85725</xdr:rowOff>
        </xdr:from>
        <xdr:to>
          <xdr:col>17</xdr:col>
          <xdr:colOff>28575</xdr:colOff>
          <xdr:row>197</xdr:row>
          <xdr:rowOff>171450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9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1657350</xdr:colOff>
          <xdr:row>34</xdr:row>
          <xdr:rowOff>142875</xdr:rowOff>
        </xdr:from>
        <xdr:to>
          <xdr:col>16</xdr:col>
          <xdr:colOff>2171700</xdr:colOff>
          <xdr:row>36</xdr:row>
          <xdr:rowOff>57150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1714500</xdr:colOff>
          <xdr:row>35</xdr:row>
          <xdr:rowOff>9525</xdr:rowOff>
        </xdr:from>
        <xdr:to>
          <xdr:col>18</xdr:col>
          <xdr:colOff>2228850</xdr:colOff>
          <xdr:row>36</xdr:row>
          <xdr:rowOff>104775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A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1685925</xdr:colOff>
          <xdr:row>35</xdr:row>
          <xdr:rowOff>47625</xdr:rowOff>
        </xdr:from>
        <xdr:to>
          <xdr:col>20</xdr:col>
          <xdr:colOff>2200275</xdr:colOff>
          <xdr:row>36</xdr:row>
          <xdr:rowOff>142875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1647825</xdr:colOff>
          <xdr:row>35</xdr:row>
          <xdr:rowOff>47625</xdr:rowOff>
        </xdr:from>
        <xdr:to>
          <xdr:col>22</xdr:col>
          <xdr:colOff>2162175</xdr:colOff>
          <xdr:row>36</xdr:row>
          <xdr:rowOff>142875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1600200</xdr:colOff>
          <xdr:row>34</xdr:row>
          <xdr:rowOff>171450</xdr:rowOff>
        </xdr:from>
        <xdr:to>
          <xdr:col>16</xdr:col>
          <xdr:colOff>2114550</xdr:colOff>
          <xdr:row>36</xdr:row>
          <xdr:rowOff>85725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1476375</xdr:colOff>
          <xdr:row>35</xdr:row>
          <xdr:rowOff>9525</xdr:rowOff>
        </xdr:from>
        <xdr:to>
          <xdr:col>18</xdr:col>
          <xdr:colOff>1990725</xdr:colOff>
          <xdr:row>36</xdr:row>
          <xdr:rowOff>95250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B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1562100</xdr:colOff>
          <xdr:row>34</xdr:row>
          <xdr:rowOff>142875</xdr:rowOff>
        </xdr:from>
        <xdr:to>
          <xdr:col>20</xdr:col>
          <xdr:colOff>2076450</xdr:colOff>
          <xdr:row>36</xdr:row>
          <xdr:rowOff>57150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B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1543050</xdr:colOff>
          <xdr:row>35</xdr:row>
          <xdr:rowOff>19050</xdr:rowOff>
        </xdr:from>
        <xdr:to>
          <xdr:col>22</xdr:col>
          <xdr:colOff>2057400</xdr:colOff>
          <xdr:row>36</xdr:row>
          <xdr:rowOff>114300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1724025</xdr:colOff>
          <xdr:row>31</xdr:row>
          <xdr:rowOff>104775</xdr:rowOff>
        </xdr:from>
        <xdr:to>
          <xdr:col>16</xdr:col>
          <xdr:colOff>2238375</xdr:colOff>
          <xdr:row>33</xdr:row>
          <xdr:rowOff>28575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C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1762125</xdr:colOff>
          <xdr:row>31</xdr:row>
          <xdr:rowOff>171450</xdr:rowOff>
        </xdr:from>
        <xdr:to>
          <xdr:col>18</xdr:col>
          <xdr:colOff>2276475</xdr:colOff>
          <xdr:row>33</xdr:row>
          <xdr:rowOff>95250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C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1447800</xdr:colOff>
          <xdr:row>31</xdr:row>
          <xdr:rowOff>152400</xdr:rowOff>
        </xdr:from>
        <xdr:to>
          <xdr:col>20</xdr:col>
          <xdr:colOff>1962150</xdr:colOff>
          <xdr:row>33</xdr:row>
          <xdr:rowOff>66675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C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1476375</xdr:colOff>
          <xdr:row>31</xdr:row>
          <xdr:rowOff>152400</xdr:rowOff>
        </xdr:from>
        <xdr:to>
          <xdr:col>22</xdr:col>
          <xdr:colOff>1990725</xdr:colOff>
          <xdr:row>33</xdr:row>
          <xdr:rowOff>66675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C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IB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49</xdr:row>
          <xdr:rowOff>19050</xdr:rowOff>
        </xdr:from>
        <xdr:to>
          <xdr:col>26</xdr:col>
          <xdr:colOff>0</xdr:colOff>
          <xdr:row>50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D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28575</xdr:colOff>
          <xdr:row>34</xdr:row>
          <xdr:rowOff>19050</xdr:rowOff>
        </xdr:from>
        <xdr:to>
          <xdr:col>53</xdr:col>
          <xdr:colOff>28575</xdr:colOff>
          <xdr:row>35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D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29</xdr:row>
          <xdr:rowOff>9525</xdr:rowOff>
        </xdr:from>
        <xdr:to>
          <xdr:col>80</xdr:col>
          <xdr:colOff>38100</xdr:colOff>
          <xdr:row>30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D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0</xdr:colOff>
          <xdr:row>32</xdr:row>
          <xdr:rowOff>19050</xdr:rowOff>
        </xdr:from>
        <xdr:to>
          <xdr:col>107</xdr:col>
          <xdr:colOff>0</xdr:colOff>
          <xdr:row>33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D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</xdr:col>
          <xdr:colOff>0</xdr:colOff>
          <xdr:row>34</xdr:row>
          <xdr:rowOff>19050</xdr:rowOff>
        </xdr:from>
        <xdr:to>
          <xdr:col>134</xdr:col>
          <xdr:colOff>0</xdr:colOff>
          <xdr:row>35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D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160</xdr:col>
          <xdr:colOff>0</xdr:colOff>
          <xdr:row>47</xdr:row>
          <xdr:rowOff>19050</xdr:rowOff>
        </xdr:from>
        <xdr:to>
          <xdr:col>161</xdr:col>
          <xdr:colOff>0</xdr:colOff>
          <xdr:row>48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D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</xdr:col>
          <xdr:colOff>819150</xdr:colOff>
          <xdr:row>39</xdr:row>
          <xdr:rowOff>104775</xdr:rowOff>
        </xdr:from>
        <xdr:to>
          <xdr:col>186</xdr:col>
          <xdr:colOff>381000</xdr:colOff>
          <xdr:row>40</xdr:row>
          <xdr:rowOff>123825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D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214</xdr:col>
          <xdr:colOff>0</xdr:colOff>
          <xdr:row>48</xdr:row>
          <xdr:rowOff>19050</xdr:rowOff>
        </xdr:from>
        <xdr:to>
          <xdr:col>215</xdr:col>
          <xdr:colOff>0</xdr:colOff>
          <xdr:row>49</xdr:row>
          <xdr:rowOff>47625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D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241</xdr:col>
          <xdr:colOff>0</xdr:colOff>
          <xdr:row>35</xdr:row>
          <xdr:rowOff>19050</xdr:rowOff>
        </xdr:from>
        <xdr:to>
          <xdr:col>242</xdr:col>
          <xdr:colOff>0</xdr:colOff>
          <xdr:row>36</xdr:row>
          <xdr:rowOff>38100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D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268</xdr:col>
          <xdr:colOff>0</xdr:colOff>
          <xdr:row>40</xdr:row>
          <xdr:rowOff>19050</xdr:rowOff>
        </xdr:from>
        <xdr:to>
          <xdr:col>269</xdr:col>
          <xdr:colOff>0</xdr:colOff>
          <xdr:row>41</xdr:row>
          <xdr:rowOff>38100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D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295</xdr:col>
          <xdr:colOff>0</xdr:colOff>
          <xdr:row>48</xdr:row>
          <xdr:rowOff>19050</xdr:rowOff>
        </xdr:from>
        <xdr:to>
          <xdr:col>296</xdr:col>
          <xdr:colOff>0</xdr:colOff>
          <xdr:row>49</xdr:row>
          <xdr:rowOff>47625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D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322</xdr:col>
          <xdr:colOff>0</xdr:colOff>
          <xdr:row>30</xdr:row>
          <xdr:rowOff>19050</xdr:rowOff>
        </xdr:from>
        <xdr:to>
          <xdr:col>323</xdr:col>
          <xdr:colOff>0</xdr:colOff>
          <xdr:row>31</xdr:row>
          <xdr:rowOff>38100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D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349</xdr:col>
          <xdr:colOff>0</xdr:colOff>
          <xdr:row>46</xdr:row>
          <xdr:rowOff>19050</xdr:rowOff>
        </xdr:from>
        <xdr:to>
          <xdr:col>350</xdr:col>
          <xdr:colOff>0</xdr:colOff>
          <xdr:row>47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D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376</xdr:col>
          <xdr:colOff>0</xdr:colOff>
          <xdr:row>42</xdr:row>
          <xdr:rowOff>19050</xdr:rowOff>
        </xdr:from>
        <xdr:to>
          <xdr:col>377</xdr:col>
          <xdr:colOff>0</xdr:colOff>
          <xdr:row>43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D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403</xdr:col>
          <xdr:colOff>0</xdr:colOff>
          <xdr:row>41</xdr:row>
          <xdr:rowOff>19050</xdr:rowOff>
        </xdr:from>
        <xdr:to>
          <xdr:col>404</xdr:col>
          <xdr:colOff>0</xdr:colOff>
          <xdr:row>42</xdr:row>
          <xdr:rowOff>38100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D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430</xdr:col>
          <xdr:colOff>0</xdr:colOff>
          <xdr:row>36</xdr:row>
          <xdr:rowOff>19050</xdr:rowOff>
        </xdr:from>
        <xdr:to>
          <xdr:col>431</xdr:col>
          <xdr:colOff>0</xdr:colOff>
          <xdr:row>37</xdr:row>
          <xdr:rowOff>47625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D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457</xdr:col>
          <xdr:colOff>0</xdr:colOff>
          <xdr:row>34</xdr:row>
          <xdr:rowOff>19050</xdr:rowOff>
        </xdr:from>
        <xdr:to>
          <xdr:col>458</xdr:col>
          <xdr:colOff>0</xdr:colOff>
          <xdr:row>35</xdr:row>
          <xdr:rowOff>38100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D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tropolis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ctrlProp" Target="../ctrlProps/ctrlProp3.x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47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DD91-743D-4487-9C3D-833F7240BDB9}">
  <sheetPr codeName="Sheet14"/>
  <dimension ref="C35:I35"/>
  <sheetViews>
    <sheetView workbookViewId="0">
      <selection activeCell="O18" sqref="O18"/>
    </sheetView>
  </sheetViews>
  <sheetFormatPr defaultRowHeight="14.25" x14ac:dyDescent="0.2"/>
  <sheetData>
    <row r="35" spans="3:9" x14ac:dyDescent="0.2">
      <c r="C35" t="s">
        <v>645</v>
      </c>
      <c r="I35" t="s">
        <v>646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pySheetsWithFormatting">
                <anchor moveWithCells="1" sizeWithCells="1">
                  <from>
                    <xdr:col>1</xdr:col>
                    <xdr:colOff>523875</xdr:colOff>
                    <xdr:row>5</xdr:row>
                    <xdr:rowOff>76200</xdr:rowOff>
                  </from>
                  <to>
                    <xdr:col>7</xdr:col>
                    <xdr:colOff>647700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opyColumnsToSingleStockVO">
                <anchor moveWithCells="1" sizeWithCells="1">
                  <from>
                    <xdr:col>7</xdr:col>
                    <xdr:colOff>676275</xdr:colOff>
                    <xdr:row>5</xdr:row>
                    <xdr:rowOff>76200</xdr:rowOff>
                  </from>
                  <to>
                    <xdr:col>13</xdr:col>
                    <xdr:colOff>790575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EADD-2670-4D75-A990-6C6FB7EC06EC}">
  <sheetPr codeName="Sheet1"/>
  <dimension ref="O1:SE76"/>
  <sheetViews>
    <sheetView topLeftCell="RT1" zoomScale="85" zoomScaleNormal="85" workbookViewId="0">
      <selection activeCell="SO7" sqref="SO7"/>
    </sheetView>
  </sheetViews>
  <sheetFormatPr defaultRowHeight="14.25" x14ac:dyDescent="0.2"/>
  <cols>
    <col min="15" max="15" width="25.796875" style="1" bestFit="1" customWidth="1"/>
    <col min="16" max="16" width="8" style="1" bestFit="1" customWidth="1"/>
    <col min="17" max="17" width="6.5" style="1" bestFit="1" customWidth="1"/>
    <col min="18" max="18" width="8.296875" style="1" bestFit="1" customWidth="1"/>
    <col min="19" max="19" width="8" style="1" bestFit="1" customWidth="1"/>
    <col min="20" max="20" width="8.8984375" style="1" bestFit="1" customWidth="1"/>
    <col min="21" max="21" width="10" style="1" bestFit="1" customWidth="1"/>
    <col min="22" max="22" width="9.69921875" style="1" bestFit="1" customWidth="1"/>
    <col min="23" max="23" width="11.796875" style="1" bestFit="1" customWidth="1"/>
    <col min="24" max="24" width="3.796875" style="1" bestFit="1" customWidth="1"/>
    <col min="25" max="25" width="7" style="1" bestFit="1" customWidth="1"/>
    <col min="26" max="26" width="24" style="1" bestFit="1" customWidth="1"/>
    <col min="27" max="27" width="8.296875" style="1" bestFit="1" customWidth="1"/>
    <col min="28" max="28" width="4.69921875" style="1" customWidth="1"/>
    <col min="29" max="29" width="8" style="1" bestFit="1" customWidth="1"/>
    <col min="30" max="30" width="10.296875" style="1" bestFit="1" customWidth="1"/>
    <col min="31" max="31" width="11.5" style="1" bestFit="1" customWidth="1"/>
    <col min="32" max="32" width="1.19921875" style="1" customWidth="1"/>
    <col min="33" max="33" width="4.3984375" style="1" bestFit="1" customWidth="1"/>
    <col min="34" max="34" width="7.296875" style="1" bestFit="1" customWidth="1"/>
    <col min="35" max="35" width="8.69921875" style="1" bestFit="1" customWidth="1"/>
    <col min="36" max="36" width="11.5" style="1" bestFit="1" customWidth="1"/>
    <col min="37" max="37" width="5.8984375" style="1" bestFit="1" customWidth="1"/>
    <col min="38" max="38" width="1.19921875" style="1" customWidth="1"/>
    <col min="39" max="39" width="10.59765625" style="1" bestFit="1" customWidth="1"/>
    <col min="40" max="40" width="9.69921875" style="1" bestFit="1" customWidth="1"/>
    <col min="42" max="42" width="16.8984375" bestFit="1" customWidth="1"/>
    <col min="43" max="43" width="8" bestFit="1" customWidth="1"/>
    <col min="44" max="44" width="6.5" bestFit="1" customWidth="1"/>
    <col min="45" max="45" width="8.296875" bestFit="1" customWidth="1"/>
    <col min="46" max="46" width="8" bestFit="1" customWidth="1"/>
    <col min="47" max="47" width="8.8984375" bestFit="1" customWidth="1"/>
    <col min="48" max="48" width="10" bestFit="1" customWidth="1"/>
    <col min="49" max="49" width="9.69921875" bestFit="1" customWidth="1"/>
    <col min="50" max="50" width="11.796875" bestFit="1" customWidth="1"/>
    <col min="51" max="51" width="3.69921875" bestFit="1" customWidth="1"/>
    <col min="52" max="52" width="7.5" bestFit="1" customWidth="1"/>
    <col min="53" max="53" width="24" bestFit="1" customWidth="1"/>
    <col min="54" max="54" width="8.296875" bestFit="1" customWidth="1"/>
    <col min="55" max="55" width="3.5" customWidth="1"/>
    <col min="56" max="56" width="8.8984375" bestFit="1" customWidth="1"/>
    <col min="57" max="57" width="10.09765625" bestFit="1" customWidth="1"/>
    <col min="58" max="58" width="11.5" bestFit="1" customWidth="1"/>
    <col min="59" max="59" width="1.5" customWidth="1"/>
    <col min="60" max="60" width="4.3984375" bestFit="1" customWidth="1"/>
    <col min="61" max="61" width="7.296875" bestFit="1" customWidth="1"/>
    <col min="62" max="62" width="8.69921875" bestFit="1" customWidth="1"/>
    <col min="63" max="63" width="11.5" bestFit="1" customWidth="1"/>
    <col min="64" max="64" width="5" bestFit="1" customWidth="1"/>
    <col min="65" max="65" width="1.69921875" customWidth="1"/>
    <col min="66" max="66" width="10.59765625" bestFit="1" customWidth="1"/>
    <col min="67" max="67" width="9.69921875" bestFit="1" customWidth="1"/>
    <col min="69" max="69" width="31.59765625" bestFit="1" customWidth="1"/>
    <col min="70" max="70" width="6.09765625" bestFit="1" customWidth="1"/>
    <col min="71" max="71" width="6.5" bestFit="1" customWidth="1"/>
    <col min="72" max="72" width="8.296875" bestFit="1" customWidth="1"/>
    <col min="73" max="73" width="8" bestFit="1" customWidth="1"/>
    <col min="74" max="74" width="7.09765625" bestFit="1" customWidth="1"/>
    <col min="75" max="75" width="10" bestFit="1" customWidth="1"/>
    <col min="76" max="76" width="10.19921875" bestFit="1" customWidth="1"/>
    <col min="77" max="77" width="11.796875" bestFit="1" customWidth="1"/>
    <col min="78" max="78" width="3.59765625" bestFit="1" customWidth="1"/>
    <col min="79" max="79" width="9.3984375" bestFit="1" customWidth="1"/>
    <col min="80" max="80" width="24" bestFit="1" customWidth="1"/>
    <col min="81" max="81" width="8.296875" bestFit="1" customWidth="1"/>
    <col min="82" max="82" width="4.19921875" customWidth="1"/>
    <col min="83" max="83" width="7.69921875" bestFit="1" customWidth="1"/>
    <col min="84" max="84" width="11.296875" bestFit="1" customWidth="1"/>
    <col min="85" max="85" width="11.5" bestFit="1" customWidth="1"/>
    <col min="86" max="86" width="1.69921875" customWidth="1"/>
    <col min="87" max="87" width="4.3984375" bestFit="1" customWidth="1"/>
    <col min="88" max="88" width="7.69921875" bestFit="1" customWidth="1"/>
    <col min="89" max="89" width="8.69921875" bestFit="1" customWidth="1"/>
    <col min="90" max="90" width="11.5" bestFit="1" customWidth="1"/>
    <col min="91" max="91" width="6.59765625" bestFit="1" customWidth="1"/>
    <col min="92" max="92" width="1.296875" customWidth="1"/>
    <col min="93" max="93" width="10.59765625" bestFit="1" customWidth="1"/>
    <col min="94" max="94" width="12.69921875" bestFit="1" customWidth="1"/>
    <col min="96" max="96" width="31.59765625" bestFit="1" customWidth="1"/>
    <col min="97" max="97" width="7.5" bestFit="1" customWidth="1"/>
    <col min="98" max="98" width="6.5" bestFit="1" customWidth="1"/>
    <col min="99" max="99" width="8.296875" bestFit="1" customWidth="1"/>
    <col min="100" max="100" width="8" bestFit="1" customWidth="1"/>
    <col min="101" max="101" width="8.8984375" bestFit="1" customWidth="1"/>
    <col min="102" max="102" width="10" bestFit="1" customWidth="1"/>
    <col min="103" max="103" width="9.69921875" bestFit="1" customWidth="1"/>
    <col min="104" max="104" width="11.796875" bestFit="1" customWidth="1"/>
    <col min="105" max="105" width="3.796875" bestFit="1" customWidth="1"/>
    <col min="106" max="106" width="9.19921875" bestFit="1" customWidth="1"/>
    <col min="107" max="107" width="24" bestFit="1" customWidth="1"/>
    <col min="108" max="108" width="8.296875" bestFit="1" customWidth="1"/>
    <col min="109" max="109" width="2.796875" customWidth="1"/>
    <col min="110" max="110" width="8.8984375" bestFit="1" customWidth="1"/>
    <col min="111" max="111" width="10.3984375" bestFit="1" customWidth="1"/>
    <col min="112" max="112" width="11.5" bestFit="1" customWidth="1"/>
    <col min="113" max="113" width="1.296875" customWidth="1"/>
    <col min="114" max="114" width="4.3984375" bestFit="1" customWidth="1"/>
    <col min="115" max="115" width="7.296875" bestFit="1" customWidth="1"/>
    <col min="116" max="116" width="8.69921875" bestFit="1" customWidth="1"/>
    <col min="117" max="117" width="11.5" bestFit="1" customWidth="1"/>
    <col min="118" max="118" width="5" bestFit="1" customWidth="1"/>
    <col min="119" max="119" width="1" customWidth="1"/>
    <col min="120" max="120" width="10.59765625" bestFit="1" customWidth="1"/>
    <col min="121" max="121" width="9.69921875" bestFit="1" customWidth="1"/>
    <col min="123" max="123" width="19.19921875" bestFit="1" customWidth="1"/>
    <col min="124" max="124" width="6.69921875" bestFit="1" customWidth="1"/>
    <col min="125" max="125" width="6.5" bestFit="1" customWidth="1"/>
    <col min="126" max="126" width="8.296875" bestFit="1" customWidth="1"/>
    <col min="127" max="127" width="8" bestFit="1" customWidth="1"/>
    <col min="128" max="128" width="7.09765625" bestFit="1" customWidth="1"/>
    <col min="129" max="129" width="10" bestFit="1" customWidth="1"/>
    <col min="130" max="130" width="8.796875" bestFit="1" customWidth="1"/>
    <col min="131" max="131" width="11.796875" bestFit="1" customWidth="1"/>
    <col min="132" max="132" width="3.59765625" bestFit="1" customWidth="1"/>
    <col min="133" max="133" width="6" bestFit="1" customWidth="1"/>
    <col min="134" max="134" width="24" bestFit="1" customWidth="1"/>
    <col min="135" max="135" width="8.296875" bestFit="1" customWidth="1"/>
    <col min="136" max="136" width="2.296875" customWidth="1"/>
    <col min="137" max="137" width="8" bestFit="1" customWidth="1"/>
    <col min="138" max="138" width="11.69921875" bestFit="1" customWidth="1"/>
    <col min="139" max="139" width="11.5" bestFit="1" customWidth="1"/>
    <col min="140" max="140" width="1.5" customWidth="1"/>
    <col min="141" max="141" width="4.3984375" bestFit="1" customWidth="1"/>
    <col min="142" max="142" width="7.296875" bestFit="1" customWidth="1"/>
    <col min="143" max="143" width="9" bestFit="1" customWidth="1"/>
    <col min="144" max="144" width="11.5" bestFit="1" customWidth="1"/>
    <col min="145" max="145" width="5" bestFit="1" customWidth="1"/>
    <col min="146" max="146" width="1" customWidth="1"/>
    <col min="147" max="147" width="10.59765625" bestFit="1" customWidth="1"/>
    <col min="148" max="148" width="9.69921875" bestFit="1" customWidth="1"/>
    <col min="150" max="150" width="24.796875" bestFit="1" customWidth="1"/>
    <col min="151" max="151" width="7.796875" bestFit="1" customWidth="1"/>
    <col min="152" max="152" width="6.5" bestFit="1" customWidth="1"/>
    <col min="153" max="153" width="8.296875" bestFit="1" customWidth="1"/>
    <col min="154" max="154" width="8" bestFit="1" customWidth="1"/>
    <col min="155" max="155" width="8.8984375" bestFit="1" customWidth="1"/>
    <col min="156" max="156" width="10" bestFit="1" customWidth="1"/>
    <col min="157" max="157" width="9.69921875" bestFit="1" customWidth="1"/>
    <col min="158" max="158" width="11.796875" bestFit="1" customWidth="1"/>
    <col min="159" max="159" width="3.69921875" bestFit="1" customWidth="1"/>
    <col min="160" max="160" width="6.3984375" bestFit="1" customWidth="1"/>
    <col min="161" max="161" width="24" bestFit="1" customWidth="1"/>
    <col min="162" max="162" width="8.296875" bestFit="1" customWidth="1"/>
    <col min="163" max="163" width="3.19921875" customWidth="1"/>
    <col min="164" max="164" width="8" bestFit="1" customWidth="1"/>
    <col min="165" max="165" width="10.69921875" bestFit="1" customWidth="1"/>
    <col min="166" max="166" width="11.5" bestFit="1" customWidth="1"/>
    <col min="167" max="167" width="1.296875" customWidth="1"/>
    <col min="168" max="168" width="4.3984375" bestFit="1" customWidth="1"/>
    <col min="169" max="169" width="7.296875" bestFit="1" customWidth="1"/>
    <col min="170" max="170" width="8.69921875" bestFit="1" customWidth="1"/>
    <col min="171" max="171" width="11.5" bestFit="1" customWidth="1"/>
    <col min="172" max="172" width="5" bestFit="1" customWidth="1"/>
    <col min="173" max="173" width="0.8984375" customWidth="1"/>
    <col min="174" max="174" width="10.59765625" bestFit="1" customWidth="1"/>
    <col min="175" max="175" width="9.69921875" bestFit="1" customWidth="1"/>
    <col min="177" max="177" width="29.59765625" bestFit="1" customWidth="1"/>
    <col min="178" max="178" width="7.59765625" bestFit="1" customWidth="1"/>
    <col min="179" max="179" width="6.5" bestFit="1" customWidth="1"/>
    <col min="180" max="180" width="8.296875" bestFit="1" customWidth="1"/>
    <col min="181" max="181" width="8" bestFit="1" customWidth="1"/>
    <col min="182" max="182" width="10.3984375" bestFit="1" customWidth="1"/>
    <col min="183" max="183" width="10" bestFit="1" customWidth="1"/>
    <col min="184" max="184" width="11" bestFit="1" customWidth="1"/>
    <col min="185" max="185" width="11.796875" bestFit="1" customWidth="1"/>
    <col min="186" max="186" width="3.8984375" bestFit="1" customWidth="1"/>
    <col min="187" max="187" width="7.59765625" bestFit="1" customWidth="1"/>
    <col min="188" max="188" width="24" bestFit="1" customWidth="1"/>
    <col min="189" max="189" width="8.296875" bestFit="1" customWidth="1"/>
    <col min="190" max="190" width="3.69921875" customWidth="1"/>
    <col min="191" max="191" width="8.8984375" bestFit="1" customWidth="1"/>
    <col min="192" max="192" width="10.796875" bestFit="1" customWidth="1"/>
    <col min="193" max="193" width="11.5" bestFit="1" customWidth="1"/>
    <col min="194" max="194" width="1.69921875" customWidth="1"/>
    <col min="195" max="195" width="4.3984375" bestFit="1" customWidth="1"/>
    <col min="196" max="196" width="7.296875" bestFit="1" customWidth="1"/>
    <col min="197" max="197" width="8.69921875" bestFit="1" customWidth="1"/>
    <col min="198" max="198" width="11.5" bestFit="1" customWidth="1"/>
    <col min="199" max="199" width="5" bestFit="1" customWidth="1"/>
    <col min="200" max="200" width="1.296875" customWidth="1"/>
    <col min="201" max="201" width="10.59765625" bestFit="1" customWidth="1"/>
    <col min="202" max="202" width="9.796875" bestFit="1" customWidth="1"/>
    <col min="204" max="204" width="27.5" bestFit="1" customWidth="1"/>
    <col min="205" max="205" width="6.796875" bestFit="1" customWidth="1"/>
    <col min="206" max="206" width="6.5" bestFit="1" customWidth="1"/>
    <col min="207" max="207" width="8.296875" bestFit="1" customWidth="1"/>
    <col min="208" max="208" width="8" bestFit="1" customWidth="1"/>
    <col min="209" max="209" width="7.8984375" bestFit="1" customWidth="1"/>
    <col min="210" max="210" width="10" bestFit="1" customWidth="1"/>
    <col min="211" max="211" width="11" bestFit="1" customWidth="1"/>
    <col min="212" max="212" width="11.796875" bestFit="1" customWidth="1"/>
    <col min="213" max="213" width="3.8984375" bestFit="1" customWidth="1"/>
    <col min="214" max="214" width="7.69921875" bestFit="1" customWidth="1"/>
    <col min="215" max="215" width="24" bestFit="1" customWidth="1"/>
    <col min="216" max="216" width="8" bestFit="1" customWidth="1"/>
    <col min="217" max="217" width="3.09765625" customWidth="1"/>
    <col min="218" max="218" width="8.8984375" bestFit="1" customWidth="1"/>
    <col min="219" max="219" width="11.59765625" bestFit="1" customWidth="1"/>
    <col min="220" max="220" width="11.5" bestFit="1" customWidth="1"/>
    <col min="221" max="221" width="1.19921875" customWidth="1"/>
    <col min="222" max="222" width="6.19921875" bestFit="1" customWidth="1"/>
    <col min="223" max="223" width="7.296875" bestFit="1" customWidth="1"/>
    <col min="224" max="224" width="8.69921875" bestFit="1" customWidth="1"/>
    <col min="225" max="225" width="11.5" bestFit="1" customWidth="1"/>
    <col min="226" max="226" width="5.796875" bestFit="1" customWidth="1"/>
    <col min="227" max="227" width="1.09765625" customWidth="1"/>
    <col min="228" max="228" width="10.59765625" bestFit="1" customWidth="1"/>
    <col min="229" max="229" width="10.3984375" bestFit="1" customWidth="1"/>
    <col min="231" max="231" width="32.69921875" bestFit="1" customWidth="1"/>
    <col min="232" max="232" width="7.796875" bestFit="1" customWidth="1"/>
    <col min="233" max="233" width="6.5" bestFit="1" customWidth="1"/>
    <col min="234" max="234" width="8.296875" bestFit="1" customWidth="1"/>
    <col min="235" max="235" width="8" bestFit="1" customWidth="1"/>
    <col min="236" max="236" width="17.5" bestFit="1" customWidth="1"/>
    <col min="237" max="237" width="10" bestFit="1" customWidth="1"/>
    <col min="238" max="238" width="8.796875" bestFit="1" customWidth="1"/>
    <col min="239" max="239" width="11.796875" bestFit="1" customWidth="1"/>
    <col min="240" max="240" width="3.8984375" bestFit="1" customWidth="1"/>
    <col min="241" max="241" width="7.19921875" bestFit="1" customWidth="1"/>
    <col min="242" max="242" width="24" bestFit="1" customWidth="1"/>
    <col min="243" max="243" width="8.296875" bestFit="1" customWidth="1"/>
    <col min="244" max="244" width="2.69921875" customWidth="1"/>
    <col min="245" max="245" width="8.09765625" bestFit="1" customWidth="1"/>
    <col min="246" max="246" width="11.59765625" bestFit="1" customWidth="1"/>
    <col min="247" max="247" width="11.5" bestFit="1" customWidth="1"/>
    <col min="248" max="248" width="1" customWidth="1"/>
    <col min="249" max="249" width="6.19921875" bestFit="1" customWidth="1"/>
    <col min="250" max="250" width="7.296875" bestFit="1" customWidth="1"/>
    <col min="251" max="251" width="8.69921875" bestFit="1" customWidth="1"/>
    <col min="252" max="252" width="11.5" bestFit="1" customWidth="1"/>
    <col min="253" max="253" width="6.59765625" bestFit="1" customWidth="1"/>
    <col min="254" max="254" width="1.09765625" customWidth="1"/>
    <col min="255" max="255" width="10.59765625" bestFit="1" customWidth="1"/>
    <col min="256" max="256" width="11.5" bestFit="1" customWidth="1"/>
    <col min="258" max="258" width="26" bestFit="1" customWidth="1"/>
    <col min="259" max="259" width="7.09765625" bestFit="1" customWidth="1"/>
    <col min="260" max="260" width="6.5" bestFit="1" customWidth="1"/>
    <col min="261" max="261" width="8.296875" bestFit="1" customWidth="1"/>
    <col min="262" max="262" width="8" bestFit="1" customWidth="1"/>
    <col min="263" max="263" width="9.19921875" bestFit="1" customWidth="1"/>
    <col min="264" max="264" width="10" bestFit="1" customWidth="1"/>
    <col min="265" max="265" width="9.69921875" bestFit="1" customWidth="1"/>
    <col min="266" max="266" width="11.796875" bestFit="1" customWidth="1"/>
    <col min="267" max="267" width="3.69921875" bestFit="1" customWidth="1"/>
    <col min="268" max="268" width="7.296875" bestFit="1" customWidth="1"/>
    <col min="269" max="269" width="24" bestFit="1" customWidth="1"/>
    <col min="270" max="270" width="8.296875" bestFit="1" customWidth="1"/>
    <col min="271" max="271" width="3" customWidth="1"/>
    <col min="272" max="272" width="8.8984375" bestFit="1" customWidth="1"/>
    <col min="273" max="273" width="10.296875" bestFit="1" customWidth="1"/>
    <col min="274" max="274" width="11.5" bestFit="1" customWidth="1"/>
    <col min="275" max="275" width="1.09765625" customWidth="1"/>
    <col min="276" max="276" width="4.3984375" bestFit="1" customWidth="1"/>
    <col min="277" max="277" width="7.296875" bestFit="1" customWidth="1"/>
    <col min="278" max="278" width="11" bestFit="1" customWidth="1"/>
    <col min="279" max="279" width="11.5" bestFit="1" customWidth="1"/>
    <col min="280" max="280" width="6.69921875" bestFit="1" customWidth="1"/>
    <col min="281" max="281" width="1.296875" customWidth="1"/>
    <col min="282" max="282" width="10.59765625" bestFit="1" customWidth="1"/>
    <col min="283" max="283" width="9.69921875" bestFit="1" customWidth="1"/>
    <col min="285" max="285" width="28.8984375" bestFit="1" customWidth="1"/>
    <col min="286" max="286" width="8.5" bestFit="1" customWidth="1"/>
    <col min="287" max="287" width="6.5" bestFit="1" customWidth="1"/>
    <col min="288" max="288" width="8.296875" bestFit="1" customWidth="1"/>
    <col min="289" max="289" width="8" bestFit="1" customWidth="1"/>
    <col min="290" max="290" width="8.8984375" bestFit="1" customWidth="1"/>
    <col min="291" max="291" width="10" bestFit="1" customWidth="1"/>
    <col min="292" max="292" width="9.69921875" bestFit="1" customWidth="1"/>
    <col min="293" max="293" width="11.796875" bestFit="1" customWidth="1"/>
    <col min="294" max="294" width="3.8984375" bestFit="1" customWidth="1"/>
    <col min="295" max="295" width="7.09765625" bestFit="1" customWidth="1"/>
    <col min="296" max="296" width="24" bestFit="1" customWidth="1"/>
    <col min="297" max="297" width="8.296875" bestFit="1" customWidth="1"/>
    <col min="298" max="298" width="2.8984375" customWidth="1"/>
    <col min="299" max="299" width="8.8984375" bestFit="1" customWidth="1"/>
    <col min="300" max="300" width="10.19921875" bestFit="1" customWidth="1"/>
    <col min="301" max="301" width="11.5" bestFit="1" customWidth="1"/>
    <col min="302" max="302" width="1.19921875" customWidth="1"/>
    <col min="303" max="303" width="4.3984375" bestFit="1" customWidth="1"/>
    <col min="304" max="304" width="7.296875" bestFit="1" customWidth="1"/>
    <col min="305" max="305" width="8.69921875" bestFit="1" customWidth="1"/>
    <col min="306" max="306" width="11.5" bestFit="1" customWidth="1"/>
    <col min="307" max="307" width="5.8984375" bestFit="1" customWidth="1"/>
    <col min="308" max="308" width="1.09765625" customWidth="1"/>
    <col min="309" max="309" width="10.59765625" bestFit="1" customWidth="1"/>
    <col min="310" max="310" width="9.8984375" bestFit="1" customWidth="1"/>
    <col min="312" max="312" width="22.59765625" bestFit="1" customWidth="1"/>
    <col min="313" max="313" width="6.69921875" bestFit="1" customWidth="1"/>
    <col min="314" max="314" width="6.5" bestFit="1" customWidth="1"/>
    <col min="315" max="315" width="8.296875" bestFit="1" customWidth="1"/>
    <col min="316" max="316" width="8" bestFit="1" customWidth="1"/>
    <col min="317" max="317" width="8.8984375" bestFit="1" customWidth="1"/>
    <col min="318" max="318" width="10" bestFit="1" customWidth="1"/>
    <col min="319" max="319" width="9.69921875" bestFit="1" customWidth="1"/>
    <col min="320" max="320" width="11.796875" bestFit="1" customWidth="1"/>
    <col min="321" max="321" width="3.69921875" bestFit="1" customWidth="1"/>
    <col min="322" max="322" width="6.5" bestFit="1" customWidth="1"/>
    <col min="323" max="323" width="24" bestFit="1" customWidth="1"/>
    <col min="324" max="324" width="8.296875" bestFit="1" customWidth="1"/>
    <col min="325" max="325" width="3.69921875" customWidth="1"/>
    <col min="326" max="326" width="8" bestFit="1" customWidth="1"/>
    <col min="327" max="327" width="10.19921875" bestFit="1" customWidth="1"/>
    <col min="328" max="328" width="11.5" bestFit="1" customWidth="1"/>
    <col min="329" max="329" width="1.3984375" customWidth="1"/>
    <col min="330" max="330" width="4.3984375" bestFit="1" customWidth="1"/>
    <col min="331" max="331" width="7.296875" bestFit="1" customWidth="1"/>
    <col min="332" max="332" width="8.69921875" bestFit="1" customWidth="1"/>
    <col min="333" max="333" width="11.5" bestFit="1" customWidth="1"/>
    <col min="334" max="334" width="5" bestFit="1" customWidth="1"/>
    <col min="335" max="335" width="1.09765625" customWidth="1"/>
    <col min="336" max="336" width="10.59765625" bestFit="1" customWidth="1"/>
    <col min="337" max="337" width="9.69921875" bestFit="1" customWidth="1"/>
    <col min="339" max="339" width="19.3984375" bestFit="1" customWidth="1"/>
    <col min="340" max="340" width="8.796875" bestFit="1" customWidth="1"/>
    <col min="341" max="341" width="6.5" bestFit="1" customWidth="1"/>
    <col min="342" max="342" width="8.296875" bestFit="1" customWidth="1"/>
    <col min="343" max="343" width="8" bestFit="1" customWidth="1"/>
    <col min="344" max="344" width="8.8984375" bestFit="1" customWidth="1"/>
    <col min="345" max="345" width="10" bestFit="1" customWidth="1"/>
    <col min="346" max="346" width="9.69921875" bestFit="1" customWidth="1"/>
    <col min="347" max="347" width="11.796875" bestFit="1" customWidth="1"/>
    <col min="348" max="348" width="3.8984375" bestFit="1" customWidth="1"/>
    <col min="349" max="349" width="6.296875" bestFit="1" customWidth="1"/>
    <col min="350" max="350" width="24" bestFit="1" customWidth="1"/>
    <col min="351" max="351" width="8.296875" bestFit="1" customWidth="1"/>
    <col min="352" max="352" width="2.3984375" customWidth="1"/>
    <col min="353" max="353" width="8.8984375" bestFit="1" customWidth="1"/>
    <col min="354" max="354" width="11.69921875" bestFit="1" customWidth="1"/>
    <col min="355" max="355" width="11.5" bestFit="1" customWidth="1"/>
    <col min="356" max="356" width="1.69921875" customWidth="1"/>
    <col min="357" max="357" width="6.19921875" bestFit="1" customWidth="1"/>
    <col min="358" max="358" width="7.296875" bestFit="1" customWidth="1"/>
    <col min="359" max="359" width="8.69921875" bestFit="1" customWidth="1"/>
    <col min="360" max="360" width="11.5" bestFit="1" customWidth="1"/>
    <col min="361" max="361" width="5" bestFit="1" customWidth="1"/>
    <col min="362" max="362" width="1.5" customWidth="1"/>
    <col min="363" max="363" width="10.59765625" bestFit="1" customWidth="1"/>
    <col min="364" max="364" width="9.69921875" bestFit="1" customWidth="1"/>
    <col min="366" max="366" width="24.3984375" bestFit="1" customWidth="1"/>
    <col min="367" max="367" width="7.796875" bestFit="1" customWidth="1"/>
    <col min="368" max="368" width="6.5" bestFit="1" customWidth="1"/>
    <col min="369" max="369" width="8.296875" bestFit="1" customWidth="1"/>
    <col min="370" max="370" width="8" bestFit="1" customWidth="1"/>
    <col min="371" max="371" width="8.8984375" bestFit="1" customWidth="1"/>
    <col min="372" max="372" width="10" bestFit="1" customWidth="1"/>
    <col min="373" max="373" width="13.296875" bestFit="1" customWidth="1"/>
    <col min="374" max="374" width="11.796875" bestFit="1" customWidth="1"/>
    <col min="375" max="375" width="3.69921875" bestFit="1" customWidth="1"/>
    <col min="376" max="376" width="6.296875" bestFit="1" customWidth="1"/>
    <col min="377" max="377" width="24" bestFit="1" customWidth="1"/>
    <col min="378" max="378" width="8.296875" bestFit="1" customWidth="1"/>
    <col min="379" max="379" width="3" customWidth="1"/>
    <col min="380" max="380" width="8" bestFit="1" customWidth="1"/>
    <col min="381" max="381" width="10.09765625" bestFit="1" customWidth="1"/>
    <col min="382" max="382" width="11.5" bestFit="1" customWidth="1"/>
    <col min="383" max="383" width="0.8984375" customWidth="1"/>
    <col min="384" max="384" width="4.3984375" bestFit="1" customWidth="1"/>
    <col min="385" max="385" width="7.296875" bestFit="1" customWidth="1"/>
    <col min="386" max="386" width="8.69921875" bestFit="1" customWidth="1"/>
    <col min="387" max="387" width="11.5" bestFit="1" customWidth="1"/>
    <col min="388" max="388" width="5" bestFit="1" customWidth="1"/>
    <col min="389" max="389" width="1.296875" customWidth="1"/>
    <col min="390" max="390" width="10.59765625" bestFit="1" customWidth="1"/>
    <col min="391" max="391" width="9.69921875" bestFit="1" customWidth="1"/>
    <col min="393" max="393" width="41.3984375" bestFit="1" customWidth="1"/>
    <col min="394" max="394" width="8.5" bestFit="1" customWidth="1"/>
    <col min="395" max="395" width="6.5" bestFit="1" customWidth="1"/>
    <col min="396" max="396" width="8.296875" bestFit="1" customWidth="1"/>
    <col min="397" max="397" width="8" bestFit="1" customWidth="1"/>
    <col min="398" max="398" width="10.3984375" bestFit="1" customWidth="1"/>
    <col min="399" max="399" width="10" bestFit="1" customWidth="1"/>
    <col min="400" max="400" width="9.69921875" bestFit="1" customWidth="1"/>
    <col min="401" max="401" width="11.796875" bestFit="1" customWidth="1"/>
    <col min="402" max="402" width="3.796875" bestFit="1" customWidth="1"/>
    <col min="403" max="403" width="6.296875" bestFit="1" customWidth="1"/>
    <col min="404" max="404" width="24" bestFit="1" customWidth="1"/>
    <col min="405" max="405" width="8.296875" bestFit="1" customWidth="1"/>
    <col min="406" max="406" width="2.59765625" customWidth="1"/>
    <col min="407" max="407" width="7.8984375" bestFit="1" customWidth="1"/>
    <col min="408" max="409" width="11.5" bestFit="1" customWidth="1"/>
    <col min="410" max="410" width="1" customWidth="1"/>
    <col min="411" max="411" width="4.3984375" bestFit="1" customWidth="1"/>
    <col min="412" max="412" width="7.296875" bestFit="1" customWidth="1"/>
    <col min="413" max="413" width="8.69921875" bestFit="1" customWidth="1"/>
    <col min="414" max="414" width="11.5" bestFit="1" customWidth="1"/>
    <col min="415" max="415" width="5" bestFit="1" customWidth="1"/>
    <col min="416" max="416" width="1.296875" customWidth="1"/>
    <col min="417" max="417" width="10.59765625" bestFit="1" customWidth="1"/>
    <col min="418" max="418" width="9.69921875" bestFit="1" customWidth="1"/>
    <col min="420" max="420" width="24.59765625" bestFit="1" customWidth="1"/>
    <col min="421" max="421" width="7.09765625" bestFit="1" customWidth="1"/>
    <col min="422" max="422" width="6.5" bestFit="1" customWidth="1"/>
    <col min="423" max="423" width="8.296875" bestFit="1" customWidth="1"/>
    <col min="424" max="424" width="8" bestFit="1" customWidth="1"/>
    <col min="425" max="425" width="7.09765625" bestFit="1" customWidth="1"/>
    <col min="426" max="426" width="10" bestFit="1" customWidth="1"/>
    <col min="427" max="427" width="10.19921875" bestFit="1" customWidth="1"/>
    <col min="428" max="428" width="11.796875" bestFit="1" customWidth="1"/>
    <col min="429" max="429" width="3.59765625" bestFit="1" customWidth="1"/>
    <col min="430" max="430" width="7.8984375" bestFit="1" customWidth="1"/>
    <col min="431" max="431" width="24" bestFit="1" customWidth="1"/>
    <col min="432" max="432" width="8.296875" bestFit="1" customWidth="1"/>
    <col min="433" max="433" width="3.19921875" customWidth="1"/>
    <col min="434" max="434" width="7.8984375" bestFit="1" customWidth="1"/>
    <col min="435" max="435" width="10.19921875" bestFit="1" customWidth="1"/>
    <col min="436" max="436" width="11.5" bestFit="1" customWidth="1"/>
    <col min="437" max="437" width="1.09765625" customWidth="1"/>
    <col min="438" max="438" width="4.3984375" bestFit="1" customWidth="1"/>
    <col min="439" max="439" width="8.5" bestFit="1" customWidth="1"/>
    <col min="440" max="440" width="8.69921875" bestFit="1" customWidth="1"/>
    <col min="441" max="441" width="11.5" bestFit="1" customWidth="1"/>
    <col min="442" max="442" width="6.59765625" bestFit="1" customWidth="1"/>
    <col min="443" max="443" width="1.09765625" customWidth="1"/>
    <col min="444" max="444" width="10.59765625" bestFit="1" customWidth="1"/>
    <col min="445" max="445" width="12.69921875" bestFit="1" customWidth="1"/>
    <col min="447" max="447" width="35" bestFit="1" customWidth="1"/>
    <col min="448" max="448" width="8.19921875" bestFit="1" customWidth="1"/>
    <col min="449" max="449" width="6.5" bestFit="1" customWidth="1"/>
    <col min="450" max="450" width="8.296875" bestFit="1" customWidth="1"/>
    <col min="451" max="451" width="8" bestFit="1" customWidth="1"/>
    <col min="452" max="452" width="17.5" bestFit="1" customWidth="1"/>
    <col min="453" max="453" width="10" bestFit="1" customWidth="1"/>
    <col min="454" max="454" width="8.796875" bestFit="1" customWidth="1"/>
    <col min="455" max="455" width="11.796875" bestFit="1" customWidth="1"/>
    <col min="456" max="456" width="3.69921875" bestFit="1" customWidth="1"/>
    <col min="457" max="457" width="7.59765625" bestFit="1" customWidth="1"/>
    <col min="458" max="458" width="24" bestFit="1" customWidth="1"/>
    <col min="459" max="459" width="8.296875" bestFit="1" customWidth="1"/>
    <col min="460" max="460" width="3" customWidth="1"/>
    <col min="461" max="461" width="8.8984375" bestFit="1" customWidth="1"/>
    <col min="462" max="462" width="10.296875" bestFit="1" customWidth="1"/>
    <col min="463" max="463" width="11.5" bestFit="1" customWidth="1"/>
    <col min="464" max="464" width="1.296875" customWidth="1"/>
    <col min="465" max="465" width="4.3984375" bestFit="1" customWidth="1"/>
    <col min="466" max="466" width="7.296875" bestFit="1" customWidth="1"/>
    <col min="467" max="467" width="8.69921875" bestFit="1" customWidth="1"/>
    <col min="468" max="468" width="11.5" bestFit="1" customWidth="1"/>
    <col min="469" max="469" width="5.3984375" bestFit="1" customWidth="1"/>
    <col min="470" max="470" width="1.09765625" customWidth="1"/>
    <col min="471" max="471" width="10.59765625" bestFit="1" customWidth="1"/>
    <col min="472" max="472" width="9.69921875" bestFit="1" customWidth="1"/>
    <col min="474" max="474" width="35" bestFit="1" customWidth="1"/>
    <col min="475" max="475" width="8.296875" bestFit="1" customWidth="1"/>
    <col min="476" max="476" width="6.5" bestFit="1" customWidth="1"/>
    <col min="477" max="477" width="8.296875" bestFit="1" customWidth="1"/>
    <col min="478" max="478" width="8" bestFit="1" customWidth="1"/>
    <col min="479" max="479" width="9.19921875" bestFit="1" customWidth="1"/>
    <col min="480" max="480" width="10" bestFit="1" customWidth="1"/>
    <col min="482" max="482" width="11.796875" bestFit="1" customWidth="1"/>
    <col min="483" max="483" width="3.69921875" bestFit="1" customWidth="1"/>
    <col min="484" max="484" width="6.5" bestFit="1" customWidth="1"/>
    <col min="485" max="485" width="24" bestFit="1" customWidth="1"/>
    <col min="486" max="486" width="8.296875" bestFit="1" customWidth="1"/>
    <col min="488" max="488" width="8.19921875" bestFit="1" customWidth="1"/>
    <col min="489" max="489" width="11.3984375" bestFit="1" customWidth="1"/>
    <col min="490" max="490" width="11.5" bestFit="1" customWidth="1"/>
    <col min="492" max="492" width="4.796875" bestFit="1" customWidth="1"/>
    <col min="493" max="493" width="7.296875" bestFit="1" customWidth="1"/>
    <col min="494" max="494" width="8.69921875" bestFit="1" customWidth="1"/>
    <col min="495" max="495" width="11.5" bestFit="1" customWidth="1"/>
    <col min="496" max="496" width="5.796875" bestFit="1" customWidth="1"/>
    <col min="498" max="498" width="10.59765625" bestFit="1" customWidth="1"/>
    <col min="499" max="499" width="9.8984375" bestFit="1" customWidth="1"/>
  </cols>
  <sheetData>
    <row r="1" spans="15:499" ht="15" thickBot="1" x14ac:dyDescent="0.25"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</row>
    <row r="2" spans="15:499" ht="15" thickBot="1" x14ac:dyDescent="0.25">
      <c r="O2" s="1" t="s">
        <v>4</v>
      </c>
      <c r="AE2" s="2" t="s">
        <v>0</v>
      </c>
      <c r="AJ2" s="2" t="s">
        <v>1</v>
      </c>
      <c r="AM2" s="3" t="s">
        <v>2</v>
      </c>
      <c r="AN2" s="3" t="s">
        <v>3</v>
      </c>
      <c r="AP2" t="s">
        <v>90</v>
      </c>
      <c r="BD2" s="1"/>
      <c r="BE2" s="1"/>
      <c r="BF2" s="2" t="s">
        <v>0</v>
      </c>
      <c r="BG2" s="1"/>
      <c r="BH2" s="1"/>
      <c r="BI2" s="1"/>
      <c r="BJ2" s="1"/>
      <c r="BK2" s="2" t="s">
        <v>1</v>
      </c>
      <c r="BL2" s="1"/>
      <c r="BM2" s="1"/>
      <c r="BN2" s="3" t="s">
        <v>2</v>
      </c>
      <c r="BO2" s="3" t="s">
        <v>3</v>
      </c>
      <c r="BQ2" t="s">
        <v>106</v>
      </c>
      <c r="CE2" s="1"/>
      <c r="CF2" s="1"/>
      <c r="CG2" s="2" t="s">
        <v>0</v>
      </c>
      <c r="CH2" s="1"/>
      <c r="CI2" s="1"/>
      <c r="CJ2" s="1"/>
      <c r="CK2" s="1"/>
      <c r="CL2" s="2" t="s">
        <v>1</v>
      </c>
      <c r="CM2" s="1"/>
      <c r="CN2" s="1"/>
      <c r="CO2" s="3" t="s">
        <v>2</v>
      </c>
      <c r="CP2" s="3" t="s">
        <v>3</v>
      </c>
      <c r="CR2" t="s">
        <v>125</v>
      </c>
      <c r="DF2" s="1"/>
      <c r="DG2" s="1"/>
      <c r="DH2" s="2" t="s">
        <v>0</v>
      </c>
      <c r="DI2" s="1"/>
      <c r="DJ2" s="1"/>
      <c r="DK2" s="1"/>
      <c r="DL2" s="1"/>
      <c r="DM2" s="2" t="s">
        <v>1</v>
      </c>
      <c r="DN2" s="1"/>
      <c r="DO2" s="1"/>
      <c r="DP2" s="3" t="s">
        <v>2</v>
      </c>
      <c r="DQ2" s="3" t="s">
        <v>3</v>
      </c>
      <c r="DS2" t="s">
        <v>163</v>
      </c>
      <c r="EG2" s="1"/>
      <c r="EH2" s="1"/>
      <c r="EI2" s="2" t="s">
        <v>0</v>
      </c>
      <c r="EJ2" s="1"/>
      <c r="EK2" s="1"/>
      <c r="EL2" s="1"/>
      <c r="EM2" s="1"/>
      <c r="EN2" s="2" t="s">
        <v>1</v>
      </c>
      <c r="EO2" s="1"/>
      <c r="EP2" s="1"/>
      <c r="EQ2" s="3" t="s">
        <v>2</v>
      </c>
      <c r="ER2" s="3" t="s">
        <v>3</v>
      </c>
      <c r="ET2" t="s">
        <v>164</v>
      </c>
      <c r="FH2" s="1"/>
      <c r="FI2" s="1"/>
      <c r="FJ2" s="2" t="s">
        <v>0</v>
      </c>
      <c r="FK2" s="1"/>
      <c r="FL2" s="1"/>
      <c r="FM2" s="1"/>
      <c r="FN2" s="1"/>
      <c r="FO2" s="2" t="s">
        <v>1</v>
      </c>
      <c r="FP2" s="1"/>
      <c r="FQ2" s="1"/>
      <c r="FR2" s="3" t="s">
        <v>2</v>
      </c>
      <c r="FS2" s="3" t="s">
        <v>3</v>
      </c>
      <c r="FU2" t="s">
        <v>174</v>
      </c>
      <c r="GI2" s="1"/>
      <c r="GJ2" s="1"/>
      <c r="GK2" s="2" t="s">
        <v>0</v>
      </c>
      <c r="GL2" s="1"/>
      <c r="GM2" s="1"/>
      <c r="GN2" s="1"/>
      <c r="GO2" s="1"/>
      <c r="GP2" s="2" t="s">
        <v>1</v>
      </c>
      <c r="GQ2" s="1"/>
      <c r="GR2" s="1"/>
      <c r="GS2" s="3" t="s">
        <v>2</v>
      </c>
      <c r="GT2" s="3" t="s">
        <v>3</v>
      </c>
      <c r="GV2" t="s">
        <v>184</v>
      </c>
      <c r="HJ2" s="1"/>
      <c r="HK2" s="1"/>
      <c r="HL2" s="2" t="s">
        <v>0</v>
      </c>
      <c r="HM2" s="1"/>
      <c r="HN2" s="1"/>
      <c r="HO2" s="1"/>
      <c r="HP2" s="1"/>
      <c r="HQ2" s="2" t="s">
        <v>1</v>
      </c>
      <c r="HR2" s="1"/>
      <c r="HS2" s="1"/>
      <c r="HT2" s="3" t="s">
        <v>2</v>
      </c>
      <c r="HU2" s="3" t="s">
        <v>3</v>
      </c>
      <c r="HW2" t="s">
        <v>205</v>
      </c>
      <c r="IK2" s="1"/>
      <c r="IL2" s="1"/>
      <c r="IM2" s="2" t="s">
        <v>0</v>
      </c>
      <c r="IN2" s="1"/>
      <c r="IO2" s="1"/>
      <c r="IP2" s="1"/>
      <c r="IQ2" s="1"/>
      <c r="IR2" s="2" t="s">
        <v>1</v>
      </c>
      <c r="IS2" s="1"/>
      <c r="IT2" s="1"/>
      <c r="IU2" s="3" t="s">
        <v>2</v>
      </c>
      <c r="IV2" s="3" t="s">
        <v>3</v>
      </c>
      <c r="IX2" t="s">
        <v>223</v>
      </c>
      <c r="JL2" s="1"/>
      <c r="JM2" s="1"/>
      <c r="JN2" s="2" t="s">
        <v>0</v>
      </c>
      <c r="JO2" s="1"/>
      <c r="JP2" s="1"/>
      <c r="JQ2" s="1"/>
      <c r="JR2" s="1"/>
      <c r="JS2" s="2" t="s">
        <v>1</v>
      </c>
      <c r="JT2" s="1"/>
      <c r="JU2" s="1"/>
      <c r="JV2" s="3" t="s">
        <v>2</v>
      </c>
      <c r="JW2" s="3" t="s">
        <v>3</v>
      </c>
      <c r="JY2" t="s">
        <v>237</v>
      </c>
      <c r="KM2" s="1"/>
      <c r="KN2" s="1"/>
      <c r="KO2" s="2" t="s">
        <v>0</v>
      </c>
      <c r="KP2" s="1"/>
      <c r="KQ2" s="1"/>
      <c r="KR2" s="1"/>
      <c r="KS2" s="1"/>
      <c r="KT2" s="2" t="s">
        <v>1</v>
      </c>
      <c r="KU2" s="1"/>
      <c r="KV2" s="1"/>
      <c r="KW2" s="3" t="s">
        <v>2</v>
      </c>
      <c r="KX2" s="3" t="s">
        <v>3</v>
      </c>
      <c r="KZ2" t="s">
        <v>252</v>
      </c>
      <c r="LN2" s="1"/>
      <c r="LO2" s="1"/>
      <c r="LP2" s="2" t="s">
        <v>0</v>
      </c>
      <c r="LQ2" s="1"/>
      <c r="LR2" s="1"/>
      <c r="LS2" s="1"/>
      <c r="LT2" s="1"/>
      <c r="LU2" s="2" t="s">
        <v>1</v>
      </c>
      <c r="LV2" s="1"/>
      <c r="LW2" s="1"/>
      <c r="LX2" s="3" t="s">
        <v>2</v>
      </c>
      <c r="LY2" s="3" t="s">
        <v>3</v>
      </c>
      <c r="MA2" t="s">
        <v>258</v>
      </c>
      <c r="MO2" s="1"/>
      <c r="MP2" s="1"/>
      <c r="MQ2" s="2" t="s">
        <v>0</v>
      </c>
      <c r="MR2" s="1"/>
      <c r="MS2" s="1"/>
      <c r="MT2" s="1"/>
      <c r="MU2" s="1"/>
      <c r="MV2" s="2" t="s">
        <v>1</v>
      </c>
      <c r="MW2" s="1"/>
      <c r="MX2" s="1"/>
      <c r="MY2" s="3" t="s">
        <v>2</v>
      </c>
      <c r="MZ2" s="3" t="s">
        <v>3</v>
      </c>
      <c r="NB2" t="s">
        <v>266</v>
      </c>
      <c r="NP2" s="1"/>
      <c r="NQ2" s="1"/>
      <c r="NR2" s="2" t="s">
        <v>0</v>
      </c>
      <c r="NS2" s="1"/>
      <c r="NT2" s="1"/>
      <c r="NU2" s="1"/>
      <c r="NV2" s="1"/>
      <c r="NW2" s="2" t="s">
        <v>1</v>
      </c>
      <c r="NX2" s="1"/>
      <c r="NY2" s="1"/>
      <c r="NZ2" s="3" t="s">
        <v>2</v>
      </c>
      <c r="OA2" s="3" t="s">
        <v>3</v>
      </c>
      <c r="OC2" t="s">
        <v>274</v>
      </c>
      <c r="OQ2" s="1"/>
      <c r="OR2" s="1"/>
      <c r="OS2" s="2" t="s">
        <v>0</v>
      </c>
      <c r="OT2" s="1"/>
      <c r="OU2" s="1"/>
      <c r="OV2" s="1"/>
      <c r="OW2" s="1"/>
      <c r="OX2" s="2" t="s">
        <v>1</v>
      </c>
      <c r="OY2" s="1"/>
      <c r="OZ2" s="1"/>
      <c r="PA2" s="3" t="s">
        <v>2</v>
      </c>
      <c r="PB2" s="3" t="s">
        <v>3</v>
      </c>
      <c r="PD2" t="s">
        <v>280</v>
      </c>
      <c r="PR2" s="1"/>
      <c r="PS2" s="1"/>
      <c r="PT2" s="2" t="s">
        <v>0</v>
      </c>
      <c r="PU2" s="1"/>
      <c r="PV2" s="1"/>
      <c r="PW2" s="1"/>
      <c r="PX2" s="1"/>
      <c r="PY2" s="2" t="s">
        <v>1</v>
      </c>
      <c r="PZ2" s="1"/>
      <c r="QA2" s="1"/>
      <c r="QB2" s="3" t="s">
        <v>2</v>
      </c>
      <c r="QC2" s="3" t="s">
        <v>3</v>
      </c>
      <c r="QE2" t="s">
        <v>294</v>
      </c>
      <c r="QS2" s="1"/>
      <c r="QT2" s="1"/>
      <c r="QU2" s="2" t="s">
        <v>0</v>
      </c>
      <c r="QV2" s="1"/>
      <c r="QW2" s="1"/>
      <c r="QX2" s="1"/>
      <c r="QY2" s="1"/>
      <c r="QZ2" s="2" t="s">
        <v>1</v>
      </c>
      <c r="RA2" s="1"/>
      <c r="RB2" s="1"/>
      <c r="RC2" s="3" t="s">
        <v>2</v>
      </c>
      <c r="RD2" s="3" t="s">
        <v>3</v>
      </c>
      <c r="RF2" t="s">
        <v>1295</v>
      </c>
      <c r="RT2" s="1"/>
      <c r="RU2" s="1"/>
      <c r="RV2" s="2" t="s">
        <v>0</v>
      </c>
      <c r="RW2" s="1"/>
      <c r="RX2" s="1"/>
      <c r="RY2" s="1"/>
      <c r="RZ2" s="1"/>
      <c r="SA2" s="2" t="s">
        <v>1</v>
      </c>
      <c r="SB2" s="1"/>
      <c r="SC2" s="1"/>
      <c r="SD2" s="3" t="s">
        <v>2</v>
      </c>
      <c r="SE2" s="3" t="s">
        <v>3</v>
      </c>
    </row>
    <row r="3" spans="15:499" ht="15" thickBot="1" x14ac:dyDescent="0.25">
      <c r="O3" s="73" t="s">
        <v>4</v>
      </c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5"/>
      <c r="AB3" s="4"/>
      <c r="AD3" s="5"/>
      <c r="AE3" s="6">
        <v>45398</v>
      </c>
      <c r="AF3" s="5"/>
      <c r="AG3" s="5"/>
      <c r="AH3" s="5"/>
      <c r="AJ3" s="7">
        <v>320000</v>
      </c>
      <c r="AK3" s="8"/>
      <c r="AL3" s="5"/>
      <c r="AM3" s="9">
        <f>MAX(AM6:AM104)</f>
        <v>254493.47773435741</v>
      </c>
      <c r="AN3" s="9">
        <f>MAX(AN6:AN76)</f>
        <v>245983.39999999994</v>
      </c>
      <c r="AP3" s="73" t="s">
        <v>90</v>
      </c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5"/>
      <c r="BD3" s="1"/>
      <c r="BE3" s="5"/>
      <c r="BF3" s="6">
        <v>45455</v>
      </c>
      <c r="BG3" s="5"/>
      <c r="BH3" s="5"/>
      <c r="BI3" s="5"/>
      <c r="BJ3" s="1"/>
      <c r="BK3" s="7">
        <v>50000</v>
      </c>
      <c r="BL3" s="8"/>
      <c r="BM3" s="5"/>
      <c r="BN3" s="9">
        <f>MAX(BN6:BN104)</f>
        <v>34542.80437298071</v>
      </c>
      <c r="BO3" s="9">
        <f>MAX(BO6:BO76)</f>
        <v>80891.804999999993</v>
      </c>
      <c r="BQ3" s="73" t="s">
        <v>106</v>
      </c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5"/>
      <c r="CE3" s="1"/>
      <c r="CF3" s="5"/>
      <c r="CG3" s="6">
        <v>45482</v>
      </c>
      <c r="CH3" s="5"/>
      <c r="CI3" s="5"/>
      <c r="CJ3" s="5"/>
      <c r="CK3" s="1"/>
      <c r="CL3" s="7">
        <v>25000000</v>
      </c>
      <c r="CM3" s="8"/>
      <c r="CN3" s="5"/>
      <c r="CO3" s="9">
        <v>5519899.9130702894</v>
      </c>
      <c r="CP3" s="9">
        <v>7082600</v>
      </c>
      <c r="CR3" s="73" t="s">
        <v>125</v>
      </c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5"/>
      <c r="DF3" s="1"/>
      <c r="DG3" s="5"/>
      <c r="DH3" s="6">
        <v>45398</v>
      </c>
      <c r="DI3" s="5"/>
      <c r="DJ3" s="5"/>
      <c r="DK3" s="5"/>
      <c r="DL3" s="1"/>
      <c r="DM3" s="7">
        <v>120000</v>
      </c>
      <c r="DN3" s="8"/>
      <c r="DO3" s="5"/>
      <c r="DP3" s="9">
        <f>MAX(DP6:DP104)</f>
        <v>63546.139527924533</v>
      </c>
      <c r="DQ3" s="9">
        <f>MAX(DQ6:DQ76)</f>
        <v>119110.25199999998</v>
      </c>
      <c r="DS3" s="73" t="s">
        <v>126</v>
      </c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5"/>
      <c r="EE3" s="61"/>
      <c r="EG3" s="1"/>
      <c r="EH3" s="5"/>
      <c r="EI3" s="6">
        <v>45930</v>
      </c>
      <c r="EJ3" s="5"/>
      <c r="EK3" s="5"/>
      <c r="EL3" s="5"/>
      <c r="EM3" s="1"/>
      <c r="EN3" s="7">
        <v>10000</v>
      </c>
      <c r="EO3" s="8"/>
      <c r="EP3" s="5"/>
      <c r="EQ3" s="9">
        <f>MAX(EQ6:EQ104)</f>
        <v>2516.0209957463717</v>
      </c>
      <c r="ER3" s="9">
        <f>MAX(ER6:ER76)</f>
        <v>5466.38</v>
      </c>
      <c r="ET3" s="73" t="s">
        <v>164</v>
      </c>
      <c r="EU3" s="74"/>
      <c r="EV3" s="74"/>
      <c r="EW3" s="74"/>
      <c r="EX3" s="74"/>
      <c r="EY3" s="74"/>
      <c r="EZ3" s="74"/>
      <c r="FA3" s="74"/>
      <c r="FB3" s="74"/>
      <c r="FC3" s="74"/>
      <c r="FD3" s="74"/>
      <c r="FE3" s="75"/>
      <c r="FF3" s="61"/>
      <c r="FH3" s="1"/>
      <c r="FI3" s="5"/>
      <c r="FJ3" s="6">
        <v>45455</v>
      </c>
      <c r="FK3" s="5"/>
      <c r="FL3" s="5"/>
      <c r="FM3" s="5"/>
      <c r="FN3" s="1"/>
      <c r="FO3" s="7">
        <v>100000</v>
      </c>
      <c r="FP3" s="8"/>
      <c r="FQ3" s="5"/>
      <c r="FR3" s="9">
        <f>MAX(FR6:FR104)</f>
        <v>19853.974150792565</v>
      </c>
      <c r="FS3" s="9">
        <f>MAX(FS6:FS76)</f>
        <v>24441.09</v>
      </c>
      <c r="FU3" s="73" t="s">
        <v>174</v>
      </c>
      <c r="FV3" s="74"/>
      <c r="FW3" s="74"/>
      <c r="FX3" s="74"/>
      <c r="FY3" s="74"/>
      <c r="FZ3" s="74"/>
      <c r="GA3" s="74"/>
      <c r="GB3" s="74"/>
      <c r="GC3" s="74"/>
      <c r="GD3" s="74"/>
      <c r="GE3" s="74"/>
      <c r="GF3" s="75"/>
      <c r="GG3" s="61"/>
      <c r="GI3" s="1"/>
      <c r="GJ3" s="5"/>
      <c r="GK3" s="6">
        <v>45455</v>
      </c>
      <c r="GL3" s="5"/>
      <c r="GM3" s="5"/>
      <c r="GN3" s="5"/>
      <c r="GO3" s="1"/>
      <c r="GP3" s="7">
        <v>125000</v>
      </c>
      <c r="GQ3" s="8"/>
      <c r="GR3" s="5"/>
      <c r="GS3" s="9">
        <f>MAX(GS6:GS104)</f>
        <v>124061.16854076317</v>
      </c>
      <c r="GT3" s="9">
        <f>MAX(GT6:GT76)</f>
        <v>115588</v>
      </c>
      <c r="GV3" s="73" t="s">
        <v>184</v>
      </c>
      <c r="GW3" s="74"/>
      <c r="GX3" s="74"/>
      <c r="GY3" s="74"/>
      <c r="GZ3" s="74"/>
      <c r="HA3" s="74"/>
      <c r="HB3" s="74"/>
      <c r="HC3" s="74"/>
      <c r="HD3" s="74"/>
      <c r="HE3" s="74"/>
      <c r="HF3" s="74"/>
      <c r="HG3" s="75"/>
      <c r="HH3" s="61"/>
      <c r="HJ3" s="1"/>
      <c r="HK3" s="5"/>
      <c r="HL3" s="6">
        <v>45455</v>
      </c>
      <c r="HM3" s="5"/>
      <c r="HN3" s="5"/>
      <c r="HO3" s="5"/>
      <c r="HP3" s="1"/>
      <c r="HQ3" s="7">
        <v>1000000</v>
      </c>
      <c r="HR3" s="8"/>
      <c r="HS3" s="5"/>
      <c r="HT3" s="9">
        <f>MAX(HT6:HT104)</f>
        <v>301438.3426818024</v>
      </c>
      <c r="HU3" s="9">
        <f>MAX(HU6:HU76)</f>
        <v>336098.47249999992</v>
      </c>
      <c r="HW3" s="73" t="s">
        <v>205</v>
      </c>
      <c r="HX3" s="74"/>
      <c r="HY3" s="74"/>
      <c r="HZ3" s="74"/>
      <c r="IA3" s="74"/>
      <c r="IB3" s="74"/>
      <c r="IC3" s="74"/>
      <c r="ID3" s="74"/>
      <c r="IE3" s="74"/>
      <c r="IF3" s="74"/>
      <c r="IG3" s="74"/>
      <c r="IH3" s="75"/>
      <c r="II3" s="61"/>
      <c r="IK3" s="1"/>
      <c r="IL3" s="5"/>
      <c r="IM3" s="6">
        <v>46145</v>
      </c>
      <c r="IN3" s="5"/>
      <c r="IO3" s="5"/>
      <c r="IP3" s="5"/>
      <c r="IQ3" s="1"/>
      <c r="IR3" s="7">
        <v>900000</v>
      </c>
      <c r="IS3" s="8"/>
      <c r="IT3" s="5"/>
      <c r="IU3" s="9">
        <f>MAX(IU6:IU104)</f>
        <v>820825.96741205547</v>
      </c>
      <c r="IV3" s="9">
        <f>MAX(IV6:IV76)</f>
        <v>1387500</v>
      </c>
      <c r="IX3" s="73" t="s">
        <v>223</v>
      </c>
      <c r="IY3" s="74"/>
      <c r="IZ3" s="74"/>
      <c r="JA3" s="74"/>
      <c r="JB3" s="74"/>
      <c r="JC3" s="74"/>
      <c r="JD3" s="74"/>
      <c r="JE3" s="74"/>
      <c r="JF3" s="74"/>
      <c r="JG3" s="74"/>
      <c r="JH3" s="74"/>
      <c r="JI3" s="75"/>
      <c r="JJ3" s="61"/>
      <c r="JL3" s="1"/>
      <c r="JM3" s="5"/>
      <c r="JN3" s="6">
        <v>45455</v>
      </c>
      <c r="JO3" s="5"/>
      <c r="JP3" s="5"/>
      <c r="JQ3" s="5"/>
      <c r="JR3" s="1"/>
      <c r="JS3" s="7">
        <v>250000</v>
      </c>
      <c r="JT3" s="8"/>
      <c r="JU3" s="5"/>
      <c r="JV3" s="9">
        <f>MAX(JV6:JV104)</f>
        <v>84908.473283375512</v>
      </c>
      <c r="JW3" s="9">
        <f>MAX(JW6:JW76)</f>
        <v>103893.21389999997</v>
      </c>
      <c r="JY3" s="73" t="s">
        <v>237</v>
      </c>
      <c r="JZ3" s="74"/>
      <c r="KA3" s="74"/>
      <c r="KB3" s="74"/>
      <c r="KC3" s="74"/>
      <c r="KD3" s="74"/>
      <c r="KE3" s="74"/>
      <c r="KF3" s="74"/>
      <c r="KG3" s="74"/>
      <c r="KH3" s="74"/>
      <c r="KI3" s="74"/>
      <c r="KJ3" s="75"/>
      <c r="KK3" s="61"/>
      <c r="KM3" s="1"/>
      <c r="KN3" s="5"/>
      <c r="KO3" s="6">
        <v>45455</v>
      </c>
      <c r="KP3" s="5"/>
      <c r="KQ3" s="5"/>
      <c r="KR3" s="5"/>
      <c r="KS3" s="1"/>
      <c r="KT3" s="7">
        <v>50000</v>
      </c>
      <c r="KU3" s="8"/>
      <c r="KV3" s="5"/>
      <c r="KW3" s="9">
        <f>MAX(KW6:KW104)</f>
        <v>217512.48645110914</v>
      </c>
      <c r="KX3" s="9">
        <f>MAX(KX6:KX76)</f>
        <v>238178.15749999997</v>
      </c>
      <c r="KZ3" s="73" t="s">
        <v>252</v>
      </c>
      <c r="LA3" s="74"/>
      <c r="LB3" s="74"/>
      <c r="LC3" s="74"/>
      <c r="LD3" s="74"/>
      <c r="LE3" s="74"/>
      <c r="LF3" s="74"/>
      <c r="LG3" s="74"/>
      <c r="LH3" s="74"/>
      <c r="LI3" s="74"/>
      <c r="LJ3" s="74"/>
      <c r="LK3" s="75"/>
      <c r="LL3" s="61"/>
      <c r="LN3" s="1"/>
      <c r="LO3" s="5"/>
      <c r="LP3" s="6">
        <v>45455</v>
      </c>
      <c r="LQ3" s="5"/>
      <c r="LR3" s="5"/>
      <c r="LS3" s="5"/>
      <c r="LT3" s="1"/>
      <c r="LU3" s="7">
        <v>10000</v>
      </c>
      <c r="LV3" s="8"/>
      <c r="LW3" s="5"/>
      <c r="LX3" s="9">
        <f>MAX(LX6:LX104)</f>
        <v>4611.8965806595679</v>
      </c>
      <c r="LY3" s="9">
        <f>MAX(LY6:LY76)</f>
        <v>11356.779999999999</v>
      </c>
      <c r="MA3" s="73" t="s">
        <v>258</v>
      </c>
      <c r="MB3" s="74"/>
      <c r="MC3" s="74"/>
      <c r="MD3" s="74"/>
      <c r="ME3" s="74"/>
      <c r="MF3" s="74"/>
      <c r="MG3" s="74"/>
      <c r="MH3" s="74"/>
      <c r="MI3" s="74"/>
      <c r="MJ3" s="74"/>
      <c r="MK3" s="74"/>
      <c r="ML3" s="75"/>
      <c r="MM3" s="61"/>
      <c r="MO3" s="1"/>
      <c r="MP3" s="5"/>
      <c r="MQ3" s="6">
        <v>45455</v>
      </c>
      <c r="MR3" s="5"/>
      <c r="MS3" s="5"/>
      <c r="MT3" s="5"/>
      <c r="MU3" s="1"/>
      <c r="MV3" s="7">
        <v>160000</v>
      </c>
      <c r="MW3" s="8"/>
      <c r="MX3" s="5"/>
      <c r="MY3" s="9">
        <f>MAX(MY6:MY104)</f>
        <v>80491.228280021023</v>
      </c>
      <c r="MZ3" s="9">
        <f>MAX(MZ6:MZ76)</f>
        <v>97352.660999999993</v>
      </c>
      <c r="NB3" s="73" t="s">
        <v>266</v>
      </c>
      <c r="NC3" s="74"/>
      <c r="ND3" s="74"/>
      <c r="NE3" s="74"/>
      <c r="NF3" s="74"/>
      <c r="NG3" s="74"/>
      <c r="NH3" s="74"/>
      <c r="NI3" s="74"/>
      <c r="NJ3" s="74"/>
      <c r="NK3" s="74"/>
      <c r="NL3" s="74"/>
      <c r="NM3" s="75"/>
      <c r="NN3" s="61"/>
      <c r="NP3" s="1"/>
      <c r="NQ3" s="5"/>
      <c r="NR3" s="6">
        <v>45455</v>
      </c>
      <c r="NS3" s="5"/>
      <c r="NT3" s="5"/>
      <c r="NU3" s="5"/>
      <c r="NV3" s="1"/>
      <c r="NW3" s="7">
        <v>16000</v>
      </c>
      <c r="NX3" s="8"/>
      <c r="NY3" s="5"/>
      <c r="NZ3" s="9">
        <f>MAX(NZ6:NZ104)</f>
        <v>6649.513511068044</v>
      </c>
      <c r="OA3" s="9">
        <f>MAX(OA6:OA76)</f>
        <v>9492.35</v>
      </c>
      <c r="OC3" s="73" t="s">
        <v>274</v>
      </c>
      <c r="OD3" s="74"/>
      <c r="OE3" s="74"/>
      <c r="OF3" s="74"/>
      <c r="OG3" s="74"/>
      <c r="OH3" s="74"/>
      <c r="OI3" s="74"/>
      <c r="OJ3" s="74"/>
      <c r="OK3" s="74"/>
      <c r="OL3" s="74"/>
      <c r="OM3" s="74"/>
      <c r="ON3" s="75"/>
      <c r="OO3" s="61"/>
      <c r="OQ3" s="1"/>
      <c r="OR3" s="5"/>
      <c r="OS3" s="6">
        <v>45455</v>
      </c>
      <c r="OT3" s="5"/>
      <c r="OU3" s="5"/>
      <c r="OV3" s="5"/>
      <c r="OW3" s="1"/>
      <c r="OX3" s="7">
        <v>100000</v>
      </c>
      <c r="OY3" s="8"/>
      <c r="OZ3" s="5"/>
      <c r="PA3" s="9">
        <f>MAX(PA6:PA104)</f>
        <v>19266.414003509006</v>
      </c>
      <c r="PB3" s="9">
        <f>MAX(PB6:PB76)</f>
        <v>21847.98792</v>
      </c>
      <c r="PD3" s="73" t="s">
        <v>280</v>
      </c>
      <c r="PE3" s="74"/>
      <c r="PF3" s="74"/>
      <c r="PG3" s="74"/>
      <c r="PH3" s="74"/>
      <c r="PI3" s="74"/>
      <c r="PJ3" s="74"/>
      <c r="PK3" s="74"/>
      <c r="PL3" s="74"/>
      <c r="PM3" s="74"/>
      <c r="PN3" s="74"/>
      <c r="PO3" s="75"/>
      <c r="PP3" s="61"/>
      <c r="PR3" s="1"/>
      <c r="PS3" s="5"/>
      <c r="PT3" s="6">
        <v>46115</v>
      </c>
      <c r="PU3" s="5"/>
      <c r="PV3" s="5"/>
      <c r="PW3" s="5"/>
      <c r="PX3" s="1"/>
      <c r="PY3" s="7">
        <v>30000000</v>
      </c>
      <c r="PZ3" s="8"/>
      <c r="QA3" s="5"/>
      <c r="QB3" s="9">
        <f>MAX(QB6:QB104)</f>
        <v>13104902.778726744</v>
      </c>
      <c r="QC3" s="9">
        <f>MAX(QC6:QC76)</f>
        <v>21012300</v>
      </c>
      <c r="QE3" s="73" t="s">
        <v>294</v>
      </c>
      <c r="QF3" s="74"/>
      <c r="QG3" s="74"/>
      <c r="QH3" s="74"/>
      <c r="QI3" s="74"/>
      <c r="QJ3" s="74"/>
      <c r="QK3" s="74"/>
      <c r="QL3" s="74"/>
      <c r="QM3" s="74"/>
      <c r="QN3" s="74"/>
      <c r="QO3" s="74"/>
      <c r="QP3" s="75"/>
      <c r="QQ3" s="61"/>
      <c r="QS3" s="1"/>
      <c r="QT3" s="5"/>
      <c r="QU3" s="6">
        <v>45455</v>
      </c>
      <c r="QV3" s="5"/>
      <c r="QW3" s="5"/>
      <c r="QX3" s="5"/>
      <c r="QY3" s="1"/>
      <c r="QZ3" s="7">
        <v>100000</v>
      </c>
      <c r="RA3" s="8"/>
      <c r="RB3" s="5"/>
      <c r="RC3" s="9">
        <f>MAX(RC6:RC104)</f>
        <v>141589.22269555138</v>
      </c>
      <c r="RD3" s="9">
        <f>MAX(RD6:RD76)</f>
        <v>129286.20659999999</v>
      </c>
      <c r="RF3" s="73" t="s">
        <v>1295</v>
      </c>
      <c r="RG3" s="74"/>
      <c r="RH3" s="74"/>
      <c r="RI3" s="74"/>
      <c r="RJ3" s="74"/>
      <c r="RK3" s="74"/>
      <c r="RL3" s="74"/>
      <c r="RM3" s="74"/>
      <c r="RN3" s="74"/>
      <c r="RO3" s="74"/>
      <c r="RP3" s="74"/>
      <c r="RQ3" s="75"/>
      <c r="RR3" s="61"/>
      <c r="RT3" s="1"/>
      <c r="RU3" s="5"/>
      <c r="RV3" s="6">
        <v>46023</v>
      </c>
      <c r="RW3" s="5"/>
      <c r="RX3" s="5"/>
      <c r="RY3" s="5"/>
      <c r="RZ3" s="1"/>
      <c r="SA3" s="7">
        <v>100000</v>
      </c>
      <c r="SB3" s="8"/>
      <c r="SC3" s="5"/>
      <c r="SD3" s="9">
        <f>MAX(SD6:SD104)</f>
        <v>230457.10985658522</v>
      </c>
      <c r="SE3" s="9">
        <f>MAX(SE6:SE76)</f>
        <v>238178.15749999997</v>
      </c>
    </row>
    <row r="4" spans="15:499" x14ac:dyDescent="0.2">
      <c r="O4" s="10" t="s">
        <v>5</v>
      </c>
      <c r="P4" s="27" t="s">
        <v>6</v>
      </c>
      <c r="Q4" s="28" t="s">
        <v>7</v>
      </c>
      <c r="R4" s="28" t="s">
        <v>1426</v>
      </c>
      <c r="S4" s="28" t="s">
        <v>8</v>
      </c>
      <c r="T4" s="27" t="s">
        <v>9</v>
      </c>
      <c r="U4" s="28" t="s">
        <v>10</v>
      </c>
      <c r="V4" s="28" t="s">
        <v>11</v>
      </c>
      <c r="W4" s="28" t="s">
        <v>12</v>
      </c>
      <c r="X4" s="27" t="s">
        <v>13</v>
      </c>
      <c r="Y4" s="27" t="s">
        <v>14</v>
      </c>
      <c r="Z4" s="29" t="s">
        <v>15</v>
      </c>
      <c r="AA4" s="29" t="s">
        <v>316</v>
      </c>
      <c r="AB4" s="4"/>
      <c r="AD4" s="5"/>
      <c r="AE4" s="11"/>
      <c r="AF4" s="5"/>
      <c r="AG4" s="5"/>
      <c r="AH4" s="5"/>
      <c r="AI4" s="5"/>
      <c r="AJ4" s="5"/>
      <c r="AK4" s="5"/>
      <c r="AL4" s="5"/>
      <c r="AP4" s="10" t="s">
        <v>5</v>
      </c>
      <c r="AQ4" s="27" t="s">
        <v>6</v>
      </c>
      <c r="AR4" s="28" t="s">
        <v>7</v>
      </c>
      <c r="AS4" s="28" t="s">
        <v>1426</v>
      </c>
      <c r="AT4" s="28" t="s">
        <v>8</v>
      </c>
      <c r="AU4" s="27" t="s">
        <v>9</v>
      </c>
      <c r="AV4" s="28" t="s">
        <v>10</v>
      </c>
      <c r="AW4" s="28" t="s">
        <v>11</v>
      </c>
      <c r="AX4" s="28" t="s">
        <v>12</v>
      </c>
      <c r="AY4" s="27" t="s">
        <v>13</v>
      </c>
      <c r="AZ4" s="27" t="s">
        <v>14</v>
      </c>
      <c r="BA4" s="29" t="s">
        <v>15</v>
      </c>
      <c r="BB4" s="29" t="s">
        <v>316</v>
      </c>
      <c r="BD4" s="1"/>
      <c r="BE4" s="5"/>
      <c r="BF4" s="11"/>
      <c r="BG4" s="5"/>
      <c r="BH4" s="5"/>
      <c r="BI4" s="5"/>
      <c r="BJ4" s="5"/>
      <c r="BK4" s="5"/>
      <c r="BL4" s="5"/>
      <c r="BM4" s="5"/>
      <c r="BN4" s="1"/>
      <c r="BO4" s="1"/>
      <c r="BQ4" s="10" t="s">
        <v>5</v>
      </c>
      <c r="BR4" s="27" t="s">
        <v>91</v>
      </c>
      <c r="BS4" s="28" t="s">
        <v>7</v>
      </c>
      <c r="BT4" s="28" t="s">
        <v>1426</v>
      </c>
      <c r="BU4" s="28" t="s">
        <v>8</v>
      </c>
      <c r="BV4" s="27" t="s">
        <v>9</v>
      </c>
      <c r="BW4" s="28" t="s">
        <v>10</v>
      </c>
      <c r="BX4" s="28" t="s">
        <v>11</v>
      </c>
      <c r="BY4" s="28" t="s">
        <v>12</v>
      </c>
      <c r="BZ4" s="27" t="s">
        <v>13</v>
      </c>
      <c r="CA4" s="27" t="s">
        <v>14</v>
      </c>
      <c r="CB4" s="29" t="s">
        <v>15</v>
      </c>
      <c r="CC4" s="29" t="s">
        <v>316</v>
      </c>
      <c r="CE4" s="1"/>
      <c r="CF4" s="5"/>
      <c r="CG4" s="11"/>
      <c r="CH4" s="5"/>
      <c r="CI4" s="5"/>
      <c r="CJ4" s="5"/>
      <c r="CK4" s="5"/>
      <c r="CL4" s="5"/>
      <c r="CM4" s="5"/>
      <c r="CN4" s="5"/>
      <c r="CO4" s="1"/>
      <c r="CP4" s="1"/>
      <c r="CR4" s="10" t="s">
        <v>5</v>
      </c>
      <c r="CS4" s="27" t="s">
        <v>91</v>
      </c>
      <c r="CT4" s="28" t="s">
        <v>7</v>
      </c>
      <c r="CU4" s="28" t="s">
        <v>1426</v>
      </c>
      <c r="CV4" s="28" t="s">
        <v>8</v>
      </c>
      <c r="CW4" s="27" t="s">
        <v>9</v>
      </c>
      <c r="CX4" s="28" t="s">
        <v>10</v>
      </c>
      <c r="CY4" s="28" t="s">
        <v>11</v>
      </c>
      <c r="CZ4" s="28" t="s">
        <v>12</v>
      </c>
      <c r="DA4" s="27" t="s">
        <v>13</v>
      </c>
      <c r="DB4" s="27" t="s">
        <v>14</v>
      </c>
      <c r="DC4" s="29" t="s">
        <v>15</v>
      </c>
      <c r="DD4" s="29" t="s">
        <v>316</v>
      </c>
      <c r="DF4" s="1"/>
      <c r="DG4" s="5"/>
      <c r="DH4" s="11"/>
      <c r="DI4" s="5"/>
      <c r="DJ4" s="5"/>
      <c r="DK4" s="5"/>
      <c r="DL4" s="5"/>
      <c r="DM4" s="5"/>
      <c r="DN4" s="5"/>
      <c r="DO4" s="5"/>
      <c r="DP4" s="1"/>
      <c r="DQ4" s="1"/>
      <c r="DS4" s="10" t="s">
        <v>5</v>
      </c>
      <c r="DT4" s="27" t="s">
        <v>91</v>
      </c>
      <c r="DU4" s="28" t="s">
        <v>7</v>
      </c>
      <c r="DV4" s="28" t="s">
        <v>1426</v>
      </c>
      <c r="DW4" s="28" t="s">
        <v>8</v>
      </c>
      <c r="DX4" s="27" t="s">
        <v>9</v>
      </c>
      <c r="DY4" s="28" t="s">
        <v>10</v>
      </c>
      <c r="DZ4" s="28" t="s">
        <v>11</v>
      </c>
      <c r="EA4" s="28" t="s">
        <v>12</v>
      </c>
      <c r="EB4" s="27" t="s">
        <v>13</v>
      </c>
      <c r="EC4" s="27" t="s">
        <v>14</v>
      </c>
      <c r="ED4" s="29" t="s">
        <v>15</v>
      </c>
      <c r="EE4" s="29" t="s">
        <v>316</v>
      </c>
      <c r="EG4" s="1"/>
      <c r="EH4" s="5"/>
      <c r="EI4" s="11"/>
      <c r="EJ4" s="5"/>
      <c r="EK4" s="5"/>
      <c r="EL4" s="5"/>
      <c r="EM4" s="5"/>
      <c r="EN4" s="5"/>
      <c r="EO4" s="5"/>
      <c r="EP4" s="5"/>
      <c r="EQ4" s="1"/>
      <c r="ER4" s="1"/>
      <c r="ET4" s="10" t="s">
        <v>5</v>
      </c>
      <c r="EU4" s="27" t="s">
        <v>91</v>
      </c>
      <c r="EV4" s="28" t="s">
        <v>7</v>
      </c>
      <c r="EW4" s="28" t="s">
        <v>1426</v>
      </c>
      <c r="EX4" s="28" t="s">
        <v>8</v>
      </c>
      <c r="EY4" s="27" t="s">
        <v>9</v>
      </c>
      <c r="EZ4" s="28" t="s">
        <v>10</v>
      </c>
      <c r="FA4" s="28" t="s">
        <v>11</v>
      </c>
      <c r="FB4" s="28" t="s">
        <v>12</v>
      </c>
      <c r="FC4" s="27" t="s">
        <v>13</v>
      </c>
      <c r="FD4" s="27" t="s">
        <v>14</v>
      </c>
      <c r="FE4" s="29" t="s">
        <v>15</v>
      </c>
      <c r="FF4" s="29" t="s">
        <v>316</v>
      </c>
      <c r="FH4" s="1"/>
      <c r="FI4" s="5"/>
      <c r="FJ4" s="11"/>
      <c r="FK4" s="5"/>
      <c r="FL4" s="5"/>
      <c r="FM4" s="5"/>
      <c r="FN4" s="5"/>
      <c r="FO4" s="5"/>
      <c r="FP4" s="5"/>
      <c r="FQ4" s="5"/>
      <c r="FR4" s="1"/>
      <c r="FS4" s="1"/>
      <c r="FU4" s="10" t="s">
        <v>5</v>
      </c>
      <c r="FV4" s="27" t="s">
        <v>91</v>
      </c>
      <c r="FW4" s="28" t="s">
        <v>7</v>
      </c>
      <c r="FX4" s="28" t="s">
        <v>1427</v>
      </c>
      <c r="FY4" s="28" t="s">
        <v>8</v>
      </c>
      <c r="FZ4" s="27" t="s">
        <v>9</v>
      </c>
      <c r="GA4" s="28" t="s">
        <v>10</v>
      </c>
      <c r="GB4" s="28" t="s">
        <v>11</v>
      </c>
      <c r="GC4" s="28" t="s">
        <v>12</v>
      </c>
      <c r="GD4" s="27" t="s">
        <v>13</v>
      </c>
      <c r="GE4" s="27" t="s">
        <v>14</v>
      </c>
      <c r="GF4" s="29" t="s">
        <v>15</v>
      </c>
      <c r="GG4" s="29" t="s">
        <v>316</v>
      </c>
      <c r="GI4" s="1"/>
      <c r="GJ4" s="5"/>
      <c r="GK4" s="11"/>
      <c r="GL4" s="5"/>
      <c r="GM4" s="5"/>
      <c r="GN4" s="5"/>
      <c r="GO4" s="5"/>
      <c r="GP4" s="5"/>
      <c r="GQ4" s="5"/>
      <c r="GR4" s="5"/>
      <c r="GS4" s="1"/>
      <c r="GT4" s="1"/>
      <c r="GV4" s="10" t="s">
        <v>5</v>
      </c>
      <c r="GW4" s="27" t="s">
        <v>91</v>
      </c>
      <c r="GX4" s="28" t="s">
        <v>7</v>
      </c>
      <c r="GY4" s="28" t="s">
        <v>1426</v>
      </c>
      <c r="GZ4" s="28" t="s">
        <v>8</v>
      </c>
      <c r="HA4" s="27" t="s">
        <v>9</v>
      </c>
      <c r="HB4" s="28" t="s">
        <v>10</v>
      </c>
      <c r="HC4" s="28" t="s">
        <v>11</v>
      </c>
      <c r="HD4" s="28" t="s">
        <v>12</v>
      </c>
      <c r="HE4" s="27" t="s">
        <v>13</v>
      </c>
      <c r="HF4" s="27" t="s">
        <v>14</v>
      </c>
      <c r="HG4" s="29" t="s">
        <v>15</v>
      </c>
      <c r="HH4" s="29"/>
      <c r="HJ4" s="1"/>
      <c r="HK4" s="5"/>
      <c r="HL4" s="11"/>
      <c r="HM4" s="5"/>
      <c r="HN4" s="5"/>
      <c r="HO4" s="5"/>
      <c r="HP4" s="5"/>
      <c r="HQ4" s="5"/>
      <c r="HR4" s="5"/>
      <c r="HS4" s="5"/>
      <c r="HT4" s="1"/>
      <c r="HU4" s="1"/>
      <c r="HW4" s="10" t="s">
        <v>5</v>
      </c>
      <c r="HX4" s="27" t="s">
        <v>91</v>
      </c>
      <c r="HY4" s="28" t="s">
        <v>7</v>
      </c>
      <c r="HZ4" s="28" t="s">
        <v>1426</v>
      </c>
      <c r="IA4" s="28" t="s">
        <v>8</v>
      </c>
      <c r="IB4" s="27" t="s">
        <v>9</v>
      </c>
      <c r="IC4" s="28" t="s">
        <v>10</v>
      </c>
      <c r="ID4" s="28" t="s">
        <v>11</v>
      </c>
      <c r="IE4" s="28" t="s">
        <v>12</v>
      </c>
      <c r="IF4" s="27" t="s">
        <v>13</v>
      </c>
      <c r="IG4" s="27" t="s">
        <v>14</v>
      </c>
      <c r="IH4" s="29" t="s">
        <v>15</v>
      </c>
      <c r="II4" s="29" t="s">
        <v>316</v>
      </c>
      <c r="IK4" s="1"/>
      <c r="IL4" s="5"/>
      <c r="IM4" s="11"/>
      <c r="IN4" s="5"/>
      <c r="IO4" s="5"/>
      <c r="IP4" s="5"/>
      <c r="IQ4" s="5"/>
      <c r="IR4" s="5"/>
      <c r="IS4" s="5"/>
      <c r="IT4" s="5"/>
      <c r="IU4" s="1"/>
      <c r="IV4" s="1"/>
      <c r="IX4" s="10" t="s">
        <v>5</v>
      </c>
      <c r="IY4" s="27" t="s">
        <v>91</v>
      </c>
      <c r="IZ4" s="28" t="s">
        <v>7</v>
      </c>
      <c r="JA4" s="28" t="s">
        <v>1426</v>
      </c>
      <c r="JB4" s="28" t="s">
        <v>8</v>
      </c>
      <c r="JC4" s="27" t="s">
        <v>9</v>
      </c>
      <c r="JD4" s="28" t="s">
        <v>10</v>
      </c>
      <c r="JE4" s="28" t="s">
        <v>11</v>
      </c>
      <c r="JF4" s="28" t="s">
        <v>12</v>
      </c>
      <c r="JG4" s="27" t="s">
        <v>13</v>
      </c>
      <c r="JH4" s="27" t="s">
        <v>14</v>
      </c>
      <c r="JI4" s="29" t="s">
        <v>15</v>
      </c>
      <c r="JJ4" s="29" t="s">
        <v>316</v>
      </c>
      <c r="JL4" s="1"/>
      <c r="JM4" s="5"/>
      <c r="JN4" s="11"/>
      <c r="JO4" s="5"/>
      <c r="JP4" s="5"/>
      <c r="JQ4" s="5"/>
      <c r="JR4" s="5"/>
      <c r="JS4" s="5"/>
      <c r="JT4" s="5"/>
      <c r="JU4" s="5"/>
      <c r="JV4" s="1"/>
      <c r="JW4" s="1"/>
      <c r="JY4" s="10" t="s">
        <v>5</v>
      </c>
      <c r="JZ4" s="27" t="s">
        <v>91</v>
      </c>
      <c r="KA4" s="28" t="s">
        <v>7</v>
      </c>
      <c r="KB4" s="28" t="s">
        <v>1426</v>
      </c>
      <c r="KC4" s="28" t="s">
        <v>8</v>
      </c>
      <c r="KD4" s="27" t="s">
        <v>9</v>
      </c>
      <c r="KE4" s="28" t="s">
        <v>10</v>
      </c>
      <c r="KF4" s="28" t="s">
        <v>11</v>
      </c>
      <c r="KG4" s="28" t="s">
        <v>12</v>
      </c>
      <c r="KH4" s="27" t="s">
        <v>13</v>
      </c>
      <c r="KI4" s="27" t="s">
        <v>14</v>
      </c>
      <c r="KJ4" s="29" t="s">
        <v>15</v>
      </c>
      <c r="KK4" s="29" t="s">
        <v>316</v>
      </c>
      <c r="KM4" s="1"/>
      <c r="KN4" s="5"/>
      <c r="KO4" s="11"/>
      <c r="KP4" s="5"/>
      <c r="KQ4" s="5"/>
      <c r="KR4" s="5"/>
      <c r="KS4" s="5"/>
      <c r="KT4" s="5"/>
      <c r="KU4" s="5"/>
      <c r="KV4" s="5"/>
      <c r="KW4" s="1"/>
      <c r="KX4" s="1"/>
      <c r="KZ4" s="10" t="s">
        <v>5</v>
      </c>
      <c r="LA4" s="27" t="s">
        <v>91</v>
      </c>
      <c r="LB4" s="28" t="s">
        <v>7</v>
      </c>
      <c r="LC4" s="28" t="s">
        <v>1426</v>
      </c>
      <c r="LD4" s="28" t="s">
        <v>8</v>
      </c>
      <c r="LE4" s="27" t="s">
        <v>9</v>
      </c>
      <c r="LF4" s="28" t="s">
        <v>10</v>
      </c>
      <c r="LG4" s="28" t="s">
        <v>11</v>
      </c>
      <c r="LH4" s="28" t="s">
        <v>12</v>
      </c>
      <c r="LI4" s="27" t="s">
        <v>13</v>
      </c>
      <c r="LJ4" s="27" t="s">
        <v>14</v>
      </c>
      <c r="LK4" s="29" t="s">
        <v>15</v>
      </c>
      <c r="LL4" s="29" t="s">
        <v>316</v>
      </c>
      <c r="LN4" s="1"/>
      <c r="LO4" s="5"/>
      <c r="LP4" s="11"/>
      <c r="LQ4" s="5"/>
      <c r="LR4" s="5"/>
      <c r="LS4" s="5"/>
      <c r="LT4" s="5"/>
      <c r="LU4" s="5"/>
      <c r="LV4" s="5"/>
      <c r="LW4" s="5"/>
      <c r="LX4" s="1"/>
      <c r="LY4" s="1"/>
      <c r="MA4" s="10" t="s">
        <v>5</v>
      </c>
      <c r="MB4" s="27" t="s">
        <v>91</v>
      </c>
      <c r="MC4" s="28" t="s">
        <v>7</v>
      </c>
      <c r="MD4" s="28" t="s">
        <v>1426</v>
      </c>
      <c r="ME4" s="28" t="s">
        <v>8</v>
      </c>
      <c r="MF4" s="27" t="s">
        <v>9</v>
      </c>
      <c r="MG4" s="28" t="s">
        <v>10</v>
      </c>
      <c r="MH4" s="28" t="s">
        <v>11</v>
      </c>
      <c r="MI4" s="28" t="s">
        <v>12</v>
      </c>
      <c r="MJ4" s="27" t="s">
        <v>13</v>
      </c>
      <c r="MK4" s="27" t="s">
        <v>14</v>
      </c>
      <c r="ML4" s="29" t="s">
        <v>15</v>
      </c>
      <c r="MM4" s="29" t="s">
        <v>316</v>
      </c>
      <c r="MO4" s="1"/>
      <c r="MP4" s="5"/>
      <c r="MQ4" s="11"/>
      <c r="MR4" s="5"/>
      <c r="MS4" s="5"/>
      <c r="MT4" s="5"/>
      <c r="MU4" s="5"/>
      <c r="MV4" s="5"/>
      <c r="MW4" s="5"/>
      <c r="MX4" s="5"/>
      <c r="MY4" s="1"/>
      <c r="MZ4" s="1"/>
      <c r="NB4" s="10" t="s">
        <v>5</v>
      </c>
      <c r="NC4" s="27" t="s">
        <v>91</v>
      </c>
      <c r="ND4" s="28" t="s">
        <v>7</v>
      </c>
      <c r="NE4" s="28" t="s">
        <v>1426</v>
      </c>
      <c r="NF4" s="28" t="s">
        <v>8</v>
      </c>
      <c r="NG4" s="27" t="s">
        <v>9</v>
      </c>
      <c r="NH4" s="28" t="s">
        <v>10</v>
      </c>
      <c r="NI4" s="28" t="s">
        <v>11</v>
      </c>
      <c r="NJ4" s="28" t="s">
        <v>12</v>
      </c>
      <c r="NK4" s="27" t="s">
        <v>13</v>
      </c>
      <c r="NL4" s="27" t="s">
        <v>14</v>
      </c>
      <c r="NM4" s="29" t="s">
        <v>15</v>
      </c>
      <c r="NN4" s="29" t="s">
        <v>316</v>
      </c>
      <c r="NP4" s="1"/>
      <c r="NQ4" s="5"/>
      <c r="NR4" s="11"/>
      <c r="NS4" s="5"/>
      <c r="NT4" s="5"/>
      <c r="NU4" s="5"/>
      <c r="NV4" s="5"/>
      <c r="NW4" s="5"/>
      <c r="NX4" s="5"/>
      <c r="NY4" s="5"/>
      <c r="NZ4" s="1"/>
      <c r="OA4" s="1"/>
      <c r="OC4" s="10" t="s">
        <v>5</v>
      </c>
      <c r="OD4" s="27" t="s">
        <v>91</v>
      </c>
      <c r="OE4" s="28" t="s">
        <v>7</v>
      </c>
      <c r="OF4" s="28" t="s">
        <v>1426</v>
      </c>
      <c r="OG4" s="28" t="s">
        <v>8</v>
      </c>
      <c r="OH4" s="27" t="s">
        <v>9</v>
      </c>
      <c r="OI4" s="28" t="s">
        <v>10</v>
      </c>
      <c r="OJ4" s="28" t="s">
        <v>11</v>
      </c>
      <c r="OK4" s="28" t="s">
        <v>12</v>
      </c>
      <c r="OL4" s="27" t="s">
        <v>13</v>
      </c>
      <c r="OM4" s="27" t="s">
        <v>14</v>
      </c>
      <c r="ON4" s="29" t="s">
        <v>15</v>
      </c>
      <c r="OO4" s="29" t="s">
        <v>316</v>
      </c>
      <c r="OQ4" s="1"/>
      <c r="OR4" s="5"/>
      <c r="OS4" s="11"/>
      <c r="OT4" s="5"/>
      <c r="OU4" s="5"/>
      <c r="OV4" s="5"/>
      <c r="OW4" s="5"/>
      <c r="OX4" s="5"/>
      <c r="OY4" s="5"/>
      <c r="OZ4" s="5"/>
      <c r="PA4" s="1"/>
      <c r="PB4" s="1"/>
      <c r="PD4" s="10" t="s">
        <v>5</v>
      </c>
      <c r="PE4" s="27" t="s">
        <v>91</v>
      </c>
      <c r="PF4" s="28" t="s">
        <v>7</v>
      </c>
      <c r="PG4" s="28" t="s">
        <v>1426</v>
      </c>
      <c r="PH4" s="28" t="s">
        <v>8</v>
      </c>
      <c r="PI4" s="27" t="s">
        <v>9</v>
      </c>
      <c r="PJ4" s="28" t="s">
        <v>10</v>
      </c>
      <c r="PK4" s="28" t="s">
        <v>11</v>
      </c>
      <c r="PL4" s="28" t="s">
        <v>12</v>
      </c>
      <c r="PM4" s="27" t="s">
        <v>13</v>
      </c>
      <c r="PN4" s="27" t="s">
        <v>14</v>
      </c>
      <c r="PO4" s="29" t="s">
        <v>15</v>
      </c>
      <c r="PP4" s="29" t="s">
        <v>316</v>
      </c>
      <c r="PR4" s="1"/>
      <c r="PS4" s="5"/>
      <c r="PT4" s="11"/>
      <c r="PU4" s="5"/>
      <c r="PV4" s="5"/>
      <c r="PW4" s="5"/>
      <c r="PX4" s="5"/>
      <c r="PY4" s="5"/>
      <c r="PZ4" s="5"/>
      <c r="QA4" s="5"/>
      <c r="QB4" s="1"/>
      <c r="QC4" s="1"/>
      <c r="QE4" s="10" t="s">
        <v>5</v>
      </c>
      <c r="QF4" s="27" t="s">
        <v>91</v>
      </c>
      <c r="QG4" s="28" t="s">
        <v>7</v>
      </c>
      <c r="QH4" s="28" t="s">
        <v>1426</v>
      </c>
      <c r="QI4" s="28" t="s">
        <v>8</v>
      </c>
      <c r="QJ4" s="27" t="s">
        <v>9</v>
      </c>
      <c r="QK4" s="28" t="s">
        <v>10</v>
      </c>
      <c r="QL4" s="28" t="s">
        <v>11</v>
      </c>
      <c r="QM4" s="28" t="s">
        <v>12</v>
      </c>
      <c r="QN4" s="27" t="s">
        <v>13</v>
      </c>
      <c r="QO4" s="27" t="s">
        <v>14</v>
      </c>
      <c r="QP4" s="29" t="s">
        <v>15</v>
      </c>
      <c r="QQ4" s="29" t="s">
        <v>316</v>
      </c>
      <c r="QS4" s="1"/>
      <c r="QT4" s="5"/>
      <c r="QU4" s="11"/>
      <c r="QV4" s="5"/>
      <c r="QW4" s="5"/>
      <c r="QX4" s="5"/>
      <c r="QY4" s="5"/>
      <c r="QZ4" s="5"/>
      <c r="RA4" s="5"/>
      <c r="RB4" s="5"/>
      <c r="RC4" s="1"/>
      <c r="RD4" s="1"/>
      <c r="RF4" s="10" t="s">
        <v>5</v>
      </c>
      <c r="RG4" s="27" t="s">
        <v>91</v>
      </c>
      <c r="RH4" s="28" t="s">
        <v>7</v>
      </c>
      <c r="RI4" s="28" t="s">
        <v>1426</v>
      </c>
      <c r="RJ4" s="28" t="s">
        <v>8</v>
      </c>
      <c r="RK4" s="27" t="s">
        <v>9</v>
      </c>
      <c r="RL4" s="28" t="s">
        <v>10</v>
      </c>
      <c r="RM4" s="28" t="s">
        <v>11</v>
      </c>
      <c r="RN4" s="28" t="s">
        <v>12</v>
      </c>
      <c r="RO4" s="27" t="s">
        <v>13</v>
      </c>
      <c r="RP4" s="27" t="s">
        <v>14</v>
      </c>
      <c r="RQ4" s="29" t="s">
        <v>15</v>
      </c>
      <c r="RR4" s="29" t="s">
        <v>316</v>
      </c>
      <c r="RT4" s="1"/>
      <c r="RU4" s="5"/>
      <c r="RV4" s="11"/>
      <c r="RW4" s="5"/>
      <c r="RX4" s="5"/>
      <c r="RY4" s="5"/>
      <c r="RZ4" s="5"/>
      <c r="SA4" s="5"/>
      <c r="SB4" s="5"/>
      <c r="SC4" s="5"/>
      <c r="SD4" s="1"/>
      <c r="SE4" s="1"/>
    </row>
    <row r="5" spans="15:499" x14ac:dyDescent="0.2">
      <c r="O5" s="12" t="s">
        <v>16</v>
      </c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4"/>
      <c r="AC5" s="13" t="s">
        <v>17</v>
      </c>
      <c r="AD5" s="14" t="s">
        <v>18</v>
      </c>
      <c r="AE5" s="15" t="s">
        <v>19</v>
      </c>
      <c r="AF5" s="5"/>
      <c r="AG5" s="5" t="s">
        <v>20</v>
      </c>
      <c r="AH5" s="5" t="s">
        <v>21</v>
      </c>
      <c r="AI5" s="5" t="s">
        <v>22</v>
      </c>
      <c r="AJ5" s="5" t="s">
        <v>23</v>
      </c>
      <c r="AK5" s="5" t="s">
        <v>24</v>
      </c>
      <c r="AL5" s="5"/>
      <c r="AP5" s="12" t="s">
        <v>16</v>
      </c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1"/>
      <c r="BB5" s="31"/>
      <c r="BD5" s="13" t="s">
        <v>17</v>
      </c>
      <c r="BE5" s="14" t="s">
        <v>18</v>
      </c>
      <c r="BF5" s="15" t="s">
        <v>19</v>
      </c>
      <c r="BG5" s="5"/>
      <c r="BH5" s="5" t="s">
        <v>20</v>
      </c>
      <c r="BI5" s="5" t="s">
        <v>21</v>
      </c>
      <c r="BJ5" s="5" t="s">
        <v>22</v>
      </c>
      <c r="BK5" s="5" t="s">
        <v>23</v>
      </c>
      <c r="BL5" s="5" t="s">
        <v>24</v>
      </c>
      <c r="BM5" s="5"/>
      <c r="BN5" s="1"/>
      <c r="BO5" s="1"/>
      <c r="BQ5" s="12" t="s">
        <v>16</v>
      </c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1"/>
      <c r="CC5" s="31"/>
      <c r="CE5" s="13" t="s">
        <v>116</v>
      </c>
      <c r="CF5" s="14" t="s">
        <v>18</v>
      </c>
      <c r="CG5" s="15" t="s">
        <v>19</v>
      </c>
      <c r="CH5" s="5"/>
      <c r="CI5" s="5" t="s">
        <v>20</v>
      </c>
      <c r="CJ5" s="5" t="s">
        <v>21</v>
      </c>
      <c r="CK5" s="5" t="s">
        <v>22</v>
      </c>
      <c r="CL5" s="5" t="s">
        <v>23</v>
      </c>
      <c r="CM5" s="5" t="s">
        <v>24</v>
      </c>
      <c r="CN5" s="5"/>
      <c r="CO5" s="1"/>
      <c r="CP5" s="1"/>
      <c r="CR5" s="12" t="s">
        <v>16</v>
      </c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1"/>
      <c r="DD5" s="31"/>
      <c r="DF5" s="13" t="s">
        <v>17</v>
      </c>
      <c r="DG5" s="14" t="s">
        <v>18</v>
      </c>
      <c r="DH5" s="15" t="s">
        <v>19</v>
      </c>
      <c r="DI5" s="5"/>
      <c r="DJ5" s="5" t="s">
        <v>20</v>
      </c>
      <c r="DK5" s="5" t="s">
        <v>21</v>
      </c>
      <c r="DL5" s="5" t="s">
        <v>22</v>
      </c>
      <c r="DM5" s="5" t="s">
        <v>23</v>
      </c>
      <c r="DN5" s="5" t="s">
        <v>24</v>
      </c>
      <c r="DO5" s="5"/>
      <c r="DP5" s="1"/>
      <c r="DQ5" s="1"/>
      <c r="DS5" s="12" t="s">
        <v>16</v>
      </c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1"/>
      <c r="EE5" s="31"/>
      <c r="EG5" s="13" t="s">
        <v>162</v>
      </c>
      <c r="EH5" s="14" t="s">
        <v>18</v>
      </c>
      <c r="EI5" s="15" t="s">
        <v>19</v>
      </c>
      <c r="EJ5" s="5"/>
      <c r="EK5" s="5" t="s">
        <v>20</v>
      </c>
      <c r="EL5" s="5" t="s">
        <v>21</v>
      </c>
      <c r="EM5" s="5" t="s">
        <v>22</v>
      </c>
      <c r="EN5" s="5" t="s">
        <v>23</v>
      </c>
      <c r="EO5" s="5" t="s">
        <v>24</v>
      </c>
      <c r="EP5" s="5"/>
      <c r="EQ5" s="1"/>
      <c r="ER5" s="1"/>
      <c r="ET5" s="12" t="s">
        <v>16</v>
      </c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1"/>
      <c r="FF5" s="31"/>
      <c r="FH5" s="13" t="s">
        <v>17</v>
      </c>
      <c r="FI5" s="14" t="s">
        <v>18</v>
      </c>
      <c r="FJ5" s="15" t="s">
        <v>19</v>
      </c>
      <c r="FK5" s="5"/>
      <c r="FL5" s="5" t="s">
        <v>20</v>
      </c>
      <c r="FM5" s="5" t="s">
        <v>21</v>
      </c>
      <c r="FN5" s="5" t="s">
        <v>22</v>
      </c>
      <c r="FO5" s="5" t="s">
        <v>23</v>
      </c>
      <c r="FP5" s="5" t="s">
        <v>24</v>
      </c>
      <c r="FQ5" s="5"/>
      <c r="FR5" s="1"/>
      <c r="FS5" s="1"/>
      <c r="FU5" s="12" t="s">
        <v>16</v>
      </c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1"/>
      <c r="GG5" s="31"/>
      <c r="GI5" s="13" t="s">
        <v>17</v>
      </c>
      <c r="GJ5" s="14" t="s">
        <v>18</v>
      </c>
      <c r="GK5" s="15" t="s">
        <v>19</v>
      </c>
      <c r="GL5" s="5"/>
      <c r="GM5" s="5" t="s">
        <v>20</v>
      </c>
      <c r="GN5" s="5" t="s">
        <v>21</v>
      </c>
      <c r="GO5" s="5" t="s">
        <v>22</v>
      </c>
      <c r="GP5" s="5" t="s">
        <v>23</v>
      </c>
      <c r="GQ5" s="5" t="s">
        <v>24</v>
      </c>
      <c r="GR5" s="5"/>
      <c r="GS5" s="1"/>
      <c r="GT5" s="1"/>
      <c r="GV5" s="12" t="s">
        <v>16</v>
      </c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1"/>
      <c r="HH5" s="31"/>
      <c r="HJ5" s="13" t="s">
        <v>17</v>
      </c>
      <c r="HK5" s="14" t="s">
        <v>18</v>
      </c>
      <c r="HL5" s="15" t="s">
        <v>19</v>
      </c>
      <c r="HM5" s="5"/>
      <c r="HN5" s="5" t="s">
        <v>20</v>
      </c>
      <c r="HO5" s="5" t="s">
        <v>21</v>
      </c>
      <c r="HP5" s="5" t="s">
        <v>22</v>
      </c>
      <c r="HQ5" s="5" t="s">
        <v>23</v>
      </c>
      <c r="HR5" s="5" t="s">
        <v>24</v>
      </c>
      <c r="HS5" s="5"/>
      <c r="HT5" s="1"/>
      <c r="HU5" s="1"/>
      <c r="HW5" s="12" t="s">
        <v>16</v>
      </c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1"/>
      <c r="II5" s="31"/>
      <c r="IK5" s="13" t="s">
        <v>222</v>
      </c>
      <c r="IL5" s="14" t="s">
        <v>18</v>
      </c>
      <c r="IM5" s="15" t="s">
        <v>19</v>
      </c>
      <c r="IN5" s="5"/>
      <c r="IO5" s="5" t="s">
        <v>20</v>
      </c>
      <c r="IP5" s="5" t="s">
        <v>21</v>
      </c>
      <c r="IQ5" s="5" t="s">
        <v>22</v>
      </c>
      <c r="IR5" s="5" t="s">
        <v>23</v>
      </c>
      <c r="IS5" s="5" t="s">
        <v>24</v>
      </c>
      <c r="IT5" s="5"/>
      <c r="IU5" s="1"/>
      <c r="IV5" s="1"/>
      <c r="IX5" s="12" t="s">
        <v>16</v>
      </c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1"/>
      <c r="JJ5" s="31"/>
      <c r="JL5" s="13" t="s">
        <v>17</v>
      </c>
      <c r="JM5" s="14" t="s">
        <v>18</v>
      </c>
      <c r="JN5" s="15" t="s">
        <v>19</v>
      </c>
      <c r="JO5" s="5"/>
      <c r="JP5" s="5" t="s">
        <v>20</v>
      </c>
      <c r="JQ5" s="5" t="s">
        <v>21</v>
      </c>
      <c r="JR5" s="5" t="s">
        <v>22</v>
      </c>
      <c r="JS5" s="5" t="s">
        <v>23</v>
      </c>
      <c r="JT5" s="5" t="s">
        <v>24</v>
      </c>
      <c r="JU5" s="5"/>
      <c r="JV5" s="1"/>
      <c r="JW5" s="1"/>
      <c r="JY5" s="12" t="s">
        <v>16</v>
      </c>
      <c r="JZ5" s="30"/>
      <c r="KA5" s="30"/>
      <c r="KB5" s="30"/>
      <c r="KC5" s="30"/>
      <c r="KD5" s="30"/>
      <c r="KE5" s="30"/>
      <c r="KF5" s="30"/>
      <c r="KG5" s="30"/>
      <c r="KH5" s="30"/>
      <c r="KI5" s="30"/>
      <c r="KJ5" s="31"/>
      <c r="KK5" s="31"/>
      <c r="KM5" s="13" t="s">
        <v>17</v>
      </c>
      <c r="KN5" s="14" t="s">
        <v>18</v>
      </c>
      <c r="KO5" s="15" t="s">
        <v>19</v>
      </c>
      <c r="KP5" s="5"/>
      <c r="KQ5" s="5" t="s">
        <v>20</v>
      </c>
      <c r="KR5" s="5" t="s">
        <v>21</v>
      </c>
      <c r="KS5" s="5" t="s">
        <v>22</v>
      </c>
      <c r="KT5" s="5" t="s">
        <v>23</v>
      </c>
      <c r="KU5" s="5" t="s">
        <v>24</v>
      </c>
      <c r="KV5" s="5"/>
      <c r="KW5" s="1"/>
      <c r="KX5" s="1"/>
      <c r="KZ5" s="12" t="s">
        <v>16</v>
      </c>
      <c r="LA5" s="30"/>
      <c r="LB5" s="30"/>
      <c r="LC5" s="30"/>
      <c r="LD5" s="30"/>
      <c r="LE5" s="30"/>
      <c r="LF5" s="30"/>
      <c r="LG5" s="30"/>
      <c r="LH5" s="30"/>
      <c r="LI5" s="30"/>
      <c r="LJ5" s="30"/>
      <c r="LK5" s="31"/>
      <c r="LL5" s="31"/>
      <c r="LN5" s="13" t="s">
        <v>17</v>
      </c>
      <c r="LO5" s="14" t="s">
        <v>18</v>
      </c>
      <c r="LP5" s="15" t="s">
        <v>19</v>
      </c>
      <c r="LQ5" s="5"/>
      <c r="LR5" s="5" t="s">
        <v>20</v>
      </c>
      <c r="LS5" s="5" t="s">
        <v>21</v>
      </c>
      <c r="LT5" s="5" t="s">
        <v>22</v>
      </c>
      <c r="LU5" s="5" t="s">
        <v>23</v>
      </c>
      <c r="LV5" s="5" t="s">
        <v>24</v>
      </c>
      <c r="LW5" s="5"/>
      <c r="LX5" s="1"/>
      <c r="LY5" s="1"/>
      <c r="MA5" s="12" t="s">
        <v>16</v>
      </c>
      <c r="MB5" s="30"/>
      <c r="MC5" s="30"/>
      <c r="MD5" s="30"/>
      <c r="ME5" s="30"/>
      <c r="MF5" s="30"/>
      <c r="MG5" s="30"/>
      <c r="MH5" s="30"/>
      <c r="MI5" s="30"/>
      <c r="MJ5" s="30"/>
      <c r="MK5" s="30"/>
      <c r="ML5" s="31"/>
      <c r="MM5" s="31"/>
      <c r="MO5" s="13" t="s">
        <v>17</v>
      </c>
      <c r="MP5" s="14" t="s">
        <v>18</v>
      </c>
      <c r="MQ5" s="15" t="s">
        <v>19</v>
      </c>
      <c r="MR5" s="5"/>
      <c r="MS5" s="5" t="s">
        <v>20</v>
      </c>
      <c r="MT5" s="5" t="s">
        <v>21</v>
      </c>
      <c r="MU5" s="5" t="s">
        <v>22</v>
      </c>
      <c r="MV5" s="5" t="s">
        <v>23</v>
      </c>
      <c r="MW5" s="5" t="s">
        <v>24</v>
      </c>
      <c r="MX5" s="5"/>
      <c r="MY5" s="1"/>
      <c r="MZ5" s="1"/>
      <c r="NB5" s="12" t="s">
        <v>16</v>
      </c>
      <c r="NC5" s="30"/>
      <c r="ND5" s="30"/>
      <c r="NE5" s="30"/>
      <c r="NF5" s="30"/>
      <c r="NG5" s="30"/>
      <c r="NH5" s="30"/>
      <c r="NI5" s="30"/>
      <c r="NJ5" s="30"/>
      <c r="NK5" s="30"/>
      <c r="NL5" s="30"/>
      <c r="NM5" s="31"/>
      <c r="NN5" s="31"/>
      <c r="NP5" s="13" t="s">
        <v>17</v>
      </c>
      <c r="NQ5" s="14" t="s">
        <v>18</v>
      </c>
      <c r="NR5" s="15" t="s">
        <v>19</v>
      </c>
      <c r="NS5" s="5"/>
      <c r="NT5" s="5" t="s">
        <v>20</v>
      </c>
      <c r="NU5" s="5" t="s">
        <v>21</v>
      </c>
      <c r="NV5" s="5" t="s">
        <v>22</v>
      </c>
      <c r="NW5" s="5" t="s">
        <v>23</v>
      </c>
      <c r="NX5" s="5" t="s">
        <v>24</v>
      </c>
      <c r="NY5" s="5"/>
      <c r="NZ5" s="1"/>
      <c r="OA5" s="1"/>
      <c r="OC5" s="12" t="s">
        <v>16</v>
      </c>
      <c r="OD5" s="30"/>
      <c r="OE5" s="30"/>
      <c r="OF5" s="30"/>
      <c r="OG5" s="30"/>
      <c r="OH5" s="30"/>
      <c r="OI5" s="30"/>
      <c r="OJ5" s="30"/>
      <c r="OK5" s="30"/>
      <c r="OL5" s="30"/>
      <c r="OM5" s="30"/>
      <c r="ON5" s="31"/>
      <c r="OO5" s="31"/>
      <c r="OQ5" s="13" t="s">
        <v>279</v>
      </c>
      <c r="OR5" s="14" t="s">
        <v>18</v>
      </c>
      <c r="OS5" s="15" t="s">
        <v>19</v>
      </c>
      <c r="OT5" s="5"/>
      <c r="OU5" s="5" t="s">
        <v>20</v>
      </c>
      <c r="OV5" s="5" t="s">
        <v>21</v>
      </c>
      <c r="OW5" s="5" t="s">
        <v>22</v>
      </c>
      <c r="OX5" s="5" t="s">
        <v>23</v>
      </c>
      <c r="OY5" s="5" t="s">
        <v>24</v>
      </c>
      <c r="OZ5" s="5"/>
      <c r="PA5" s="1"/>
      <c r="PB5" s="1"/>
      <c r="PD5" s="12" t="s">
        <v>16</v>
      </c>
      <c r="PE5" s="30"/>
      <c r="PF5" s="30"/>
      <c r="PG5" s="30"/>
      <c r="PH5" s="30"/>
      <c r="PI5" s="30"/>
      <c r="PJ5" s="30"/>
      <c r="PK5" s="30"/>
      <c r="PL5" s="30"/>
      <c r="PM5" s="30"/>
      <c r="PN5" s="30"/>
      <c r="PO5" s="31"/>
      <c r="PP5" s="31"/>
      <c r="PR5" s="13" t="s">
        <v>293</v>
      </c>
      <c r="PS5" s="14" t="s">
        <v>18</v>
      </c>
      <c r="PT5" s="15" t="s">
        <v>19</v>
      </c>
      <c r="PU5" s="5"/>
      <c r="PV5" s="5" t="s">
        <v>20</v>
      </c>
      <c r="PW5" s="5" t="s">
        <v>21</v>
      </c>
      <c r="PX5" s="5" t="s">
        <v>22</v>
      </c>
      <c r="PY5" s="5" t="s">
        <v>23</v>
      </c>
      <c r="PZ5" s="5" t="s">
        <v>24</v>
      </c>
      <c r="QA5" s="5"/>
      <c r="QB5" s="1"/>
      <c r="QC5" s="1"/>
      <c r="QE5" s="12" t="s">
        <v>16</v>
      </c>
      <c r="QF5" s="30"/>
      <c r="QG5" s="30"/>
      <c r="QH5" s="30"/>
      <c r="QI5" s="30"/>
      <c r="QJ5" s="30"/>
      <c r="QK5" s="30"/>
      <c r="QL5" s="30"/>
      <c r="QM5" s="30"/>
      <c r="QN5" s="30"/>
      <c r="QO5" s="30"/>
      <c r="QP5" s="31"/>
      <c r="QQ5" s="31"/>
      <c r="QS5" s="13" t="s">
        <v>303</v>
      </c>
      <c r="QT5" s="14" t="s">
        <v>18</v>
      </c>
      <c r="QU5" s="15" t="s">
        <v>19</v>
      </c>
      <c r="QV5" s="5"/>
      <c r="QW5" s="5" t="s">
        <v>20</v>
      </c>
      <c r="QX5" s="5" t="s">
        <v>21</v>
      </c>
      <c r="QY5" s="5" t="s">
        <v>22</v>
      </c>
      <c r="QZ5" s="5" t="s">
        <v>23</v>
      </c>
      <c r="RA5" s="5" t="s">
        <v>24</v>
      </c>
      <c r="RB5" s="5"/>
      <c r="RC5" s="1"/>
      <c r="RD5" s="1"/>
      <c r="RF5" s="12" t="s">
        <v>16</v>
      </c>
      <c r="RG5" s="30"/>
      <c r="RH5" s="30"/>
      <c r="RI5" s="30"/>
      <c r="RJ5" s="30"/>
      <c r="RK5" s="30"/>
      <c r="RL5" s="30"/>
      <c r="RM5" s="30"/>
      <c r="RN5" s="30"/>
      <c r="RO5" s="30"/>
      <c r="RP5" s="30"/>
      <c r="RQ5" s="31"/>
      <c r="RR5" s="31"/>
      <c r="RT5" s="13" t="s">
        <v>303</v>
      </c>
      <c r="RU5" s="14" t="s">
        <v>18</v>
      </c>
      <c r="RV5" s="15" t="s">
        <v>19</v>
      </c>
      <c r="RW5" s="5"/>
      <c r="RX5" s="5" t="s">
        <v>20</v>
      </c>
      <c r="RY5" s="5" t="s">
        <v>21</v>
      </c>
      <c r="RZ5" s="5" t="s">
        <v>22</v>
      </c>
      <c r="SA5" s="5" t="s">
        <v>23</v>
      </c>
      <c r="SB5" s="5" t="s">
        <v>24</v>
      </c>
      <c r="SC5" s="5"/>
      <c r="SD5" s="1"/>
      <c r="SE5" s="1"/>
    </row>
    <row r="6" spans="15:499" x14ac:dyDescent="0.2">
      <c r="O6" s="16" t="str" cm="1">
        <f t="array" ref="O6">_xll.BDP(P6&amp;" Equity","DS520")</f>
        <v>Alphabet Inc</v>
      </c>
      <c r="P6" s="32" t="s">
        <v>47</v>
      </c>
      <c r="Q6" s="32" t="s">
        <v>48</v>
      </c>
      <c r="R6" s="32" t="str" cm="1">
        <f t="array" ref="R6">_xll.BDP(P6&amp;" Equity", "ID_ISIN")</f>
        <v>US02079K1079</v>
      </c>
      <c r="S6" s="32"/>
      <c r="T6" s="30" t="str">
        <f>_xll.BDP(P6&amp;" Equity", "DS197")</f>
        <v>NASDAQ GS</v>
      </c>
      <c r="U6" s="30" t="s">
        <v>26</v>
      </c>
      <c r="V6" s="30" t="s">
        <v>33</v>
      </c>
      <c r="W6" s="30" t="s">
        <v>28</v>
      </c>
      <c r="X6" s="30" t="str">
        <f>_xll.BDP(P6&amp;" Equity", "DS004")</f>
        <v>USD</v>
      </c>
      <c r="Y6" s="17" cm="1">
        <f t="array" ref="Y6">_xll.BDP(P6&amp;" Equity","PX_LAST")</f>
        <v>300.91000000000003</v>
      </c>
      <c r="Z6" s="33">
        <f t="shared" ref="Z6:Z42" si="0">AE6/$AE$43</f>
        <v>3.9046187848549026E-2</v>
      </c>
      <c r="AA6" s="33">
        <f t="shared" ref="AA6:AA41" si="1">Z6*(1-$AA$49)/(1-$Z$42)</f>
        <v>3.7095190708382554E-2</v>
      </c>
      <c r="AB6" s="4"/>
      <c r="AC6" s="1" cm="1">
        <f t="array" ref="AC6">IF(X6="USD",1,_xll.BDP(X6&amp;"USD CURNCY","PX_LAST"))</f>
        <v>1</v>
      </c>
      <c r="AD6" s="18">
        <v>26703.503004100701</v>
      </c>
      <c r="AE6" s="11">
        <f t="shared" ref="AE6:AE10" si="2">AD6*Y6*AC6</f>
        <v>8035351.0889639426</v>
      </c>
      <c r="AF6" s="5"/>
      <c r="AG6" s="11" cm="1">
        <f t="array" ref="AG6">IF(T6="Hong Kong",_xll.BDP(P6&amp;" Equity","PR414"),_xll.BDP(P6&amp;" Equity","PR090"))</f>
        <v>1</v>
      </c>
      <c r="AH6" s="11">
        <f t="shared" ref="AH6:AH10" si="3">AG6*AC6*Y6</f>
        <v>300.91000000000003</v>
      </c>
      <c r="AI6" s="5">
        <f>($AJ$3*Z6)/AH6</f>
        <v>41.523312989052165</v>
      </c>
      <c r="AJ6" s="8">
        <f>(ROUND(AI6,0)*AH6)/$AJ$3</f>
        <v>3.9494437500000007E-2</v>
      </c>
      <c r="AK6" s="8">
        <f>AJ6/Z6-1</f>
        <v>1.1479985016453753E-2</v>
      </c>
      <c r="AL6" s="5"/>
      <c r="AM6" s="21">
        <f>IFERROR(AH6/Z6,0)</f>
        <v>7706.514171553933</v>
      </c>
      <c r="AN6" s="22">
        <f>AH6/(1/COUNTA($P$6:$P$77))</f>
        <v>11133.67</v>
      </c>
      <c r="AP6" s="16" t="str" cm="1">
        <f t="array" ref="AP6">_xll.BDP(AQ6&amp;" Equity","DS520")</f>
        <v>Abbott Laboratories</v>
      </c>
      <c r="AQ6" s="32" t="s">
        <v>35</v>
      </c>
      <c r="AR6" s="32" t="s">
        <v>36</v>
      </c>
      <c r="AS6" s="32" t="str" cm="1">
        <f t="array" ref="AS6">_xll.BDP(AQ6&amp;" Equity", "ID_ISIN")</f>
        <v>US0028241000</v>
      </c>
      <c r="AT6" s="32"/>
      <c r="AU6" s="30" t="str">
        <f>_xll.BDP(AQ6&amp;" Equity", "DS197")</f>
        <v>New York</v>
      </c>
      <c r="AV6" s="30" t="s">
        <v>26</v>
      </c>
      <c r="AW6" s="30" t="s">
        <v>33</v>
      </c>
      <c r="AX6" s="30" t="s">
        <v>28</v>
      </c>
      <c r="AY6" s="30" t="str">
        <f>_xll.BDP(AQ6&amp;" Equity", "DS004")</f>
        <v>USD</v>
      </c>
      <c r="AZ6" s="17" cm="1">
        <f t="array" ref="AZ6">_xll.BDP(AQ6&amp;" Equity","PX_LAST")</f>
        <v>111.04</v>
      </c>
      <c r="BA6" s="33">
        <f t="shared" ref="BA6:BA26" si="4">BF6/$BF$27</f>
        <v>4.0357316596294462E-2</v>
      </c>
      <c r="BB6" s="33">
        <f>BA6*(1-$BB$33)/(1-$BA$26)</f>
        <v>3.8326431438039203E-2</v>
      </c>
      <c r="BD6" s="1" cm="1">
        <f t="array" ref="BD6">IF(AY6="USD",1,_xll.BDP(AY6&amp;"USD CURNCY","PX_LAST"))</f>
        <v>1</v>
      </c>
      <c r="BE6" s="18">
        <v>59839.544382464497</v>
      </c>
      <c r="BF6" s="11">
        <f>BE6*AZ6*BD6</f>
        <v>6644583.008228858</v>
      </c>
      <c r="BG6" s="5"/>
      <c r="BH6" s="11" cm="1">
        <f t="array" ref="BH6">IF(AU6="Hong Kong",_xll.BDP(AQ6&amp;" Equity","PR414"),_xll.BDP(AQ6&amp;" Equity","PR090"))</f>
        <v>1</v>
      </c>
      <c r="BI6" s="11">
        <f>BH6*BD6*AZ6</f>
        <v>111.04</v>
      </c>
      <c r="BJ6" s="5">
        <f>($AJ$3*BA6)/BI6</f>
        <v>116.30350604119441</v>
      </c>
      <c r="BK6" s="8">
        <f>(ROUND(BJ6,0)*BI6)/$AJ$3</f>
        <v>4.0252000000000003E-2</v>
      </c>
      <c r="BL6" s="8">
        <f>BK6/BA6-1</f>
        <v>-2.609603540987937E-3</v>
      </c>
      <c r="BM6" s="5"/>
      <c r="BN6" s="21">
        <f>IFERROR(BI6/BA6,0)</f>
        <v>2751.4217833352059</v>
      </c>
      <c r="BO6" s="22">
        <f>BI6/(1/COUNTA($P$6:$P$77))</f>
        <v>4108.4799999999996</v>
      </c>
      <c r="BQ6" s="16" t="str" cm="1">
        <f t="array" ref="BQ6">_xll.BDP(BR6&amp;" Equity","DS520")</f>
        <v>AEON REIT Investment Corp</v>
      </c>
      <c r="BR6" s="32" t="s">
        <v>107</v>
      </c>
      <c r="BS6" s="32">
        <v>3292</v>
      </c>
      <c r="BT6" s="32" t="str" cm="1">
        <f t="array" ref="BT6">_xll.BDP(BR6&amp;" Equity", "ID_ISIN")</f>
        <v>JP3047650001</v>
      </c>
      <c r="BU6" s="32"/>
      <c r="BV6" s="30" t="str">
        <f>_xll.BDP(BR6&amp;" Equity", "DS197")</f>
        <v>Tokyo</v>
      </c>
      <c r="BW6" s="30" t="s">
        <v>26</v>
      </c>
      <c r="BX6" s="71" t="s">
        <v>320</v>
      </c>
      <c r="BY6" s="30" t="s">
        <v>28</v>
      </c>
      <c r="BZ6" s="30" t="str">
        <f>_xll.BDP(BR6&amp;" Equity", "DS004")</f>
        <v>JPY</v>
      </c>
      <c r="CA6" s="17" cm="1">
        <f t="array" ref="CA6">_xll.BDP(BR6&amp;" Equity","PX_LAST")</f>
        <v>135300</v>
      </c>
      <c r="CB6" s="33">
        <f t="shared" ref="CB6:CB21" si="5">CG6/$CG$22</f>
        <v>6.7591848441773406E-2</v>
      </c>
      <c r="CC6" s="33">
        <f>CB6*(1-$CC$28)/(1-$CB$21)</f>
        <v>6.4206470876323876E-2</v>
      </c>
      <c r="CE6" s="1">
        <v>1</v>
      </c>
      <c r="CF6" s="18">
        <v>313.41545307529799</v>
      </c>
      <c r="CG6" s="11">
        <f>CF6*CA6*CE6</f>
        <v>42405110.801087819</v>
      </c>
      <c r="CH6" s="5"/>
      <c r="CI6" s="11" cm="1">
        <f t="array" ref="CI6">IF(BV6="Hong Kong",_xll.BDP(BR6&amp;" Equity","PR414"),_xll.BDP(BR6&amp;" Equity","PR090"))</f>
        <v>1</v>
      </c>
      <c r="CJ6" s="11">
        <f>CI6*CE6*CA6</f>
        <v>135300</v>
      </c>
      <c r="CK6" s="5">
        <f>($AJ$3*CB6)/CJ6</f>
        <v>0.15986246490293785</v>
      </c>
      <c r="CL6" s="8">
        <f>(ROUND(CK6,0)*CJ6)/$AJ$3</f>
        <v>0</v>
      </c>
      <c r="CM6" s="8">
        <f>CL6/CB6-1</f>
        <v>-1</v>
      </c>
      <c r="CN6" s="5"/>
      <c r="CO6" s="21">
        <f>IFERROR(CJ6/CB6,0)</f>
        <v>2001720.6677895987</v>
      </c>
      <c r="CP6" s="22">
        <f>CJ6/(1/COUNTA($P$6:$P$77))</f>
        <v>5006100</v>
      </c>
      <c r="CR6" s="16" t="str" cm="1">
        <f t="array" ref="CR6">_xll.BDP(CS6&amp;" Equity","DS520")</f>
        <v>American Tower Corp</v>
      </c>
      <c r="CS6" s="32" t="s">
        <v>308</v>
      </c>
      <c r="CT6" s="32" t="s">
        <v>369</v>
      </c>
      <c r="CU6" s="32" t="str" cm="1">
        <f t="array" ref="CU6">_xll.BDP(CS6&amp;" Equity", "ID_ISIN")</f>
        <v>US03027X1000</v>
      </c>
      <c r="CV6" s="32"/>
      <c r="CW6" s="30" t="str">
        <f>_xll.BDP(CS6&amp;" Equity", "DS197")</f>
        <v>New York</v>
      </c>
      <c r="CX6" s="30" t="s">
        <v>26</v>
      </c>
      <c r="CY6" s="30" t="s">
        <v>33</v>
      </c>
      <c r="CZ6" s="30" t="s">
        <v>28</v>
      </c>
      <c r="DA6" s="30" t="str">
        <f>_xll.BDP(CS6&amp;" Equity", "DS004")</f>
        <v>USD</v>
      </c>
      <c r="DB6" s="17" cm="1">
        <f t="array" ref="DB6">_xll.BDP(CS6&amp;" Equity","PX_LAST")</f>
        <v>187.64</v>
      </c>
      <c r="DC6" s="33">
        <f t="shared" ref="DC6:DC25" si="6">DH6/$DH$26</f>
        <v>5.1248384616680832E-2</v>
      </c>
      <c r="DD6" s="33">
        <f t="shared" ref="DD6:DD24" si="7">DC6*(1-$DD$32)/(1-$DC$25)</f>
        <v>4.8669688493217088E-2</v>
      </c>
      <c r="DF6" s="1" cm="1">
        <f t="array" ref="DF6">IF(DA6="USD",1,_xll.BDP(DA6&amp;"USD CURNCY","PX_LAST"))</f>
        <v>1</v>
      </c>
      <c r="DG6" s="18">
        <v>49532.234878707197</v>
      </c>
      <c r="DH6" s="11">
        <f t="shared" ref="DH6:DH23" si="8">DG6*DB6*DF6</f>
        <v>9294228.5526406169</v>
      </c>
      <c r="DI6" s="5"/>
      <c r="DJ6" s="11" cm="1">
        <f t="array" ref="DJ6">IF(CW6="Hong Kong",_xll.BDP(CS6&amp;" Equity","PR414"),_xll.BDP(CS6&amp;" Equity","PR090"))</f>
        <v>1</v>
      </c>
      <c r="DK6" s="11">
        <f t="shared" ref="DK6:DK23" si="9">DJ6*DF6*DB6</f>
        <v>187.64</v>
      </c>
      <c r="DL6" s="5">
        <f>($AJ$3*DC6)/DK6</f>
        <v>87.398652085578064</v>
      </c>
      <c r="DM6" s="8">
        <f>(ROUND(DL6,0)*DK6)/$AJ$3</f>
        <v>5.1014624999999994E-2</v>
      </c>
      <c r="DN6" s="8">
        <f>DM6/DC6-1</f>
        <v>-4.5613070232217723E-3</v>
      </c>
      <c r="DO6" s="5"/>
      <c r="DP6" s="21">
        <f>IFERROR(DK6/DC6,0)</f>
        <v>3661.3836983053911</v>
      </c>
      <c r="DQ6" s="22">
        <f>DK6/(1/COUNTA($P$6:$P$77))</f>
        <v>6942.6799999999994</v>
      </c>
      <c r="DS6" s="16" t="str" cm="1">
        <f t="array" ref="DS6">_xll.BDP(DT6&amp;" Equity","DS520")</f>
        <v>Admiral Group PLC</v>
      </c>
      <c r="DT6" s="32" t="s">
        <v>723</v>
      </c>
      <c r="DU6" s="32" t="s">
        <v>725</v>
      </c>
      <c r="DV6" s="32" t="str" cm="1">
        <f t="array" ref="DV6">_xll.BDP(DT6&amp;" Equity", "ID_ISIN")</f>
        <v>GB00B02J6398</v>
      </c>
      <c r="DW6" s="32"/>
      <c r="DX6" s="30" t="str">
        <f>_xll.BDP(DT6&amp;" Equity", "DS197")</f>
        <v>London</v>
      </c>
      <c r="DY6" s="30" t="s">
        <v>26</v>
      </c>
      <c r="DZ6" s="30" t="s">
        <v>129</v>
      </c>
      <c r="EA6" s="30" t="s">
        <v>28</v>
      </c>
      <c r="EB6" s="43" t="str">
        <f>_xll.BDP(DT6&amp;" Equity", "DS004")</f>
        <v>GBp</v>
      </c>
      <c r="EC6" s="17" cm="1">
        <f t="array" ref="EC6">_xll.BDP(DT6&amp;" Equity","PX_LAST")/100</f>
        <v>30.78</v>
      </c>
      <c r="ED6" s="33">
        <f>EI6/$EI$27</f>
        <v>4.0931255655678379E-2</v>
      </c>
      <c r="EE6" s="33">
        <f>ED6*(1-$EE$33)/(1-$ED$26)</f>
        <v>3.8827708846108408E-2</v>
      </c>
      <c r="EG6" s="1">
        <v>1</v>
      </c>
      <c r="EH6" s="18">
        <v>219451.167376553</v>
      </c>
      <c r="EI6" s="11">
        <f>EH6*EC6*EG6</f>
        <v>6754706.931850302</v>
      </c>
      <c r="EJ6" s="5"/>
      <c r="EK6" s="11" cm="1">
        <f t="array" ref="EK6">IF(DX6="Hong Kong",_xll.BDP(DT6&amp;" Equity","PR414"),_xll.BDP(DT6&amp;" Equity","PR090"))</f>
        <v>1</v>
      </c>
      <c r="EL6" s="11">
        <f>EK6*EG6*EC6</f>
        <v>30.78</v>
      </c>
      <c r="EM6" s="5">
        <f>($AJ$3*ED6)/EL6</f>
        <v>425.53612117664335</v>
      </c>
      <c r="EN6" s="8">
        <f>(ROUND(EM6,0)*EL6)/$AJ$3</f>
        <v>4.0975875000000002E-2</v>
      </c>
      <c r="EO6" s="8">
        <f>EN6/ED6-1</f>
        <v>1.0901044594617826E-3</v>
      </c>
      <c r="EP6" s="5"/>
      <c r="EQ6" s="21">
        <f>IFERROR(EL6/ED6,0)</f>
        <v>751.99256673011212</v>
      </c>
      <c r="ER6" s="22">
        <f>EL6/(1/COUNTA($P$6:$P$77))</f>
        <v>1138.8599999999999</v>
      </c>
      <c r="ET6" s="16" t="str" cm="1">
        <f t="array" ref="ET6">_xll.BDP(EU6&amp;" Equity","DS520")</f>
        <v>Alphabet Inc</v>
      </c>
      <c r="EU6" s="32" t="s">
        <v>47</v>
      </c>
      <c r="EV6" s="32" t="s">
        <v>48</v>
      </c>
      <c r="EW6" s="32" t="str" cm="1">
        <f t="array" ref="EW6">_xll.BDP(EU6&amp;" Equity", "ID_ISIN")</f>
        <v>US02079K1079</v>
      </c>
      <c r="EX6" s="32"/>
      <c r="EY6" s="30" t="str">
        <f>_xll.BDP(EU6&amp;" Equity", "DS197")</f>
        <v>NASDAQ GS</v>
      </c>
      <c r="EZ6" s="30" t="s">
        <v>26</v>
      </c>
      <c r="FA6" s="30" t="s">
        <v>33</v>
      </c>
      <c r="FB6" s="30" t="s">
        <v>28</v>
      </c>
      <c r="FC6" s="30" t="str">
        <f>_xll.BDP(EU6&amp;" Equity", "DS004")</f>
        <v>USD</v>
      </c>
      <c r="FD6" s="17" cm="1">
        <f t="array" ref="FD6">_xll.BDP(EU6&amp;" Equity","PX_LAST")</f>
        <v>300.91000000000003</v>
      </c>
      <c r="FE6" s="33">
        <f t="shared" ref="FE6:FE35" si="10">FJ6/$FJ$36</f>
        <v>4.8244261996824273E-2</v>
      </c>
      <c r="FF6" s="33">
        <f t="shared" ref="FF6:FF34" si="11">FE6*(1-$FF$42)/(1-$FE$35)</f>
        <v>4.5830773471296625E-2</v>
      </c>
      <c r="FH6" s="1" cm="1">
        <f t="array" ref="FH6">IF(FC6="USD",1,_xll.BDP(FC6&amp;"USD CURNCY","PX_LAST"))</f>
        <v>1</v>
      </c>
      <c r="FI6" s="18">
        <v>32854.607894694498</v>
      </c>
      <c r="FJ6" s="11">
        <f>FI6*FD6*FH6</f>
        <v>9886280.061592523</v>
      </c>
      <c r="FK6" s="5"/>
      <c r="FL6" s="11" cm="1">
        <f t="array" ref="FL6">IF(EY6="Hong Kong",_xll.BDP(EU6&amp;" Equity","PR414"),_xll.BDP(EU6&amp;" Equity","PR090"))</f>
        <v>1</v>
      </c>
      <c r="FM6" s="11">
        <f>FL6*FH6*FD6</f>
        <v>300.91000000000003</v>
      </c>
      <c r="FN6" s="5">
        <f>($AJ$3*FE6)/FM6</f>
        <v>51.304921202298914</v>
      </c>
      <c r="FO6" s="8">
        <f>(ROUND(FN6,0)*FM6)/$AJ$3</f>
        <v>4.7957531250000004E-2</v>
      </c>
      <c r="FP6" s="8">
        <f>FO6/FE6-1</f>
        <v>-5.943312944514334E-3</v>
      </c>
      <c r="FQ6" s="5"/>
      <c r="FR6" s="21">
        <f>IFERROR(FM6/FE6,0)</f>
        <v>6237.2184285834392</v>
      </c>
      <c r="FS6" s="22">
        <f>FM6/(1/COUNTA($P$6:$P$77))</f>
        <v>11133.67</v>
      </c>
      <c r="FU6" s="16" t="str" cm="1">
        <f t="array" ref="FU6">_xll.BDP(FV6&amp;" Equity","DS520")</f>
        <v>Adobe Inc</v>
      </c>
      <c r="FV6" s="32" t="s">
        <v>224</v>
      </c>
      <c r="FW6" s="32" t="s">
        <v>357</v>
      </c>
      <c r="FX6" s="32" t="str" cm="1">
        <f t="array" ref="FX6">_xll.BDP(FV6&amp;" Equity", "ID_ISIN")</f>
        <v>US00724F1012</v>
      </c>
      <c r="FY6" s="32"/>
      <c r="FZ6" s="30" t="str">
        <f>_xll.BDP(FV6&amp;" Equity", "DS197")</f>
        <v>NASDAQ GS</v>
      </c>
      <c r="GA6" s="30" t="s">
        <v>26</v>
      </c>
      <c r="GB6" s="30" t="s">
        <v>33</v>
      </c>
      <c r="GC6" s="30" t="s">
        <v>28</v>
      </c>
      <c r="GD6" s="30" t="str">
        <f>_xll.BDP(FV6&amp;" Equity", "DS004")</f>
        <v>USD</v>
      </c>
      <c r="GE6" s="17" cm="1">
        <f t="array" ref="GE6">_xll.BDP(FV6&amp;" Equity","PX_LAST")</f>
        <v>281.74</v>
      </c>
      <c r="GF6" s="33">
        <f t="shared" ref="GF6:GF30" si="12">GK6/$GK$37</f>
        <v>2.8474616694544468E-2</v>
      </c>
      <c r="GG6" s="33">
        <f t="shared" ref="GG6:GG30" si="13">GF6*(1-$GG$43)/(1-$GF$36)</f>
        <v>2.7049590305654264E-2</v>
      </c>
      <c r="GI6" s="1" cm="1">
        <f t="array" ref="GI6">IF(GD6="USD",1,_xll.BDP(GD6&amp;"USD CURNCY","PX_LAST"))</f>
        <v>1</v>
      </c>
      <c r="GJ6" s="18">
        <v>20920.578316695799</v>
      </c>
      <c r="GK6" s="11">
        <f>GJ6*GE6*GI6</f>
        <v>5894163.7349458747</v>
      </c>
      <c r="GL6" s="5"/>
      <c r="GM6" s="11" cm="1">
        <f t="array" ref="GM6">IF(FZ6="Hong Kong",_xll.BDP(FV6&amp;" Equity","PR414"),_xll.BDP(FV6&amp;" Equity","PR090"))</f>
        <v>1</v>
      </c>
      <c r="GN6" s="11">
        <f>GM6*GI6*GE6</f>
        <v>281.74</v>
      </c>
      <c r="GO6" s="5">
        <f>($AJ$3*GF6)/GN6</f>
        <v>32.341440130099485</v>
      </c>
      <c r="GP6" s="8">
        <f>(ROUND(GO6,0)*GN6)/$AJ$3</f>
        <v>2.8174000000000001E-2</v>
      </c>
      <c r="GQ6" s="8">
        <f>GP6/GF6-1</f>
        <v>-1.0557357023248781E-2</v>
      </c>
      <c r="GR6" s="5"/>
      <c r="GS6" s="21">
        <f>IFERROR(GN6/GF6,0)</f>
        <v>9894.4264297675109</v>
      </c>
      <c r="GT6" s="22">
        <f>GN6/(1/COUNTA($P$6:$P$77))</f>
        <v>10424.379999999999</v>
      </c>
      <c r="GV6" s="16" t="str" cm="1">
        <f t="array" ref="GV6">_xll.BDP(GW6&amp;" Equity","DS520")</f>
        <v>Alibaba Group Holding Ltd</v>
      </c>
      <c r="GW6" s="32" t="s">
        <v>185</v>
      </c>
      <c r="GX6" s="32">
        <v>9988</v>
      </c>
      <c r="GY6" s="32" t="str" cm="1">
        <f t="array" ref="GY6">_xll.BDP(GW6&amp;" Equity", "ID_ISIN")</f>
        <v>KYG017191142</v>
      </c>
      <c r="GZ6" s="32"/>
      <c r="HA6" s="30" t="str">
        <f>_xll.BDP(GW6&amp;" Equity", "DS197")</f>
        <v>Hong Kong</v>
      </c>
      <c r="HB6" s="30" t="s">
        <v>26</v>
      </c>
      <c r="HC6" s="30" t="s">
        <v>27</v>
      </c>
      <c r="HD6" s="30" t="s">
        <v>28</v>
      </c>
      <c r="HE6" s="30" t="str">
        <f>_xll.BDP(GW6&amp;" Equity", "DS004")</f>
        <v>HKD</v>
      </c>
      <c r="HF6" s="17" cm="1">
        <f t="array" ref="HF6">_xll.BDP(GW6&amp;" Equity","PX_LAST")</f>
        <v>131.19999999999999</v>
      </c>
      <c r="HG6" s="33">
        <f t="shared" ref="HG6:HG40" si="14">HL6/$HL$41</f>
        <v>2.0559637681276419E-2</v>
      </c>
      <c r="HH6" s="33">
        <f>HG6*(1-$HH$47)/(1-$HG$40)</f>
        <v>1.9530106226017665E-2</v>
      </c>
      <c r="HJ6" s="1" cm="1">
        <f t="array" ref="HJ6">IF(HE6="USD",1,_xll.BDP(HE6&amp;"USD CURNCY","PX_LAST"))</f>
        <v>0.12784999999999999</v>
      </c>
      <c r="HK6" s="18">
        <v>199899.73511183201</v>
      </c>
      <c r="HL6" s="11">
        <f>HK6*HF6*HJ6</f>
        <v>3353102.1647870606</v>
      </c>
      <c r="HM6" s="5"/>
      <c r="HN6" s="11" cm="1">
        <f t="array" ref="HN6">IF(HA6="Hong Kong",_xll.BDP(GW6&amp;" Equity","PR414"),_xll.BDP(GW6&amp;" Equity","PR090"))</f>
        <v>100</v>
      </c>
      <c r="HO6" s="11">
        <f>HN6*HJ6*HF6</f>
        <v>1677.3919999999996</v>
      </c>
      <c r="HP6" s="5">
        <f>($AJ$3*HG6)/HO6</f>
        <v>3.9222102275487516</v>
      </c>
      <c r="HQ6" s="8">
        <f>(ROUND(HP6,0)*HO6)/$AJ$3</f>
        <v>2.0967399999999994E-2</v>
      </c>
      <c r="HR6" s="8">
        <f>HQ6/HG6-1</f>
        <v>1.983314711304085E-2</v>
      </c>
      <c r="HS6" s="5"/>
      <c r="HT6" s="21">
        <f>IFERROR(HO6/HG6,0)</f>
        <v>81586.651769043281</v>
      </c>
      <c r="HU6" s="22">
        <f>HO6/(1/COUNTA($P$6:$P$77))</f>
        <v>62063.503999999979</v>
      </c>
      <c r="HW6" s="16" t="str" cm="1">
        <f t="array" ref="HW6">_xll.BDP(HX6&amp;" Equity","DS520")</f>
        <v>SITC International Holdings Co Ltd</v>
      </c>
      <c r="HX6" s="32" t="s">
        <v>218</v>
      </c>
      <c r="HY6" s="32">
        <v>1308</v>
      </c>
      <c r="HZ6" s="32" t="str" cm="1">
        <f t="array" ref="HZ6">_xll.BDP(HX6&amp;" Equity", "ID_ISIN")</f>
        <v>KYG8187G1055</v>
      </c>
      <c r="IA6" s="32"/>
      <c r="IB6" s="30" t="str">
        <f>_xll.BDP(HX6&amp;" Equity", "DS197")</f>
        <v>Hong Kong</v>
      </c>
      <c r="IC6" s="30" t="s">
        <v>26</v>
      </c>
      <c r="ID6" s="30" t="s">
        <v>27</v>
      </c>
      <c r="IE6" s="30" t="s">
        <v>28</v>
      </c>
      <c r="IF6" s="30" t="str">
        <f>_xll.BDP(HX6&amp;" Equity", "DS004")</f>
        <v>HKD</v>
      </c>
      <c r="IG6" s="17" cm="1">
        <f t="array" ref="IG6">_xll.BDP(HX6&amp;" Equity","PX_LAST")</f>
        <v>33.4</v>
      </c>
      <c r="IH6" s="33">
        <f t="shared" ref="IH6:IH28" si="15">IM6/$IM$29</f>
        <v>4.4707374879683216E-2</v>
      </c>
      <c r="II6" s="33">
        <f t="shared" ref="II6:II27" si="16">IH6*(1-$II$35)/(1-$IH$28)</f>
        <v>4.2494882905816198E-2</v>
      </c>
      <c r="IK6" s="1">
        <v>1</v>
      </c>
      <c r="IL6" s="18">
        <v>253708.444059598</v>
      </c>
      <c r="IM6" s="11">
        <f>IL6*IG6*IK6</f>
        <v>8473862.0315905735</v>
      </c>
      <c r="IN6" s="5"/>
      <c r="IO6" s="11" cm="1">
        <f t="array" ref="IO6">IF(IB6="Hong Kong",_xll.BDP(HX6&amp;" Equity","PR414"),_xll.BDP(HX6&amp;" Equity","PR090"))</f>
        <v>1000</v>
      </c>
      <c r="IP6" s="11">
        <f>IO6*IK6*IG6</f>
        <v>33400</v>
      </c>
      <c r="IQ6" s="5">
        <f>($AJ$3*IH6)/IP6</f>
        <v>0.42833413058379127</v>
      </c>
      <c r="IR6" s="8">
        <f>(ROUND(IQ6,0)*IP6)/$AJ$3</f>
        <v>0</v>
      </c>
      <c r="IS6" s="8">
        <f>IR6/IH6-1</f>
        <v>-1</v>
      </c>
      <c r="IT6" s="5"/>
      <c r="IU6" s="21">
        <f>IFERROR(IP6/IH6,0)</f>
        <v>747080.32153277402</v>
      </c>
      <c r="IV6" s="22">
        <f>IP6/(1/COUNTA($P$6:$P$77))</f>
        <v>1235800</v>
      </c>
      <c r="IX6" s="16" t="str" cm="1">
        <f t="array" ref="IX6">_xll.BDP(IY6&amp;" Equity","DS520")</f>
        <v>Adobe Inc</v>
      </c>
      <c r="IY6" s="32" t="s">
        <v>224</v>
      </c>
      <c r="IZ6" s="32" t="s">
        <v>357</v>
      </c>
      <c r="JA6" s="32" t="str" cm="1">
        <f t="array" ref="JA6">_xll.BDP(IY6&amp;" Equity", "ID_ISIN")</f>
        <v>US00724F1012</v>
      </c>
      <c r="JB6" s="32"/>
      <c r="JC6" s="30" t="str">
        <f>_xll.BDP(IY6&amp;" Equity", "DS197")</f>
        <v>NASDAQ GS</v>
      </c>
      <c r="JD6" s="30" t="s">
        <v>26</v>
      </c>
      <c r="JE6" s="30" t="s">
        <v>33</v>
      </c>
      <c r="JF6" s="30" t="s">
        <v>28</v>
      </c>
      <c r="JG6" s="30" t="str">
        <f>_xll.BDP(IY6&amp;" Equity", "DS004")</f>
        <v>USD</v>
      </c>
      <c r="JH6" s="17" cm="1">
        <f t="array" ref="JH6">_xll.BDP(IY6&amp;" Equity","PX_LAST")</f>
        <v>281.74</v>
      </c>
      <c r="JI6" s="33">
        <f>JN6/$JN$34</f>
        <v>2.9152241632438174E-2</v>
      </c>
      <c r="JJ6" s="33">
        <f t="shared" ref="JJ6:JJ32" si="17">JI6*(1-$JJ$40)/(1-$JI$33)</f>
        <v>2.7693140868151292E-2</v>
      </c>
      <c r="JL6" s="1" cm="1">
        <f t="array" ref="JL6">IF(JG6="USD",1,_xll.BDP(JG6&amp;"USD CURNCY","PX_LAST"))</f>
        <v>1</v>
      </c>
      <c r="JM6" s="18">
        <v>12623.0961160062</v>
      </c>
      <c r="JN6" s="11">
        <f>JM6*JH6*JL6</f>
        <v>3556431.0997235868</v>
      </c>
      <c r="JO6" s="5"/>
      <c r="JP6" s="11" cm="1">
        <f t="array" ref="JP6">IF(JC6="Hong Kong",_xll.BDP(IY6&amp;" Equity","PR414"),_xll.BDP(IY6&amp;" Equity","PR090"))</f>
        <v>1</v>
      </c>
      <c r="JQ6" s="11">
        <f>JP6*JL6*JH6</f>
        <v>281.74</v>
      </c>
      <c r="JR6" s="5">
        <f>($AJ$3*JI6)/JQ6</f>
        <v>33.111085832257452</v>
      </c>
      <c r="JS6" s="8">
        <f>(ROUND(JR6,0)*JQ6)/$AJ$3</f>
        <v>2.9054437499999999E-2</v>
      </c>
      <c r="JT6" s="8">
        <f>JS6/JI6-1</f>
        <v>-3.3549438040245683E-3</v>
      </c>
      <c r="JU6" s="5"/>
      <c r="JV6" s="21">
        <f>IFERROR(JQ6/JI6,0)</f>
        <v>9664.4369085670351</v>
      </c>
      <c r="JW6" s="22">
        <f>JQ6/(1/COUNTA($P$6:$P$77))</f>
        <v>10424.379999999999</v>
      </c>
      <c r="JY6" s="16" t="str" cm="1">
        <f t="array" ref="JY6">_xll.BDP(JZ6&amp;" Equity","DS520")</f>
        <v>ABB Ltd</v>
      </c>
      <c r="JZ6" s="32" t="s">
        <v>1296</v>
      </c>
      <c r="KA6" s="32" t="s">
        <v>1373</v>
      </c>
      <c r="KB6" s="32" t="str" cm="1">
        <f t="array" ref="KB6">_xll.BDP(JZ6&amp;" Equity", "ID_ISIN")</f>
        <v>CH0012221716</v>
      </c>
      <c r="KC6" s="32"/>
      <c r="KD6" s="30" t="str">
        <f>_xll.BDP(JZ6&amp;" Equity", "DS197")</f>
        <v>SIX Swiss Ex</v>
      </c>
      <c r="KE6" s="30" t="s">
        <v>26</v>
      </c>
      <c r="KF6" s="30" t="s">
        <v>61</v>
      </c>
      <c r="KG6" s="30" t="s">
        <v>28</v>
      </c>
      <c r="KH6" s="30" t="str">
        <f>_xll.BDP(JZ6&amp;" Equity", "DS004")</f>
        <v>CHF</v>
      </c>
      <c r="KI6" s="17" cm="1">
        <f t="array" ref="KI6">_xll.BDP(JZ6&amp;" Equity","PX_LAST")</f>
        <v>66.58</v>
      </c>
      <c r="KJ6" s="33">
        <f>KO6/$KO$41</f>
        <v>2.8885993677454588E-2</v>
      </c>
      <c r="KK6" s="33">
        <f>KJ6*(1-$KK$47)/(1-$KJ$40)</f>
        <v>2.7446148627595264E-2</v>
      </c>
      <c r="KM6" s="1" cm="1">
        <f t="array" ref="KM6">IF(KH6="USD",1,_xll.BDP(KH6&amp;"USD CURNCY","PX_LAST"))</f>
        <v>1.2806</v>
      </c>
      <c r="KN6" s="18">
        <v>33642.126263515602</v>
      </c>
      <c r="KO6" s="11">
        <f>KN6*KI6*KM6</f>
        <v>2868406.6769398069</v>
      </c>
      <c r="KP6" s="5"/>
      <c r="KQ6" s="11" cm="1">
        <f t="array" ref="KQ6">IF(KD6="Hong Kong",_xll.BDP(JZ6&amp;" Equity","PR414"),_xll.BDP(JZ6&amp;" Equity","PR090"))</f>
        <v>1</v>
      </c>
      <c r="KR6" s="11">
        <f>KQ6*KM6*KI6</f>
        <v>85.262347999999989</v>
      </c>
      <c r="KS6" s="5">
        <f>($AJ$3*KJ6)/KR6</f>
        <v>108.41266037835915</v>
      </c>
      <c r="KT6" s="8">
        <f>(ROUND(KS6,0)*KR6)/$AJ$3</f>
        <v>2.8776042449999994E-2</v>
      </c>
      <c r="KU6" s="8">
        <f>KT6/KJ6-1</f>
        <v>-3.806385498879683E-3</v>
      </c>
      <c r="KV6" s="5"/>
      <c r="KW6" s="21">
        <f>IFERROR(KR6/KJ6,0)</f>
        <v>2951.6847837070231</v>
      </c>
      <c r="KX6" s="22">
        <f>KR6/(1/COUNTA($P$6:$P$77))</f>
        <v>3154.7068759999993</v>
      </c>
      <c r="KZ6" s="16" t="str" cm="1">
        <f t="array" ref="KZ6">_xll.BDP(LA6&amp;" Equity","DS520")</f>
        <v>American Tower Corp</v>
      </c>
      <c r="LA6" s="32" t="s">
        <v>308</v>
      </c>
      <c r="LB6" s="32" t="s">
        <v>369</v>
      </c>
      <c r="LC6" s="32" t="str" cm="1">
        <f t="array" ref="LC6">_xll.BDP(LA6&amp;" Equity", "ID_ISIN")</f>
        <v>US03027X1000</v>
      </c>
      <c r="LD6" s="32"/>
      <c r="LE6" s="30" t="str">
        <f>_xll.BDP(LA6&amp;" Equity", "DS197")</f>
        <v>New York</v>
      </c>
      <c r="LF6" s="30" t="s">
        <v>26</v>
      </c>
      <c r="LG6" s="30" t="s">
        <v>33</v>
      </c>
      <c r="LH6" s="30" t="s">
        <v>28</v>
      </c>
      <c r="LI6" s="30" t="str">
        <f>_xll.BDP(LA6&amp;" Equity", "DS004")</f>
        <v>USD</v>
      </c>
      <c r="LJ6" s="17" cm="1">
        <f t="array" ref="LJ6">_xll.BDP(LA6&amp;" Equity","PX_LAST")</f>
        <v>187.64</v>
      </c>
      <c r="LK6" s="33">
        <f t="shared" ref="LK6:LK21" si="18">LP6/$LP$22</f>
        <v>6.3322800612150384E-2</v>
      </c>
      <c r="LL6" s="33">
        <f t="shared" ref="LL6:LL20" si="19">LK6*(1-$LL$28)/(1-$LK$21)</f>
        <v>6.0129634725660026E-2</v>
      </c>
      <c r="LN6" s="1">
        <v>1</v>
      </c>
      <c r="LO6" s="18">
        <v>37293.055953778603</v>
      </c>
      <c r="LP6" s="11">
        <f>LO6*LJ6*LN6</f>
        <v>6997669.0191670163</v>
      </c>
      <c r="LQ6" s="5"/>
      <c r="LR6" s="11" cm="1">
        <f t="array" ref="LR6">IF(LE6="Hong Kong",_xll.BDP(LA6&amp;" Equity","PR414"),_xll.BDP(LA6&amp;" Equity","PR090"))</f>
        <v>1</v>
      </c>
      <c r="LS6" s="11">
        <f>LR6*LN6*LJ6</f>
        <v>187.64</v>
      </c>
      <c r="LT6" s="5">
        <f>($AJ$3*LK6)/LS6</f>
        <v>107.99028030211109</v>
      </c>
      <c r="LU6" s="8">
        <f>(ROUND(LT6,0)*LS6)/$AJ$3</f>
        <v>6.3328499999999996E-2</v>
      </c>
      <c r="LV6" s="8">
        <f>LU6/LK6-1</f>
        <v>9.0005302900708628E-5</v>
      </c>
      <c r="LW6" s="5"/>
      <c r="LX6" s="21">
        <f>IFERROR(LS6/LK6,0)</f>
        <v>2963.2296453419276</v>
      </c>
      <c r="LY6" s="22">
        <f>LS6/(1/COUNTA($P$6:$P$77))</f>
        <v>6942.6799999999994</v>
      </c>
      <c r="MA6" s="16" t="str" cm="1">
        <f t="array" ref="MA6">_xll.BDP(MB6&amp;" Equity","DS520")</f>
        <v>Allianz SE</v>
      </c>
      <c r="MB6" s="32" t="s">
        <v>654</v>
      </c>
      <c r="MC6" s="32" t="s">
        <v>40</v>
      </c>
      <c r="MD6" s="32" t="str" cm="1">
        <f t="array" ref="MD6">_xll.BDP(MB6&amp;" Equity", "ID_ISIN")</f>
        <v>DE0008404005</v>
      </c>
      <c r="ME6" s="32"/>
      <c r="MF6" s="30" t="str">
        <f>_xll.BDP(MB6&amp;" Equity", "DS197")</f>
        <v>Xetra</v>
      </c>
      <c r="MG6" s="30" t="s">
        <v>26</v>
      </c>
      <c r="MH6" s="30" t="s">
        <v>39</v>
      </c>
      <c r="MI6" s="30" t="s">
        <v>28</v>
      </c>
      <c r="MJ6" s="30" t="str">
        <f>_xll.BDP(MB6&amp;" Equity", "DS004")</f>
        <v>EUR</v>
      </c>
      <c r="MK6" s="17" cm="1">
        <f t="array" ref="MK6">_xll.BDP(MB6&amp;" Equity","PX_LAST")</f>
        <v>353.6</v>
      </c>
      <c r="ML6" s="33">
        <f t="shared" ref="ML6:ML40" si="20">MQ6/$MQ$41</f>
        <v>2.7561502842002324E-2</v>
      </c>
      <c r="MM6" s="33">
        <f t="shared" ref="MM6:MM39" si="21">ML6*(1-$MM$47)/(1-$ML$40)</f>
        <v>2.6166826885265615E-2</v>
      </c>
      <c r="MO6" s="1" cm="1">
        <f t="array" ref="MO6">IF(MJ6="USD",1,_xll.BDP(MJ6&amp;"USD CURNCY","PX_LAST"))</f>
        <v>1.1607000000000001</v>
      </c>
      <c r="MP6" s="18">
        <v>12064.470840845301</v>
      </c>
      <c r="MQ6" s="11">
        <f>MP6*MK6*MO6</f>
        <v>4951542.589437088</v>
      </c>
      <c r="MR6" s="5"/>
      <c r="MS6" s="11" cm="1">
        <f t="array" ref="MS6">IF(MF6="Hong Kong",_xll.BDP(MB6&amp;" Equity","PR414"),_xll.BDP(MB6&amp;" Equity","PR090"))</f>
        <v>1</v>
      </c>
      <c r="MT6" s="11">
        <f>MS6*MO6*MK6</f>
        <v>410.42352000000005</v>
      </c>
      <c r="MU6" s="5">
        <f>($AJ$3*ML6)/MT6</f>
        <v>21.48921901318117</v>
      </c>
      <c r="MV6" s="8">
        <f>(ROUND(MU6,0)*MT6)/$AJ$3</f>
        <v>2.6934043500000001E-2</v>
      </c>
      <c r="MW6" s="8">
        <f>MV6/ML6-1</f>
        <v>-2.2765788411439836E-2</v>
      </c>
      <c r="MX6" s="5"/>
      <c r="MY6" s="21">
        <f>IFERROR(MT6/ML6,0)</f>
        <v>14891.187986111394</v>
      </c>
      <c r="MZ6" s="22">
        <f>MT6/(1/COUNTA($P$6:$P$77))</f>
        <v>15185.670240000001</v>
      </c>
      <c r="NB6" s="16" t="str" cm="1">
        <f t="array" ref="NB6">_xll.BDP(NC6&amp;" Equity","DS520")</f>
        <v>AT&amp;T Inc</v>
      </c>
      <c r="NC6" s="32" t="s">
        <v>165</v>
      </c>
      <c r="ND6" s="32" t="s">
        <v>339</v>
      </c>
      <c r="NE6" s="32" t="str" cm="1">
        <f t="array" ref="NE6">_xll.BDP(NC6&amp;" Equity", "ID_ISIN")</f>
        <v>US00206R1023</v>
      </c>
      <c r="NF6" s="32"/>
      <c r="NG6" s="30" t="str">
        <f>_xll.BDP(NC6&amp;" Equity", "DS197")</f>
        <v>New York</v>
      </c>
      <c r="NH6" s="30" t="s">
        <v>26</v>
      </c>
      <c r="NI6" s="30" t="s">
        <v>33</v>
      </c>
      <c r="NJ6" s="30" t="s">
        <v>28</v>
      </c>
      <c r="NK6" s="30" t="str">
        <f>_xll.BDP(NC6&amp;" Equity", "DS004")</f>
        <v>USD</v>
      </c>
      <c r="NL6" s="17" cm="1">
        <f t="array" ref="NL6">_xll.BDP(NC6&amp;" Equity","PX_LAST")</f>
        <v>28.97</v>
      </c>
      <c r="NM6" s="33">
        <f t="shared" ref="NM6:NM32" si="22">NR6/$NR$33</f>
        <v>4.004186797399787E-2</v>
      </c>
      <c r="NN6" s="33">
        <f t="shared" ref="NN6:NN31" si="23">NM6*(1-$NN$39)/(1-$NM$32)</f>
        <v>3.8010777847948381E-2</v>
      </c>
      <c r="NP6" s="1" cm="1">
        <f t="array" ref="NP6">IF(NK6="USD",1,_xll.BDP(NK6&amp;"USD CURNCY","PX_LAST"))</f>
        <v>1</v>
      </c>
      <c r="NQ6" s="18">
        <v>236291.697578436</v>
      </c>
      <c r="NR6" s="11">
        <f>NQ6*NL6*NP6</f>
        <v>6845370.4788472904</v>
      </c>
      <c r="NS6" s="5"/>
      <c r="NT6" s="11" cm="1">
        <f t="array" ref="NT6">IF(NG6="Hong Kong",_xll.BDP(NC6&amp;" Equity","PR414"),_xll.BDP(NC6&amp;" Equity","PR090"))</f>
        <v>1</v>
      </c>
      <c r="NU6" s="11">
        <f>NT6*NP6*NL6</f>
        <v>28.97</v>
      </c>
      <c r="NV6" s="5">
        <f>($AJ$3*NM6)/NU6</f>
        <v>442.29885231892712</v>
      </c>
      <c r="NW6" s="8">
        <f>(ROUND(NV6,0)*NU6)/$AJ$3</f>
        <v>4.0014812499999997E-2</v>
      </c>
      <c r="NX6" s="8">
        <f>NW6/NM6-1</f>
        <v>-6.7567961653147712E-4</v>
      </c>
      <c r="NY6" s="5"/>
      <c r="NZ6" s="21">
        <f>IFERROR(NU6/NM6,0)</f>
        <v>723.4927206396153</v>
      </c>
      <c r="OA6" s="22">
        <f>NU6/(1/COUNTA($P$6:$P$77))</f>
        <v>1071.8899999999999</v>
      </c>
      <c r="OC6" s="16" t="str" cm="1">
        <f t="array" ref="OC6">_xll.BDP(OD6&amp;" Equity","DS520")</f>
        <v>Aker BP ASA</v>
      </c>
      <c r="OD6" s="32" t="s">
        <v>275</v>
      </c>
      <c r="OE6" s="32" t="s">
        <v>350</v>
      </c>
      <c r="OF6" s="32" t="str" cm="1">
        <f t="array" ref="OF6">_xll.BDP(OD6&amp;" Equity", "ID_ISIN")</f>
        <v>NO0010345853</v>
      </c>
      <c r="OG6" s="32"/>
      <c r="OH6" s="30" t="str">
        <f>_xll.BDP(OD6&amp;" Equity", "DS197")</f>
        <v>Oslo</v>
      </c>
      <c r="OI6" s="30" t="s">
        <v>26</v>
      </c>
      <c r="OJ6" s="30" t="s">
        <v>330</v>
      </c>
      <c r="OK6" s="30" t="s">
        <v>28</v>
      </c>
      <c r="OL6" s="30" t="str">
        <f>_xll.BDP(OD6&amp;" Equity", "DS004")</f>
        <v>NOK</v>
      </c>
      <c r="OM6" s="17" cm="1">
        <f t="array" ref="OM6">_xll.BDP(OD6&amp;" Equity","PX_LAST")</f>
        <v>304.5</v>
      </c>
      <c r="ON6" s="33">
        <f t="shared" ref="ON6:ON33" si="24">OS6/$OS$34</f>
        <v>4.0144568094555362E-2</v>
      </c>
      <c r="OO6" s="33">
        <f>ON6*(1-$OO$40)/(1-$ON$33)</f>
        <v>3.8065362476369352E-2</v>
      </c>
      <c r="OQ6" s="1" cm="1">
        <f t="array" ref="OQ6">IF(OL6="EUR",1,_xll.BDP(OL6&amp;"EUR CURNCY","PX_LAST"))</f>
        <v>8.9200000000000002E-2</v>
      </c>
      <c r="OR6" s="18">
        <v>272198.53645460401</v>
      </c>
      <c r="OS6" s="11">
        <f>OR6*OM6*OQ6</f>
        <v>7393293.3280580817</v>
      </c>
      <c r="OT6" s="5"/>
      <c r="OU6" s="11" cm="1">
        <f t="array" ref="OU6">IF(OH6="Hong Kong",_xll.BDP(OD6&amp;" Equity","PR414"),_xll.BDP(OD6&amp;" Equity","PR090"))</f>
        <v>1</v>
      </c>
      <c r="OV6" s="11">
        <f>OU6*OQ6*OM6</f>
        <v>27.1614</v>
      </c>
      <c r="OW6" s="5">
        <f>($AJ$3*ON6)/OV6</f>
        <v>472.96022260478901</v>
      </c>
      <c r="OX6" s="8">
        <f>(ROUND(OW6,0)*OV6)/$AJ$3</f>
        <v>4.0147944375000001E-2</v>
      </c>
      <c r="OY6" s="8">
        <f>OX6/ON6-1</f>
        <v>8.410304568950977E-5</v>
      </c>
      <c r="OZ6" s="5"/>
      <c r="PA6" s="21">
        <f>IFERROR(OV6/ON6,0)</f>
        <v>676.58966802245368</v>
      </c>
      <c r="PB6" s="22">
        <f>OV6/(1/COUNTA($P$6:$P$77))</f>
        <v>1004.9717999999999</v>
      </c>
      <c r="PD6" s="16" t="str" cm="1">
        <f t="array" ref="PD6">_xll.BDP(PE6&amp;" Equity","DS520")</f>
        <v>Persol Holdings Co Ltd</v>
      </c>
      <c r="PE6" s="70" t="s">
        <v>287</v>
      </c>
      <c r="PF6" s="70">
        <v>2181</v>
      </c>
      <c r="PG6" s="32" t="str" cm="1">
        <f t="array" ref="PG6">_xll.BDP(PE6&amp;" Equity", "ID_ISIN")</f>
        <v>JP3547670004</v>
      </c>
      <c r="PH6" s="70"/>
      <c r="PI6" s="30" t="str">
        <f>_xll.BDP(PE6&amp;" Equity", "DS197")</f>
        <v>Tokyo</v>
      </c>
      <c r="PJ6" s="30" t="s">
        <v>26</v>
      </c>
      <c r="PK6" s="71" t="s">
        <v>320</v>
      </c>
      <c r="PL6" s="30" t="s">
        <v>28</v>
      </c>
      <c r="PM6" s="30" t="str">
        <f>_xll.BDP(PE6&amp;" Equity", "DS004")</f>
        <v>JPY</v>
      </c>
      <c r="PN6" s="17" cm="1">
        <f t="array" ref="PN6">_xll.BDP(PE6&amp;" Equity","PX_LAST")</f>
        <v>244.5</v>
      </c>
      <c r="PO6" s="33">
        <f t="shared" ref="PO6:PO29" si="25">PT6/$PT$30</f>
        <v>4.3199520489491008E-2</v>
      </c>
      <c r="PP6" s="33">
        <f t="shared" ref="PP6:PP28" si="26">PO6*(1-$PP$36)/(1-$PO$29)</f>
        <v>4.1037314894887607E-2</v>
      </c>
      <c r="PR6" s="1">
        <v>1</v>
      </c>
      <c r="PS6" s="18">
        <v>34050.654293328</v>
      </c>
      <c r="PT6" s="11">
        <f>PS6*PN6*PR6</f>
        <v>8325384.9747186955</v>
      </c>
      <c r="PU6" s="5"/>
      <c r="PV6" s="11" cm="1">
        <f t="array" ref="PV6">IF(PI6="Hong Kong",_xll.BDP(PE6&amp;" Equity","PR414"),_xll.BDP(PE6&amp;" Equity","PR090"))</f>
        <v>100</v>
      </c>
      <c r="PW6" s="11">
        <f>PV6*PR6*PN6</f>
        <v>24450</v>
      </c>
      <c r="PX6" s="5">
        <f>($AJ$3*PO6)/PW6</f>
        <v>0.56539249720397233</v>
      </c>
      <c r="PY6" s="8">
        <f>(ROUND(PX6,0)*PW6)/$AJ$3</f>
        <v>7.6406249999999995E-2</v>
      </c>
      <c r="PZ6" s="8">
        <f>PY6/PO6-1</f>
        <v>0.76868282643523944</v>
      </c>
      <c r="QA6" s="5"/>
      <c r="QB6" s="21">
        <f>IFERROR(PW6/PO6,0)</f>
        <v>565978.50445927668</v>
      </c>
      <c r="QC6" s="22">
        <f>PW6/(1/COUNTA($P$6:$P$77))</f>
        <v>904650</v>
      </c>
      <c r="QE6" s="16" t="str" cm="1">
        <f t="array" ref="QE6">_xll.BDP(QF6&amp;" Equity","DS520")</f>
        <v>A10 Networks Inc</v>
      </c>
      <c r="QF6" s="34" t="s">
        <v>295</v>
      </c>
      <c r="QG6" s="32"/>
      <c r="QH6" s="32" t="str" cm="1">
        <f t="array" ref="QH6">_xll.BDP(QF6&amp;" Equity", "ID_ISIN")</f>
        <v>US0021211018</v>
      </c>
      <c r="QI6" s="34"/>
      <c r="QJ6" s="30" t="str">
        <f>_xll.BDP(QF6&amp;" Equity", "DS197")</f>
        <v>New York</v>
      </c>
      <c r="QK6" s="30" t="s">
        <v>26</v>
      </c>
      <c r="QL6" s="30"/>
      <c r="QM6" s="30" t="s">
        <v>28</v>
      </c>
      <c r="QN6" s="30" t="str">
        <f>_xll.BDP(QF6&amp;" Equity", "DS004")</f>
        <v>USD</v>
      </c>
      <c r="QO6" s="17" cm="1">
        <f t="array" ref="QO6">_xll.BDP(QF6&amp;" Equity","PX_LAST")</f>
        <v>20.86</v>
      </c>
      <c r="QP6" s="33">
        <f t="shared" ref="QP6:QP27" si="27">QU6/$QU$28</f>
        <v>6.1935405052110544E-2</v>
      </c>
      <c r="QQ6" s="33">
        <f t="shared" ref="QQ6:QQ26" si="28">QP6*(1-$QQ$34)/(1-$QP$27)</f>
        <v>5.8853746564437447E-2</v>
      </c>
      <c r="QS6" s="1" cm="1">
        <f t="array" ref="QS6">IF(QN6="USD",1,_xll.BDP(QN6&amp;"USD CURNCY","PX_LAST"))</f>
        <v>1</v>
      </c>
      <c r="QT6" s="18">
        <v>338716.86246561899</v>
      </c>
      <c r="QU6" s="11">
        <f>QT6*QO6*QS6</f>
        <v>7065633.7510328116</v>
      </c>
      <c r="QV6" s="5"/>
      <c r="QW6" s="11" cm="1">
        <f t="array" ref="QW6">IF(QJ6="Hong Kong",_xll.BDP(QF6&amp;" Equity","PR414"),_xll.BDP(QF6&amp;" Equity","PR090"))</f>
        <v>1</v>
      </c>
      <c r="QX6" s="11">
        <f>QW6*QS6*QO6</f>
        <v>20.86</v>
      </c>
      <c r="QY6" s="5">
        <f>($AJ$3*QP6)/QX6</f>
        <v>950.11167865174377</v>
      </c>
      <c r="QZ6" s="8">
        <f>(ROUND(QY6,0)*QX6)/$AJ$3</f>
        <v>6.1928125000000001E-2</v>
      </c>
      <c r="RA6" s="8">
        <f>QZ6/QP6-1</f>
        <v>-1.1754265761909632E-4</v>
      </c>
      <c r="RB6" s="5"/>
      <c r="RC6" s="21">
        <f>IFERROR(QX6/QP6,0)</f>
        <v>336.8025119469072</v>
      </c>
      <c r="RD6" s="22">
        <f>QX6/(1/COUNTA($P$6:$P$77))</f>
        <v>771.81999999999994</v>
      </c>
      <c r="RF6" s="16" t="str" cm="1">
        <f t="array" ref="RF6">_xll.BDP(RG6&amp;" Equity","DS520")</f>
        <v>ABB Ltd</v>
      </c>
      <c r="RG6" s="34" t="s">
        <v>1296</v>
      </c>
      <c r="RH6" s="34"/>
      <c r="RI6" s="32" t="str" cm="1">
        <f t="array" ref="RI6">_xll.BDP(RG6&amp;" Equity", "ID_ISIN")</f>
        <v>CH0012221716</v>
      </c>
      <c r="RJ6" s="34"/>
      <c r="RK6" s="30" t="str">
        <f>_xll.BDP(RG6&amp;" Equity", "DS197")</f>
        <v>SIX Swiss Ex</v>
      </c>
      <c r="RL6" s="30" t="s">
        <v>26</v>
      </c>
      <c r="RM6" s="30"/>
      <c r="RN6" s="30" t="s">
        <v>28</v>
      </c>
      <c r="RO6" s="30" t="str">
        <f>_xll.BDP(RG6&amp;" Equity", "DS004")</f>
        <v>CHF</v>
      </c>
      <c r="RP6" s="17" cm="1">
        <f t="array" ref="RP6">_xll.BDP(RG6&amp;" Equity","PX_LAST")</f>
        <v>66.58</v>
      </c>
      <c r="RQ6" s="33">
        <f>RV6/$RV$42</f>
        <v>3.2177039264157832E-2</v>
      </c>
      <c r="RR6" s="33">
        <f>RQ6*(1-$RR$41)/(1-$RQ$41)</f>
        <v>3.0597527444578897E-2</v>
      </c>
      <c r="RT6" s="1" cm="1">
        <f t="array" ref="RT6">IF(RO6="USD",1,_xll.BDP(RO6&amp;"USD CURNCY","PX_LAST"))</f>
        <v>1.2806</v>
      </c>
      <c r="RU6" s="18">
        <v>38029.717814137497</v>
      </c>
      <c r="RV6" s="11">
        <f>RU6*RP6*RT6</f>
        <v>3242503.0346107902</v>
      </c>
      <c r="RW6" s="5"/>
      <c r="RX6" s="11" cm="1">
        <f t="array" ref="RX6">IF(RK6="Hong Kong",_xll.BDP(RG6&amp;" Equity","PR414"),_xll.BDP(RG6&amp;" Equity","PR090"))</f>
        <v>1</v>
      </c>
      <c r="RY6" s="11">
        <f>RX6*RT6*RP6</f>
        <v>85.262347999999989</v>
      </c>
      <c r="RZ6" s="5">
        <f>($AJ$3*RQ6)/RY6</f>
        <v>120.76435620246475</v>
      </c>
      <c r="SA6" s="8">
        <f>(ROUND(RZ6,0)*RY6)/$AJ$3</f>
        <v>3.22398253375E-2</v>
      </c>
      <c r="SB6" s="8">
        <f>SA6/RQ6-1</f>
        <v>1.9512694386429885E-3</v>
      </c>
      <c r="SC6" s="5"/>
      <c r="SD6" s="21">
        <f>IFERROR(RY6/RQ6,0)</f>
        <v>2649.7884811600475</v>
      </c>
      <c r="SE6" s="22">
        <f>RY6/(1/COUNTA($P$6:$P$77))</f>
        <v>3154.7068759999993</v>
      </c>
    </row>
    <row r="7" spans="15:499" x14ac:dyDescent="0.2">
      <c r="O7" s="16" t="str" cm="1">
        <f t="array" ref="O7">_xll.BDP(P7&amp;" Equity","DS520")</f>
        <v>Apple Inc</v>
      </c>
      <c r="P7" s="32" t="s">
        <v>31</v>
      </c>
      <c r="Q7" s="32" t="s">
        <v>32</v>
      </c>
      <c r="R7" s="32" t="str" cm="1">
        <f t="array" ref="R7">_xll.BDP(P7&amp;" Equity", "ID_ISIN")</f>
        <v>US0378331005</v>
      </c>
      <c r="S7" s="32"/>
      <c r="T7" s="30" t="str">
        <f>_xll.BDP(P7&amp;" Equity", "DS197")</f>
        <v>NASDAQ GS</v>
      </c>
      <c r="U7" s="30" t="s">
        <v>26</v>
      </c>
      <c r="V7" s="30" t="s">
        <v>33</v>
      </c>
      <c r="W7" s="30" t="s">
        <v>28</v>
      </c>
      <c r="X7" s="30" t="str">
        <f>_xll.BDP(P7&amp;" Equity", "DS004")</f>
        <v>USD</v>
      </c>
      <c r="Y7" s="17" cm="1">
        <f t="array" ref="Y7">_xll.BDP(P7&amp;" Equity","PX_LAST")</f>
        <v>260.29000000000002</v>
      </c>
      <c r="Z7" s="33">
        <f t="shared" si="0"/>
        <v>3.1116411274855791E-2</v>
      </c>
      <c r="AA7" s="33">
        <f t="shared" si="1"/>
        <v>2.9561636461884044E-2</v>
      </c>
      <c r="AB7" s="4"/>
      <c r="AC7" s="1" cm="1">
        <f t="array" ref="AC7">IF(X7="USD",1,_xll.BDP(X7&amp;"USD CURNCY","PX_LAST"))</f>
        <v>1</v>
      </c>
      <c r="AD7" s="18">
        <v>24601.3102236868</v>
      </c>
      <c r="AE7" s="11">
        <f t="shared" si="2"/>
        <v>6403475.0381234372</v>
      </c>
      <c r="AF7" s="5"/>
      <c r="AG7" s="11" cm="1">
        <f t="array" ref="AG7">IF(T7="Hong Kong",_xll.BDP(P7&amp;" Equity","PR414"),_xll.BDP(P7&amp;" Equity","PR090"))</f>
        <v>1</v>
      </c>
      <c r="AH7" s="11">
        <f t="shared" si="3"/>
        <v>260.29000000000002</v>
      </c>
      <c r="AI7" s="5">
        <f t="shared" ref="AI7:AI10" si="29">($AJ$3*Z7)/AH7</f>
        <v>38.254453140550353</v>
      </c>
      <c r="AJ7" s="8">
        <f t="shared" ref="AJ7:AJ10" si="30">(ROUND(AI7,0)*AH7)/$AJ$3</f>
        <v>3.0909437500000001E-2</v>
      </c>
      <c r="AK7" s="8">
        <f t="shared" ref="AK7:AK10" si="31">AJ7/Z7-1</f>
        <v>-6.6515952957286739E-3</v>
      </c>
      <c r="AL7" s="5"/>
      <c r="AM7" s="21">
        <f t="shared" ref="AM7:AM10" si="32">IFERROR(AH7/Z7,0)</f>
        <v>8365.0391975096536</v>
      </c>
      <c r="AN7" s="22">
        <f t="shared" ref="AN7:AN10" si="33">AH7/(1/COUNTA($P$6:$P$77))</f>
        <v>9630.73</v>
      </c>
      <c r="AP7" s="16" t="str" cm="1">
        <f t="array" ref="AP7">_xll.BDP(AQ7&amp;" Equity","DS520")</f>
        <v>AbbVie Inc</v>
      </c>
      <c r="AQ7" s="32" t="s">
        <v>92</v>
      </c>
      <c r="AR7" s="32" t="s">
        <v>321</v>
      </c>
      <c r="AS7" s="32" t="str" cm="1">
        <f t="array" ref="AS7">_xll.BDP(AQ7&amp;" Equity", "ID_ISIN")</f>
        <v>US00287Y1091</v>
      </c>
      <c r="AT7" s="32"/>
      <c r="AU7" s="30" t="str">
        <f>_xll.BDP(AQ7&amp;" Equity", "DS197")</f>
        <v>New York</v>
      </c>
      <c r="AV7" s="30" t="s">
        <v>26</v>
      </c>
      <c r="AW7" s="30" t="s">
        <v>33</v>
      </c>
      <c r="AX7" s="30" t="s">
        <v>28</v>
      </c>
      <c r="AY7" s="30" t="str">
        <f>_xll.BDP(AQ7&amp;" Equity", "DS004")</f>
        <v>USD</v>
      </c>
      <c r="AZ7" s="17" cm="1">
        <f t="array" ref="AZ7">_xll.BDP(AQ7&amp;" Equity","PX_LAST")</f>
        <v>232.35</v>
      </c>
      <c r="BA7" s="33">
        <f t="shared" si="4"/>
        <v>4.7507393526680292E-2</v>
      </c>
      <c r="BB7" s="33">
        <f t="shared" ref="BB7:BB25" si="34">BA7*(1-$BB$33)/(1-$BA$26)</f>
        <v>4.511669789679331E-2</v>
      </c>
      <c r="BD7" s="1" cm="1">
        <f t="array" ref="BD7">IF(AY7="USD",1,_xll.BDP(AY7&amp;"USD CURNCY","PX_LAST"))</f>
        <v>1</v>
      </c>
      <c r="BE7" s="18">
        <v>33663.864986705797</v>
      </c>
      <c r="BF7" s="11">
        <f t="shared" ref="BF7:BF22" si="35">BE7*AZ7*BD7</f>
        <v>7821799.029661092</v>
      </c>
      <c r="BG7" s="5"/>
      <c r="BH7" s="11" cm="1">
        <f t="array" ref="BH7">IF(AU7="Hong Kong",_xll.BDP(AQ7&amp;" Equity","PR414"),_xll.BDP(AQ7&amp;" Equity","PR090"))</f>
        <v>1</v>
      </c>
      <c r="BI7" s="11">
        <f t="shared" ref="BI7:BI22" si="36">BH7*BD7*AZ7</f>
        <v>232.35</v>
      </c>
      <c r="BJ7" s="5">
        <f t="shared" ref="BJ7:BJ22" si="37">($AJ$3*BA7)/BI7</f>
        <v>65.428732208038269</v>
      </c>
      <c r="BK7" s="8">
        <f t="shared" ref="BK7:BK22" si="38">(ROUND(BJ7,0)*BI7)/$AJ$3</f>
        <v>4.7196093750000001E-2</v>
      </c>
      <c r="BL7" s="8">
        <f t="shared" ref="BL7:BL22" si="39">BK7/BA7-1</f>
        <v>-6.552659566672836E-3</v>
      </c>
      <c r="BM7" s="5"/>
      <c r="BN7" s="21">
        <f t="shared" ref="BN7:BN22" si="40">IFERROR(BI7/BA7,0)</f>
        <v>4890.8176759794569</v>
      </c>
      <c r="BO7" s="22">
        <f t="shared" ref="BO7:BO22" si="41">BI7/(1/COUNTA($P$6:$P$77))</f>
        <v>8596.9499999999989</v>
      </c>
      <c r="BQ7" s="16" t="str" cm="1">
        <f t="array" ref="BQ7">_xll.BDP(BR7&amp;" Equity","DS520")</f>
        <v>Daiwa House Industry Co Ltd</v>
      </c>
      <c r="BR7" s="32" t="s">
        <v>108</v>
      </c>
      <c r="BS7" s="32">
        <v>1925</v>
      </c>
      <c r="BT7" s="32" t="str" cm="1">
        <f t="array" ref="BT7">_xll.BDP(BR7&amp;" Equity", "ID_ISIN")</f>
        <v>JP3505000004</v>
      </c>
      <c r="BU7" s="32"/>
      <c r="BV7" s="30" t="str">
        <f>_xll.BDP(BR7&amp;" Equity", "DS197")</f>
        <v>Tokyo</v>
      </c>
      <c r="BW7" s="30" t="s">
        <v>26</v>
      </c>
      <c r="BX7" s="71" t="s">
        <v>320</v>
      </c>
      <c r="BY7" s="30" t="s">
        <v>28</v>
      </c>
      <c r="BZ7" s="30" t="str">
        <f>_xll.BDP(BR7&amp;" Equity", "DS004")</f>
        <v>JPY</v>
      </c>
      <c r="CA7" s="17" cm="1">
        <f t="array" ref="CA7">_xll.BDP(BR7&amp;" Equity","PX_LAST")</f>
        <v>5320</v>
      </c>
      <c r="CB7" s="33">
        <f t="shared" si="5"/>
        <v>6.6226989807582473E-2</v>
      </c>
      <c r="CC7" s="33">
        <f t="shared" ref="CC7:CC20" si="42">CB7*(1-$CC$28)/(1-$CB$21)</f>
        <v>6.2909971991225777E-2</v>
      </c>
      <c r="CE7" s="1">
        <v>1</v>
      </c>
      <c r="CF7" s="18">
        <v>7809.9321767664596</v>
      </c>
      <c r="CG7" s="11">
        <f t="shared" ref="CG7:CG18" si="43">CF7*CA7*CE7</f>
        <v>41548839.180397563</v>
      </c>
      <c r="CH7" s="5"/>
      <c r="CI7" s="11" cm="1">
        <f t="array" ref="CI7">IF(BV7="Hong Kong",_xll.BDP(BR7&amp;" Equity","PR414"),_xll.BDP(BR7&amp;" Equity","PR090"))</f>
        <v>100</v>
      </c>
      <c r="CJ7" s="11">
        <f t="shared" ref="CJ7:CJ18" si="44">CI7*CE7*CA7</f>
        <v>532000</v>
      </c>
      <c r="CK7" s="5">
        <f t="shared" ref="CK7:CK18" si="45">($AJ$3*CB7)/CJ7</f>
        <v>3.9835783342906751E-2</v>
      </c>
      <c r="CL7" s="8">
        <f t="shared" ref="CL7:CL18" si="46">(ROUND(CK7,0)*CJ7)/$AJ$3</f>
        <v>0</v>
      </c>
      <c r="CM7" s="8">
        <f t="shared" ref="CM7:CM18" si="47">CL7/CB7-1</f>
        <v>-1</v>
      </c>
      <c r="CN7" s="5"/>
      <c r="CO7" s="21">
        <f t="shared" ref="CO7:CO18" si="48">IFERROR(CJ7/CB7,0)</f>
        <v>8032978.7228090223</v>
      </c>
      <c r="CP7" s="22">
        <f t="shared" ref="CP7:CP18" si="49">CJ7/(1/COUNTA($P$6:$P$77))</f>
        <v>19684000</v>
      </c>
      <c r="CR7" s="16" t="str" cm="1">
        <f t="array" ref="CR7">_xll.BDP(CS7&amp;" Equity","DS520")</f>
        <v>Broadstone Net Lease Inc</v>
      </c>
      <c r="CS7" s="32" t="s">
        <v>117</v>
      </c>
      <c r="CT7" s="32" t="s">
        <v>370</v>
      </c>
      <c r="CU7" s="32" t="str" cm="1">
        <f t="array" ref="CU7">_xll.BDP(CS7&amp;" Equity", "ID_ISIN")</f>
        <v>US11135E2037</v>
      </c>
      <c r="CV7" s="32"/>
      <c r="CW7" s="30" t="str">
        <f>_xll.BDP(CS7&amp;" Equity", "DS197")</f>
        <v>New York</v>
      </c>
      <c r="CX7" s="30" t="s">
        <v>26</v>
      </c>
      <c r="CY7" s="30" t="s">
        <v>33</v>
      </c>
      <c r="CZ7" s="30" t="s">
        <v>28</v>
      </c>
      <c r="DA7" s="51" t="str">
        <f>_xll.BDP(CS7&amp;" Equity", "DS004")</f>
        <v>USD</v>
      </c>
      <c r="DB7" s="17" cm="1">
        <f t="array" ref="DB7">_xll.BDP(CS7&amp;" Equity","PX_LAST")</f>
        <v>19.05</v>
      </c>
      <c r="DC7" s="33">
        <f t="shared" si="6"/>
        <v>5.1965634555101163E-2</v>
      </c>
      <c r="DD7" s="33">
        <f t="shared" si="7"/>
        <v>4.93508481304583E-2</v>
      </c>
      <c r="DF7" s="1" cm="1">
        <f t="array" ref="DF7">IF(DA7="USD",1,_xll.BDP(DA7&amp;"USD CURNCY","PX_LAST"))</f>
        <v>1</v>
      </c>
      <c r="DG7" s="18">
        <v>494714.25215351599</v>
      </c>
      <c r="DH7" s="11">
        <f t="shared" si="8"/>
        <v>9424306.5035244804</v>
      </c>
      <c r="DI7" s="5"/>
      <c r="DJ7" s="11" cm="1">
        <f t="array" ref="DJ7">IF(CW7="Hong Kong",_xll.BDP(CS7&amp;" Equity","PR414"),_xll.BDP(CS7&amp;" Equity","PR090"))</f>
        <v>1</v>
      </c>
      <c r="DK7" s="11">
        <f t="shared" si="9"/>
        <v>19.05</v>
      </c>
      <c r="DL7" s="5">
        <f t="shared" ref="DL7:DL23" si="50">($AJ$3*DC7)/DK7</f>
        <v>872.91354633240803</v>
      </c>
      <c r="DM7" s="8">
        <f t="shared" ref="DM7:DM23" si="51">(ROUND(DL7,0)*DK7)/$AJ$3</f>
        <v>5.1970781250000007E-2</v>
      </c>
      <c r="DN7" s="8">
        <f t="shared" ref="DN7:DN23" si="52">DM7/DC7-1</f>
        <v>9.9040355090673771E-5</v>
      </c>
      <c r="DO7" s="5"/>
      <c r="DP7" s="21">
        <f t="shared" ref="DP7:DP23" si="53">IFERROR(DK7/DC7,0)</f>
        <v>366.58842258147644</v>
      </c>
      <c r="DQ7" s="22">
        <f t="shared" ref="DQ7:DQ23" si="54">DK7/(1/COUNTA($P$6:$P$77))</f>
        <v>704.85</v>
      </c>
      <c r="DS7" s="16" t="str" cm="1">
        <f t="array" ref="DS7">_xll.BDP(DT7&amp;" Equity","DS520")</f>
        <v>Associated British Foods PLC</v>
      </c>
      <c r="DT7" s="32" t="s">
        <v>127</v>
      </c>
      <c r="DU7" s="32" t="s">
        <v>128</v>
      </c>
      <c r="DV7" s="32" t="str" cm="1">
        <f t="array" ref="DV7">_xll.BDP(DT7&amp;" Equity", "ID_ISIN")</f>
        <v>GB0006731235</v>
      </c>
      <c r="DW7" s="32"/>
      <c r="DX7" s="30" t="str">
        <f>_xll.BDP(DT7&amp;" Equity", "DS197")</f>
        <v>London</v>
      </c>
      <c r="DY7" s="30" t="s">
        <v>26</v>
      </c>
      <c r="DZ7" s="30" t="s">
        <v>129</v>
      </c>
      <c r="EA7" s="30" t="s">
        <v>28</v>
      </c>
      <c r="EB7" s="43" t="str">
        <f>_xll.BDP(DT7&amp;" Equity", "DS004")</f>
        <v>GBp</v>
      </c>
      <c r="EC7" s="17" cm="1">
        <f t="array" ref="EC7">_xll.BDP(DT7&amp;" Equity","PX_LAST")/100</f>
        <v>18.87</v>
      </c>
      <c r="ED7" s="33">
        <f t="shared" ref="ED7:ED26" si="55">EI7/$EI$27</f>
        <v>4.1025804659415466E-2</v>
      </c>
      <c r="EE7" s="33">
        <f t="shared" ref="EE7:EE25" si="56">ED7*(1-$EE$33)/(1-$ED$26)</f>
        <v>3.8917398769615169E-2</v>
      </c>
      <c r="EG7" s="1">
        <v>1</v>
      </c>
      <c r="EH7" s="18">
        <v>358786.96037784801</v>
      </c>
      <c r="EI7" s="11">
        <f t="shared" ref="EI7:EI26" si="57">EH7*EC7*EG7</f>
        <v>6770309.9423299925</v>
      </c>
      <c r="EJ7" s="5"/>
      <c r="EK7" s="11" cm="1">
        <f t="array" ref="EK7">IF(DX7="Hong Kong",_xll.BDP(DT7&amp;" Equity","PR414"),_xll.BDP(DT7&amp;" Equity","PR090"))</f>
        <v>1</v>
      </c>
      <c r="EL7" s="11">
        <f t="shared" ref="EL7:EL26" si="58">EK7*EG7*EC7</f>
        <v>18.87</v>
      </c>
      <c r="EM7" s="5">
        <f t="shared" ref="EM7:EM26" si="59">($AJ$3*ED7)/EL7</f>
        <v>695.72111770073923</v>
      </c>
      <c r="EN7" s="8">
        <f t="shared" ref="EN7:EN26" si="60">(ROUND(EM7,0)*EL7)/$AJ$3</f>
        <v>4.1042250000000002E-2</v>
      </c>
      <c r="EO7" s="8">
        <f t="shared" ref="EO7:EO26" si="61">EN7/ED7-1</f>
        <v>4.0085357791430631E-4</v>
      </c>
      <c r="EP7" s="5"/>
      <c r="EQ7" s="21">
        <f t="shared" ref="EQ7:EQ26" si="62">IFERROR(EL7/ED7,0)</f>
        <v>459.95441543812149</v>
      </c>
      <c r="ER7" s="22">
        <f t="shared" ref="ER7:ER26" si="63">EL7/(1/COUNTA($P$6:$P$77))</f>
        <v>698.19</v>
      </c>
      <c r="ET7" s="16" t="str" cm="1">
        <f t="array" ref="ET7">_xll.BDP(EU7&amp;" Equity","DS520")</f>
        <v>Apple Inc</v>
      </c>
      <c r="EU7" s="32" t="s">
        <v>31</v>
      </c>
      <c r="EV7" s="32" t="s">
        <v>32</v>
      </c>
      <c r="EW7" s="32" t="str" cm="1">
        <f t="array" ref="EW7">_xll.BDP(EU7&amp;" Equity", "ID_ISIN")</f>
        <v>US0378331005</v>
      </c>
      <c r="EX7" s="32"/>
      <c r="EY7" s="30" t="str">
        <f>_xll.BDP(EU7&amp;" Equity", "DS197")</f>
        <v>NASDAQ GS</v>
      </c>
      <c r="EZ7" s="30" t="s">
        <v>26</v>
      </c>
      <c r="FA7" s="30" t="s">
        <v>33</v>
      </c>
      <c r="FB7" s="30" t="s">
        <v>28</v>
      </c>
      <c r="FC7" s="30" t="str">
        <f>_xll.BDP(EU7&amp;" Equity", "DS004")</f>
        <v>USD</v>
      </c>
      <c r="FD7" s="17" cm="1">
        <f t="array" ref="FD7">_xll.BDP(EU7&amp;" Equity","PX_LAST")</f>
        <v>260.29000000000002</v>
      </c>
      <c r="FE7" s="33">
        <f t="shared" si="10"/>
        <v>3.9210903955515124E-2</v>
      </c>
      <c r="FF7" s="33">
        <f t="shared" si="11"/>
        <v>3.7249322145466252E-2</v>
      </c>
      <c r="FH7" s="1" cm="1">
        <f t="array" ref="FH7">IF(FC7="USD",1,_xll.BDP(FC7&amp;"USD CURNCY","PX_LAST"))</f>
        <v>1</v>
      </c>
      <c r="FI7" s="18">
        <v>30869.998823558999</v>
      </c>
      <c r="FJ7" s="11">
        <f t="shared" ref="FJ7:FJ34" si="64">FI7*FD7*FH7</f>
        <v>8035151.9937841725</v>
      </c>
      <c r="FK7" s="5"/>
      <c r="FL7" s="11" cm="1">
        <f t="array" ref="FL7">IF(EY7="Hong Kong",_xll.BDP(EU7&amp;" Equity","PR414"),_xll.BDP(EU7&amp;" Equity","PR090"))</f>
        <v>1</v>
      </c>
      <c r="FM7" s="11">
        <f t="shared" ref="FM7:FM34" si="65">FL7*FH7*FD7</f>
        <v>260.29000000000002</v>
      </c>
      <c r="FN7" s="5">
        <f t="shared" ref="FN7:FN34" si="66">($AJ$3*FE7)/FM7</f>
        <v>48.20580608461654</v>
      </c>
      <c r="FO7" s="8">
        <f t="shared" ref="FO7:FO34" si="67">(ROUND(FN7,0)*FM7)/$AJ$3</f>
        <v>3.9043500000000009E-2</v>
      </c>
      <c r="FP7" s="8">
        <f t="shared" ref="FP7:FP34" si="68">FO7/FE7-1</f>
        <v>-4.2693215056973655E-3</v>
      </c>
      <c r="FQ7" s="5"/>
      <c r="FR7" s="21">
        <f t="shared" ref="FR7:FR34" si="69">IFERROR(FM7/FE7,0)</f>
        <v>6638.2045232953496</v>
      </c>
      <c r="FS7" s="22">
        <f t="shared" ref="FS7:FS34" si="70">FM7/(1/COUNTA($P$6:$P$77))</f>
        <v>9630.73</v>
      </c>
      <c r="FU7" s="16" t="str" cm="1">
        <f t="array" ref="FU7">_xll.BDP(FV7&amp;" Equity","DS520")</f>
        <v>Alibaba Group Holding Ltd</v>
      </c>
      <c r="FV7" s="32" t="s">
        <v>185</v>
      </c>
      <c r="FW7" s="32">
        <v>9988</v>
      </c>
      <c r="FX7" s="32" t="str" cm="1">
        <f t="array" ref="FX7">_xll.BDP(FV7&amp;" Equity", "ID_ISIN")</f>
        <v>KYG017191142</v>
      </c>
      <c r="FY7" s="32"/>
      <c r="FZ7" s="30" t="str">
        <f>_xll.BDP(FV7&amp;" Equity", "DS197")</f>
        <v>Hong Kong</v>
      </c>
      <c r="GA7" s="30" t="s">
        <v>26</v>
      </c>
      <c r="GB7" s="30" t="s">
        <v>27</v>
      </c>
      <c r="GC7" s="30" t="s">
        <v>28</v>
      </c>
      <c r="GD7" s="30" t="str">
        <f>_xll.BDP(FV7&amp;" Equity", "DS004")</f>
        <v>HKD</v>
      </c>
      <c r="GE7" s="17" cm="1">
        <f t="array" ref="GE7">_xll.BDP(FV7&amp;" Equity","PX_LAST")</f>
        <v>131.19999999999999</v>
      </c>
      <c r="GF7" s="33">
        <f t="shared" si="12"/>
        <v>2.7655792393256787E-2</v>
      </c>
      <c r="GG7" s="33">
        <f t="shared" si="13"/>
        <v>2.6271744474760644E-2</v>
      </c>
      <c r="GI7" s="1" cm="1">
        <f t="array" ref="GI7">IF(GD7="USD",1,_xll.BDP(GD7&amp;"USD CURNCY","PX_LAST"))</f>
        <v>0.12784999999999999</v>
      </c>
      <c r="GJ7" s="18">
        <v>341283.93722625502</v>
      </c>
      <c r="GK7" s="11">
        <f t="shared" ref="GK7:GK30" si="71">GJ7*GE7*GI7</f>
        <v>5724669.4603182226</v>
      </c>
      <c r="GL7" s="5"/>
      <c r="GM7" s="11" cm="1">
        <f t="array" ref="GM7">IF(FZ7="Hong Kong",_xll.BDP(FV7&amp;" Equity","PR414"),_xll.BDP(FV7&amp;" Equity","PR090"))</f>
        <v>100</v>
      </c>
      <c r="GN7" s="11">
        <f t="shared" ref="GN7:GN30" si="72">GM7*GI7*GE7</f>
        <v>1677.3919999999996</v>
      </c>
      <c r="GO7" s="5">
        <f t="shared" ref="GO7:GO30" si="73">($AJ$3*GF7)/GN7</f>
        <v>5.275960279912014</v>
      </c>
      <c r="GP7" s="8">
        <f t="shared" ref="GP7:GP30" si="74">(ROUND(GO7,0)*GN7)/$AJ$3</f>
        <v>2.6209249999999993E-2</v>
      </c>
      <c r="GQ7" s="8">
        <f t="shared" ref="GQ7:GQ30" si="75">GP7/GF7-1</f>
        <v>-5.2305223176664417E-2</v>
      </c>
      <c r="GR7" s="5"/>
      <c r="GS7" s="21">
        <f t="shared" ref="GS7:GS30" si="76">IFERROR(GN7/GF7,0)</f>
        <v>60652.465716693478</v>
      </c>
      <c r="GT7" s="22">
        <f t="shared" ref="GT7:GT30" si="77">GN7/(1/COUNTA($P$6:$P$77))</f>
        <v>62063.503999999979</v>
      </c>
      <c r="GV7" s="16" t="str" cm="1">
        <f t="array" ref="GV7">_xll.BDP(GW7&amp;" Equity","DS520")</f>
        <v>Asahi Group Holdings Ltd</v>
      </c>
      <c r="GW7" s="32" t="s">
        <v>730</v>
      </c>
      <c r="GX7" s="32">
        <v>2502</v>
      </c>
      <c r="GY7" s="32" t="str" cm="1">
        <f t="array" ref="GY7">_xll.BDP(GW7&amp;" Equity", "ID_ISIN")</f>
        <v>JP3116000005</v>
      </c>
      <c r="GZ7" s="32"/>
      <c r="HA7" s="30" t="str">
        <f>_xll.BDP(GW7&amp;" Equity", "DS197")</f>
        <v>Tokyo</v>
      </c>
      <c r="HB7" s="30" t="s">
        <v>26</v>
      </c>
      <c r="HC7" s="30" t="s">
        <v>320</v>
      </c>
      <c r="HD7" s="30" t="s">
        <v>28</v>
      </c>
      <c r="HE7" s="30" t="str">
        <f>_xll.BDP(GW7&amp;" Equity", "DS004")</f>
        <v>JPY</v>
      </c>
      <c r="HF7" s="17" cm="1">
        <f t="array" ref="HF7">_xll.BDP(GW7&amp;" Equity","PX_LAST")</f>
        <v>1651.5</v>
      </c>
      <c r="HG7" s="33">
        <f t="shared" si="14"/>
        <v>2.5677758128851591E-2</v>
      </c>
      <c r="HH7" s="33">
        <f t="shared" ref="HH7:HH39" si="78">HG7*(1-$HH$47)/(1-$HG$40)</f>
        <v>2.4391934900641007E-2</v>
      </c>
      <c r="HJ7" s="1" cm="1">
        <f t="array" ref="HJ7">IF(HE7="USD",1,_xll.BDP(HE7&amp;"USD CURNCY","PX_LAST"))</f>
        <v>6.3369999999999998E-3</v>
      </c>
      <c r="HK7" s="18">
        <v>400153.06494898599</v>
      </c>
      <c r="HL7" s="11">
        <f t="shared" ref="HL7:HL31" si="79">HK7*HF7*HJ7</f>
        <v>4187824.1097187172</v>
      </c>
      <c r="HM7" s="5"/>
      <c r="HN7" s="11" cm="1">
        <f t="array" ref="HN7">IF(HA7="Hong Kong",_xll.BDP(GW7&amp;" Equity","PR414"),_xll.BDP(GW7&amp;" Equity","PR090"))</f>
        <v>100</v>
      </c>
      <c r="HO7" s="11">
        <f t="shared" ref="HO7:HO38" si="80">HN7*HJ7*HF7</f>
        <v>1046.5555499999998</v>
      </c>
      <c r="HP7" s="5">
        <f t="shared" ref="HP7:HP38" si="81">($AJ$3*HG7)/HO7</f>
        <v>7.8513582974477671</v>
      </c>
      <c r="HQ7" s="8">
        <f t="shared" ref="HQ7:HQ38" si="82">(ROUND(HP7,0)*HO7)/$AJ$3</f>
        <v>2.6163888749999996E-2</v>
      </c>
      <c r="HR7" s="8">
        <f t="shared" ref="HR7:HR38" si="83">HQ7/HG7-1</f>
        <v>1.8931972904682404E-2</v>
      </c>
      <c r="HS7" s="5"/>
      <c r="HT7" s="21">
        <f t="shared" ref="HT7:HT38" si="84">IFERROR(HO7/HG7,0)</f>
        <v>40757.278916187293</v>
      </c>
      <c r="HU7" s="22">
        <f t="shared" ref="HU7:HU38" si="85">HO7/(1/COUNTA($P$6:$P$77))</f>
        <v>38722.555349999988</v>
      </c>
      <c r="HW7" s="16" t="str" cm="1">
        <f t="array" ref="HW7">_xll.BDP(HX7&amp;" Equity","DS520")</f>
        <v>Bosideng International Holdings Ltd</v>
      </c>
      <c r="HX7" s="45" t="s">
        <v>1420</v>
      </c>
      <c r="HY7" s="32">
        <v>3998</v>
      </c>
      <c r="HZ7" s="32" t="str" cm="1">
        <f t="array" ref="HZ7">_xll.BDP(HX7&amp;" Equity", "ID_ISIN")</f>
        <v>KYG126521064</v>
      </c>
      <c r="IA7" s="45"/>
      <c r="IB7" s="30" t="str">
        <f>_xll.BDP(HX7&amp;" Equity", "DS197")</f>
        <v>Hong Kong</v>
      </c>
      <c r="IC7" s="30" t="s">
        <v>26</v>
      </c>
      <c r="ID7" s="30" t="s">
        <v>27</v>
      </c>
      <c r="IE7" s="30" t="s">
        <v>28</v>
      </c>
      <c r="IF7" s="30" t="str">
        <f>_xll.BDP(HX7&amp;" Equity", "DS004")</f>
        <v>HKD</v>
      </c>
      <c r="IG7" s="17" cm="1">
        <f t="array" ref="IG7">_xll.BDP(HX7&amp;" Equity","PX_LAST")</f>
        <v>4.68</v>
      </c>
      <c r="IH7" s="33">
        <f t="shared" si="15"/>
        <v>4.4396014162148986E-2</v>
      </c>
      <c r="II7" s="33">
        <f t="shared" si="16"/>
        <v>4.2198930900835006E-2</v>
      </c>
      <c r="IK7" s="1">
        <v>1</v>
      </c>
      <c r="IL7" s="18">
        <v>1798044.13221006</v>
      </c>
      <c r="IM7" s="11">
        <f t="shared" ref="IM7:IM13" si="86">IL7*IG7*IK7</f>
        <v>8414846.5387430806</v>
      </c>
      <c r="IN7" s="5"/>
      <c r="IO7" s="11" cm="1">
        <f t="array" ref="IO7">IF(IB7="Hong Kong",_xll.BDP(HX7&amp;" Equity","PR414"),_xll.BDP(HX7&amp;" Equity","PR090"))</f>
        <v>2000</v>
      </c>
      <c r="IP7" s="11">
        <f t="shared" ref="IP7:IP13" si="87">IO7*IK7*IG7</f>
        <v>9360</v>
      </c>
      <c r="IQ7" s="5">
        <f t="shared" ref="IQ7:IQ13" si="88">($AJ$3*IH7)/IP7</f>
        <v>1.5178124499879995</v>
      </c>
      <c r="IR7" s="8">
        <f t="shared" ref="IR7:IR13" si="89">(ROUND(IQ7,0)*IP7)/$AJ$3</f>
        <v>5.8500000000000003E-2</v>
      </c>
      <c r="IS7" s="8">
        <f t="shared" ref="IS7:IS13" si="90">IR7/IH7-1</f>
        <v>0.31768585770647295</v>
      </c>
      <c r="IT7" s="5"/>
      <c r="IU7" s="21">
        <f t="shared" ref="IU7:IU13" si="91">IFERROR(IP7/IH7,0)</f>
        <v>210829.73723303564</v>
      </c>
      <c r="IV7" s="22">
        <f t="shared" ref="IV7:IV13" si="92">IP7/(1/COUNTA($P$6:$P$77))</f>
        <v>346320</v>
      </c>
      <c r="IX7" s="16" t="str" cm="1">
        <f t="array" ref="IX7">_xll.BDP(IY7&amp;" Equity","DS520")</f>
        <v>Alphabet Inc</v>
      </c>
      <c r="IY7" s="32" t="s">
        <v>47</v>
      </c>
      <c r="IZ7" s="32" t="s">
        <v>48</v>
      </c>
      <c r="JA7" s="32" t="str" cm="1">
        <f t="array" ref="JA7">_xll.BDP(IY7&amp;" Equity", "ID_ISIN")</f>
        <v>US02079K1079</v>
      </c>
      <c r="JB7" s="32"/>
      <c r="JC7" s="30" t="str">
        <f>_xll.BDP(IY7&amp;" Equity", "DS197")</f>
        <v>NASDAQ GS</v>
      </c>
      <c r="JD7" s="30" t="s">
        <v>26</v>
      </c>
      <c r="JE7" s="30" t="s">
        <v>33</v>
      </c>
      <c r="JF7" s="30" t="s">
        <v>28</v>
      </c>
      <c r="JG7" s="30" t="str">
        <f>_xll.BDP(IY7&amp;" Equity", "DS004")</f>
        <v>USD</v>
      </c>
      <c r="JH7" s="17" cm="1">
        <f t="array" ref="JH7">_xll.BDP(IY7&amp;" Equity","PX_LAST")</f>
        <v>300.91000000000003</v>
      </c>
      <c r="JI7" s="33">
        <f t="shared" ref="JI7:JI33" si="93">JN7/$JN$34</f>
        <v>5.3332873514846647E-2</v>
      </c>
      <c r="JJ7" s="33">
        <f t="shared" si="17"/>
        <v>5.0663506353024718E-2</v>
      </c>
      <c r="JL7" s="1" cm="1">
        <f t="array" ref="JL7">IF(JG7="USD",1,_xll.BDP(JG7&amp;"USD CURNCY","PX_LAST"))</f>
        <v>1</v>
      </c>
      <c r="JM7" s="18">
        <v>21622.246157542399</v>
      </c>
      <c r="JN7" s="11">
        <f t="shared" ref="JN7:JN33" si="94">JM7*JH7*JL7</f>
        <v>6506350.0912660835</v>
      </c>
      <c r="JO7" s="5"/>
      <c r="JP7" s="11" cm="1">
        <f t="array" ref="JP7">IF(JC7="Hong Kong",_xll.BDP(IY7&amp;" Equity","PR414"),_xll.BDP(IY7&amp;" Equity","PR090"))</f>
        <v>1</v>
      </c>
      <c r="JQ7" s="11">
        <f t="shared" ref="JQ7:JQ33" si="95">JP7*JL7*JH7</f>
        <v>300.91000000000003</v>
      </c>
      <c r="JR7" s="5">
        <f t="shared" ref="JR7:JR33" si="96">($AJ$3*JI7)/JQ7</f>
        <v>56.71635879416079</v>
      </c>
      <c r="JS7" s="8">
        <f t="shared" ref="JS7:JS33" si="97">(ROUND(JR7,0)*JQ7)/$AJ$3</f>
        <v>5.3599593750000007E-2</v>
      </c>
      <c r="JT7" s="8">
        <f t="shared" ref="JT7:JT33" si="98">JS7/JI7-1</f>
        <v>5.0010475261399456E-3</v>
      </c>
      <c r="JU7" s="5"/>
      <c r="JV7" s="21">
        <f t="shared" ref="JV7:JV33" si="99">IFERROR(JQ7/JI7,0)</f>
        <v>5642.1111440063996</v>
      </c>
      <c r="JW7" s="22">
        <f t="shared" ref="JW7:JW33" si="100">JQ7/(1/COUNTA($P$6:$P$77))</f>
        <v>11133.67</v>
      </c>
      <c r="JY7" s="16" t="str" cm="1">
        <f t="array" ref="JY7">_xll.BDP(JZ7&amp;" Equity","DS520")</f>
        <v>AbbVie Inc</v>
      </c>
      <c r="JZ7" s="32" t="s">
        <v>92</v>
      </c>
      <c r="KA7" s="32" t="s">
        <v>321</v>
      </c>
      <c r="KB7" s="32" t="str" cm="1">
        <f t="array" ref="KB7">_xll.BDP(JZ7&amp;" Equity", "ID_ISIN")</f>
        <v>US00287Y1091</v>
      </c>
      <c r="KC7" s="32"/>
      <c r="KD7" s="30" t="str">
        <f>_xll.BDP(JZ7&amp;" Equity", "DS197")</f>
        <v>New York</v>
      </c>
      <c r="KE7" s="30" t="s">
        <v>26</v>
      </c>
      <c r="KF7" s="30" t="s">
        <v>33</v>
      </c>
      <c r="KG7" s="30" t="s">
        <v>28</v>
      </c>
      <c r="KH7" s="30" t="str">
        <f>_xll.BDP(JZ7&amp;" Equity", "DS004")</f>
        <v>USD</v>
      </c>
      <c r="KI7" s="17" cm="1">
        <f t="array" ref="KI7">_xll.BDP(JZ7&amp;" Equity","PX_LAST")</f>
        <v>232.35</v>
      </c>
      <c r="KJ7" s="33">
        <f t="shared" ref="KJ7:KJ40" si="101">KO7/$KO$41</f>
        <v>3.1439907407648092E-2</v>
      </c>
      <c r="KK7" s="33">
        <f t="shared" ref="KK7:KK39" si="102">KJ7*(1-$KK$47)/(1-$KJ$40)</f>
        <v>2.9872760521360793E-2</v>
      </c>
      <c r="KM7" s="1" cm="1">
        <f t="array" ref="KM7">IF(KH7="USD",1,_xll.BDP(KH7&amp;"USD CURNCY","PX_LAST"))</f>
        <v>1</v>
      </c>
      <c r="KN7" s="18">
        <v>13436.680620368899</v>
      </c>
      <c r="KO7" s="11">
        <f t="shared" ref="KO7:KO31" si="103">KN7*KI7*KM7</f>
        <v>3122012.7421427136</v>
      </c>
      <c r="KP7" s="5"/>
      <c r="KQ7" s="11" cm="1">
        <f t="array" ref="KQ7">IF(KD7="Hong Kong",_xll.BDP(JZ7&amp;" Equity","PR414"),_xll.BDP(JZ7&amp;" Equity","PR090"))</f>
        <v>1</v>
      </c>
      <c r="KR7" s="11">
        <f t="shared" ref="KR7:KR39" si="104">KQ7*KM7*KI7</f>
        <v>232.35</v>
      </c>
      <c r="KS7" s="5">
        <f t="shared" ref="KS7:KS39" si="105">($AJ$3*KJ7)/KR7</f>
        <v>43.300066152129936</v>
      </c>
      <c r="KT7" s="8">
        <f t="shared" ref="KT7:KT39" si="106">(ROUND(KS7,0)*KR7)/$AJ$3</f>
        <v>3.1222031249999997E-2</v>
      </c>
      <c r="KU7" s="8">
        <f t="shared" ref="KU7:KU39" si="107">KT7/KJ7-1</f>
        <v>-6.9299236420491406E-3</v>
      </c>
      <c r="KV7" s="5"/>
      <c r="KW7" s="21">
        <f t="shared" ref="KW7:KW39" si="108">IFERROR(KR7/KJ7,0)</f>
        <v>7390.2889403382396</v>
      </c>
      <c r="KX7" s="22">
        <f t="shared" ref="KX7:KX39" si="109">KR7/(1/COUNTA($P$6:$P$77))</f>
        <v>8596.9499999999989</v>
      </c>
      <c r="KZ7" s="16" t="str" cm="1">
        <f t="array" ref="KZ7">_xll.BDP(LA7&amp;" Equity","DS520")</f>
        <v>Broadstone Net Lease Inc</v>
      </c>
      <c r="LA7" s="32" t="s">
        <v>117</v>
      </c>
      <c r="LB7" s="32" t="s">
        <v>370</v>
      </c>
      <c r="LC7" s="32" t="str" cm="1">
        <f t="array" ref="LC7">_xll.BDP(LA7&amp;" Equity", "ID_ISIN")</f>
        <v>US11135E2037</v>
      </c>
      <c r="LD7" s="32"/>
      <c r="LE7" s="30" t="str">
        <f>_xll.BDP(LA7&amp;" Equity", "DS197")</f>
        <v>New York</v>
      </c>
      <c r="LF7" s="30" t="s">
        <v>26</v>
      </c>
      <c r="LG7" s="30" t="s">
        <v>33</v>
      </c>
      <c r="LH7" s="30" t="s">
        <v>28</v>
      </c>
      <c r="LI7" s="30" t="str">
        <f>_xll.BDP(LA7&amp;" Equity", "DS004")</f>
        <v>USD</v>
      </c>
      <c r="LJ7" s="17" cm="1">
        <f t="array" ref="LJ7">_xll.BDP(LA7&amp;" Equity","PX_LAST")</f>
        <v>19.05</v>
      </c>
      <c r="LK7" s="33">
        <f t="shared" si="18"/>
        <v>6.420903878686314E-2</v>
      </c>
      <c r="LL7" s="33">
        <f t="shared" si="19"/>
        <v>6.0971182749598639E-2</v>
      </c>
      <c r="LN7" s="1">
        <v>1</v>
      </c>
      <c r="LO7" s="18">
        <v>372472.72068120999</v>
      </c>
      <c r="LP7" s="11">
        <f t="shared" ref="LP7:LP20" si="110">LO7*LJ7*LN7</f>
        <v>7095605.3289770503</v>
      </c>
      <c r="LQ7" s="5"/>
      <c r="LR7" s="11" cm="1">
        <f t="array" ref="LR7">IF(LE7="Hong Kong",_xll.BDP(LA7&amp;" Equity","PR414"),_xll.BDP(LA7&amp;" Equity","PR090"))</f>
        <v>1</v>
      </c>
      <c r="LS7" s="11">
        <f t="shared" ref="LS7:LS20" si="111">LR7*LN7*LJ7</f>
        <v>19.05</v>
      </c>
      <c r="LT7" s="5">
        <f t="shared" ref="LT7:LT20" si="112">($AJ$3*LK7)/LS7</f>
        <v>1078.5770294906144</v>
      </c>
      <c r="LU7" s="8">
        <f t="shared" ref="LU7:LU20" si="113">(ROUND(LT7,0)*LS7)/$AJ$3</f>
        <v>6.4234218750000002E-2</v>
      </c>
      <c r="LV7" s="8">
        <f t="shared" ref="LV7:LV20" si="114">LU7/LK7-1</f>
        <v>3.921560517428091E-4</v>
      </c>
      <c r="LW7" s="5"/>
      <c r="LX7" s="21">
        <f t="shared" ref="LX7:LX20" si="115">IFERROR(LS7/LK7,0)</f>
        <v>296.68720105334359</v>
      </c>
      <c r="LY7" s="22">
        <f t="shared" ref="LY7:LY20" si="116">LS7/(1/COUNTA($P$6:$P$77))</f>
        <v>704.85</v>
      </c>
      <c r="MA7" s="16" t="str" cm="1">
        <f t="array" ref="MA7">_xll.BDP(MB7&amp;" Equity","DS520")</f>
        <v>AT&amp;T Inc</v>
      </c>
      <c r="MB7" s="32" t="s">
        <v>165</v>
      </c>
      <c r="MC7" s="32" t="s">
        <v>339</v>
      </c>
      <c r="MD7" s="32" t="str" cm="1">
        <f t="array" ref="MD7">_xll.BDP(MB7&amp;" Equity", "ID_ISIN")</f>
        <v>US00206R1023</v>
      </c>
      <c r="ME7" s="32"/>
      <c r="MF7" s="30" t="str">
        <f>_xll.BDP(MB7&amp;" Equity", "DS197")</f>
        <v>New York</v>
      </c>
      <c r="MG7" s="30" t="s">
        <v>26</v>
      </c>
      <c r="MH7" s="30" t="s">
        <v>33</v>
      </c>
      <c r="MI7" s="30" t="s">
        <v>28</v>
      </c>
      <c r="MJ7" s="30" t="str">
        <f>_xll.BDP(MB7&amp;" Equity", "DS004")</f>
        <v>USD</v>
      </c>
      <c r="MK7" s="17" cm="1">
        <f t="array" ref="MK7">_xll.BDP(MB7&amp;" Equity","PX_LAST")</f>
        <v>28.97</v>
      </c>
      <c r="ML7" s="33">
        <f t="shared" si="20"/>
        <v>3.1342691364319511E-2</v>
      </c>
      <c r="MM7" s="33">
        <f t="shared" si="21"/>
        <v>2.9756678500078324E-2</v>
      </c>
      <c r="MO7" s="1" cm="1">
        <f t="array" ref="MO7">IF(MJ7="USD",1,_xll.BDP(MJ7&amp;"USD CURNCY","PX_LAST"))</f>
        <v>1</v>
      </c>
      <c r="MP7" s="18">
        <v>194368.290605735</v>
      </c>
      <c r="MQ7" s="11">
        <f t="shared" ref="MQ7:MQ34" si="117">MP7*MK7*MO7</f>
        <v>5630849.3788481429</v>
      </c>
      <c r="MR7" s="5"/>
      <c r="MS7" s="11" cm="1">
        <f t="array" ref="MS7">IF(MF7="Hong Kong",_xll.BDP(MB7&amp;" Equity","PR414"),_xll.BDP(MB7&amp;" Equity","PR090"))</f>
        <v>1</v>
      </c>
      <c r="MT7" s="11">
        <f t="shared" ref="MT7:MT34" si="118">MS7*MO7*MK7</f>
        <v>28.97</v>
      </c>
      <c r="MU7" s="5">
        <f t="shared" ref="MU7:MU34" si="119">($AJ$3*ML7)/MT7</f>
        <v>346.20853422789935</v>
      </c>
      <c r="MV7" s="8">
        <f t="shared" ref="MV7:MV34" si="120">(ROUND(MU7,0)*MT7)/$AJ$3</f>
        <v>3.1323812499999999E-2</v>
      </c>
      <c r="MW7" s="8">
        <f t="shared" ref="MW7:MW34" si="121">MV7/ML7-1</f>
        <v>-6.0233705204404409E-4</v>
      </c>
      <c r="MX7" s="5"/>
      <c r="MY7" s="21">
        <f t="shared" ref="MY7:MY34" si="122">IFERROR(MT7/ML7,0)</f>
        <v>924.29841659926558</v>
      </c>
      <c r="MZ7" s="22">
        <f t="shared" ref="MZ7:MZ34" si="123">MT7/(1/COUNTA($P$6:$P$77))</f>
        <v>1071.8899999999999</v>
      </c>
      <c r="NB7" s="16" t="str" cm="1">
        <f t="array" ref="NB7">_xll.BDP(NC7&amp;" Equity","DS520")</f>
        <v>BCE Inc</v>
      </c>
      <c r="NC7" s="32" t="s">
        <v>1407</v>
      </c>
      <c r="ND7" s="32" t="s">
        <v>1410</v>
      </c>
      <c r="NE7" s="32" t="str" cm="1">
        <f t="array" ref="NE7">_xll.BDP(NC7&amp;" Equity", "ID_ISIN")</f>
        <v>CA05534B7604</v>
      </c>
      <c r="NF7" s="32"/>
      <c r="NG7" s="30" t="str">
        <f>_xll.BDP(NC7&amp;" Equity", "DS197")</f>
        <v>New York</v>
      </c>
      <c r="NH7" s="30" t="s">
        <v>26</v>
      </c>
      <c r="NI7" s="30" t="s">
        <v>33</v>
      </c>
      <c r="NJ7" s="30" t="s">
        <v>28</v>
      </c>
      <c r="NK7" s="30" t="str">
        <f>_xll.BDP(NC7&amp;" Equity", "DS004")</f>
        <v>USD</v>
      </c>
      <c r="NL7" s="17" cm="1">
        <f t="array" ref="NL7">_xll.BDP(NC7&amp;" Equity","PX_LAST")</f>
        <v>25.98</v>
      </c>
      <c r="NM7" s="33">
        <f t="shared" si="22"/>
        <v>3.8943321057075535E-2</v>
      </c>
      <c r="NN7" s="33">
        <f t="shared" si="23"/>
        <v>3.6967953800833522E-2</v>
      </c>
      <c r="NP7" s="1" cm="1">
        <f t="array" ref="NP7">IF(NK7="USD",1,_xll.BDP(NK7&amp;"USD CURNCY","PX_LAST"))</f>
        <v>1</v>
      </c>
      <c r="NQ7" s="18">
        <v>256257.43016452101</v>
      </c>
      <c r="NR7" s="11">
        <f t="shared" ref="NR7:NR31" si="124">NQ7*NL7*NP7</f>
        <v>6657568.0356742563</v>
      </c>
      <c r="NS7" s="5"/>
      <c r="NT7" s="11" cm="1">
        <f t="array" ref="NT7">IF(NG7="Hong Kong",_xll.BDP(NC7&amp;" Equity","PR414"),_xll.BDP(NC7&amp;" Equity","PR090"))</f>
        <v>1</v>
      </c>
      <c r="NU7" s="11">
        <f t="shared" ref="NU7:NU31" si="125">NT7*NP7*NL7</f>
        <v>25.98</v>
      </c>
      <c r="NV7" s="5">
        <f t="shared" ref="NV7:NV31" si="126">($AJ$3*NM7)/NU7</f>
        <v>479.67139100323988</v>
      </c>
      <c r="NW7" s="8">
        <f t="shared" ref="NW7:NW31" si="127">(ROUND(NV7,0)*NU7)/$AJ$3</f>
        <v>3.8969999999999998E-2</v>
      </c>
      <c r="NX7" s="8">
        <f t="shared" ref="NX7:NX31" si="128">NW7/NM7-1</f>
        <v>6.8507107766602182E-4</v>
      </c>
      <c r="NY7" s="5"/>
      <c r="NZ7" s="21">
        <f t="shared" ref="NZ7:NZ31" si="129">IFERROR(NU7/NM7,0)</f>
        <v>667.12338071844408</v>
      </c>
      <c r="OA7" s="22">
        <f t="shared" ref="OA7:OA31" si="130">NU7/(1/COUNTA($P$6:$P$77))</f>
        <v>961.26</v>
      </c>
      <c r="OC7" s="16" t="str" cm="1">
        <f t="array" ref="OC7">_xll.BDP(OD7&amp;" Equity","DS520")</f>
        <v>Allianz SE</v>
      </c>
      <c r="OD7" s="45" t="s">
        <v>654</v>
      </c>
      <c r="OE7" s="32" t="s">
        <v>40</v>
      </c>
      <c r="OF7" s="32" t="str" cm="1">
        <f t="array" ref="OF7">_xll.BDP(OD7&amp;" Equity", "ID_ISIN")</f>
        <v>DE0008404005</v>
      </c>
      <c r="OG7" s="45"/>
      <c r="OH7" s="30" t="str">
        <f>_xll.BDP(OD7&amp;" Equity", "DS197")</f>
        <v>Xetra</v>
      </c>
      <c r="OI7" s="30" t="s">
        <v>26</v>
      </c>
      <c r="OJ7" s="30" t="s">
        <v>39</v>
      </c>
      <c r="OK7" s="30" t="s">
        <v>28</v>
      </c>
      <c r="OL7" s="30" t="str">
        <f>_xll.BDP(OD7&amp;" Equity", "DS004")</f>
        <v>EUR</v>
      </c>
      <c r="OM7" s="17" cm="1">
        <f t="array" ref="OM7">_xll.BDP(OD7&amp;" Equity","PX_LAST")</f>
        <v>353.6</v>
      </c>
      <c r="ON7" s="33">
        <f t="shared" si="24"/>
        <v>3.1620065986522471E-2</v>
      </c>
      <c r="OO7" s="33">
        <f t="shared" ref="OO7:OO32" si="131">ON7*(1-$OO$40)/(1-$ON$33)</f>
        <v>2.9982369481935927E-2</v>
      </c>
      <c r="OQ7" s="1" cm="1">
        <f t="array" ref="OQ7">IF(OL7="EUR",1,_xll.BDP(OL7&amp;"EUR CURNCY","PX_LAST"))</f>
        <v>1</v>
      </c>
      <c r="OR7" s="18">
        <v>16468.788906153099</v>
      </c>
      <c r="OS7" s="11">
        <f t="shared" ref="OS7:OS32" si="132">OR7*OM7*OQ7</f>
        <v>5823363.7572157364</v>
      </c>
      <c r="OT7" s="5"/>
      <c r="OU7" s="11" cm="1">
        <f t="array" ref="OU7">IF(OH7="Hong Kong",_xll.BDP(OD7&amp;" Equity","PR414"),_xll.BDP(OD7&amp;" Equity","PR090"))</f>
        <v>1</v>
      </c>
      <c r="OV7" s="11">
        <f t="shared" ref="OV7:OV32" si="133">OU7*OQ7*OM7</f>
        <v>353.6</v>
      </c>
      <c r="OW7" s="5">
        <f t="shared" ref="OW7:OW32" si="134">($AJ$3*ON7)/OV7</f>
        <v>28.61544433169454</v>
      </c>
      <c r="OX7" s="8">
        <f t="shared" ref="OX7:OX32" si="135">(ROUND(OW7,0)*OV7)/$AJ$3</f>
        <v>3.2045000000000004E-2</v>
      </c>
      <c r="OY7" s="8">
        <f t="shared" ref="OY7:OY32" si="136">OX7/ON7-1</f>
        <v>1.3438745309976685E-2</v>
      </c>
      <c r="OZ7" s="5"/>
      <c r="PA7" s="21">
        <f t="shared" ref="PA7:PA32" si="137">IFERROR(OV7/ON7,0)</f>
        <v>11182.772362041122</v>
      </c>
      <c r="PB7" s="22">
        <f t="shared" ref="PB7:PB32" si="138">OV7/(1/COUNTA($P$6:$P$77))</f>
        <v>13083.2</v>
      </c>
      <c r="PD7" s="16" t="str" cm="1">
        <f t="array" ref="PD7">_xll.BDP(PE7&amp;" Equity","DS520")</f>
        <v>Kirin Holdings Co Ltd</v>
      </c>
      <c r="PE7" s="32" t="s">
        <v>1421</v>
      </c>
      <c r="PF7" s="32">
        <v>2503</v>
      </c>
      <c r="PG7" s="32" t="str" cm="1">
        <f t="array" ref="PG7">_xll.BDP(PE7&amp;" Equity", "ID_ISIN")</f>
        <v>JP3258000003</v>
      </c>
      <c r="PH7" s="32"/>
      <c r="PI7" s="30" t="str">
        <f>_xll.BDP(PE7&amp;" Equity", "DS197")</f>
        <v>Tokyo</v>
      </c>
      <c r="PJ7" s="30" t="s">
        <v>26</v>
      </c>
      <c r="PK7" s="71" t="s">
        <v>320</v>
      </c>
      <c r="PL7" s="30" t="s">
        <v>28</v>
      </c>
      <c r="PM7" s="30" t="str">
        <f>_xll.BDP(PE7&amp;" Equity", "DS004")</f>
        <v>JPY</v>
      </c>
      <c r="PN7" s="17" cm="1">
        <f t="array" ref="PN7">_xll.BDP(PE7&amp;" Equity","PX_LAST")</f>
        <v>2585</v>
      </c>
      <c r="PO7" s="33">
        <f t="shared" si="25"/>
        <v>4.2383248610745147E-2</v>
      </c>
      <c r="PP7" s="33">
        <f t="shared" si="26"/>
        <v>4.0261898738680871E-2</v>
      </c>
      <c r="PR7" s="1">
        <v>1</v>
      </c>
      <c r="PS7" s="18">
        <v>3159.79634859925</v>
      </c>
      <c r="PT7" s="11">
        <f t="shared" ref="PT7:PT27" si="139">PS7*PN7*PR7</f>
        <v>8168073.5611290615</v>
      </c>
      <c r="PU7" s="5"/>
      <c r="PV7" s="11" cm="1">
        <f t="array" ref="PV7">IF(PI7="Hong Kong",_xll.BDP(PE7&amp;" Equity","PR414"),_xll.BDP(PE7&amp;" Equity","PR090"))</f>
        <v>100</v>
      </c>
      <c r="PW7" s="11">
        <f t="shared" ref="PW7:PW27" si="140">PV7*PR7*PN7</f>
        <v>258500</v>
      </c>
      <c r="PX7" s="5">
        <f t="shared" ref="PX7:PX27" si="141">($AJ$3*PO7)/PW7</f>
        <v>5.246669073670579E-2</v>
      </c>
      <c r="PY7" s="8">
        <f t="shared" ref="PY7:PY27" si="142">(ROUND(PX7,0)*PW7)/$AJ$3</f>
        <v>0</v>
      </c>
      <c r="PZ7" s="8">
        <f t="shared" ref="PZ7:PZ27" si="143">PY7/PO7-1</f>
        <v>-1</v>
      </c>
      <c r="QA7" s="5"/>
      <c r="QB7" s="21">
        <f t="shared" ref="QB7:QB27" si="144">IFERROR(PW7/PO7,0)</f>
        <v>6099107.7483018655</v>
      </c>
      <c r="QC7" s="22">
        <f t="shared" ref="QC7:QC27" si="145">PW7/(1/COUNTA($P$6:$P$77))</f>
        <v>9564500</v>
      </c>
      <c r="QE7" s="16" t="str" cm="1">
        <f t="array" ref="QE7">_xll.BDP(QF7&amp;" Equity","DS520")</f>
        <v>Box Inc</v>
      </c>
      <c r="QF7" s="34" t="s">
        <v>688</v>
      </c>
      <c r="QG7" s="34"/>
      <c r="QH7" s="32" t="str" cm="1">
        <f t="array" ref="QH7">_xll.BDP(QF7&amp;" Equity", "ID_ISIN")</f>
        <v>US10316T1043</v>
      </c>
      <c r="QI7" s="34"/>
      <c r="QJ7" s="30" t="str">
        <f>_xll.BDP(QF7&amp;" Equity", "DS197")</f>
        <v>New York</v>
      </c>
      <c r="QK7" s="30" t="s">
        <v>26</v>
      </c>
      <c r="QL7" s="30"/>
      <c r="QM7" s="30" t="s">
        <v>28</v>
      </c>
      <c r="QN7" s="30" t="str">
        <f>_xll.BDP(QF7&amp;" Equity", "DS004")</f>
        <v>USD</v>
      </c>
      <c r="QO7" s="17" cm="1">
        <f t="array" ref="QO7">_xll.BDP(QF7&amp;" Equity","PX_LAST")</f>
        <v>26.1</v>
      </c>
      <c r="QP7" s="33">
        <f t="shared" si="27"/>
        <v>4.3952304291874328E-2</v>
      </c>
      <c r="QQ7" s="33">
        <f t="shared" si="28"/>
        <v>4.1765413103225686E-2</v>
      </c>
      <c r="QS7" s="1" cm="1">
        <f t="array" ref="QS7">IF(QN7="USD",1,_xll.BDP(QN7&amp;"USD CURNCY","PX_LAST"))</f>
        <v>1</v>
      </c>
      <c r="QT7" s="18">
        <v>192111.463825977</v>
      </c>
      <c r="QU7" s="11">
        <f t="shared" ref="QU7:QU25" si="146">QT7*QO7*QS7</f>
        <v>5014109.2058579996</v>
      </c>
      <c r="QV7" s="5"/>
      <c r="QW7" s="11" cm="1">
        <f t="array" ref="QW7">IF(QJ7="Hong Kong",_xll.BDP(QF7&amp;" Equity","PR414"),_xll.BDP(QF7&amp;" Equity","PR090"))</f>
        <v>1</v>
      </c>
      <c r="QX7" s="11">
        <f t="shared" ref="QX7:QX25" si="147">QW7*QS7*QO7</f>
        <v>26.1</v>
      </c>
      <c r="QY7" s="5">
        <f t="shared" ref="QY7:QY25" si="148">($AJ$3*QP7)/QX7</f>
        <v>538.87882656704153</v>
      </c>
      <c r="QZ7" s="8">
        <f t="shared" ref="QZ7:QZ25" si="149">(ROUND(QY7,0)*QX7)/$AJ$3</f>
        <v>4.3962187500000006E-2</v>
      </c>
      <c r="RA7" s="8">
        <f t="shared" ref="RA7:RA25" si="150">QZ7/QP7-1</f>
        <v>2.2486211553429669E-4</v>
      </c>
      <c r="RB7" s="5"/>
      <c r="RC7" s="21">
        <f t="shared" ref="RC7:RC25" si="151">IFERROR(QX7/QP7,0)</f>
        <v>593.82552110755273</v>
      </c>
      <c r="RD7" s="22">
        <f t="shared" ref="RD7:RD25" si="152">QX7/(1/COUNTA($P$6:$P$77))</f>
        <v>965.7</v>
      </c>
      <c r="RF7" s="16" t="str" cm="1">
        <f t="array" ref="RF7">_xll.BDP(RG7&amp;" Equity","DS520")</f>
        <v>Advanced Micro Devices Inc</v>
      </c>
      <c r="RG7" s="34" t="s">
        <v>1297</v>
      </c>
      <c r="RH7" s="34"/>
      <c r="RI7" s="32" t="str" cm="1">
        <f t="array" ref="RI7">_xll.BDP(RG7&amp;" Equity", "ID_ISIN")</f>
        <v>US0079031078</v>
      </c>
      <c r="RJ7" s="34"/>
      <c r="RK7" s="30" t="str">
        <f>_xll.BDP(RG7&amp;" Equity", "DS197")</f>
        <v>NASDAQ GS</v>
      </c>
      <c r="RL7" s="30" t="s">
        <v>26</v>
      </c>
      <c r="RM7" s="30"/>
      <c r="RN7" s="30" t="s">
        <v>28</v>
      </c>
      <c r="RO7" s="30" t="str">
        <f>_xll.BDP(RG7&amp;" Equity", "DS004")</f>
        <v>USD</v>
      </c>
      <c r="RP7" s="17" cm="1">
        <f t="array" ref="RP7">_xll.BDP(RG7&amp;" Equity","PX_LAST")</f>
        <v>199.45</v>
      </c>
      <c r="RQ7" s="33">
        <f t="shared" ref="RQ7:RQ41" si="153">RV7/$RV$42</f>
        <v>2.6247002448666273E-2</v>
      </c>
      <c r="RR7" s="33">
        <f t="shared" ref="RR7:RR40" si="154">RQ7*(1-$RR$41)/(1-$RQ$41)</f>
        <v>2.4958585256026511E-2</v>
      </c>
      <c r="RT7" s="1" cm="1">
        <f t="array" ref="RT7">IF(RO7="USD",1,_xll.BDP(RO7&amp;"USD CURNCY","PX_LAST"))</f>
        <v>1</v>
      </c>
      <c r="RU7" s="18">
        <v>13261.113186402699</v>
      </c>
      <c r="RV7" s="11">
        <f t="shared" ref="RV7:RV23" si="155">RU7*RP7*RT7</f>
        <v>2644929.0250280183</v>
      </c>
      <c r="RW7" s="5"/>
      <c r="RX7" s="11" cm="1">
        <f t="array" ref="RX7">IF(RK7="Hong Kong",_xll.BDP(RG7&amp;" Equity","PR414"),_xll.BDP(RG7&amp;" Equity","PR090"))</f>
        <v>1</v>
      </c>
      <c r="RY7" s="11">
        <f t="shared" ref="RY7:RY23" si="156">RX7*RT7*RP7</f>
        <v>199.45</v>
      </c>
      <c r="RZ7" s="5">
        <f t="shared" ref="RZ7:RZ23" si="157">($AJ$3*RQ7)/RY7</f>
        <v>42.111009193147197</v>
      </c>
      <c r="SA7" s="8">
        <f t="shared" ref="SA7:SA23" si="158">(ROUND(RZ7,0)*RY7)/$AJ$3</f>
        <v>2.6177812499999998E-2</v>
      </c>
      <c r="SB7" s="8">
        <f t="shared" ref="SB7:SB23" si="159">SA7/RQ7-1</f>
        <v>-2.6361085918895633E-3</v>
      </c>
      <c r="SC7" s="5"/>
      <c r="SD7" s="21">
        <f t="shared" ref="SD7:SD23" si="160">IFERROR(RY7/RQ7,0)</f>
        <v>7598.9629821570325</v>
      </c>
      <c r="SE7" s="22">
        <f t="shared" ref="SE7:SE23" si="161">RY7/(1/COUNTA($P$6:$P$77))</f>
        <v>7379.6499999999987</v>
      </c>
    </row>
    <row r="8" spans="15:499" x14ac:dyDescent="0.2">
      <c r="O8" s="16" t="str" cm="1">
        <f t="array" ref="O8">_xll.BDP(P8&amp;" Equity","DS520")</f>
        <v>Microsoft Corp</v>
      </c>
      <c r="P8" s="32" t="s">
        <v>59</v>
      </c>
      <c r="Q8" s="32" t="s">
        <v>60</v>
      </c>
      <c r="R8" s="32" t="str" cm="1">
        <f t="array" ref="R8">_xll.BDP(P8&amp;" Equity", "ID_ISIN")</f>
        <v>US5949181045</v>
      </c>
      <c r="S8" s="32"/>
      <c r="T8" s="30" t="str">
        <f>_xll.BDP(P8&amp;" Equity", "DS197")</f>
        <v>NASDAQ GS</v>
      </c>
      <c r="U8" s="30" t="s">
        <v>26</v>
      </c>
      <c r="V8" s="30" t="s">
        <v>33</v>
      </c>
      <c r="W8" s="30" t="s">
        <v>28</v>
      </c>
      <c r="X8" s="30" t="str">
        <f>_xll.BDP(P8&amp;" Equity", "DS004")</f>
        <v>USD</v>
      </c>
      <c r="Y8" s="17" cm="1">
        <f t="array" ref="Y8">_xll.BDP(P8&amp;" Equity","PX_LAST")</f>
        <v>410.68</v>
      </c>
      <c r="Z8" s="33">
        <f t="shared" si="0"/>
        <v>2.8697991484566608E-2</v>
      </c>
      <c r="AA8" s="33">
        <f t="shared" si="1"/>
        <v>2.726405638360151E-2</v>
      </c>
      <c r="AB8" s="4"/>
      <c r="AC8" s="1" cm="1">
        <f t="array" ref="AC8">IF(X8="USD",1,_xll.BDP(X8&amp;"USD CURNCY","PX_LAST"))</f>
        <v>1</v>
      </c>
      <c r="AD8" s="18">
        <v>14380.5059755987</v>
      </c>
      <c r="AE8" s="11">
        <f t="shared" si="2"/>
        <v>5905786.1940588746</v>
      </c>
      <c r="AF8" s="5"/>
      <c r="AG8" s="11" cm="1">
        <f t="array" ref="AG8">IF(T8="Hong Kong",_xll.BDP(P8&amp;" Equity","PR414"),_xll.BDP(P8&amp;" Equity","PR090"))</f>
        <v>1</v>
      </c>
      <c r="AH8" s="11">
        <f t="shared" si="3"/>
        <v>410.68</v>
      </c>
      <c r="AI8" s="5">
        <f t="shared" si="29"/>
        <v>22.361345268971743</v>
      </c>
      <c r="AJ8" s="8">
        <f t="shared" si="30"/>
        <v>2.8234250000000002E-2</v>
      </c>
      <c r="AK8" s="8">
        <f t="shared" si="31"/>
        <v>-1.6159370763490499E-2</v>
      </c>
      <c r="AL8" s="5"/>
      <c r="AM8" s="21">
        <f t="shared" si="32"/>
        <v>14310.409152531045</v>
      </c>
      <c r="AN8" s="22">
        <f t="shared" si="33"/>
        <v>15195.16</v>
      </c>
      <c r="AP8" s="16" t="str" cm="1">
        <f t="array" ref="AP8">_xll.BDP(AQ8&amp;" Equity","DS520")</f>
        <v>AstraZeneca PLC</v>
      </c>
      <c r="AQ8" s="32" t="s">
        <v>130</v>
      </c>
      <c r="AR8" s="32" t="s">
        <v>131</v>
      </c>
      <c r="AS8" s="32" t="str" cm="1">
        <f t="array" ref="AS8">_xll.BDP(AQ8&amp;" Equity", "ID_ISIN")</f>
        <v>GB0009895292</v>
      </c>
      <c r="AT8" s="32"/>
      <c r="AU8" s="30" t="str">
        <f>_xll.BDP(AQ8&amp;" Equity", "DS197")</f>
        <v>London</v>
      </c>
      <c r="AV8" s="30" t="s">
        <v>26</v>
      </c>
      <c r="AW8" s="30" t="s">
        <v>129</v>
      </c>
      <c r="AX8" s="30" t="s">
        <v>28</v>
      </c>
      <c r="AY8" s="43" t="str">
        <f>_xll.BDP(AQ8&amp;" Equity", "DS004")</f>
        <v>GBp</v>
      </c>
      <c r="AZ8" s="17" cm="1">
        <f t="array" ref="AZ8">_xll.BDP(AQ8&amp;" Equity","PX_LAST")/100</f>
        <v>147.74</v>
      </c>
      <c r="BA8" s="33">
        <f t="shared" si="4"/>
        <v>5.4289082670683622E-2</v>
      </c>
      <c r="BB8" s="33">
        <f t="shared" si="34"/>
        <v>5.1557114800914322E-2</v>
      </c>
      <c r="BD8" s="1" cm="1">
        <f t="array" ref="BD8">IF(AY8="USD",1,_xll.BDP(AY8&amp;"USD CURNCY","PX_LAST"))</f>
        <v>1.3359000000000001</v>
      </c>
      <c r="BE8" s="18">
        <v>45288.288485110003</v>
      </c>
      <c r="BF8" s="11">
        <f t="shared" si="35"/>
        <v>8938362.2765215654</v>
      </c>
      <c r="BG8" s="5"/>
      <c r="BH8" s="11" cm="1">
        <f t="array" ref="BH8">IF(AU8="Hong Kong",_xll.BDP(AQ8&amp;" Equity","PR414"),_xll.BDP(AQ8&amp;" Equity","PR090"))</f>
        <v>1</v>
      </c>
      <c r="BI8" s="11">
        <f t="shared" si="36"/>
        <v>197.36586600000001</v>
      </c>
      <c r="BJ8" s="5">
        <f t="shared" si="37"/>
        <v>88.021838865585593</v>
      </c>
      <c r="BK8" s="8">
        <f t="shared" si="38"/>
        <v>5.4275613150000006E-2</v>
      </c>
      <c r="BL8" s="8">
        <f t="shared" si="39"/>
        <v>-2.4810735457292399E-4</v>
      </c>
      <c r="BM8" s="5"/>
      <c r="BN8" s="21">
        <f t="shared" si="40"/>
        <v>3635.4614278015529</v>
      </c>
      <c r="BO8" s="22">
        <f t="shared" si="41"/>
        <v>7302.5370419999999</v>
      </c>
      <c r="BQ8" s="16" t="str" cm="1">
        <f t="array" ref="BQ8">_xll.BDP(BR8&amp;" Equity","DS520")</f>
        <v>Daiwa House REIT Investment Corp</v>
      </c>
      <c r="BR8" s="32" t="s">
        <v>109</v>
      </c>
      <c r="BS8" s="32">
        <v>8984</v>
      </c>
      <c r="BT8" s="32" t="str" cm="1">
        <f t="array" ref="BT8">_xll.BDP(BR8&amp;" Equity", "ID_ISIN")</f>
        <v>JP3046390005</v>
      </c>
      <c r="BU8" s="32"/>
      <c r="BV8" s="30" t="str">
        <f>_xll.BDP(BR8&amp;" Equity", "DS197")</f>
        <v>Tokyo</v>
      </c>
      <c r="BW8" s="30" t="s">
        <v>26</v>
      </c>
      <c r="BX8" s="71" t="s">
        <v>320</v>
      </c>
      <c r="BY8" s="30" t="s">
        <v>28</v>
      </c>
      <c r="BZ8" s="30" t="str">
        <f>_xll.BDP(BR8&amp;" Equity", "DS004")</f>
        <v>JPY</v>
      </c>
      <c r="CA8" s="17" cm="1">
        <f t="array" ref="CA8">_xll.BDP(BR8&amp;" Equity","PX_LAST")</f>
        <v>130700</v>
      </c>
      <c r="CB8" s="33">
        <f t="shared" si="5"/>
        <v>6.4113816614056421E-2</v>
      </c>
      <c r="CC8" s="33">
        <f t="shared" si="42"/>
        <v>6.0902638322526965E-2</v>
      </c>
      <c r="CE8" s="1">
        <v>1</v>
      </c>
      <c r="CF8" s="18">
        <v>307.75131838116602</v>
      </c>
      <c r="CG8" s="11">
        <f t="shared" si="43"/>
        <v>40223097.312418401</v>
      </c>
      <c r="CH8" s="5"/>
      <c r="CI8" s="11" cm="1">
        <f t="array" ref="CI8">IF(BV8="Hong Kong",_xll.BDP(BR8&amp;" Equity","PR414"),_xll.BDP(BR8&amp;" Equity","PR090"))</f>
        <v>1</v>
      </c>
      <c r="CJ8" s="11">
        <f t="shared" si="44"/>
        <v>130700</v>
      </c>
      <c r="CK8" s="5">
        <f t="shared" si="45"/>
        <v>0.15697338421192084</v>
      </c>
      <c r="CL8" s="8">
        <f t="shared" si="46"/>
        <v>0</v>
      </c>
      <c r="CM8" s="8">
        <f t="shared" si="47"/>
        <v>-1</v>
      </c>
      <c r="CN8" s="5"/>
      <c r="CO8" s="21">
        <f t="shared" si="48"/>
        <v>2038562.1524728434</v>
      </c>
      <c r="CP8" s="22">
        <f t="shared" si="49"/>
        <v>4835900</v>
      </c>
      <c r="CR8" s="16" t="str" cm="1">
        <f t="array" ref="CR8">_xll.BDP(CS8&amp;" Equity","DS520")</f>
        <v>Choice Properties Real Estate Investment Trust</v>
      </c>
      <c r="CS8" s="32" t="s">
        <v>118</v>
      </c>
      <c r="CT8" s="32" t="s">
        <v>382</v>
      </c>
      <c r="CU8" s="32" t="str" cm="1">
        <f t="array" ref="CU8">_xll.BDP(CS8&amp;" Equity", "ID_ISIN")</f>
        <v>CA17039A1066</v>
      </c>
      <c r="CV8" s="32"/>
      <c r="CW8" s="30" t="str">
        <f>_xll.BDP(CS8&amp;" Equity", "DS197")</f>
        <v>Toronto</v>
      </c>
      <c r="CX8" s="30" t="s">
        <v>26</v>
      </c>
      <c r="CY8" s="30" t="s">
        <v>383</v>
      </c>
      <c r="CZ8" s="30" t="s">
        <v>28</v>
      </c>
      <c r="DA8" s="30" t="str">
        <f>_xll.BDP(CS8&amp;" Equity", "DS004")</f>
        <v>CAD</v>
      </c>
      <c r="DB8" s="17" cm="1">
        <f t="array" ref="DB8">_xll.BDP(CS8&amp;" Equity","PX_LAST")</f>
        <v>15.8681</v>
      </c>
      <c r="DC8" s="33">
        <f t="shared" si="6"/>
        <v>5.3608438470970521E-2</v>
      </c>
      <c r="DD8" s="33">
        <f t="shared" si="7"/>
        <v>5.0910990083006293E-2</v>
      </c>
      <c r="DF8" s="1" cm="1">
        <f t="array" ref="DF8">IF(DA8="USD",1,_xll.BDP(DA8&amp;"USD CURNCY","PX_LAST"))</f>
        <v>0.7319</v>
      </c>
      <c r="DG8" s="18">
        <v>837123.72110819304</v>
      </c>
      <c r="DH8" s="11">
        <f t="shared" si="8"/>
        <v>9722239.7003552932</v>
      </c>
      <c r="DI8" s="5"/>
      <c r="DJ8" s="11" cm="1">
        <f t="array" ref="DJ8">IF(CW8="Hong Kong",_xll.BDP(CS8&amp;" Equity","PR414"),_xll.BDP(CS8&amp;" Equity","PR090"))</f>
        <v>1</v>
      </c>
      <c r="DK8" s="11">
        <f t="shared" si="9"/>
        <v>11.61386239</v>
      </c>
      <c r="DL8" s="5">
        <f t="shared" si="50"/>
        <v>1477.0883048762012</v>
      </c>
      <c r="DM8" s="8">
        <f t="shared" si="51"/>
        <v>5.3605233593843754E-2</v>
      </c>
      <c r="DN8" s="8">
        <f t="shared" si="52"/>
        <v>-5.9783071810648458E-5</v>
      </c>
      <c r="DO8" s="5"/>
      <c r="DP8" s="21">
        <f t="shared" si="53"/>
        <v>216.64243020786768</v>
      </c>
      <c r="DQ8" s="22">
        <f t="shared" si="54"/>
        <v>429.71290842999997</v>
      </c>
      <c r="DS8" s="16" t="str" cm="1">
        <f t="array" ref="DS8">_xll.BDP(DT8&amp;" Equity","DS520")</f>
        <v>AstraZeneca PLC</v>
      </c>
      <c r="DT8" s="32" t="s">
        <v>130</v>
      </c>
      <c r="DU8" s="32" t="s">
        <v>131</v>
      </c>
      <c r="DV8" s="32" t="str" cm="1">
        <f t="array" ref="DV8">_xll.BDP(DT8&amp;" Equity", "ID_ISIN")</f>
        <v>GB0009895292</v>
      </c>
      <c r="DW8" s="32"/>
      <c r="DX8" s="30" t="str">
        <f>_xll.BDP(DT8&amp;" Equity", "DS197")</f>
        <v>London</v>
      </c>
      <c r="DY8" s="30" t="s">
        <v>26</v>
      </c>
      <c r="DZ8" s="30" t="s">
        <v>129</v>
      </c>
      <c r="EA8" s="30" t="s">
        <v>28</v>
      </c>
      <c r="EB8" s="43" t="str">
        <f>_xll.BDP(DT8&amp;" Equity", "DS004")</f>
        <v>GBp</v>
      </c>
      <c r="EC8" s="17" cm="1">
        <f t="array" ref="EC8">_xll.BDP(DT8&amp;" Equity","PX_LAST")/100</f>
        <v>147.74</v>
      </c>
      <c r="ED8" s="33">
        <f t="shared" si="55"/>
        <v>5.8719700769497472E-2</v>
      </c>
      <c r="EE8" s="33">
        <f t="shared" si="56"/>
        <v>5.5701966834050917E-2</v>
      </c>
      <c r="EG8" s="1">
        <v>1</v>
      </c>
      <c r="EH8" s="18">
        <v>65589.932240791604</v>
      </c>
      <c r="EI8" s="11">
        <f t="shared" si="57"/>
        <v>9690256.5892545525</v>
      </c>
      <c r="EJ8" s="5"/>
      <c r="EK8" s="11" cm="1">
        <f t="array" ref="EK8">IF(DX8="Hong Kong",_xll.BDP(DT8&amp;" Equity","PR414"),_xll.BDP(DT8&amp;" Equity","PR090"))</f>
        <v>1</v>
      </c>
      <c r="EL8" s="11">
        <f t="shared" si="58"/>
        <v>147.74</v>
      </c>
      <c r="EM8" s="5">
        <f t="shared" si="59"/>
        <v>127.18494819439006</v>
      </c>
      <c r="EN8" s="8">
        <f t="shared" si="60"/>
        <v>5.8634312500000001E-2</v>
      </c>
      <c r="EO8" s="8">
        <f t="shared" si="61"/>
        <v>-1.4541673131588384E-3</v>
      </c>
      <c r="EP8" s="5"/>
      <c r="EQ8" s="21">
        <f t="shared" si="62"/>
        <v>2516.0209957463717</v>
      </c>
      <c r="ER8" s="22">
        <f t="shared" si="63"/>
        <v>5466.38</v>
      </c>
      <c r="ET8" s="16" t="str" cm="1">
        <f t="array" ref="ET8">_xll.BDP(EU8&amp;" Equity","DS520")</f>
        <v>Microsoft Corp</v>
      </c>
      <c r="EU8" s="32" t="s">
        <v>59</v>
      </c>
      <c r="EV8" s="32" t="s">
        <v>60</v>
      </c>
      <c r="EW8" s="32" t="str" cm="1">
        <f t="array" ref="EW8">_xll.BDP(EU8&amp;" Equity", "ID_ISIN")</f>
        <v>US5949181045</v>
      </c>
      <c r="EX8" s="32"/>
      <c r="EY8" s="30" t="str">
        <f>_xll.BDP(EU8&amp;" Equity", "DS197")</f>
        <v>NASDAQ GS</v>
      </c>
      <c r="EZ8" s="30" t="s">
        <v>26</v>
      </c>
      <c r="FA8" s="30" t="s">
        <v>33</v>
      </c>
      <c r="FB8" s="30" t="s">
        <v>28</v>
      </c>
      <c r="FC8" s="30" t="str">
        <f>_xll.BDP(EU8&amp;" Equity", "DS004")</f>
        <v>USD</v>
      </c>
      <c r="FD8" s="17" cm="1">
        <f t="array" ref="FD8">_xll.BDP(EU8&amp;" Equity","PX_LAST")</f>
        <v>410.68</v>
      </c>
      <c r="FE8" s="33">
        <f t="shared" si="10"/>
        <v>3.9497646433592916E-2</v>
      </c>
      <c r="FF8" s="33">
        <f t="shared" si="11"/>
        <v>3.7521719919076026E-2</v>
      </c>
      <c r="FH8" s="1" cm="1">
        <f t="array" ref="FH8">IF(FC8="USD",1,_xll.BDP(FC8&amp;"USD CURNCY","PX_LAST"))</f>
        <v>1</v>
      </c>
      <c r="FI8" s="18">
        <v>19708.5605679162</v>
      </c>
      <c r="FJ8" s="11">
        <f t="shared" si="64"/>
        <v>8093911.6540318253</v>
      </c>
      <c r="FK8" s="5"/>
      <c r="FL8" s="11" cm="1">
        <f t="array" ref="FL8">IF(EY8="Hong Kong",_xll.BDP(EU8&amp;" Equity","PR414"),_xll.BDP(EU8&amp;" Equity","PR090"))</f>
        <v>1</v>
      </c>
      <c r="FM8" s="11">
        <f t="shared" si="65"/>
        <v>410.68</v>
      </c>
      <c r="FN8" s="5">
        <f t="shared" si="66"/>
        <v>30.776387598007531</v>
      </c>
      <c r="FO8" s="8">
        <f t="shared" si="67"/>
        <v>3.9784624999999997E-2</v>
      </c>
      <c r="FP8" s="8">
        <f t="shared" si="68"/>
        <v>7.2657130821598415E-3</v>
      </c>
      <c r="FQ8" s="5"/>
      <c r="FR8" s="21">
        <f t="shared" si="69"/>
        <v>10397.581554396489</v>
      </c>
      <c r="FS8" s="22">
        <f t="shared" si="70"/>
        <v>15195.16</v>
      </c>
      <c r="FU8" s="16" t="str" cm="1">
        <f t="array" ref="FU8">_xll.BDP(FV8&amp;" Equity","DS520")</f>
        <v>Alphabet Inc</v>
      </c>
      <c r="FV8" s="32" t="s">
        <v>47</v>
      </c>
      <c r="FW8" s="32" t="s">
        <v>48</v>
      </c>
      <c r="FX8" s="32" t="str" cm="1">
        <f t="array" ref="FX8">_xll.BDP(FV8&amp;" Equity", "ID_ISIN")</f>
        <v>US02079K1079</v>
      </c>
      <c r="FY8" s="32"/>
      <c r="FZ8" s="30" t="str">
        <f>_xll.BDP(FV8&amp;" Equity", "DS197")</f>
        <v>NASDAQ GS</v>
      </c>
      <c r="GA8" s="30" t="s">
        <v>26</v>
      </c>
      <c r="GB8" s="30" t="s">
        <v>33</v>
      </c>
      <c r="GC8" s="30" t="s">
        <v>28</v>
      </c>
      <c r="GD8" s="30" t="str">
        <f>_xll.BDP(FV8&amp;" Equity", "DS004")</f>
        <v>USD</v>
      </c>
      <c r="GE8" s="17" cm="1">
        <f t="array" ref="GE8">_xll.BDP(FV8&amp;" Equity","PX_LAST")</f>
        <v>300.91000000000003</v>
      </c>
      <c r="GF8" s="33">
        <f t="shared" si="12"/>
        <v>3.4638144884411186E-2</v>
      </c>
      <c r="GG8" s="33">
        <f t="shared" si="13"/>
        <v>3.290466165434737E-2</v>
      </c>
      <c r="GI8" s="1" cm="1">
        <f t="array" ref="GI8">IF(GD8="USD",1,_xll.BDP(GD8&amp;"USD CURNCY","PX_LAST"))</f>
        <v>1</v>
      </c>
      <c r="GJ8" s="18">
        <v>23827.7104048314</v>
      </c>
      <c r="GK8" s="11">
        <f t="shared" si="71"/>
        <v>7169996.3379178168</v>
      </c>
      <c r="GL8" s="5"/>
      <c r="GM8" s="11" cm="1">
        <f t="array" ref="GM8">IF(FZ8="Hong Kong",_xll.BDP(FV8&amp;" Equity","PR414"),_xll.BDP(FV8&amp;" Equity","PR090"))</f>
        <v>1</v>
      </c>
      <c r="GN8" s="11">
        <f t="shared" si="72"/>
        <v>300.91000000000003</v>
      </c>
      <c r="GO8" s="5">
        <f t="shared" si="73"/>
        <v>36.835619829887932</v>
      </c>
      <c r="GP8" s="8">
        <f t="shared" si="74"/>
        <v>3.479271875E-2</v>
      </c>
      <c r="GQ8" s="8">
        <f t="shared" si="75"/>
        <v>4.4625330283891707E-3</v>
      </c>
      <c r="GR8" s="5"/>
      <c r="GS8" s="21">
        <f t="shared" si="76"/>
        <v>8687.2435288941779</v>
      </c>
      <c r="GT8" s="22">
        <f t="shared" si="77"/>
        <v>11133.67</v>
      </c>
      <c r="GV8" s="16" t="str" cm="1">
        <f t="array" ref="GV8">_xll.BDP(GW8&amp;" Equity","DS520")</f>
        <v>ASE Technology Holding Co Ltd</v>
      </c>
      <c r="GW8" s="32" t="s">
        <v>186</v>
      </c>
      <c r="GX8" s="32" t="s">
        <v>387</v>
      </c>
      <c r="GY8" s="32" t="str" cm="1">
        <f t="array" ref="GY8">_xll.BDP(GW8&amp;" Equity", "ID_ISIN")</f>
        <v>US00215W1009</v>
      </c>
      <c r="GZ8" s="32"/>
      <c r="HA8" s="30" t="str">
        <f>_xll.BDP(GW8&amp;" Equity", "DS197")</f>
        <v>New York</v>
      </c>
      <c r="HB8" s="30" t="s">
        <v>26</v>
      </c>
      <c r="HC8" s="30" t="s">
        <v>33</v>
      </c>
      <c r="HD8" s="30" t="s">
        <v>28</v>
      </c>
      <c r="HE8" s="30" t="str">
        <f>_xll.BDP(GW8&amp;" Equity", "DS004")</f>
        <v>USD</v>
      </c>
      <c r="HF8" s="17" cm="1">
        <f t="array" ref="HF8">_xll.BDP(GW8&amp;" Equity","PX_LAST")</f>
        <v>22.06</v>
      </c>
      <c r="HG8" s="33">
        <f t="shared" si="14"/>
        <v>5.715656128426011E-2</v>
      </c>
      <c r="HH8" s="33">
        <f t="shared" si="78"/>
        <v>5.4294425354201391E-2</v>
      </c>
      <c r="HJ8" s="1" cm="1">
        <f t="array" ref="HJ8">IF(HE8="USD",1,_xll.BDP(HE8&amp;"USD CURNCY","PX_LAST"))</f>
        <v>1</v>
      </c>
      <c r="HK8" s="18">
        <v>422563.43421894597</v>
      </c>
      <c r="HL8" s="11">
        <f t="shared" si="79"/>
        <v>9321749.3588699475</v>
      </c>
      <c r="HM8" s="5"/>
      <c r="HN8" s="11" cm="1">
        <f t="array" ref="HN8">IF(HA8="Hong Kong",_xll.BDP(GW8&amp;" Equity","PR414"),_xll.BDP(GW8&amp;" Equity","PR090"))</f>
        <v>1</v>
      </c>
      <c r="HO8" s="11">
        <f t="shared" si="80"/>
        <v>22.06</v>
      </c>
      <c r="HP8" s="5">
        <f t="shared" si="81"/>
        <v>829.1069633256227</v>
      </c>
      <c r="HQ8" s="8">
        <f t="shared" si="82"/>
        <v>5.7149187499999997E-2</v>
      </c>
      <c r="HR8" s="8">
        <f t="shared" si="83"/>
        <v>-1.2901028498624179E-4</v>
      </c>
      <c r="HS8" s="5"/>
      <c r="HT8" s="21">
        <f t="shared" si="84"/>
        <v>385.95743873197154</v>
      </c>
      <c r="HU8" s="22">
        <f t="shared" si="85"/>
        <v>816.21999999999991</v>
      </c>
      <c r="HW8" s="16" t="str" cm="1">
        <f t="array" ref="HW8">_xll.BDP(HX8&amp;" Equity","DS520")</f>
        <v>China Tower Corp Ltd</v>
      </c>
      <c r="HX8" s="32" t="s">
        <v>210</v>
      </c>
      <c r="HY8" s="32">
        <v>788</v>
      </c>
      <c r="HZ8" s="32" t="str" cm="1">
        <f t="array" ref="HZ8">_xll.BDP(HX8&amp;" Equity", "ID_ISIN")</f>
        <v>CNE100006V65</v>
      </c>
      <c r="IA8" s="32"/>
      <c r="IB8" s="30" t="str">
        <f>_xll.BDP(HX8&amp;" Equity", "DS197")</f>
        <v>Hong Kong</v>
      </c>
      <c r="IC8" s="30" t="s">
        <v>26</v>
      </c>
      <c r="ID8" s="30" t="s">
        <v>27</v>
      </c>
      <c r="IE8" s="30" t="s">
        <v>28</v>
      </c>
      <c r="IF8" s="30" t="str">
        <f>_xll.BDP(HX8&amp;" Equity", "DS004")</f>
        <v>HKD</v>
      </c>
      <c r="IG8" s="17" cm="1">
        <f t="array" ref="IG8">_xll.BDP(HX8&amp;" Equity","PX_LAST")</f>
        <v>11.03</v>
      </c>
      <c r="IH8" s="33">
        <f t="shared" si="15"/>
        <v>4.5172049686675896E-2</v>
      </c>
      <c r="II8" s="33">
        <f t="shared" si="16"/>
        <v>4.2936561746624406E-2</v>
      </c>
      <c r="IK8" s="1">
        <v>1</v>
      </c>
      <c r="IL8" s="18">
        <v>776240.86734274705</v>
      </c>
      <c r="IM8" s="11">
        <f t="shared" si="86"/>
        <v>8561936.7667904999</v>
      </c>
      <c r="IN8" s="5"/>
      <c r="IO8" s="11" cm="1">
        <f t="array" ref="IO8">IF(IB8="Hong Kong",_xll.BDP(HX8&amp;" Equity","PR414"),_xll.BDP(HX8&amp;" Equity","PR090"))</f>
        <v>500</v>
      </c>
      <c r="IP8" s="11">
        <f t="shared" si="87"/>
        <v>5515</v>
      </c>
      <c r="IQ8" s="5">
        <f t="shared" si="88"/>
        <v>2.6210436808225359</v>
      </c>
      <c r="IR8" s="8">
        <f t="shared" si="89"/>
        <v>5.1703125000000003E-2</v>
      </c>
      <c r="IS8" s="8">
        <f t="shared" si="90"/>
        <v>0.14458222194089498</v>
      </c>
      <c r="IT8" s="5"/>
      <c r="IU8" s="21">
        <f t="shared" si="91"/>
        <v>122088.77034036211</v>
      </c>
      <c r="IV8" s="22">
        <f t="shared" si="92"/>
        <v>204055</v>
      </c>
      <c r="IX8" s="16" t="str" cm="1">
        <f t="array" ref="IX8">_xll.BDP(IY8&amp;" Equity","DS520")</f>
        <v>Autodesk Inc</v>
      </c>
      <c r="IY8" s="32" t="s">
        <v>177</v>
      </c>
      <c r="IZ8" s="32" t="s">
        <v>388</v>
      </c>
      <c r="JA8" s="32" t="str" cm="1">
        <f t="array" ref="JA8">_xll.BDP(IY8&amp;" Equity", "ID_ISIN")</f>
        <v>US0527691069</v>
      </c>
      <c r="JB8" s="32"/>
      <c r="JC8" s="30" t="str">
        <f>_xll.BDP(IY8&amp;" Equity", "DS197")</f>
        <v>NASDAQ GS</v>
      </c>
      <c r="JD8" s="30" t="s">
        <v>26</v>
      </c>
      <c r="JE8" s="30" t="s">
        <v>33</v>
      </c>
      <c r="JF8" s="30" t="s">
        <v>28</v>
      </c>
      <c r="JG8" s="30" t="str">
        <f>_xll.BDP(IY8&amp;" Equity", "DS004")</f>
        <v>USD</v>
      </c>
      <c r="JH8" s="17" cm="1">
        <f t="array" ref="JH8">_xll.BDP(IY8&amp;" Equity","PX_LAST")</f>
        <v>264.12</v>
      </c>
      <c r="JI8" s="33">
        <f t="shared" si="93"/>
        <v>3.3573091085018998E-2</v>
      </c>
      <c r="JJ8" s="33">
        <f t="shared" si="17"/>
        <v>3.1892722093870257E-2</v>
      </c>
      <c r="JL8" s="1" cm="1">
        <f t="array" ref="JL8">IF(JG8="USD",1,_xll.BDP(JG8&amp;"USD CURNCY","PX_LAST"))</f>
        <v>1</v>
      </c>
      <c r="JM8" s="18">
        <v>15507.1677325725</v>
      </c>
      <c r="JN8" s="11">
        <f t="shared" si="94"/>
        <v>4095753.1415270488</v>
      </c>
      <c r="JO8" s="5"/>
      <c r="JP8" s="11" cm="1">
        <f t="array" ref="JP8">IF(JC8="Hong Kong",_xll.BDP(IY8&amp;" Equity","PR414"),_xll.BDP(IY8&amp;" Equity","PR090"))</f>
        <v>1</v>
      </c>
      <c r="JQ8" s="11">
        <f t="shared" si="95"/>
        <v>264.12</v>
      </c>
      <c r="JR8" s="5">
        <f t="shared" si="96"/>
        <v>40.676166693950016</v>
      </c>
      <c r="JS8" s="8">
        <f t="shared" si="97"/>
        <v>3.3840374999999999E-2</v>
      </c>
      <c r="JT8" s="8">
        <f t="shared" si="98"/>
        <v>7.9612542766509531E-3</v>
      </c>
      <c r="JU8" s="5"/>
      <c r="JV8" s="21">
        <f t="shared" si="99"/>
        <v>7867.0146675250817</v>
      </c>
      <c r="JW8" s="22">
        <f t="shared" si="100"/>
        <v>9772.44</v>
      </c>
      <c r="JY8" s="16" t="str" cm="1">
        <f t="array" ref="JY8">_xll.BDP(JZ8&amp;" Equity","DS520")</f>
        <v>Agilent Technologies Inc</v>
      </c>
      <c r="JZ8" s="32" t="s">
        <v>93</v>
      </c>
      <c r="KA8" s="32" t="s">
        <v>385</v>
      </c>
      <c r="KB8" s="32" t="str" cm="1">
        <f t="array" ref="KB8">_xll.BDP(JZ8&amp;" Equity", "ID_ISIN")</f>
        <v>US00846U1016</v>
      </c>
      <c r="KC8" s="32"/>
      <c r="KD8" s="30" t="str">
        <f>_xll.BDP(JZ8&amp;" Equity", "DS197")</f>
        <v>New York</v>
      </c>
      <c r="KE8" s="30" t="s">
        <v>26</v>
      </c>
      <c r="KF8" s="30" t="s">
        <v>33</v>
      </c>
      <c r="KG8" s="30" t="s">
        <v>28</v>
      </c>
      <c r="KH8" s="30" t="str">
        <f>_xll.BDP(JZ8&amp;" Equity", "DS004")</f>
        <v>USD</v>
      </c>
      <c r="KI8" s="17" cm="1">
        <f t="array" ref="KI8">_xll.BDP(JZ8&amp;" Equity","PX_LAST")</f>
        <v>118.11</v>
      </c>
      <c r="KJ8" s="33">
        <f t="shared" si="101"/>
        <v>2.7985043523561338E-2</v>
      </c>
      <c r="KK8" s="33">
        <f t="shared" si="102"/>
        <v>2.6590107041976944E-2</v>
      </c>
      <c r="KM8" s="1" cm="1">
        <f t="array" ref="KM8">IF(KH8="USD",1,_xll.BDP(KH8&amp;"USD CURNCY","PX_LAST"))</f>
        <v>1</v>
      </c>
      <c r="KN8" s="18">
        <v>23528.418159243702</v>
      </c>
      <c r="KO8" s="11">
        <f t="shared" si="103"/>
        <v>2778941.4687882736</v>
      </c>
      <c r="KP8" s="5"/>
      <c r="KQ8" s="11" cm="1">
        <f t="array" ref="KQ8">IF(KD8="Hong Kong",_xll.BDP(JZ8&amp;" Equity","PR414"),_xll.BDP(JZ8&amp;" Equity","PR090"))</f>
        <v>1</v>
      </c>
      <c r="KR8" s="11">
        <f t="shared" si="104"/>
        <v>118.11</v>
      </c>
      <c r="KS8" s="5">
        <f t="shared" si="105"/>
        <v>75.820962895094638</v>
      </c>
      <c r="KT8" s="8">
        <f t="shared" si="106"/>
        <v>2.8051125000000003E-2</v>
      </c>
      <c r="KU8" s="8">
        <f t="shared" si="107"/>
        <v>2.361314049164509E-3</v>
      </c>
      <c r="KV8" s="5"/>
      <c r="KW8" s="21">
        <f t="shared" si="108"/>
        <v>4220.4686907333235</v>
      </c>
      <c r="KX8" s="22">
        <f t="shared" si="109"/>
        <v>4370.07</v>
      </c>
      <c r="KZ8" s="16" t="str" cm="1">
        <f t="array" ref="KZ8">_xll.BDP(LA8&amp;" Equity","DS520")</f>
        <v>EPR Properties</v>
      </c>
      <c r="LA8" s="32" t="s">
        <v>253</v>
      </c>
      <c r="LB8" s="32" t="s">
        <v>371</v>
      </c>
      <c r="LC8" s="32" t="str" cm="1">
        <f t="array" ref="LC8">_xll.BDP(LA8&amp;" Equity", "ID_ISIN")</f>
        <v>US26884U1097</v>
      </c>
      <c r="LD8" s="32"/>
      <c r="LE8" s="30" t="str">
        <f>_xll.BDP(LA8&amp;" Equity", "DS197")</f>
        <v>New York</v>
      </c>
      <c r="LF8" s="30" t="s">
        <v>26</v>
      </c>
      <c r="LG8" s="30" t="s">
        <v>33</v>
      </c>
      <c r="LH8" s="30" t="s">
        <v>28</v>
      </c>
      <c r="LI8" s="30" t="str">
        <f>_xll.BDP(LA8&amp;" Equity", "DS004")</f>
        <v>USD</v>
      </c>
      <c r="LJ8" s="17" cm="1">
        <f t="array" ref="LJ8">_xll.BDP(LA8&amp;" Equity","PX_LAST")</f>
        <v>57.56</v>
      </c>
      <c r="LK8" s="33">
        <f t="shared" si="18"/>
        <v>7.0922930513645011E-2</v>
      </c>
      <c r="LL8" s="33">
        <f t="shared" si="19"/>
        <v>6.7346514434495117E-2</v>
      </c>
      <c r="LN8" s="1">
        <v>1</v>
      </c>
      <c r="LO8" s="18">
        <v>136163.01824984301</v>
      </c>
      <c r="LP8" s="11">
        <f t="shared" si="110"/>
        <v>7837543.3304609638</v>
      </c>
      <c r="LQ8" s="5"/>
      <c r="LR8" s="11" cm="1">
        <f t="array" ref="LR8">IF(LE8="Hong Kong",_xll.BDP(LA8&amp;" Equity","PR414"),_xll.BDP(LA8&amp;" Equity","PR090"))</f>
        <v>1</v>
      </c>
      <c r="LS8" s="11">
        <f t="shared" si="111"/>
        <v>57.56</v>
      </c>
      <c r="LT8" s="5">
        <f t="shared" si="112"/>
        <v>394.29009319608065</v>
      </c>
      <c r="LU8" s="8">
        <f t="shared" si="113"/>
        <v>7.0870749999999996E-2</v>
      </c>
      <c r="LV8" s="8">
        <f t="shared" si="114"/>
        <v>-7.3573544222027554E-4</v>
      </c>
      <c r="LW8" s="5"/>
      <c r="LX8" s="21">
        <f t="shared" si="115"/>
        <v>811.58518948855215</v>
      </c>
      <c r="LY8" s="22">
        <f t="shared" si="116"/>
        <v>2129.7199999999998</v>
      </c>
      <c r="MA8" s="16" t="str" cm="1">
        <f t="array" ref="MA8">_xll.BDP(MB8&amp;" Equity","DS520")</f>
        <v>AXA SA</v>
      </c>
      <c r="MB8" s="32" t="s">
        <v>712</v>
      </c>
      <c r="MC8" s="32" t="s">
        <v>713</v>
      </c>
      <c r="MD8" s="32" t="str" cm="1">
        <f t="array" ref="MD8">_xll.BDP(MB8&amp;" Equity", "ID_ISIN")</f>
        <v>FR0000120628</v>
      </c>
      <c r="ME8" s="32"/>
      <c r="MF8" s="30" t="str">
        <f>_xll.BDP(MB8&amp;" Equity", "DS197")</f>
        <v>EN Paris</v>
      </c>
      <c r="MG8" s="30" t="s">
        <v>26</v>
      </c>
      <c r="MH8" s="30" t="s">
        <v>39</v>
      </c>
      <c r="MI8" s="30" t="s">
        <v>28</v>
      </c>
      <c r="MJ8" s="30" t="str">
        <f>_xll.BDP(MB8&amp;" Equity", "DS004")</f>
        <v>EUR</v>
      </c>
      <c r="MK8" s="17" cm="1">
        <f t="array" ref="MK8">_xll.BDP(MB8&amp;" Equity","PX_LAST")</f>
        <v>38.049999999999997</v>
      </c>
      <c r="ML8" s="33">
        <f t="shared" si="20"/>
        <v>2.734051458551719E-2</v>
      </c>
      <c r="MM8" s="33">
        <f t="shared" si="21"/>
        <v>2.5957021147012808E-2</v>
      </c>
      <c r="MO8" s="1" cm="1">
        <f t="array" ref="MO8">IF(MJ8="USD",1,_xll.BDP(MJ8&amp;"USD CURNCY","PX_LAST"))</f>
        <v>1.1607000000000001</v>
      </c>
      <c r="MP8" s="18">
        <v>111216.61252703999</v>
      </c>
      <c r="MQ8" s="11">
        <f t="shared" si="117"/>
        <v>4911841.0981931482</v>
      </c>
      <c r="MR8" s="5"/>
      <c r="MS8" s="11" cm="1">
        <f t="array" ref="MS8">IF(MF8="Hong Kong",_xll.BDP(MB8&amp;" Equity","PR414"),_xll.BDP(MB8&amp;" Equity","PR090"))</f>
        <v>1</v>
      </c>
      <c r="MT8" s="11">
        <f t="shared" si="118"/>
        <v>44.164634999999997</v>
      </c>
      <c r="MU8" s="5">
        <f t="shared" si="119"/>
        <v>198.09887860197421</v>
      </c>
      <c r="MV8" s="8">
        <f t="shared" si="120"/>
        <v>2.732686790625E-2</v>
      </c>
      <c r="MW8" s="8">
        <f t="shared" si="121"/>
        <v>-4.9913761588160632E-4</v>
      </c>
      <c r="MX8" s="5"/>
      <c r="MY8" s="21">
        <f t="shared" si="122"/>
        <v>1615.3549291056459</v>
      </c>
      <c r="MZ8" s="22">
        <f t="shared" si="123"/>
        <v>1634.0914949999999</v>
      </c>
      <c r="NB8" s="16" t="str" cm="1">
        <f t="array" ref="NB8">_xll.BDP(NC8&amp;" Equity","DS520")</f>
        <v>Bristol-Myers Squibb Co</v>
      </c>
      <c r="NC8" s="32" t="s">
        <v>317</v>
      </c>
      <c r="ND8" s="32" t="s">
        <v>324</v>
      </c>
      <c r="NE8" s="32" t="str" cm="1">
        <f t="array" ref="NE8">_xll.BDP(NC8&amp;" Equity", "ID_ISIN")</f>
        <v>US1101221083</v>
      </c>
      <c r="NF8" s="32"/>
      <c r="NG8" s="30" t="str">
        <f>_xll.BDP(NC8&amp;" Equity", "DS197")</f>
        <v>New York</v>
      </c>
      <c r="NH8" s="30" t="s">
        <v>26</v>
      </c>
      <c r="NI8" s="30" t="s">
        <v>33</v>
      </c>
      <c r="NJ8" s="30" t="s">
        <v>28</v>
      </c>
      <c r="NK8" s="30" t="str">
        <f>_xll.BDP(NC8&amp;" Equity", "DS004")</f>
        <v>USD</v>
      </c>
      <c r="NL8" s="17" cm="1">
        <f t="array" ref="NL8">_xll.BDP(NC8&amp;" Equity","PX_LAST")</f>
        <v>60.74</v>
      </c>
      <c r="NM8" s="33">
        <f t="shared" si="22"/>
        <v>3.8724509534188968E-2</v>
      </c>
      <c r="NN8" s="33">
        <f t="shared" si="23"/>
        <v>3.6760241308688706E-2</v>
      </c>
      <c r="NP8" s="1" cm="1">
        <f t="array" ref="NP8">IF(NK8="USD",1,_xll.BDP(NK8&amp;"USD CURNCY","PX_LAST"))</f>
        <v>1</v>
      </c>
      <c r="NQ8" s="18">
        <v>108991.78533209101</v>
      </c>
      <c r="NR8" s="11">
        <f t="shared" si="124"/>
        <v>6620161.0410712082</v>
      </c>
      <c r="NS8" s="5"/>
      <c r="NT8" s="11" cm="1">
        <f t="array" ref="NT8">IF(NG8="Hong Kong",_xll.BDP(NC8&amp;" Equity","PR414"),_xll.BDP(NC8&amp;" Equity","PR090"))</f>
        <v>1</v>
      </c>
      <c r="NU8" s="11">
        <f t="shared" si="125"/>
        <v>60.74</v>
      </c>
      <c r="NV8" s="5">
        <f t="shared" si="126"/>
        <v>204.01453821107128</v>
      </c>
      <c r="NW8" s="8">
        <f t="shared" si="127"/>
        <v>3.8721750000000006E-2</v>
      </c>
      <c r="NX8" s="8">
        <f t="shared" si="128"/>
        <v>-7.126066210150217E-5</v>
      </c>
      <c r="NY8" s="5"/>
      <c r="NZ8" s="21">
        <f t="shared" si="129"/>
        <v>1568.5156695496446</v>
      </c>
      <c r="OA8" s="22">
        <f t="shared" si="130"/>
        <v>2247.38</v>
      </c>
      <c r="OC8" s="16" t="str" cm="1">
        <f t="array" ref="OC8">_xll.BDP(OD8&amp;" Equity","DS520")</f>
        <v>Associated British Foods PLC</v>
      </c>
      <c r="OD8" s="32" t="s">
        <v>127</v>
      </c>
      <c r="OE8" s="32" t="s">
        <v>128</v>
      </c>
      <c r="OF8" s="32" t="str" cm="1">
        <f t="array" ref="OF8">_xll.BDP(OD8&amp;" Equity", "ID_ISIN")</f>
        <v>GB0006731235</v>
      </c>
      <c r="OG8" s="32"/>
      <c r="OH8" s="30" t="str">
        <f>_xll.BDP(OD8&amp;" Equity", "DS197")</f>
        <v>London</v>
      </c>
      <c r="OI8" s="30" t="s">
        <v>26</v>
      </c>
      <c r="OJ8" s="30" t="s">
        <v>129</v>
      </c>
      <c r="OK8" s="30" t="s">
        <v>28</v>
      </c>
      <c r="OL8" s="43" t="str">
        <f>_xll.BDP(OD8&amp;" Equity", "DS004")</f>
        <v>GBp</v>
      </c>
      <c r="OM8" s="17" cm="1">
        <f t="array" ref="OM8">_xll.BDP(OD8&amp;" Equity","PX_LAST")/100</f>
        <v>18.87</v>
      </c>
      <c r="ON8" s="33">
        <f t="shared" si="24"/>
        <v>2.9813684326418802E-2</v>
      </c>
      <c r="OO8" s="33">
        <f t="shared" si="131"/>
        <v>2.8269545657289084E-2</v>
      </c>
      <c r="OQ8" s="1" cm="1">
        <f t="array" ref="OQ8">IF(OL8="EUR",1,_xll.BDP(OL8&amp;"EUR CURNCY","PX_LAST"))</f>
        <v>1.1509</v>
      </c>
      <c r="OR8" s="18">
        <v>252823.422330937</v>
      </c>
      <c r="OS8" s="11">
        <f t="shared" si="132"/>
        <v>5490688.3764739456</v>
      </c>
      <c r="OT8" s="5"/>
      <c r="OU8" s="11" cm="1">
        <f t="array" ref="OU8">IF(OH8="Hong Kong",_xll.BDP(OD8&amp;" Equity","PR414"),_xll.BDP(OD8&amp;" Equity","PR090"))</f>
        <v>1</v>
      </c>
      <c r="OV8" s="11">
        <f t="shared" si="133"/>
        <v>21.717483000000001</v>
      </c>
      <c r="OW8" s="5">
        <f t="shared" si="134"/>
        <v>439.29487521431543</v>
      </c>
      <c r="OX8" s="8">
        <f t="shared" si="135"/>
        <v>2.9793671990624999E-2</v>
      </c>
      <c r="OY8" s="8">
        <f t="shared" si="136"/>
        <v>-6.7124665219819857E-4</v>
      </c>
      <c r="OZ8" s="5"/>
      <c r="PA8" s="21">
        <f t="shared" si="137"/>
        <v>728.44009355648427</v>
      </c>
      <c r="PB8" s="22">
        <f t="shared" si="138"/>
        <v>803.54687100000001</v>
      </c>
      <c r="PD8" s="16" t="str" cm="1">
        <f t="array" ref="PD8">_xll.BDP(PE8&amp;" Equity","DS520")</f>
        <v>Suntory Beverage &amp; Food Ltd</v>
      </c>
      <c r="PE8" s="44" t="s">
        <v>291</v>
      </c>
      <c r="PF8" s="44">
        <v>2587</v>
      </c>
      <c r="PG8" s="32" t="str" cm="1">
        <f t="array" ref="PG8">_xll.BDP(PE8&amp;" Equity", "ID_ISIN")</f>
        <v>JP3336560002</v>
      </c>
      <c r="PH8" s="44"/>
      <c r="PI8" s="30" t="str">
        <f>_xll.BDP(PE8&amp;" Equity", "DS197")</f>
        <v>Tokyo</v>
      </c>
      <c r="PJ8" s="30" t="s">
        <v>26</v>
      </c>
      <c r="PK8" s="71" t="s">
        <v>320</v>
      </c>
      <c r="PL8" s="30" t="s">
        <v>28</v>
      </c>
      <c r="PM8" s="30" t="str">
        <f>_xll.BDP(PE8&amp;" Equity", "DS004")</f>
        <v>JPY</v>
      </c>
      <c r="PN8" s="17" cm="1">
        <f t="array" ref="PN8">_xll.BDP(PE8&amp;" Equity","PX_LAST")</f>
        <v>4671</v>
      </c>
      <c r="PO8" s="33">
        <f t="shared" si="25"/>
        <v>4.2286181209362929E-2</v>
      </c>
      <c r="PP8" s="33">
        <f t="shared" si="26"/>
        <v>4.016968971711269E-2</v>
      </c>
      <c r="PR8" s="1">
        <v>1</v>
      </c>
      <c r="PS8" s="18">
        <v>1744.67283051492</v>
      </c>
      <c r="PT8" s="11">
        <f t="shared" si="139"/>
        <v>8149366.7913351906</v>
      </c>
      <c r="PU8" s="5"/>
      <c r="PV8" s="11" cm="1">
        <f t="array" ref="PV8">IF(PI8="Hong Kong",_xll.BDP(PE8&amp;" Equity","PR414"),_xll.BDP(PE8&amp;" Equity","PR090"))</f>
        <v>100</v>
      </c>
      <c r="PW8" s="11">
        <f t="shared" si="140"/>
        <v>467100</v>
      </c>
      <c r="PX8" s="5">
        <f t="shared" si="141"/>
        <v>2.8969338443579826E-2</v>
      </c>
      <c r="PY8" s="8">
        <f t="shared" si="142"/>
        <v>0</v>
      </c>
      <c r="PZ8" s="8">
        <f t="shared" si="143"/>
        <v>-1</v>
      </c>
      <c r="QA8" s="5"/>
      <c r="QB8" s="21">
        <f t="shared" si="144"/>
        <v>11046161.810813401</v>
      </c>
      <c r="QC8" s="22">
        <f t="shared" si="145"/>
        <v>17282700</v>
      </c>
      <c r="QE8" s="16" t="str" cm="1">
        <f t="array" ref="QE8">_xll.BDP(QF8&amp;" Equity","DS520")</f>
        <v>Check Point Software Technologies Ltd</v>
      </c>
      <c r="QF8" s="34" t="s">
        <v>166</v>
      </c>
      <c r="QG8" s="34"/>
      <c r="QH8" s="32" t="str" cm="1">
        <f t="array" ref="QH8">_xll.BDP(QF8&amp;" Equity", "ID_ISIN")</f>
        <v>IL0010824113</v>
      </c>
      <c r="QI8" s="34"/>
      <c r="QJ8" s="30" t="str">
        <f>_xll.BDP(QF8&amp;" Equity", "DS197")</f>
        <v>NASDAQ GS</v>
      </c>
      <c r="QK8" s="30" t="s">
        <v>26</v>
      </c>
      <c r="QL8" s="30"/>
      <c r="QM8" s="30" t="s">
        <v>28</v>
      </c>
      <c r="QN8" s="30" t="str">
        <f>_xll.BDP(QF8&amp;" Equity", "DS004")</f>
        <v>USD</v>
      </c>
      <c r="QO8" s="17" cm="1">
        <f t="array" ref="QO8">_xll.BDP(QF8&amp;" Equity","PX_LAST")</f>
        <v>164.48</v>
      </c>
      <c r="QP8" s="33">
        <f t="shared" si="27"/>
        <v>3.7793101602629157E-2</v>
      </c>
      <c r="QQ8" s="33">
        <f t="shared" si="28"/>
        <v>3.591266775011389E-2</v>
      </c>
      <c r="QS8" s="1" cm="1">
        <f t="array" ref="QS8">IF(QN8="USD",1,_xll.BDP(QN8&amp;"USD CURNCY","PX_LAST"))</f>
        <v>1</v>
      </c>
      <c r="QT8" s="18">
        <v>26212.689156719502</v>
      </c>
      <c r="QU8" s="11">
        <f t="shared" si="146"/>
        <v>4311463.1124972235</v>
      </c>
      <c r="QV8" s="5"/>
      <c r="QW8" s="11" cm="1">
        <f t="array" ref="QW8">IF(QJ8="Hong Kong",_xll.BDP(QF8&amp;" Equity","PR414"),_xll.BDP(QF8&amp;" Equity","PR090"))</f>
        <v>1</v>
      </c>
      <c r="QX8" s="11">
        <f t="shared" si="147"/>
        <v>164.48</v>
      </c>
      <c r="QY8" s="5">
        <f t="shared" si="148"/>
        <v>73.527435024570352</v>
      </c>
      <c r="QZ8" s="8">
        <f t="shared" si="149"/>
        <v>3.8035999999999993E-2</v>
      </c>
      <c r="RA8" s="8">
        <f t="shared" si="150"/>
        <v>6.4270564486810233E-3</v>
      </c>
      <c r="RB8" s="5"/>
      <c r="RC8" s="21">
        <f t="shared" si="151"/>
        <v>4352.1170008591616</v>
      </c>
      <c r="RD8" s="22">
        <f t="shared" si="152"/>
        <v>6085.7599999999993</v>
      </c>
      <c r="RF8" s="16" t="str" cm="1">
        <f t="array" ref="RF8">_xll.BDP(RG8&amp;" Equity","DS520")</f>
        <v>Alkermes PLC</v>
      </c>
      <c r="RG8" s="34" t="s">
        <v>238</v>
      </c>
      <c r="RH8" s="34"/>
      <c r="RI8" s="32" t="str" cm="1">
        <f t="array" ref="RI8">_xll.BDP(RG8&amp;" Equity", "ID_ISIN")</f>
        <v>IE00B56GVS15</v>
      </c>
      <c r="RJ8" s="34"/>
      <c r="RK8" s="30" t="str">
        <f>_xll.BDP(RG8&amp;" Equity", "DS197")</f>
        <v>NASDAQ GS</v>
      </c>
      <c r="RL8" s="30" t="s">
        <v>26</v>
      </c>
      <c r="RM8" s="30"/>
      <c r="RN8" s="30" t="s">
        <v>28</v>
      </c>
      <c r="RO8" s="30" t="str">
        <f>_xll.BDP(RG8&amp;" Equity", "DS004")</f>
        <v>USD</v>
      </c>
      <c r="RP8" s="17" cm="1">
        <f t="array" ref="RP8">_xll.BDP(RG8&amp;" Equity","PX_LAST")</f>
        <v>28.35</v>
      </c>
      <c r="RQ8" s="33">
        <f t="shared" si="153"/>
        <v>2.8555474581353109E-2</v>
      </c>
      <c r="RR8" s="33">
        <f t="shared" si="154"/>
        <v>2.7153738727266178E-2</v>
      </c>
      <c r="RT8" s="1" cm="1">
        <f t="array" ref="RT8">IF(RO8="USD",1,_xll.BDP(RO8&amp;"USD CURNCY","PX_LAST"))</f>
        <v>1</v>
      </c>
      <c r="RU8" s="18">
        <v>101501.07219442401</v>
      </c>
      <c r="RV8" s="11">
        <f t="shared" si="155"/>
        <v>2877555.3967119209</v>
      </c>
      <c r="RW8" s="5"/>
      <c r="RX8" s="11" cm="1">
        <f t="array" ref="RX8">IF(RK8="Hong Kong",_xll.BDP(RG8&amp;" Equity","PR414"),_xll.BDP(RG8&amp;" Equity","PR090"))</f>
        <v>1</v>
      </c>
      <c r="RY8" s="11">
        <f t="shared" si="156"/>
        <v>28.35</v>
      </c>
      <c r="RZ8" s="5">
        <f t="shared" si="157"/>
        <v>322.31928980716032</v>
      </c>
      <c r="SA8" s="8">
        <f t="shared" si="158"/>
        <v>2.8527187500000002E-2</v>
      </c>
      <c r="SB8" s="8">
        <f t="shared" si="159"/>
        <v>-9.9060098870074054E-4</v>
      </c>
      <c r="SC8" s="5"/>
      <c r="SD8" s="21">
        <f t="shared" si="160"/>
        <v>992.80437168824767</v>
      </c>
      <c r="SE8" s="22">
        <f t="shared" si="161"/>
        <v>1048.95</v>
      </c>
    </row>
    <row r="9" spans="15:499" x14ac:dyDescent="0.2">
      <c r="O9" s="16" t="str" cm="1">
        <f t="array" ref="O9">_xll.BDP(P9&amp;" Equity","DS520")</f>
        <v>Shell PLC</v>
      </c>
      <c r="P9" s="32" t="s">
        <v>153</v>
      </c>
      <c r="Q9" s="32" t="s">
        <v>154</v>
      </c>
      <c r="R9" s="32" t="str" cm="1">
        <f t="array" ref="R9">_xll.BDP(P9&amp;" Equity", "ID_ISIN")</f>
        <v>GB00BP6MXD84</v>
      </c>
      <c r="S9" s="32"/>
      <c r="T9" s="30" t="str">
        <f>_xll.BDP(P9&amp;" Equity", "DS197")</f>
        <v>London</v>
      </c>
      <c r="U9" s="30" t="s">
        <v>26</v>
      </c>
      <c r="V9" s="30" t="s">
        <v>129</v>
      </c>
      <c r="W9" s="30" t="s">
        <v>28</v>
      </c>
      <c r="X9" s="43" t="str">
        <f>_xll.BDP(P9&amp;" Equity", "DS004")</f>
        <v>GBp</v>
      </c>
      <c r="Y9" s="17" cm="1">
        <f t="array" ref="Y9">_xll.BDP(P9&amp;" Equity","PX_LAST")/100</f>
        <v>31.08</v>
      </c>
      <c r="Z9" s="33">
        <f t="shared" si="0"/>
        <v>3.022453313611978E-2</v>
      </c>
      <c r="AA9" s="33">
        <f t="shared" si="1"/>
        <v>2.8714322256118908E-2</v>
      </c>
      <c r="AB9" s="4"/>
      <c r="AC9" s="1" cm="1">
        <f t="array" ref="AC9">IF(X9="USD",1,_xll.BDP(X9&amp;"USD CURNCY","PX_LAST"))</f>
        <v>1.3359000000000001</v>
      </c>
      <c r="AD9" s="18">
        <v>149806.56954383399</v>
      </c>
      <c r="AE9" s="11">
        <f t="shared" si="2"/>
        <v>6219934.6115621319</v>
      </c>
      <c r="AF9" s="5"/>
      <c r="AG9" s="11" cm="1">
        <f t="array" ref="AG9">IF(T9="Hong Kong",_xll.BDP(P9&amp;" Equity","PR414"),_xll.BDP(P9&amp;" Equity","PR090"))</f>
        <v>1</v>
      </c>
      <c r="AH9" s="11">
        <f t="shared" si="3"/>
        <v>41.519772000000003</v>
      </c>
      <c r="AI9" s="5">
        <f t="shared" si="29"/>
        <v>232.94565787977663</v>
      </c>
      <c r="AJ9" s="8">
        <f t="shared" si="30"/>
        <v>3.0231583987500005E-2</v>
      </c>
      <c r="AK9" s="8">
        <f t="shared" si="31"/>
        <v>2.3328239177322629E-4</v>
      </c>
      <c r="AL9" s="5"/>
      <c r="AM9" s="21">
        <f t="shared" si="32"/>
        <v>1373.7109457741092</v>
      </c>
      <c r="AN9" s="22">
        <f t="shared" si="33"/>
        <v>1536.2315639999999</v>
      </c>
      <c r="AP9" s="16" t="str" cm="1">
        <f t="array" ref="AP9">_xll.BDP(AQ9&amp;" Equity","DS520")</f>
        <v>Boston Scientific Corp</v>
      </c>
      <c r="AQ9" s="32" t="s">
        <v>737</v>
      </c>
      <c r="AR9" s="32" t="s">
        <v>739</v>
      </c>
      <c r="AS9" s="32" t="str" cm="1">
        <f t="array" ref="AS9">_xll.BDP(AQ9&amp;" Equity", "ID_ISIN")</f>
        <v>US1011371077</v>
      </c>
      <c r="AT9" s="32"/>
      <c r="AU9" s="30" t="str">
        <f>_xll.BDP(AQ9&amp;" Equity", "DS197")</f>
        <v>New York</v>
      </c>
      <c r="AV9" s="30" t="s">
        <v>26</v>
      </c>
      <c r="AW9" s="30" t="s">
        <v>129</v>
      </c>
      <c r="AX9" s="30" t="s">
        <v>28</v>
      </c>
      <c r="AY9" s="30" t="str">
        <f>_xll.BDP(AQ9&amp;" Equity", "DS004")</f>
        <v>USD</v>
      </c>
      <c r="AZ9" s="17" cm="1">
        <f t="array" ref="AZ9">_xll.BDP(AQ9&amp;" Equity","PX_LAST")</f>
        <v>72.989999999999995</v>
      </c>
      <c r="BA9" s="33">
        <f t="shared" si="4"/>
        <v>3.4626526532329789E-2</v>
      </c>
      <c r="BB9" s="33">
        <f t="shared" si="34"/>
        <v>3.2884029638398614E-2</v>
      </c>
      <c r="BD9" s="1" cm="1">
        <f t="array" ref="BD9">IF(AY9="USD",1,_xll.BDP(AY9&amp;"USD CURNCY","PX_LAST"))</f>
        <v>1</v>
      </c>
      <c r="BE9" s="18">
        <v>78107.190115912599</v>
      </c>
      <c r="BF9" s="11">
        <f t="shared" si="35"/>
        <v>5701043.8065604605</v>
      </c>
      <c r="BG9" s="5"/>
      <c r="BH9" s="11" cm="1">
        <f t="array" ref="BH9">IF(AU9="Hong Kong",_xll.BDP(AQ9&amp;" Equity","PR414"),_xll.BDP(AQ9&amp;" Equity","PR090"))</f>
        <v>1</v>
      </c>
      <c r="BI9" s="11">
        <f t="shared" si="36"/>
        <v>72.989999999999995</v>
      </c>
      <c r="BJ9" s="5">
        <f t="shared" si="37"/>
        <v>151.80830922517515</v>
      </c>
      <c r="BK9" s="8">
        <f t="shared" si="38"/>
        <v>3.467025E-2</v>
      </c>
      <c r="BL9" s="8">
        <f t="shared" si="39"/>
        <v>1.2627159593783244E-3</v>
      </c>
      <c r="BM9" s="5"/>
      <c r="BN9" s="21">
        <f t="shared" si="40"/>
        <v>2107.9215072829015</v>
      </c>
      <c r="BO9" s="22">
        <f t="shared" si="41"/>
        <v>2700.6299999999997</v>
      </c>
      <c r="BQ9" s="16" t="str" cm="1">
        <f t="array" ref="BQ9">_xll.BDP(BR9&amp;" Equity","DS520")</f>
        <v>Daiwa Securities Living Investments Corp</v>
      </c>
      <c r="BR9" s="44" t="s">
        <v>751</v>
      </c>
      <c r="BS9" s="44">
        <v>8986</v>
      </c>
      <c r="BT9" s="32" t="str" cm="1">
        <f t="array" ref="BT9">_xll.BDP(BR9&amp;" Equity", "ID_ISIN")</f>
        <v>JP3046410001</v>
      </c>
      <c r="BU9" s="44"/>
      <c r="BV9" s="30" t="str">
        <f>_xll.BDP(BR9&amp;" Equity", "DS197")</f>
        <v>Tokyo</v>
      </c>
      <c r="BW9" s="30" t="s">
        <v>26</v>
      </c>
      <c r="BX9" s="71" t="s">
        <v>320</v>
      </c>
      <c r="BY9" s="30" t="s">
        <v>28</v>
      </c>
      <c r="BZ9" s="30" t="str">
        <f>_xll.BDP(BR9&amp;" Equity", "DS004")</f>
        <v>JPY</v>
      </c>
      <c r="CA9" s="17" cm="1">
        <f t="array" ref="CA9">_xll.BDP(BR9&amp;" Equity","PX_LAST")</f>
        <v>115500</v>
      </c>
      <c r="CB9" s="33">
        <f t="shared" si="5"/>
        <v>6.8153321908857728E-2</v>
      </c>
      <c r="CC9" s="33">
        <f t="shared" si="42"/>
        <v>6.4739822613896686E-2</v>
      </c>
      <c r="CE9" s="1">
        <v>1</v>
      </c>
      <c r="CF9" s="18">
        <v>370.19361486430103</v>
      </c>
      <c r="CG9" s="11">
        <f t="shared" si="43"/>
        <v>42757362.516826771</v>
      </c>
      <c r="CH9" s="5"/>
      <c r="CI9" s="11" cm="1">
        <f t="array" ref="CI9">IF(BV9="Hong Kong",_xll.BDP(BR9&amp;" Equity","PR414"),_xll.BDP(BR9&amp;" Equity","PR090"))</f>
        <v>1</v>
      </c>
      <c r="CJ9" s="11">
        <f t="shared" si="44"/>
        <v>115500</v>
      </c>
      <c r="CK9" s="5">
        <f t="shared" si="45"/>
        <v>0.18882305637086125</v>
      </c>
      <c r="CL9" s="8">
        <f t="shared" si="46"/>
        <v>0</v>
      </c>
      <c r="CM9" s="8">
        <f t="shared" si="47"/>
        <v>-1</v>
      </c>
      <c r="CN9" s="5"/>
      <c r="CO9" s="21">
        <f t="shared" si="48"/>
        <v>1694708.2954292318</v>
      </c>
      <c r="CP9" s="22">
        <f t="shared" si="49"/>
        <v>4273500</v>
      </c>
      <c r="CR9" s="16" t="str" cm="1">
        <f t="array" ref="CR9">_xll.BDP(CS9&amp;" Equity","DS520")</f>
        <v>Daito Trust Construction Co Ltd</v>
      </c>
      <c r="CS9" s="32" t="s">
        <v>119</v>
      </c>
      <c r="CT9" s="32">
        <v>1878</v>
      </c>
      <c r="CU9" s="32" t="str" cm="1">
        <f t="array" ref="CU9">_xll.BDP(CS9&amp;" Equity", "ID_ISIN")</f>
        <v>JP3486800000</v>
      </c>
      <c r="CV9" s="32"/>
      <c r="CW9" s="30" t="str">
        <f>_xll.BDP(CS9&amp;" Equity", "DS197")</f>
        <v>Tokyo</v>
      </c>
      <c r="CX9" s="30" t="s">
        <v>26</v>
      </c>
      <c r="CY9" s="30" t="s">
        <v>320</v>
      </c>
      <c r="CZ9" s="30" t="s">
        <v>28</v>
      </c>
      <c r="DA9" s="30" t="str">
        <f>_xll.BDP(CS9&amp;" Equity", "DS004")</f>
        <v>JPY</v>
      </c>
      <c r="DB9" s="17" cm="1">
        <f t="array" ref="DB9">_xll.BDP(CS9&amp;" Equity","PX_LAST")</f>
        <v>3642</v>
      </c>
      <c r="DC9" s="33">
        <f t="shared" si="6"/>
        <v>6.041601002354792E-2</v>
      </c>
      <c r="DD9" s="33">
        <f t="shared" si="7"/>
        <v>5.737602091934188E-2</v>
      </c>
      <c r="DF9" s="1" cm="1">
        <f t="array" ref="DF9">IF(DA9="USD",1,_xll.BDP(DA9&amp;"USD CURNCY","PX_LAST"))</f>
        <v>6.3369999999999998E-3</v>
      </c>
      <c r="DG9" s="18">
        <v>474746.26753309899</v>
      </c>
      <c r="DH9" s="11">
        <f t="shared" si="8"/>
        <v>10956837.168575097</v>
      </c>
      <c r="DI9" s="5"/>
      <c r="DJ9" s="11" cm="1">
        <f t="array" ref="DJ9">IF(CW9="Hong Kong",_xll.BDP(CS9&amp;" Equity","PR414"),_xll.BDP(CS9&amp;" Equity","PR090"))</f>
        <v>100</v>
      </c>
      <c r="DK9" s="11">
        <f t="shared" si="9"/>
        <v>2307.9353999999998</v>
      </c>
      <c r="DL9" s="5">
        <f t="shared" si="50"/>
        <v>8.3768043106992227</v>
      </c>
      <c r="DM9" s="8">
        <f t="shared" si="51"/>
        <v>5.7698384999999998E-2</v>
      </c>
      <c r="DN9" s="8">
        <f t="shared" si="52"/>
        <v>-4.4981868588950036E-2</v>
      </c>
      <c r="DO9" s="5"/>
      <c r="DP9" s="21">
        <f t="shared" si="53"/>
        <v>38200.725256441998</v>
      </c>
      <c r="DQ9" s="22">
        <f t="shared" si="54"/>
        <v>85393.609799999991</v>
      </c>
      <c r="DS9" s="16" t="str" cm="1">
        <f t="array" ref="DS9">_xll.BDP(DT9&amp;" Equity","DS520")</f>
        <v>Aviva PLC</v>
      </c>
      <c r="DT9" s="32" t="s">
        <v>132</v>
      </c>
      <c r="DU9" s="32" t="s">
        <v>735</v>
      </c>
      <c r="DV9" s="32" t="str" cm="1">
        <f t="array" ref="DV9">_xll.BDP(DT9&amp;" Equity", "ID_ISIN")</f>
        <v>GB00BPQY8M80</v>
      </c>
      <c r="DW9" s="32"/>
      <c r="DX9" s="30" t="str">
        <f>_xll.BDP(DT9&amp;" Equity", "DS197")</f>
        <v>London</v>
      </c>
      <c r="DY9" s="30" t="s">
        <v>26</v>
      </c>
      <c r="DZ9" s="30" t="s">
        <v>129</v>
      </c>
      <c r="EA9" s="30" t="s">
        <v>28</v>
      </c>
      <c r="EB9" s="43" t="str">
        <f>_xll.BDP(DT9&amp;" Equity", "DS004")</f>
        <v>GBp</v>
      </c>
      <c r="EC9" s="17" cm="1">
        <f t="array" ref="EC9">_xll.BDP(DT9&amp;" Equity","PX_LAST")/100</f>
        <v>6.4560000000000004</v>
      </c>
      <c r="ED9" s="33">
        <f t="shared" si="55"/>
        <v>4.1705253276259541E-2</v>
      </c>
      <c r="EE9" s="33">
        <f t="shared" si="56"/>
        <v>3.9561929035010358E-2</v>
      </c>
      <c r="EG9" s="1">
        <v>1</v>
      </c>
      <c r="EH9" s="18">
        <v>1066052.7245469</v>
      </c>
      <c r="EI9" s="11">
        <f t="shared" si="57"/>
        <v>6882436.3896747874</v>
      </c>
      <c r="EJ9" s="5"/>
      <c r="EK9" s="11" cm="1">
        <f t="array" ref="EK9">IF(DX9="Hong Kong",_xll.BDP(DT9&amp;" Equity","PR414"),_xll.BDP(DT9&amp;" Equity","PR090"))</f>
        <v>1</v>
      </c>
      <c r="EL9" s="11">
        <f t="shared" si="58"/>
        <v>6.4560000000000004</v>
      </c>
      <c r="EM9" s="5">
        <f t="shared" si="59"/>
        <v>2067.1748835816379</v>
      </c>
      <c r="EN9" s="8">
        <f t="shared" si="60"/>
        <v>4.1701725000000002E-2</v>
      </c>
      <c r="EO9" s="8">
        <f t="shared" si="61"/>
        <v>-8.460028371404249E-5</v>
      </c>
      <c r="EP9" s="5"/>
      <c r="EQ9" s="21">
        <f t="shared" si="62"/>
        <v>154.80064243309701</v>
      </c>
      <c r="ER9" s="22">
        <f t="shared" si="63"/>
        <v>238.87200000000001</v>
      </c>
      <c r="ET9" s="16" t="str" cm="1">
        <f t="array" ref="ET9">_xll.BDP(EU9&amp;" Equity","DS520")</f>
        <v>American Electric Power Co Inc</v>
      </c>
      <c r="EU9" s="32" t="s">
        <v>703</v>
      </c>
      <c r="EV9" s="32" t="s">
        <v>707</v>
      </c>
      <c r="EW9" s="32" t="str" cm="1">
        <f t="array" ref="EW9">_xll.BDP(EU9&amp;" Equity", "ID_ISIN")</f>
        <v>US0255371017</v>
      </c>
      <c r="EX9" s="32"/>
      <c r="EY9" s="30" t="str">
        <f>_xll.BDP(EU9&amp;" Equity", "DS197")</f>
        <v>NASDAQ GS</v>
      </c>
      <c r="EZ9" s="30" t="s">
        <v>26</v>
      </c>
      <c r="FA9" s="30" t="s">
        <v>33</v>
      </c>
      <c r="FB9" s="30" t="s">
        <v>28</v>
      </c>
      <c r="FC9" s="30" t="str">
        <f>_xll.BDP(EU9&amp;" Equity", "DS004")</f>
        <v>USD</v>
      </c>
      <c r="FD9" s="17" cm="1">
        <f t="array" ref="FD9">_xll.BDP(EU9&amp;" Equity","PX_LAST")</f>
        <v>132.04</v>
      </c>
      <c r="FE9" s="33">
        <f t="shared" si="10"/>
        <v>3.7191500106851155E-2</v>
      </c>
      <c r="FF9" s="33">
        <f t="shared" si="11"/>
        <v>3.5330941875885695E-2</v>
      </c>
      <c r="FH9" s="1" cm="1">
        <f t="array" ref="FH9">IF(FC9="USD",1,_xll.BDP(FC9&amp;"USD CURNCY","PX_LAST"))</f>
        <v>1</v>
      </c>
      <c r="FI9" s="18">
        <v>57719.880331447697</v>
      </c>
      <c r="FJ9" s="11">
        <f t="shared" si="64"/>
        <v>7621332.9989643535</v>
      </c>
      <c r="FK9" s="5"/>
      <c r="FL9" s="11" cm="1">
        <f t="array" ref="FL9">IF(EY9="Hong Kong",_xll.BDP(EU9&amp;" Equity","PR414"),_xll.BDP(EU9&amp;" Equity","PR090"))</f>
        <v>1</v>
      </c>
      <c r="FM9" s="11">
        <f t="shared" si="65"/>
        <v>132.04</v>
      </c>
      <c r="FN9" s="5">
        <f t="shared" si="66"/>
        <v>90.133899077494476</v>
      </c>
      <c r="FO9" s="8">
        <f t="shared" si="67"/>
        <v>3.7136249999999996E-2</v>
      </c>
      <c r="FP9" s="8">
        <f t="shared" si="68"/>
        <v>-1.4855573637101438E-3</v>
      </c>
      <c r="FQ9" s="5"/>
      <c r="FR9" s="21">
        <f t="shared" si="69"/>
        <v>3550.2735738179194</v>
      </c>
      <c r="FS9" s="22">
        <f t="shared" si="70"/>
        <v>4885.4799999999996</v>
      </c>
      <c r="FU9" s="16" t="str" cm="1">
        <f t="array" ref="FU9">_xll.BDP(FV9&amp;" Equity","DS520")</f>
        <v>Amadeus IT Group SA</v>
      </c>
      <c r="FV9" s="32" t="s">
        <v>175</v>
      </c>
      <c r="FW9" s="32" t="s">
        <v>408</v>
      </c>
      <c r="FX9" s="32" t="str" cm="1">
        <f t="array" ref="FX9">_xll.BDP(FV9&amp;" Equity", "ID_ISIN")</f>
        <v>ES0109067019</v>
      </c>
      <c r="FY9" s="32"/>
      <c r="FZ9" s="30" t="str">
        <f>_xll.BDP(FV9&amp;" Equity", "DS197")</f>
        <v>Soc.Bol SIBE</v>
      </c>
      <c r="GA9" s="30" t="s">
        <v>26</v>
      </c>
      <c r="GB9" s="30" t="s">
        <v>326</v>
      </c>
      <c r="GC9" s="30" t="s">
        <v>28</v>
      </c>
      <c r="GD9" s="30" t="str">
        <f>_xll.BDP(FV9&amp;" Equity", "DS004")</f>
        <v>EUR</v>
      </c>
      <c r="GE9" s="17" cm="1">
        <f t="array" ref="GE9">_xll.BDP(FV9&amp;" Equity","PX_LAST")</f>
        <v>53.74</v>
      </c>
      <c r="GF9" s="33">
        <f t="shared" si="12"/>
        <v>2.6892774262265395E-2</v>
      </c>
      <c r="GG9" s="33">
        <f t="shared" si="13"/>
        <v>2.5546911966547896E-2</v>
      </c>
      <c r="GI9" s="1" cm="1">
        <f t="array" ref="GI9">IF(GD9="USD",1,_xll.BDP(GD9&amp;"USD CURNCY","PX_LAST"))</f>
        <v>1.1607000000000001</v>
      </c>
      <c r="GJ9" s="18">
        <v>89244.666153405604</v>
      </c>
      <c r="GK9" s="11">
        <f t="shared" si="71"/>
        <v>5566726.9023888195</v>
      </c>
      <c r="GL9" s="5"/>
      <c r="GM9" s="11" cm="1">
        <f t="array" ref="GM9">IF(FZ9="Hong Kong",_xll.BDP(FV9&amp;" Equity","PR414"),_xll.BDP(FV9&amp;" Equity","PR090"))</f>
        <v>1</v>
      </c>
      <c r="GN9" s="11">
        <f t="shared" si="72"/>
        <v>62.376018000000009</v>
      </c>
      <c r="GO9" s="5">
        <f t="shared" si="73"/>
        <v>137.96468642683996</v>
      </c>
      <c r="GP9" s="8">
        <f t="shared" si="74"/>
        <v>2.6899657762500005E-2</v>
      </c>
      <c r="GQ9" s="8">
        <f t="shared" si="75"/>
        <v>2.5596095692770326E-4</v>
      </c>
      <c r="GR9" s="5"/>
      <c r="GS9" s="21">
        <f t="shared" si="76"/>
        <v>2319.4341123638901</v>
      </c>
      <c r="GT9" s="22">
        <f t="shared" si="77"/>
        <v>2307.9126660000002</v>
      </c>
      <c r="GV9" s="16" t="str" cm="1">
        <f t="array" ref="GV9">_xll.BDP(GW9&amp;" Equity","DS520")</f>
        <v>Baidu Inc</v>
      </c>
      <c r="GW9" s="32" t="s">
        <v>187</v>
      </c>
      <c r="GX9" s="32">
        <v>9888</v>
      </c>
      <c r="GY9" s="32" t="str" cm="1">
        <f t="array" ref="GY9">_xll.BDP(GW9&amp;" Equity", "ID_ISIN")</f>
        <v>KYG070341048</v>
      </c>
      <c r="GZ9" s="32"/>
      <c r="HA9" s="30" t="str">
        <f>_xll.BDP(GW9&amp;" Equity", "DS197")</f>
        <v>Hong Kong</v>
      </c>
      <c r="HB9" s="30" t="s">
        <v>26</v>
      </c>
      <c r="HC9" s="30" t="s">
        <v>27</v>
      </c>
      <c r="HD9" s="30" t="s">
        <v>28</v>
      </c>
      <c r="HE9" s="30" t="str">
        <f>_xll.BDP(GW9&amp;" Equity", "DS004")</f>
        <v>HKD</v>
      </c>
      <c r="HF9" s="17" cm="1">
        <f t="array" ref="HF9">_xll.BDP(GW9&amp;" Equity","PX_LAST")</f>
        <v>119.5</v>
      </c>
      <c r="HG9" s="33">
        <f t="shared" si="14"/>
        <v>2.4631948994618447E-2</v>
      </c>
      <c r="HH9" s="33">
        <f t="shared" si="78"/>
        <v>2.3398495045311569E-2</v>
      </c>
      <c r="HJ9" s="1" cm="1">
        <f t="array" ref="HJ9">IF(HE9="USD",1,_xll.BDP(HE9&amp;"USD CURNCY","PX_LAST"))</f>
        <v>0.12784999999999999</v>
      </c>
      <c r="HK9" s="18">
        <v>262942.91188481502</v>
      </c>
      <c r="HL9" s="11">
        <f t="shared" si="79"/>
        <v>4017261.5284945951</v>
      </c>
      <c r="HM9" s="5"/>
      <c r="HN9" s="11" cm="1">
        <f t="array" ref="HN9">IF(HA9="Hong Kong",_xll.BDP(GW9&amp;" Equity","PR414"),_xll.BDP(GW9&amp;" Equity","PR090"))</f>
        <v>50</v>
      </c>
      <c r="HO9" s="11">
        <f t="shared" si="80"/>
        <v>763.90374999999995</v>
      </c>
      <c r="HP9" s="5">
        <f t="shared" si="81"/>
        <v>10.318346621911338</v>
      </c>
      <c r="HQ9" s="8">
        <f t="shared" si="82"/>
        <v>2.38719921875E-2</v>
      </c>
      <c r="HR9" s="8">
        <f t="shared" si="83"/>
        <v>-3.0852483791862451E-2</v>
      </c>
      <c r="HS9" s="5"/>
      <c r="HT9" s="21">
        <f t="shared" si="84"/>
        <v>31012.720518660401</v>
      </c>
      <c r="HU9" s="22">
        <f t="shared" si="85"/>
        <v>28264.438749999998</v>
      </c>
      <c r="HW9" s="16" t="str" cm="1">
        <f t="array" ref="HW9">_xll.BDP(HX9&amp;" Equity","DS520")</f>
        <v>COSCO SHIPPING Holdings Co Ltd</v>
      </c>
      <c r="HX9" s="32" t="s">
        <v>728</v>
      </c>
      <c r="HY9" s="32">
        <v>1919</v>
      </c>
      <c r="HZ9" s="32" t="str" cm="1">
        <f t="array" ref="HZ9">_xll.BDP(HX9&amp;" Equity", "ID_ISIN")</f>
        <v>CNE1000002J7</v>
      </c>
      <c r="IA9" s="32"/>
      <c r="IB9" s="30" t="str">
        <f>_xll.BDP(HX9&amp;" Equity", "DS197")</f>
        <v>Hong Kong</v>
      </c>
      <c r="IC9" s="30" t="s">
        <v>26</v>
      </c>
      <c r="ID9" s="30" t="s">
        <v>27</v>
      </c>
      <c r="IE9" s="30" t="s">
        <v>28</v>
      </c>
      <c r="IF9" s="30" t="str">
        <f>_xll.BDP(HX9&amp;" Equity", "DS004")</f>
        <v>HKD</v>
      </c>
      <c r="IG9" s="17" cm="1">
        <f t="array" ref="IG9">_xll.BDP(HX9&amp;" Equity","PX_LAST")</f>
        <v>15.97</v>
      </c>
      <c r="IH9" s="33">
        <f t="shared" si="15"/>
        <v>4.5740336270798126E-2</v>
      </c>
      <c r="II9" s="33">
        <f t="shared" si="16"/>
        <v>4.3476724793866862E-2</v>
      </c>
      <c r="IK9" s="1">
        <v>1</v>
      </c>
      <c r="IL9" s="18">
        <v>542871.01684034395</v>
      </c>
      <c r="IM9" s="11">
        <f t="shared" si="86"/>
        <v>8669650.1389402933</v>
      </c>
      <c r="IN9" s="5"/>
      <c r="IO9" s="11" cm="1">
        <f t="array" ref="IO9">IF(IB9="Hong Kong",_xll.BDP(HX9&amp;" Equity","PR414"),_xll.BDP(HX9&amp;" Equity","PR090"))</f>
        <v>500</v>
      </c>
      <c r="IP9" s="11">
        <f t="shared" si="87"/>
        <v>7985</v>
      </c>
      <c r="IQ9" s="5">
        <f t="shared" si="88"/>
        <v>1.833050420370119</v>
      </c>
      <c r="IR9" s="8">
        <f t="shared" si="89"/>
        <v>4.9906249999999999E-2</v>
      </c>
      <c r="IS9" s="8">
        <f t="shared" si="90"/>
        <v>9.1077461795170622E-2</v>
      </c>
      <c r="IT9" s="5"/>
      <c r="IU9" s="21">
        <f t="shared" si="91"/>
        <v>174572.39388722731</v>
      </c>
      <c r="IV9" s="22">
        <f t="shared" si="92"/>
        <v>295445</v>
      </c>
      <c r="IX9" s="16" t="str" cm="1">
        <f t="array" ref="IX9">_xll.BDP(IY9&amp;" Equity","DS520")</f>
        <v>Baidu Inc</v>
      </c>
      <c r="IY9" s="32" t="s">
        <v>225</v>
      </c>
      <c r="IZ9" s="32" t="s">
        <v>389</v>
      </c>
      <c r="JA9" s="32" t="str" cm="1">
        <f t="array" ref="JA9">_xll.BDP(IY9&amp;" Equity", "ID_ISIN")</f>
        <v>US0567521085</v>
      </c>
      <c r="JB9" s="32"/>
      <c r="JC9" s="30" t="str">
        <f>_xll.BDP(IY9&amp;" Equity", "DS197")</f>
        <v>NASDAQ GS</v>
      </c>
      <c r="JD9" s="30" t="s">
        <v>26</v>
      </c>
      <c r="JE9" s="30" t="s">
        <v>33</v>
      </c>
      <c r="JF9" s="30" t="s">
        <v>28</v>
      </c>
      <c r="JG9" s="30" t="str">
        <f>_xll.BDP(IY9&amp;" Equity", "DS004")</f>
        <v>USD</v>
      </c>
      <c r="JH9" s="17" cm="1">
        <f t="array" ref="JH9">_xll.BDP(IY9&amp;" Equity","PX_LAST")</f>
        <v>117.93</v>
      </c>
      <c r="JI9" s="33">
        <f t="shared" si="93"/>
        <v>4.7937979719698112E-2</v>
      </c>
      <c r="JJ9" s="33">
        <f t="shared" si="17"/>
        <v>4.5538632742224167E-2</v>
      </c>
      <c r="JL9" s="1" cm="1">
        <f t="array" ref="JL9">IF(JG9="USD",1,_xll.BDP(JG9&amp;"USD CURNCY","PX_LAST"))</f>
        <v>1</v>
      </c>
      <c r="JM9" s="18">
        <v>49590.429889749103</v>
      </c>
      <c r="JN9" s="11">
        <f t="shared" si="94"/>
        <v>5848199.3968981123</v>
      </c>
      <c r="JO9" s="5"/>
      <c r="JP9" s="11" cm="1">
        <f t="array" ref="JP9">IF(JC9="Hong Kong",_xll.BDP(IY9&amp;" Equity","PR414"),_xll.BDP(IY9&amp;" Equity","PR090"))</f>
        <v>1</v>
      </c>
      <c r="JQ9" s="11">
        <f t="shared" si="95"/>
        <v>117.93</v>
      </c>
      <c r="JR9" s="5">
        <f t="shared" si="96"/>
        <v>130.07846612654453</v>
      </c>
      <c r="JS9" s="8">
        <f t="shared" si="97"/>
        <v>4.7909062500000002E-2</v>
      </c>
      <c r="JT9" s="8">
        <f t="shared" si="98"/>
        <v>-6.0322149300395811E-4</v>
      </c>
      <c r="JU9" s="5"/>
      <c r="JV9" s="21">
        <f t="shared" si="99"/>
        <v>2460.0536086326056</v>
      </c>
      <c r="JW9" s="22">
        <f t="shared" si="100"/>
        <v>4363.41</v>
      </c>
      <c r="JY9" s="16" t="str" cm="1">
        <f t="array" ref="JY9">_xll.BDP(JZ9&amp;" Equity","DS520")</f>
        <v>Alkermes PLC</v>
      </c>
      <c r="JZ9" s="32" t="s">
        <v>238</v>
      </c>
      <c r="KA9" s="32" t="s">
        <v>386</v>
      </c>
      <c r="KB9" s="32" t="str" cm="1">
        <f t="array" ref="KB9">_xll.BDP(JZ9&amp;" Equity", "ID_ISIN")</f>
        <v>IE00B56GVS15</v>
      </c>
      <c r="KC9" s="32"/>
      <c r="KD9" s="30" t="str">
        <f>_xll.BDP(JZ9&amp;" Equity", "DS197")</f>
        <v>NASDAQ GS</v>
      </c>
      <c r="KE9" s="30" t="s">
        <v>26</v>
      </c>
      <c r="KF9" s="30" t="s">
        <v>33</v>
      </c>
      <c r="KG9" s="30" t="s">
        <v>28</v>
      </c>
      <c r="KH9" s="30" t="str">
        <f>_xll.BDP(JZ9&amp;" Equity", "DS004")</f>
        <v>USD</v>
      </c>
      <c r="KI9" s="17" cm="1">
        <f t="array" ref="KI9">_xll.BDP(JZ9&amp;" Equity","PX_LAST")</f>
        <v>28.35</v>
      </c>
      <c r="KJ9" s="33">
        <f t="shared" si="101"/>
        <v>2.4582407793186781E-2</v>
      </c>
      <c r="KK9" s="33">
        <f t="shared" si="102"/>
        <v>2.335707836294915E-2</v>
      </c>
      <c r="KM9" s="1" cm="1">
        <f t="array" ref="KM9">IF(KH9="USD",1,_xll.BDP(KH9&amp;"USD CURNCY","PX_LAST"))</f>
        <v>1</v>
      </c>
      <c r="KN9" s="18">
        <v>86104.285743500703</v>
      </c>
      <c r="KO9" s="11">
        <f t="shared" si="103"/>
        <v>2441056.5008282452</v>
      </c>
      <c r="KP9" s="5"/>
      <c r="KQ9" s="11" cm="1">
        <f t="array" ref="KQ9">IF(KD9="Hong Kong",_xll.BDP(JZ9&amp;" Equity","PR414"),_xll.BDP(JZ9&amp;" Equity","PR090"))</f>
        <v>1</v>
      </c>
      <c r="KR9" s="11">
        <f t="shared" si="104"/>
        <v>28.35</v>
      </c>
      <c r="KS9" s="5">
        <f t="shared" si="105"/>
        <v>277.47338602538866</v>
      </c>
      <c r="KT9" s="8">
        <f t="shared" si="106"/>
        <v>2.4540468750000002E-2</v>
      </c>
      <c r="KU9" s="8">
        <f t="shared" si="107"/>
        <v>-1.7060592086671766E-3</v>
      </c>
      <c r="KV9" s="5"/>
      <c r="KW9" s="21">
        <f t="shared" si="108"/>
        <v>1153.2637583148971</v>
      </c>
      <c r="KX9" s="22">
        <f t="shared" si="109"/>
        <v>1048.95</v>
      </c>
      <c r="KZ9" s="16" t="str" cm="1">
        <f t="array" ref="KZ9">_xll.BDP(LA9&amp;" Equity","DS520")</f>
        <v>Equity LifeStyle Properties Inc</v>
      </c>
      <c r="LA9" s="32" t="s">
        <v>745</v>
      </c>
      <c r="LB9" s="32" t="s">
        <v>748</v>
      </c>
      <c r="LC9" s="32" t="str" cm="1">
        <f t="array" ref="LC9">_xll.BDP(LA9&amp;" Equity", "ID_ISIN")</f>
        <v>US29472R1086</v>
      </c>
      <c r="LD9" s="32"/>
      <c r="LE9" s="30" t="str">
        <f>_xll.BDP(LA9&amp;" Equity", "DS197")</f>
        <v>New York</v>
      </c>
      <c r="LF9" s="30" t="s">
        <v>26</v>
      </c>
      <c r="LG9" s="30" t="s">
        <v>33</v>
      </c>
      <c r="LH9" s="30" t="s">
        <v>28</v>
      </c>
      <c r="LI9" s="30" t="str">
        <f>_xll.BDP(LA9&amp;" Equity", "DS004")</f>
        <v>USD</v>
      </c>
      <c r="LJ9" s="17" cm="1">
        <f t="array" ref="LJ9">_xll.BDP(LA9&amp;" Equity","PX_LAST")</f>
        <v>67.77</v>
      </c>
      <c r="LK9" s="33">
        <f t="shared" si="18"/>
        <v>6.7048800264707734E-2</v>
      </c>
      <c r="LL9" s="33">
        <f t="shared" si="19"/>
        <v>6.3667744157497444E-2</v>
      </c>
      <c r="LN9" s="1">
        <v>1</v>
      </c>
      <c r="LO9" s="18">
        <v>109331.87804434499</v>
      </c>
      <c r="LP9" s="11">
        <f t="shared" si="110"/>
        <v>7409421.3750652596</v>
      </c>
      <c r="LQ9" s="5"/>
      <c r="LR9" s="11" cm="1">
        <f t="array" ref="LR9">IF(LE9="Hong Kong",_xll.BDP(LA9&amp;" Equity","PR414"),_xll.BDP(LA9&amp;" Equity","PR090"))</f>
        <v>1</v>
      </c>
      <c r="LS9" s="11">
        <f t="shared" si="111"/>
        <v>67.77</v>
      </c>
      <c r="LT9" s="5">
        <f t="shared" si="112"/>
        <v>316.59460063016786</v>
      </c>
      <c r="LU9" s="8">
        <f t="shared" si="113"/>
        <v>6.7134656249999994E-2</v>
      </c>
      <c r="LV9" s="8">
        <f t="shared" si="114"/>
        <v>1.2804999485942492E-3</v>
      </c>
      <c r="LW9" s="5"/>
      <c r="LX9" s="21">
        <f t="shared" si="115"/>
        <v>1010.7563406421141</v>
      </c>
      <c r="LY9" s="22">
        <f t="shared" si="116"/>
        <v>2507.4899999999998</v>
      </c>
      <c r="MA9" s="16" t="str" cm="1">
        <f t="array" ref="MA9">_xll.BDP(MB9&amp;" Equity","DS520")</f>
        <v>BCE Inc</v>
      </c>
      <c r="MB9" s="32" t="s">
        <v>1416</v>
      </c>
      <c r="MC9" s="32" t="s">
        <v>1410</v>
      </c>
      <c r="MD9" s="32" t="str" cm="1">
        <f t="array" ref="MD9">_xll.BDP(MB9&amp;" Equity", "ID_ISIN")</f>
        <v>CA05534B7604</v>
      </c>
      <c r="ME9" s="32"/>
      <c r="MF9" s="30" t="str">
        <f>_xll.BDP(MB9&amp;" Equity", "DS197")</f>
        <v>Toronto</v>
      </c>
      <c r="MG9" s="30" t="s">
        <v>26</v>
      </c>
      <c r="MH9" s="30" t="s">
        <v>383</v>
      </c>
      <c r="MI9" s="30" t="s">
        <v>28</v>
      </c>
      <c r="MJ9" s="30" t="str">
        <f>_xll.BDP(MB9&amp;" Equity", "DS004")</f>
        <v>CAD</v>
      </c>
      <c r="MK9" s="17" cm="1">
        <f t="array" ref="MK9">_xll.BDP(MB9&amp;" Equity","PX_LAST")</f>
        <v>35.545999999999999</v>
      </c>
      <c r="ML9" s="33">
        <f t="shared" si="20"/>
        <v>2.9964622587770707E-2</v>
      </c>
      <c r="MM9" s="33">
        <f t="shared" si="21"/>
        <v>2.84483431992547E-2</v>
      </c>
      <c r="MO9" s="1" cm="1">
        <f t="array" ref="MO9">IF(MJ9="USD",1,_xll.BDP(MJ9&amp;"USD CURNCY","PX_LAST"))</f>
        <v>0.7319</v>
      </c>
      <c r="MP9" s="18">
        <v>206920.70650691999</v>
      </c>
      <c r="MQ9" s="11">
        <f t="shared" si="117"/>
        <v>5383273.3929749737</v>
      </c>
      <c r="MR9" s="5"/>
      <c r="MS9" s="11" cm="1">
        <f t="array" ref="MS9">IF(MF9="Hong Kong",_xll.BDP(MB9&amp;" Equity","PR414"),_xll.BDP(MB9&amp;" Equity","PR090"))</f>
        <v>1</v>
      </c>
      <c r="MT9" s="11">
        <f t="shared" si="118"/>
        <v>26.016117399999999</v>
      </c>
      <c r="MU9" s="5">
        <f t="shared" si="119"/>
        <v>368.56688031730005</v>
      </c>
      <c r="MV9" s="8">
        <f t="shared" si="120"/>
        <v>2.9999835376875002E-2</v>
      </c>
      <c r="MW9" s="8">
        <f t="shared" si="121"/>
        <v>1.1751454236126335E-3</v>
      </c>
      <c r="MX9" s="5"/>
      <c r="MY9" s="21">
        <f t="shared" si="122"/>
        <v>868.22776838904053</v>
      </c>
      <c r="MZ9" s="22">
        <f t="shared" si="123"/>
        <v>962.59634379999989</v>
      </c>
      <c r="NB9" s="16" t="str" cm="1">
        <f t="array" ref="NB9">_xll.BDP(NC9&amp;" Equity","DS520")</f>
        <v>Chevron Corp</v>
      </c>
      <c r="NC9" s="32" t="s">
        <v>267</v>
      </c>
      <c r="ND9" s="32" t="s">
        <v>341</v>
      </c>
      <c r="NE9" s="32" t="str" cm="1">
        <f t="array" ref="NE9">_xll.BDP(NC9&amp;" Equity", "ID_ISIN")</f>
        <v>US1667641005</v>
      </c>
      <c r="NF9" s="32"/>
      <c r="NG9" s="30" t="str">
        <f>_xll.BDP(NC9&amp;" Equity", "DS197")</f>
        <v>New York</v>
      </c>
      <c r="NH9" s="30" t="s">
        <v>26</v>
      </c>
      <c r="NI9" s="30" t="s">
        <v>33</v>
      </c>
      <c r="NJ9" s="30" t="s">
        <v>28</v>
      </c>
      <c r="NK9" s="30" t="str">
        <f>_xll.BDP(NC9&amp;" Equity", "DS004")</f>
        <v>USD</v>
      </c>
      <c r="NL9" s="17" cm="1">
        <f t="array" ref="NL9">_xll.BDP(NC9&amp;" Equity","PX_LAST")</f>
        <v>189.9</v>
      </c>
      <c r="NM9" s="33">
        <f t="shared" si="22"/>
        <v>3.9928770566742267E-2</v>
      </c>
      <c r="NN9" s="33">
        <f t="shared" si="23"/>
        <v>3.7903417211697259E-2</v>
      </c>
      <c r="NP9" s="1" cm="1">
        <f t="array" ref="NP9">IF(NK9="USD",1,_xll.BDP(NK9&amp;"USD CURNCY","PX_LAST"))</f>
        <v>1</v>
      </c>
      <c r="NQ9" s="18">
        <v>35945.423249304797</v>
      </c>
      <c r="NR9" s="11">
        <f t="shared" si="124"/>
        <v>6826035.8750429815</v>
      </c>
      <c r="NS9" s="5"/>
      <c r="NT9" s="11" cm="1">
        <f t="array" ref="NT9">IF(NG9="Hong Kong",_xll.BDP(NC9&amp;" Equity","PR414"),_xll.BDP(NC9&amp;" Equity","PR090"))</f>
        <v>1</v>
      </c>
      <c r="NU9" s="11">
        <f t="shared" si="125"/>
        <v>189.9</v>
      </c>
      <c r="NV9" s="5">
        <f t="shared" si="126"/>
        <v>67.283868253594122</v>
      </c>
      <c r="NW9" s="8">
        <f t="shared" si="127"/>
        <v>3.9760312500000006E-2</v>
      </c>
      <c r="NX9" s="8">
        <f t="shared" si="128"/>
        <v>-4.2189645298664757E-3</v>
      </c>
      <c r="NY9" s="5"/>
      <c r="NZ9" s="21">
        <f t="shared" si="129"/>
        <v>4755.9691246334733</v>
      </c>
      <c r="OA9" s="22">
        <f t="shared" si="130"/>
        <v>7026.3</v>
      </c>
      <c r="OC9" s="16" t="str" cm="1">
        <f t="array" ref="OC9">_xll.BDP(OD9&amp;" Equity","DS520")</f>
        <v>AXA SA</v>
      </c>
      <c r="OD9" s="45" t="s">
        <v>712</v>
      </c>
      <c r="OE9" s="32" t="s">
        <v>713</v>
      </c>
      <c r="OF9" s="32" t="str" cm="1">
        <f t="array" ref="OF9">_xll.BDP(OD9&amp;" Equity", "ID_ISIN")</f>
        <v>FR0000120628</v>
      </c>
      <c r="OG9" s="45"/>
      <c r="OH9" s="30" t="str">
        <f>_xll.BDP(OD9&amp;" Equity", "DS197")</f>
        <v>EN Paris</v>
      </c>
      <c r="OI9" s="30" t="s">
        <v>26</v>
      </c>
      <c r="OJ9" s="30" t="s">
        <v>39</v>
      </c>
      <c r="OK9" s="30" t="s">
        <v>28</v>
      </c>
      <c r="OL9" s="51" t="str">
        <f>_xll.BDP(OD9&amp;" Equity", "DS004")</f>
        <v>EUR</v>
      </c>
      <c r="OM9" s="17" cm="1">
        <f t="array" ref="OM9">_xll.BDP(OD9&amp;" Equity","PX_LAST")</f>
        <v>38.049999999999997</v>
      </c>
      <c r="ON9" s="33">
        <f t="shared" si="24"/>
        <v>2.9548281916536724E-2</v>
      </c>
      <c r="OO9" s="33">
        <f t="shared" si="131"/>
        <v>2.8017889221218634E-2</v>
      </c>
      <c r="OQ9" s="1" cm="1">
        <f t="array" ref="OQ9">IF(OL9="EUR",1,_xll.BDP(OL9&amp;"EUR CURNCY","PX_LAST"))</f>
        <v>1</v>
      </c>
      <c r="OR9" s="18">
        <v>143017.347854183</v>
      </c>
      <c r="OS9" s="11">
        <f t="shared" si="132"/>
        <v>5441810.0858516628</v>
      </c>
      <c r="OT9" s="5"/>
      <c r="OU9" s="11" cm="1">
        <f t="array" ref="OU9">IF(OH9="Hong Kong",_xll.BDP(OD9&amp;" Equity","PR414"),_xll.BDP(OD9&amp;" Equity","PR090"))</f>
        <v>1</v>
      </c>
      <c r="OV9" s="11">
        <f t="shared" si="133"/>
        <v>38.049999999999997</v>
      </c>
      <c r="OW9" s="5">
        <f t="shared" si="134"/>
        <v>248.5006626357885</v>
      </c>
      <c r="OX9" s="8">
        <f t="shared" si="135"/>
        <v>2.9607656249999996E-2</v>
      </c>
      <c r="OY9" s="8">
        <f t="shared" si="136"/>
        <v>2.0094005340474119E-3</v>
      </c>
      <c r="OZ9" s="5"/>
      <c r="PA9" s="21">
        <f t="shared" si="137"/>
        <v>1287.7229243811053</v>
      </c>
      <c r="PB9" s="22">
        <f t="shared" si="138"/>
        <v>1407.85</v>
      </c>
      <c r="PD9" s="16" t="str" cm="1">
        <f t="array" ref="PD9">_xll.BDP(PE9&amp;" Equity","DS520")</f>
        <v>Asahi Kasei Corp</v>
      </c>
      <c r="PE9" s="32" t="s">
        <v>281</v>
      </c>
      <c r="PF9" s="32">
        <v>3407</v>
      </c>
      <c r="PG9" s="32" t="str" cm="1">
        <f t="array" ref="PG9">_xll.BDP(PE9&amp;" Equity", "ID_ISIN")</f>
        <v>JP3111200006</v>
      </c>
      <c r="PH9" s="32"/>
      <c r="PI9" s="30" t="str">
        <f>_xll.BDP(PE9&amp;" Equity", "DS197")</f>
        <v>Tokyo</v>
      </c>
      <c r="PJ9" s="30" t="s">
        <v>26</v>
      </c>
      <c r="PK9" s="71" t="s">
        <v>320</v>
      </c>
      <c r="PL9" s="30" t="s">
        <v>28</v>
      </c>
      <c r="PM9" s="30" t="str">
        <f>_xll.BDP(PE9&amp;" Equity", "DS004")</f>
        <v>JPY</v>
      </c>
      <c r="PN9" s="17" cm="1">
        <f t="array" ref="PN9">_xll.BDP(PE9&amp;" Equity","PX_LAST")</f>
        <v>1710.5</v>
      </c>
      <c r="PO9" s="33">
        <f t="shared" si="25"/>
        <v>4.3095480655431756E-2</v>
      </c>
      <c r="PP9" s="33">
        <f t="shared" si="26"/>
        <v>4.0938482422130419E-2</v>
      </c>
      <c r="PR9" s="1">
        <v>1</v>
      </c>
      <c r="PS9" s="18">
        <v>4855.5010125664003</v>
      </c>
      <c r="PT9" s="11">
        <f t="shared" si="139"/>
        <v>8305334.4819948273</v>
      </c>
      <c r="PU9" s="5"/>
      <c r="PV9" s="11" cm="1">
        <f t="array" ref="PV9">IF(PI9="Hong Kong",_xll.BDP(PE9&amp;" Equity","PR414"),_xll.BDP(PE9&amp;" Equity","PR090"))</f>
        <v>100</v>
      </c>
      <c r="PW9" s="11">
        <f t="shared" si="140"/>
        <v>171050</v>
      </c>
      <c r="PX9" s="5">
        <f t="shared" si="141"/>
        <v>8.0622939548308459E-2</v>
      </c>
      <c r="PY9" s="8">
        <f t="shared" si="142"/>
        <v>0</v>
      </c>
      <c r="PZ9" s="8">
        <f t="shared" si="143"/>
        <v>-1</v>
      </c>
      <c r="QA9" s="5"/>
      <c r="QB9" s="21">
        <f t="shared" si="144"/>
        <v>3969093.6821803576</v>
      </c>
      <c r="QC9" s="22">
        <f t="shared" si="145"/>
        <v>6328850</v>
      </c>
      <c r="QE9" s="16" t="str" cm="1">
        <f t="array" ref="QE9">_xll.BDP(QF9&amp;" Equity","DS520")</f>
        <v>Cisco Systems Inc</v>
      </c>
      <c r="QF9" s="34" t="s">
        <v>45</v>
      </c>
      <c r="QG9" s="34"/>
      <c r="QH9" s="32" t="str" cm="1">
        <f t="array" ref="QH9">_xll.BDP(QF9&amp;" Equity", "ID_ISIN")</f>
        <v>US17275R1023</v>
      </c>
      <c r="QI9" s="34"/>
      <c r="QJ9" s="30" t="str">
        <f>_xll.BDP(QF9&amp;" Equity", "DS197")</f>
        <v>NASDAQ GS</v>
      </c>
      <c r="QK9" s="30" t="s">
        <v>26</v>
      </c>
      <c r="QL9" s="30"/>
      <c r="QM9" s="30" t="s">
        <v>28</v>
      </c>
      <c r="QN9" s="30" t="str">
        <f>_xll.BDP(QF9&amp;" Equity", "DS004")</f>
        <v>USD</v>
      </c>
      <c r="QO9" s="17" cm="1">
        <f t="array" ref="QO9">_xll.BDP(QF9&amp;" Equity","PX_LAST")</f>
        <v>80.010000000000005</v>
      </c>
      <c r="QP9" s="33">
        <f t="shared" si="27"/>
        <v>6.6052328447918043E-2</v>
      </c>
      <c r="QQ9" s="33">
        <f t="shared" si="28"/>
        <v>6.2765828288262396E-2</v>
      </c>
      <c r="QS9" s="1" cm="1">
        <f t="array" ref="QS9">IF(QN9="USD",1,_xll.BDP(QN9&amp;"USD CURNCY","PX_LAST"))</f>
        <v>1</v>
      </c>
      <c r="QT9" s="18">
        <v>94179.417737609794</v>
      </c>
      <c r="QU9" s="11">
        <f t="shared" si="146"/>
        <v>7535295.2131861597</v>
      </c>
      <c r="QV9" s="5"/>
      <c r="QW9" s="11" cm="1">
        <f t="array" ref="QW9">IF(QJ9="Hong Kong",_xll.BDP(QF9&amp;" Equity","PR414"),_xll.BDP(QF9&amp;" Equity","PR090"))</f>
        <v>1</v>
      </c>
      <c r="QX9" s="11">
        <f t="shared" si="147"/>
        <v>80.010000000000005</v>
      </c>
      <c r="QY9" s="5">
        <f t="shared" si="148"/>
        <v>264.17629175520278</v>
      </c>
      <c r="QZ9" s="8">
        <f t="shared" si="149"/>
        <v>6.6008250000000004E-2</v>
      </c>
      <c r="RA9" s="8">
        <f t="shared" si="150"/>
        <v>-6.6732617840703501E-4</v>
      </c>
      <c r="RB9" s="5"/>
      <c r="RC9" s="21">
        <f t="shared" si="151"/>
        <v>1211.3123319049612</v>
      </c>
      <c r="RD9" s="22">
        <f t="shared" si="152"/>
        <v>2960.37</v>
      </c>
      <c r="RF9" s="16" t="str" cm="1">
        <f t="array" ref="RF9">_xll.BDP(RG9&amp;" Equity","DS520")</f>
        <v>Argenx SE</v>
      </c>
      <c r="RG9" s="34" t="s">
        <v>1298</v>
      </c>
      <c r="RH9" s="34"/>
      <c r="RI9" s="32" t="str" cm="1">
        <f t="array" ref="RI9">_xll.BDP(RG9&amp;" Equity", "ID_ISIN")</f>
        <v>US04016X1019</v>
      </c>
      <c r="RJ9" s="34"/>
      <c r="RK9" s="30" t="str">
        <f>_xll.BDP(RG9&amp;" Equity", "DS197")</f>
        <v>NASDAQ GS</v>
      </c>
      <c r="RL9" s="30" t="s">
        <v>26</v>
      </c>
      <c r="RM9" s="30"/>
      <c r="RN9" s="30" t="s">
        <v>28</v>
      </c>
      <c r="RO9" s="30" t="str">
        <f>_xll.BDP(RG9&amp;" Equity", "DS004")</f>
        <v>USD</v>
      </c>
      <c r="RP9" s="17" cm="1">
        <f t="array" ref="RP9">_xll.BDP(RG9&amp;" Equity","PX_LAST")</f>
        <v>728.11</v>
      </c>
      <c r="RQ9" s="33">
        <f t="shared" si="153"/>
        <v>2.4401181212021266E-2</v>
      </c>
      <c r="RR9" s="33">
        <f t="shared" si="154"/>
        <v>2.3203371997206186E-2</v>
      </c>
      <c r="RT9" s="1" cm="1">
        <f t="array" ref="RT9">IF(RO9="USD",1,_xll.BDP(RO9&amp;"USD CURNCY","PX_LAST"))</f>
        <v>1</v>
      </c>
      <c r="RU9" s="18">
        <v>3377.13300434033</v>
      </c>
      <c r="RV9" s="11">
        <f t="shared" si="155"/>
        <v>2458924.3117902377</v>
      </c>
      <c r="RW9" s="5"/>
      <c r="RX9" s="11" cm="1">
        <f t="array" ref="RX9">IF(RK9="Hong Kong",_xll.BDP(RG9&amp;" Equity","PR414"),_xll.BDP(RG9&amp;" Equity","PR090"))</f>
        <v>1</v>
      </c>
      <c r="RY9" s="11">
        <f t="shared" si="156"/>
        <v>728.11</v>
      </c>
      <c r="RZ9" s="5">
        <f t="shared" si="157"/>
        <v>10.724173528514655</v>
      </c>
      <c r="SA9" s="8">
        <f t="shared" si="158"/>
        <v>2.502878125E-2</v>
      </c>
      <c r="SB9" s="8">
        <f t="shared" si="159"/>
        <v>2.5720067914972278E-2</v>
      </c>
      <c r="SC9" s="5"/>
      <c r="SD9" s="21">
        <f t="shared" si="160"/>
        <v>29839.129248435558</v>
      </c>
      <c r="SE9" s="22">
        <f t="shared" si="161"/>
        <v>26940.07</v>
      </c>
    </row>
    <row r="10" spans="15:499" x14ac:dyDescent="0.2">
      <c r="O10" s="16" t="str" cm="1">
        <f t="array" ref="O10">_xll.BDP(P10&amp;" Equity","DS520")</f>
        <v>American Electric Power Co Inc</v>
      </c>
      <c r="P10" s="32" t="s">
        <v>703</v>
      </c>
      <c r="Q10" s="32" t="s">
        <v>707</v>
      </c>
      <c r="R10" s="32" t="str" cm="1">
        <f t="array" ref="R10">_xll.BDP(P10&amp;" Equity", "ID_ISIN")</f>
        <v>US0255371017</v>
      </c>
      <c r="S10" s="32"/>
      <c r="T10" s="30" t="str">
        <f>_xll.BDP(P10&amp;" Equity", "DS197")</f>
        <v>NASDAQ GS</v>
      </c>
      <c r="U10" s="30" t="s">
        <v>26</v>
      </c>
      <c r="V10" s="30" t="s">
        <v>33</v>
      </c>
      <c r="W10" s="30" t="s">
        <v>28</v>
      </c>
      <c r="X10" s="30" t="str">
        <f>_xll.BDP(P10&amp;" Equity", "DS004")</f>
        <v>USD</v>
      </c>
      <c r="Y10" s="17" cm="1">
        <f t="array" ref="Y10">_xll.BDP(P10&amp;" Equity","PX_LAST")</f>
        <v>132.04</v>
      </c>
      <c r="Z10" s="33">
        <f t="shared" si="0"/>
        <v>3.0195390379697679E-2</v>
      </c>
      <c r="AA10" s="33">
        <f t="shared" si="1"/>
        <v>2.8686635658097124E-2</v>
      </c>
      <c r="AB10" s="4"/>
      <c r="AC10" s="1" cm="1">
        <f t="array" ref="AC10">IF(X10="USD",1,_xll.BDP(X10&amp;"USD CURNCY","PX_LAST"))</f>
        <v>1</v>
      </c>
      <c r="AD10" s="18">
        <v>47061.021635719997</v>
      </c>
      <c r="AE10" s="11">
        <f t="shared" si="2"/>
        <v>6213937.296780468</v>
      </c>
      <c r="AF10" s="5"/>
      <c r="AG10" s="11" cm="1">
        <f t="array" ref="AG10">IF(T10="Hong Kong",_xll.BDP(P10&amp;" Equity","PR414"),_xll.BDP(P10&amp;" Equity","PR090"))</f>
        <v>1</v>
      </c>
      <c r="AH10" s="11">
        <f t="shared" si="3"/>
        <v>132.04</v>
      </c>
      <c r="AI10" s="5">
        <f t="shared" si="29"/>
        <v>73.178770989876227</v>
      </c>
      <c r="AJ10" s="8">
        <f t="shared" si="30"/>
        <v>3.0121624999999999E-2</v>
      </c>
      <c r="AK10" s="8">
        <f t="shared" si="31"/>
        <v>-2.4429351225502272E-3</v>
      </c>
      <c r="AL10" s="5"/>
      <c r="AM10" s="21">
        <f t="shared" si="32"/>
        <v>4372.8528871340259</v>
      </c>
      <c r="AN10" s="22">
        <f t="shared" si="33"/>
        <v>4885.4799999999996</v>
      </c>
      <c r="AP10" s="16" t="str" cm="1">
        <f t="array" ref="AP10">_xll.BDP(AQ10&amp;" Equity","DS520")</f>
        <v>Gilead Sciences Inc</v>
      </c>
      <c r="AQ10" s="32" t="s">
        <v>95</v>
      </c>
      <c r="AR10" s="32" t="s">
        <v>360</v>
      </c>
      <c r="AS10" s="32" t="str" cm="1">
        <f t="array" ref="AS10">_xll.BDP(AQ10&amp;" Equity", "ID_ISIN")</f>
        <v>US3755581036</v>
      </c>
      <c r="AT10" s="32"/>
      <c r="AU10" s="30" t="str">
        <f>_xll.BDP(AQ10&amp;" Equity", "DS197")</f>
        <v>NASDAQ GS</v>
      </c>
      <c r="AV10" s="30" t="s">
        <v>26</v>
      </c>
      <c r="AW10" s="30" t="s">
        <v>33</v>
      </c>
      <c r="AX10" s="30" t="s">
        <v>28</v>
      </c>
      <c r="AY10" s="30" t="str">
        <f>_xll.BDP(AQ10&amp;" Equity", "DS004")</f>
        <v>USD</v>
      </c>
      <c r="AZ10" s="17" cm="1">
        <f t="array" ref="AZ10">_xll.BDP(AQ10&amp;" Equity","PX_LAST")</f>
        <v>145.13999999999999</v>
      </c>
      <c r="BA10" s="33">
        <f t="shared" si="4"/>
        <v>5.712854060596366E-2</v>
      </c>
      <c r="BB10" s="33">
        <f t="shared" si="34"/>
        <v>5.4253683826212172E-2</v>
      </c>
      <c r="BD10" s="1" cm="1">
        <f t="array" ref="BD10">IF(AY10="USD",1,_xll.BDP(AY10&amp;"USD CURNCY","PX_LAST"))</f>
        <v>1</v>
      </c>
      <c r="BE10" s="18">
        <v>64805.4395378357</v>
      </c>
      <c r="BF10" s="11">
        <f t="shared" si="35"/>
        <v>9405861.4945214726</v>
      </c>
      <c r="BG10" s="5"/>
      <c r="BH10" s="11" cm="1">
        <f t="array" ref="BH10">IF(AU10="Hong Kong",_xll.BDP(AQ10&amp;" Equity","PR414"),_xll.BDP(AQ10&amp;" Equity","PR090"))</f>
        <v>1</v>
      </c>
      <c r="BI10" s="11">
        <f t="shared" si="36"/>
        <v>145.13999999999999</v>
      </c>
      <c r="BJ10" s="5">
        <f t="shared" si="37"/>
        <v>125.95516738258489</v>
      </c>
      <c r="BK10" s="8">
        <f t="shared" si="38"/>
        <v>5.7148874999999995E-2</v>
      </c>
      <c r="BL10" s="8">
        <f t="shared" si="39"/>
        <v>3.5594107289704802E-4</v>
      </c>
      <c r="BM10" s="5"/>
      <c r="BN10" s="21">
        <f t="shared" si="40"/>
        <v>2540.5865170105326</v>
      </c>
      <c r="BO10" s="22">
        <f t="shared" si="41"/>
        <v>5370.1799999999994</v>
      </c>
      <c r="BQ10" s="16" t="str" cm="1">
        <f t="array" ref="BQ10">_xll.BDP(BR10&amp;" Equity","DS520")</f>
        <v>Industrial &amp; Infrastructure Fund Investment Corp</v>
      </c>
      <c r="BR10" s="44" t="s">
        <v>740</v>
      </c>
      <c r="BS10" s="44">
        <v>3249</v>
      </c>
      <c r="BT10" s="32" t="str" cm="1">
        <f t="array" ref="BT10">_xll.BDP(BR10&amp;" Equity", "ID_ISIN")</f>
        <v>JP3046500009</v>
      </c>
      <c r="BU10" s="44"/>
      <c r="BV10" s="30" t="str">
        <f>_xll.BDP(BR10&amp;" Equity", "DS197")</f>
        <v>Tokyo</v>
      </c>
      <c r="BW10" s="30" t="s">
        <v>26</v>
      </c>
      <c r="BX10" s="71" t="s">
        <v>320</v>
      </c>
      <c r="BY10" s="30" t="s">
        <v>28</v>
      </c>
      <c r="BZ10" s="30" t="str">
        <f>_xll.BDP(BR10&amp;" Equity", "DS004")</f>
        <v>JPY</v>
      </c>
      <c r="CA10" s="17" cm="1">
        <f t="array" ref="CA10">_xll.BDP(BR10&amp;" Equity","PX_LAST")</f>
        <v>150000</v>
      </c>
      <c r="CB10" s="33">
        <f t="shared" si="5"/>
        <v>6.8237382452458528E-2</v>
      </c>
      <c r="CC10" s="33">
        <f t="shared" si="42"/>
        <v>6.4819672935628944E-2</v>
      </c>
      <c r="CE10" s="1">
        <v>1</v>
      </c>
      <c r="CF10" s="18">
        <v>285.40066397359499</v>
      </c>
      <c r="CG10" s="11">
        <f t="shared" si="43"/>
        <v>42810099.59603925</v>
      </c>
      <c r="CH10" s="5"/>
      <c r="CI10" s="11" cm="1">
        <f t="array" ref="CI10">IF(BV10="Hong Kong",_xll.BDP(BR10&amp;" Equity","PR414"),_xll.BDP(BR10&amp;" Equity","PR090"))</f>
        <v>1</v>
      </c>
      <c r="CJ10" s="11">
        <f t="shared" si="44"/>
        <v>150000</v>
      </c>
      <c r="CK10" s="5">
        <f t="shared" si="45"/>
        <v>0.14557308256524487</v>
      </c>
      <c r="CL10" s="8">
        <f t="shared" si="46"/>
        <v>0</v>
      </c>
      <c r="CM10" s="8">
        <f t="shared" si="47"/>
        <v>-1</v>
      </c>
      <c r="CN10" s="5"/>
      <c r="CO10" s="21">
        <f t="shared" si="48"/>
        <v>2198208.5861002374</v>
      </c>
      <c r="CP10" s="22">
        <f t="shared" si="49"/>
        <v>5550000</v>
      </c>
      <c r="CR10" s="16" t="str" cm="1">
        <f t="array" ref="CR10">_xll.BDP(CS10&amp;" Equity","DS520")</f>
        <v>Daiwa House REIT Investment Corp</v>
      </c>
      <c r="CS10" s="32" t="s">
        <v>109</v>
      </c>
      <c r="CT10" s="32">
        <v>8984</v>
      </c>
      <c r="CU10" s="32" t="str" cm="1">
        <f t="array" ref="CU10">_xll.BDP(CS10&amp;" Equity", "ID_ISIN")</f>
        <v>JP3046390005</v>
      </c>
      <c r="CV10" s="32"/>
      <c r="CW10" s="30" t="str">
        <f>_xll.BDP(CS10&amp;" Equity", "DS197")</f>
        <v>Tokyo</v>
      </c>
      <c r="CX10" s="30" t="s">
        <v>26</v>
      </c>
      <c r="CY10" s="30" t="s">
        <v>320</v>
      </c>
      <c r="CZ10" s="30" t="s">
        <v>28</v>
      </c>
      <c r="DA10" s="30" t="str">
        <f>_xll.BDP(CS10&amp;" Equity", "DS004")</f>
        <v>JPY</v>
      </c>
      <c r="DB10" s="17" cm="1">
        <f t="array" ref="DB10">_xll.BDP(CS10&amp;" Equity","PX_LAST")</f>
        <v>130700</v>
      </c>
      <c r="DC10" s="33">
        <f t="shared" si="6"/>
        <v>4.6962800802134455E-2</v>
      </c>
      <c r="DD10" s="33">
        <f t="shared" si="7"/>
        <v>4.4599745004741641E-2</v>
      </c>
      <c r="DF10" s="1" cm="1">
        <f t="array" ref="DF10">IF(DA10="USD",1,_xll.BDP(DA10&amp;"USD CURNCY","PX_LAST"))</f>
        <v>6.3369999999999998E-3</v>
      </c>
      <c r="DG10" s="18">
        <v>10283.190049389699</v>
      </c>
      <c r="DH10" s="11">
        <f t="shared" si="8"/>
        <v>8517009.9973278157</v>
      </c>
      <c r="DI10" s="5"/>
      <c r="DJ10" s="11" cm="1">
        <f t="array" ref="DJ10">IF(CW10="Hong Kong",_xll.BDP(CS10&amp;" Equity","PR414"),_xll.BDP(CS10&amp;" Equity","PR090"))</f>
        <v>1</v>
      </c>
      <c r="DK10" s="11">
        <f t="shared" si="9"/>
        <v>828.24590000000001</v>
      </c>
      <c r="DL10" s="5">
        <f t="shared" si="50"/>
        <v>18.144486144372131</v>
      </c>
      <c r="DM10" s="8">
        <f t="shared" si="51"/>
        <v>4.6588831875E-2</v>
      </c>
      <c r="DN10" s="8">
        <f t="shared" si="52"/>
        <v>-7.963088247442407E-3</v>
      </c>
      <c r="DO10" s="5"/>
      <c r="DP10" s="21">
        <f t="shared" si="53"/>
        <v>17636.211764489912</v>
      </c>
      <c r="DQ10" s="22">
        <f t="shared" si="54"/>
        <v>30645.098299999998</v>
      </c>
      <c r="DS10" s="16" t="str" cm="1">
        <f t="array" ref="DS10">_xll.BDP(DT10&amp;" Equity","DS520")</f>
        <v>BT Group PLC</v>
      </c>
      <c r="DT10" s="32" t="s">
        <v>133</v>
      </c>
      <c r="DU10" s="32" t="s">
        <v>134</v>
      </c>
      <c r="DV10" s="32" t="str" cm="1">
        <f t="array" ref="DV10">_xll.BDP(DT10&amp;" Equity", "ID_ISIN")</f>
        <v>GB0030913577</v>
      </c>
      <c r="DW10" s="32"/>
      <c r="DX10" s="30" t="str">
        <f>_xll.BDP(DT10&amp;" Equity", "DS197")</f>
        <v>London</v>
      </c>
      <c r="DY10" s="30" t="s">
        <v>26</v>
      </c>
      <c r="DZ10" s="30" t="s">
        <v>129</v>
      </c>
      <c r="EA10" s="30" t="s">
        <v>28</v>
      </c>
      <c r="EB10" s="43" t="str">
        <f>_xll.BDP(DT10&amp;" Equity", "DS004")</f>
        <v>GBp</v>
      </c>
      <c r="EC10" s="17" cm="1">
        <f t="array" ref="EC10">_xll.BDP(DT10&amp;" Equity","PX_LAST")/100</f>
        <v>2.0739999999999998</v>
      </c>
      <c r="ED10" s="33">
        <f t="shared" si="55"/>
        <v>4.7271951567294912E-2</v>
      </c>
      <c r="EE10" s="33">
        <f t="shared" si="56"/>
        <v>4.4842542517691666E-2</v>
      </c>
      <c r="EG10" s="1">
        <v>1</v>
      </c>
      <c r="EH10" s="18">
        <v>3761371.44394051</v>
      </c>
      <c r="EI10" s="11">
        <f t="shared" si="57"/>
        <v>7801084.3747326173</v>
      </c>
      <c r="EJ10" s="5"/>
      <c r="EK10" s="11" cm="1">
        <f t="array" ref="EK10">IF(DX10="Hong Kong",_xll.BDP(DT10&amp;" Equity","PR414"),_xll.BDP(DT10&amp;" Equity","PR090"))</f>
        <v>1</v>
      </c>
      <c r="EL10" s="11">
        <f t="shared" si="58"/>
        <v>2.0739999999999998</v>
      </c>
      <c r="EM10" s="5">
        <f t="shared" si="59"/>
        <v>7293.6473006433816</v>
      </c>
      <c r="EN10" s="8">
        <f t="shared" si="60"/>
        <v>4.7274237499999996E-2</v>
      </c>
      <c r="EO10" s="8">
        <f t="shared" si="61"/>
        <v>4.8357062259807293E-5</v>
      </c>
      <c r="EP10" s="5"/>
      <c r="EQ10" s="21">
        <f t="shared" si="62"/>
        <v>43.873796854938739</v>
      </c>
      <c r="ER10" s="22">
        <f t="shared" si="63"/>
        <v>76.737999999999985</v>
      </c>
      <c r="ET10" s="16" t="str" cm="1">
        <f t="array" ref="ET10">_xll.BDP(EU10&amp;" Equity","DS520")</f>
        <v>Progressive Corp/The</v>
      </c>
      <c r="EU10" s="32" t="s">
        <v>171</v>
      </c>
      <c r="EV10" s="32" t="s">
        <v>429</v>
      </c>
      <c r="EW10" s="32" t="str" cm="1">
        <f t="array" ref="EW10">_xll.BDP(EU10&amp;" Equity", "ID_ISIN")</f>
        <v>US7433151039</v>
      </c>
      <c r="EX10" s="32"/>
      <c r="EY10" s="30" t="str">
        <f>_xll.BDP(EU10&amp;" Equity", "DS197")</f>
        <v>New York</v>
      </c>
      <c r="EZ10" s="30" t="s">
        <v>26</v>
      </c>
      <c r="FA10" s="30" t="s">
        <v>33</v>
      </c>
      <c r="FB10" s="30" t="s">
        <v>28</v>
      </c>
      <c r="FC10" s="30" t="str">
        <f>_xll.BDP(EU10&amp;" Equity", "DS004")</f>
        <v>USD</v>
      </c>
      <c r="FD10" s="17" cm="1">
        <f t="array" ref="FD10">_xll.BDP(EU10&amp;" Equity","PX_LAST")</f>
        <v>210.58</v>
      </c>
      <c r="FE10" s="33">
        <f t="shared" si="10"/>
        <v>3.5641809101671647E-2</v>
      </c>
      <c r="FF10" s="33">
        <f t="shared" si="11"/>
        <v>3.3858776389893527E-2</v>
      </c>
      <c r="FH10" s="1" cm="1">
        <f t="array" ref="FH10">IF(FC10="USD",1,_xll.BDP(FC10&amp;"USD CURNCY","PX_LAST"))</f>
        <v>1</v>
      </c>
      <c r="FI10" s="18">
        <v>34684.054523586099</v>
      </c>
      <c r="FJ10" s="11">
        <f t="shared" si="64"/>
        <v>7303768.201576761</v>
      </c>
      <c r="FK10" s="5"/>
      <c r="FL10" s="11" cm="1">
        <f t="array" ref="FL10">IF(EY10="Hong Kong",_xll.BDP(EU10&amp;" Equity","PR414"),_xll.BDP(EU10&amp;" Equity","PR090"))</f>
        <v>1</v>
      </c>
      <c r="FM10" s="11">
        <f t="shared" si="65"/>
        <v>210.58</v>
      </c>
      <c r="FN10" s="5">
        <f t="shared" si="66"/>
        <v>54.161738591200141</v>
      </c>
      <c r="FO10" s="8">
        <f t="shared" si="67"/>
        <v>3.5535375000000008E-2</v>
      </c>
      <c r="FP10" s="8">
        <f t="shared" si="68"/>
        <v>-2.9862149075549071E-3</v>
      </c>
      <c r="FQ10" s="5"/>
      <c r="FR10" s="21">
        <f t="shared" si="69"/>
        <v>5908.2298375848586</v>
      </c>
      <c r="FS10" s="22">
        <f t="shared" si="70"/>
        <v>7791.46</v>
      </c>
      <c r="FU10" s="16" t="str" cm="1">
        <f t="array" ref="FU10">_xll.BDP(FV10&amp;" Equity","DS520")</f>
        <v>Amazon.com Inc</v>
      </c>
      <c r="FV10" s="32" t="s">
        <v>41</v>
      </c>
      <c r="FW10" s="32" t="s">
        <v>42</v>
      </c>
      <c r="FX10" s="32" t="str" cm="1">
        <f t="array" ref="FX10">_xll.BDP(FV10&amp;" Equity", "ID_ISIN")</f>
        <v>US0231351067</v>
      </c>
      <c r="FY10" s="32"/>
      <c r="FZ10" s="30" t="str">
        <f>_xll.BDP(FV10&amp;" Equity", "DS197")</f>
        <v>NASDAQ GS</v>
      </c>
      <c r="GA10" s="30" t="s">
        <v>26</v>
      </c>
      <c r="GB10" s="30" t="s">
        <v>33</v>
      </c>
      <c r="GC10" s="30" t="s">
        <v>28</v>
      </c>
      <c r="GD10" s="30" t="str">
        <f>_xll.BDP(FV10&amp;" Equity", "DS004")</f>
        <v>USD</v>
      </c>
      <c r="GE10" s="17" cm="1">
        <f t="array" ref="GE10">_xll.BDP(FV10&amp;" Equity","PX_LAST")</f>
        <v>218.94</v>
      </c>
      <c r="GF10" s="33">
        <f t="shared" si="12"/>
        <v>3.0869948105460485E-2</v>
      </c>
      <c r="GG10" s="33">
        <f t="shared" si="13"/>
        <v>2.9325046161885575E-2</v>
      </c>
      <c r="GI10" s="1" cm="1">
        <f t="array" ref="GI10">IF(GD10="USD",1,_xll.BDP(GD10&amp;"USD CURNCY","PX_LAST"))</f>
        <v>1</v>
      </c>
      <c r="GJ10" s="18">
        <v>29186.034738702299</v>
      </c>
      <c r="GK10" s="11">
        <f t="shared" si="71"/>
        <v>6389990.4456914812</v>
      </c>
      <c r="GL10" s="5"/>
      <c r="GM10" s="11" cm="1">
        <f t="array" ref="GM10">IF(FZ10="Hong Kong",_xll.BDP(FV10&amp;" Equity","PR414"),_xll.BDP(FV10&amp;" Equity","PR090"))</f>
        <v>1</v>
      </c>
      <c r="GN10" s="11">
        <f t="shared" si="72"/>
        <v>218.94</v>
      </c>
      <c r="GO10" s="5">
        <f t="shared" si="73"/>
        <v>45.119134894251189</v>
      </c>
      <c r="GP10" s="8">
        <f t="shared" si="74"/>
        <v>3.0788437499999998E-2</v>
      </c>
      <c r="GQ10" s="8">
        <f t="shared" si="75"/>
        <v>-2.6404516516199683E-3</v>
      </c>
      <c r="GR10" s="5"/>
      <c r="GS10" s="21">
        <f t="shared" si="76"/>
        <v>7092.3345660329251</v>
      </c>
      <c r="GT10" s="22">
        <f t="shared" si="77"/>
        <v>8100.78</v>
      </c>
      <c r="GV10" s="16" t="str" cm="1">
        <f t="array" ref="GV10">_xll.BDP(GW10&amp;" Equity","DS520")</f>
        <v>Bandai Namco Holdings Inc</v>
      </c>
      <c r="GW10" s="32" t="s">
        <v>188</v>
      </c>
      <c r="GX10" s="32">
        <v>7832</v>
      </c>
      <c r="GY10" s="32" t="str" cm="1">
        <f t="array" ref="GY10">_xll.BDP(GW10&amp;" Equity", "ID_ISIN")</f>
        <v>JP3778630008</v>
      </c>
      <c r="GZ10" s="32"/>
      <c r="HA10" s="30" t="str">
        <f>_xll.BDP(GW10&amp;" Equity", "DS197")</f>
        <v>Tokyo</v>
      </c>
      <c r="HB10" s="30" t="s">
        <v>26</v>
      </c>
      <c r="HC10" s="30" t="s">
        <v>320</v>
      </c>
      <c r="HD10" s="30" t="s">
        <v>28</v>
      </c>
      <c r="HE10" s="30" t="str">
        <f>_xll.BDP(GW10&amp;" Equity", "DS004")</f>
        <v>JPY</v>
      </c>
      <c r="HF10" s="17" cm="1">
        <f t="array" ref="HF10">_xll.BDP(GW10&amp;" Equity","PX_LAST")</f>
        <v>4117</v>
      </c>
      <c r="HG10" s="33">
        <f t="shared" si="14"/>
        <v>2.3139106346340949E-2</v>
      </c>
      <c r="HH10" s="33">
        <f t="shared" si="78"/>
        <v>2.1980407044366844E-2</v>
      </c>
      <c r="HJ10" s="1" cm="1">
        <f t="array" ref="HJ10">IF(HE10="USD",1,_xll.BDP(HE10&amp;"USD CURNCY","PX_LAST"))</f>
        <v>6.3369999999999998E-3</v>
      </c>
      <c r="HK10" s="18">
        <v>144648.301063591</v>
      </c>
      <c r="HL10" s="11">
        <f t="shared" si="79"/>
        <v>3773791.5805691816</v>
      </c>
      <c r="HM10" s="5"/>
      <c r="HN10" s="11" cm="1">
        <f t="array" ref="HN10">IF(HA10="Hong Kong",_xll.BDP(GW10&amp;" Equity","PR414"),_xll.BDP(GW10&amp;" Equity","PR090"))</f>
        <v>100</v>
      </c>
      <c r="HO10" s="11">
        <f t="shared" si="80"/>
        <v>2608.9428999999996</v>
      </c>
      <c r="HP10" s="5">
        <f t="shared" si="81"/>
        <v>2.838128052104592</v>
      </c>
      <c r="HQ10" s="8">
        <f t="shared" si="82"/>
        <v>2.4458839687499994E-2</v>
      </c>
      <c r="HR10" s="8">
        <f t="shared" si="83"/>
        <v>5.7034758447693346E-2</v>
      </c>
      <c r="HS10" s="5"/>
      <c r="HT10" s="21">
        <f t="shared" si="84"/>
        <v>112750.37423442064</v>
      </c>
      <c r="HU10" s="22">
        <f t="shared" si="85"/>
        <v>96530.887299999973</v>
      </c>
      <c r="HW10" s="16" t="str" cm="1">
        <f t="array" ref="HW10">_xll.BDP(HX10&amp;" Equity","DS520")</f>
        <v>PetroChina Co Ltd</v>
      </c>
      <c r="HX10" s="32" t="s">
        <v>198</v>
      </c>
      <c r="HY10" s="32">
        <v>857</v>
      </c>
      <c r="HZ10" s="32" t="str" cm="1">
        <f t="array" ref="HZ10">_xll.BDP(HX10&amp;" Equity", "ID_ISIN")</f>
        <v>CNE1000003W8</v>
      </c>
      <c r="IA10" s="32"/>
      <c r="IB10" s="30" t="str">
        <f>_xll.BDP(HX10&amp;" Equity", "DS197")</f>
        <v>Hong Kong</v>
      </c>
      <c r="IC10" s="30" t="s">
        <v>26</v>
      </c>
      <c r="ID10" s="30" t="s">
        <v>27</v>
      </c>
      <c r="IE10" s="30" t="s">
        <v>28</v>
      </c>
      <c r="IF10" s="30" t="str">
        <f>_xll.BDP(HX10&amp;" Equity", "DS004")</f>
        <v>HKD</v>
      </c>
      <c r="IG10" s="17" cm="1">
        <f t="array" ref="IG10">_xll.BDP(HX10&amp;" Equity","PX_LAST")</f>
        <v>10.29</v>
      </c>
      <c r="IH10" s="33">
        <f t="shared" si="15"/>
        <v>4.5431167502392102E-2</v>
      </c>
      <c r="II10" s="33">
        <f t="shared" si="16"/>
        <v>4.3182856262178146E-2</v>
      </c>
      <c r="IK10" s="1">
        <v>1</v>
      </c>
      <c r="IL10" s="18">
        <v>836836.74532701296</v>
      </c>
      <c r="IM10" s="11">
        <f t="shared" si="86"/>
        <v>8611050.1094149631</v>
      </c>
      <c r="IN10" s="5"/>
      <c r="IO10" s="11" cm="1">
        <f t="array" ref="IO10">IF(IB10="Hong Kong",_xll.BDP(HX10&amp;" Equity","PR414"),_xll.BDP(HX10&amp;" Equity","PR090"))</f>
        <v>2000</v>
      </c>
      <c r="IP10" s="11">
        <f t="shared" si="87"/>
        <v>20580</v>
      </c>
      <c r="IQ10" s="5">
        <f t="shared" si="88"/>
        <v>0.70641271140745732</v>
      </c>
      <c r="IR10" s="8">
        <f t="shared" si="89"/>
        <v>6.4312499999999995E-2</v>
      </c>
      <c r="IS10" s="8">
        <f t="shared" si="90"/>
        <v>0.41560306581629725</v>
      </c>
      <c r="IT10" s="5"/>
      <c r="IU10" s="21">
        <f t="shared" si="91"/>
        <v>452992.98106121516</v>
      </c>
      <c r="IV10" s="22">
        <f t="shared" si="92"/>
        <v>761460</v>
      </c>
      <c r="IX10" s="16" t="str" cm="1">
        <f t="array" ref="IX10">_xll.BDP(IY10&amp;" Equity","DS520")</f>
        <v>Check Point Software Technologies Ltd</v>
      </c>
      <c r="IY10" s="32" t="s">
        <v>166</v>
      </c>
      <c r="IZ10" s="32" t="s">
        <v>391</v>
      </c>
      <c r="JA10" s="32" t="str" cm="1">
        <f t="array" ref="JA10">_xll.BDP(IY10&amp;" Equity", "ID_ISIN")</f>
        <v>IL0010824113</v>
      </c>
      <c r="JB10" s="32"/>
      <c r="JC10" s="30" t="str">
        <f>_xll.BDP(IY10&amp;" Equity", "DS197")</f>
        <v>NASDAQ GS</v>
      </c>
      <c r="JD10" s="30" t="s">
        <v>26</v>
      </c>
      <c r="JE10" s="30" t="s">
        <v>33</v>
      </c>
      <c r="JF10" s="30" t="s">
        <v>28</v>
      </c>
      <c r="JG10" s="30" t="str">
        <f>_xll.BDP(IY10&amp;" Equity", "DS004")</f>
        <v>USD</v>
      </c>
      <c r="JH10" s="17" cm="1">
        <f t="array" ref="JH10">_xll.BDP(IY10&amp;" Equity","PX_LAST")</f>
        <v>164.48</v>
      </c>
      <c r="JI10" s="33">
        <f t="shared" si="93"/>
        <v>3.201228805253533E-2</v>
      </c>
      <c r="JJ10" s="33">
        <f t="shared" si="17"/>
        <v>3.0410038916672922E-2</v>
      </c>
      <c r="JL10" s="1" cm="1">
        <f t="array" ref="JL10">IF(JG10="USD",1,_xll.BDP(JG10&amp;"USD CURNCY","PX_LAST"))</f>
        <v>1</v>
      </c>
      <c r="JM10" s="18">
        <v>23743.572437499599</v>
      </c>
      <c r="JN10" s="11">
        <f t="shared" si="94"/>
        <v>3905342.7945199339</v>
      </c>
      <c r="JO10" s="5"/>
      <c r="JP10" s="11" cm="1">
        <f t="array" ref="JP10">IF(JC10="Hong Kong",_xll.BDP(IY10&amp;" Equity","PR414"),_xll.BDP(IY10&amp;" Equity","PR090"))</f>
        <v>1</v>
      </c>
      <c r="JQ10" s="11">
        <f t="shared" si="95"/>
        <v>164.48</v>
      </c>
      <c r="JR10" s="5">
        <f t="shared" si="96"/>
        <v>62.280716055516208</v>
      </c>
      <c r="JS10" s="8">
        <f t="shared" si="97"/>
        <v>3.1868E-2</v>
      </c>
      <c r="JT10" s="8">
        <f t="shared" si="98"/>
        <v>-4.5072708423258279E-3</v>
      </c>
      <c r="JU10" s="5"/>
      <c r="JV10" s="21">
        <f t="shared" si="99"/>
        <v>5138.0269892008982</v>
      </c>
      <c r="JW10" s="22">
        <f t="shared" si="100"/>
        <v>6085.7599999999993</v>
      </c>
      <c r="JY10" s="16" t="str" cm="1">
        <f t="array" ref="JY10">_xll.BDP(JZ10&amp;" Equity","DS520")</f>
        <v>ASE Technology Holding Co Ltd</v>
      </c>
      <c r="JZ10" s="32" t="s">
        <v>186</v>
      </c>
      <c r="KA10" s="32" t="s">
        <v>387</v>
      </c>
      <c r="KB10" s="32" t="str" cm="1">
        <f t="array" ref="KB10">_xll.BDP(JZ10&amp;" Equity", "ID_ISIN")</f>
        <v>US00215W1009</v>
      </c>
      <c r="KC10" s="32"/>
      <c r="KD10" s="30" t="str">
        <f>_xll.BDP(JZ10&amp;" Equity", "DS197")</f>
        <v>New York</v>
      </c>
      <c r="KE10" s="30" t="s">
        <v>26</v>
      </c>
      <c r="KF10" s="30" t="s">
        <v>33</v>
      </c>
      <c r="KG10" s="30" t="s">
        <v>28</v>
      </c>
      <c r="KH10" s="30" t="str">
        <f>_xll.BDP(JZ10&amp;" Equity", "DS004")</f>
        <v>USD</v>
      </c>
      <c r="KI10" s="17" cm="1">
        <f t="array" ref="KI10">_xll.BDP(JZ10&amp;" Equity","PX_LAST")</f>
        <v>22.06</v>
      </c>
      <c r="KJ10" s="33">
        <f t="shared" si="101"/>
        <v>3.0087165813612815E-2</v>
      </c>
      <c r="KK10" s="33">
        <f t="shared" si="102"/>
        <v>2.8587447394895622E-2</v>
      </c>
      <c r="KM10" s="1" cm="1">
        <f t="array" ref="KM10">IF(KH10="USD",1,_xll.BDP(KH10&amp;"USD CURNCY","PX_LAST"))</f>
        <v>1</v>
      </c>
      <c r="KN10" s="18">
        <v>135434.46118752001</v>
      </c>
      <c r="KO10" s="11">
        <f t="shared" si="103"/>
        <v>2987684.213796691</v>
      </c>
      <c r="KP10" s="5"/>
      <c r="KQ10" s="11" cm="1">
        <f t="array" ref="KQ10">IF(KD10="Hong Kong",_xll.BDP(JZ10&amp;" Equity","PR414"),_xll.BDP(JZ10&amp;" Equity","PR090"))</f>
        <v>1</v>
      </c>
      <c r="KR10" s="11">
        <f t="shared" si="104"/>
        <v>22.06</v>
      </c>
      <c r="KS10" s="5">
        <f t="shared" si="105"/>
        <v>436.44120853835454</v>
      </c>
      <c r="KT10" s="8">
        <f t="shared" si="106"/>
        <v>3.005675E-2</v>
      </c>
      <c r="KU10" s="8">
        <f t="shared" si="107"/>
        <v>-1.0109231890181869E-3</v>
      </c>
      <c r="KV10" s="5"/>
      <c r="KW10" s="21">
        <f t="shared" si="108"/>
        <v>733.20299215484908</v>
      </c>
      <c r="KX10" s="22">
        <f t="shared" si="109"/>
        <v>816.21999999999991</v>
      </c>
      <c r="KZ10" s="16" t="str" cm="1">
        <f t="array" ref="KZ10">_xll.BDP(LA10&amp;" Equity","DS520")</f>
        <v>Gaming and Leisure Properties Inc</v>
      </c>
      <c r="LA10" s="32" t="s">
        <v>120</v>
      </c>
      <c r="LB10" s="32" t="s">
        <v>372</v>
      </c>
      <c r="LC10" s="32" t="str" cm="1">
        <f t="array" ref="LC10">_xll.BDP(LA10&amp;" Equity", "ID_ISIN")</f>
        <v>US36467J1088</v>
      </c>
      <c r="LD10" s="32"/>
      <c r="LE10" s="30" t="str">
        <f>_xll.BDP(LA10&amp;" Equity", "DS197")</f>
        <v>NASDAQ GS</v>
      </c>
      <c r="LF10" s="30" t="s">
        <v>26</v>
      </c>
      <c r="LG10" s="30" t="s">
        <v>33</v>
      </c>
      <c r="LH10" s="30" t="s">
        <v>28</v>
      </c>
      <c r="LI10" s="30" t="str">
        <f>_xll.BDP(LA10&amp;" Equity", "DS004")</f>
        <v>USD</v>
      </c>
      <c r="LJ10" s="17" cm="1">
        <f t="array" ref="LJ10">_xll.BDP(LA10&amp;" Equity","PX_LAST")</f>
        <v>49.36</v>
      </c>
      <c r="LK10" s="33">
        <f t="shared" si="18"/>
        <v>6.6756817775118132E-2</v>
      </c>
      <c r="LL10" s="33">
        <f t="shared" si="19"/>
        <v>6.3390485409059477E-2</v>
      </c>
      <c r="LN10" s="1">
        <v>1</v>
      </c>
      <c r="LO10" s="18">
        <v>149456.13870593999</v>
      </c>
      <c r="LP10" s="11">
        <f t="shared" si="110"/>
        <v>7377155.006525198</v>
      </c>
      <c r="LQ10" s="5"/>
      <c r="LR10" s="11" cm="1">
        <f t="array" ref="LR10">IF(LE10="Hong Kong",_xll.BDP(LA10&amp;" Equity","PR414"),_xll.BDP(LA10&amp;" Equity","PR090"))</f>
        <v>1</v>
      </c>
      <c r="LS10" s="11">
        <f t="shared" si="111"/>
        <v>49.36</v>
      </c>
      <c r="LT10" s="5">
        <f t="shared" si="112"/>
        <v>432.78325948212728</v>
      </c>
      <c r="LU10" s="8">
        <f t="shared" si="113"/>
        <v>6.6790250000000009E-2</v>
      </c>
      <c r="LV10" s="8">
        <f t="shared" si="114"/>
        <v>5.0080614978531557E-4</v>
      </c>
      <c r="LW10" s="5"/>
      <c r="LX10" s="21">
        <f t="shared" si="115"/>
        <v>739.40013387512988</v>
      </c>
      <c r="LY10" s="22">
        <f t="shared" si="116"/>
        <v>1826.32</v>
      </c>
      <c r="MA10" s="16" t="str" cm="1">
        <f t="array" ref="MA10">_xll.BDP(MB10&amp;" Equity","DS520")</f>
        <v>BHP Group Ltd</v>
      </c>
      <c r="MB10" s="32" t="s">
        <v>189</v>
      </c>
      <c r="MC10" s="32" t="s">
        <v>322</v>
      </c>
      <c r="MD10" s="32" t="str" cm="1">
        <f t="array" ref="MD10">_xll.BDP(MB10&amp;" Equity", "ID_ISIN")</f>
        <v>AU000000BHP4</v>
      </c>
      <c r="ME10" s="32"/>
      <c r="MF10" s="30" t="str">
        <f>_xll.BDP(MB10&amp;" Equity", "DS197")</f>
        <v>ASE</v>
      </c>
      <c r="MG10" s="30" t="s">
        <v>26</v>
      </c>
      <c r="MH10" s="30" t="s">
        <v>323</v>
      </c>
      <c r="MI10" s="30" t="s">
        <v>28</v>
      </c>
      <c r="MJ10" s="30" t="str">
        <f>_xll.BDP(MB10&amp;" Equity", "DS004")</f>
        <v>AUD</v>
      </c>
      <c r="MK10" s="17" cm="1">
        <f t="array" ref="MK10">_xll.BDP(MB10&amp;" Equity","PX_LAST")</f>
        <v>52.81</v>
      </c>
      <c r="ML10" s="33">
        <f t="shared" si="20"/>
        <v>2.7046861715568173E-2</v>
      </c>
      <c r="MM10" s="33">
        <f t="shared" si="21"/>
        <v>2.5678227793240846E-2</v>
      </c>
      <c r="MO10" s="1" cm="1">
        <f t="array" ref="MO10">IF(MJ10="USD",1,_xll.BDP(MJ10&amp;"USD CURNCY","PX_LAST"))</f>
        <v>0.70340000000000003</v>
      </c>
      <c r="MP10" s="18">
        <v>130808.502356554</v>
      </c>
      <c r="MQ10" s="11">
        <f t="shared" si="117"/>
        <v>4859085.0964468606</v>
      </c>
      <c r="MR10" s="5"/>
      <c r="MS10" s="11" cm="1">
        <f t="array" ref="MS10">IF(MF10="Hong Kong",_xll.BDP(MB10&amp;" Equity","PR414"),_xll.BDP(MB10&amp;" Equity","PR090"))</f>
        <v>1</v>
      </c>
      <c r="MT10" s="11">
        <f t="shared" si="118"/>
        <v>37.146554000000002</v>
      </c>
      <c r="MU10" s="5">
        <f t="shared" si="119"/>
        <v>232.99592605499328</v>
      </c>
      <c r="MV10" s="8">
        <f t="shared" si="120"/>
        <v>2.7047334631250003E-2</v>
      </c>
      <c r="MW10" s="8">
        <f t="shared" si="121"/>
        <v>1.7485048239729295E-5</v>
      </c>
      <c r="MX10" s="5"/>
      <c r="MY10" s="21">
        <f t="shared" si="122"/>
        <v>1373.4145717400718</v>
      </c>
      <c r="MZ10" s="22">
        <f t="shared" si="123"/>
        <v>1374.4224979999999</v>
      </c>
      <c r="NB10" s="16" t="str" cm="1">
        <f t="array" ref="NB10">_xll.BDP(NC10&amp;" Equity","DS520")</f>
        <v>Cisco Systems Inc</v>
      </c>
      <c r="NC10" s="32" t="s">
        <v>45</v>
      </c>
      <c r="ND10" s="32" t="s">
        <v>46</v>
      </c>
      <c r="NE10" s="32" t="str" cm="1">
        <f t="array" ref="NE10">_xll.BDP(NC10&amp;" Equity", "ID_ISIN")</f>
        <v>US17275R1023</v>
      </c>
      <c r="NF10" s="32"/>
      <c r="NG10" s="30" t="str">
        <f>_xll.BDP(NC10&amp;" Equity", "DS197")</f>
        <v>NASDAQ GS</v>
      </c>
      <c r="NH10" s="30" t="s">
        <v>26</v>
      </c>
      <c r="NI10" s="30" t="s">
        <v>33</v>
      </c>
      <c r="NJ10" s="30" t="s">
        <v>28</v>
      </c>
      <c r="NK10" s="30" t="str">
        <f>_xll.BDP(NC10&amp;" Equity", "DS004")</f>
        <v>USD</v>
      </c>
      <c r="NL10" s="17" cm="1">
        <f t="array" ref="NL10">_xll.BDP(NC10&amp;" Equity","PX_LAST")</f>
        <v>80.010000000000005</v>
      </c>
      <c r="NM10" s="33">
        <f t="shared" si="22"/>
        <v>3.906903039179152E-2</v>
      </c>
      <c r="NN10" s="33">
        <f t="shared" si="23"/>
        <v>3.7087286635116019E-2</v>
      </c>
      <c r="NP10" s="1" cm="1">
        <f t="array" ref="NP10">IF(NK10="USD",1,_xll.BDP(NK10&amp;"USD CURNCY","PX_LAST"))</f>
        <v>1</v>
      </c>
      <c r="NQ10" s="18">
        <v>83477.799220260495</v>
      </c>
      <c r="NR10" s="11">
        <f t="shared" si="124"/>
        <v>6679058.7156130429</v>
      </c>
      <c r="NS10" s="5"/>
      <c r="NT10" s="11" cm="1">
        <f t="array" ref="NT10">IF(NG10="Hong Kong",_xll.BDP(NC10&amp;" Equity","PR414"),_xll.BDP(NC10&amp;" Equity","PR090"))</f>
        <v>1</v>
      </c>
      <c r="NU10" s="11">
        <f t="shared" si="125"/>
        <v>80.010000000000005</v>
      </c>
      <c r="NV10" s="5">
        <f t="shared" si="126"/>
        <v>156.2565894934794</v>
      </c>
      <c r="NW10" s="8">
        <f t="shared" si="127"/>
        <v>3.9004875000000001E-2</v>
      </c>
      <c r="NX10" s="8">
        <f t="shared" si="128"/>
        <v>-1.6421035062338385E-3</v>
      </c>
      <c r="NY10" s="5"/>
      <c r="NZ10" s="21">
        <f t="shared" si="129"/>
        <v>2047.9136338333665</v>
      </c>
      <c r="OA10" s="22">
        <f t="shared" si="130"/>
        <v>2960.37</v>
      </c>
      <c r="OC10" s="16" t="str" cm="1">
        <f t="array" ref="OC10">_xll.BDP(OD10&amp;" Equity","DS520")</f>
        <v>Coca-Cola HBC AG</v>
      </c>
      <c r="OD10" s="32" t="s">
        <v>135</v>
      </c>
      <c r="OE10" s="32" t="s">
        <v>136</v>
      </c>
      <c r="OF10" s="32" t="str" cm="1">
        <f t="array" ref="OF10">_xll.BDP(OD10&amp;" Equity", "ID_ISIN")</f>
        <v>CH0198251305</v>
      </c>
      <c r="OG10" s="32"/>
      <c r="OH10" s="30" t="str">
        <f>_xll.BDP(OD10&amp;" Equity", "DS197")</f>
        <v>London</v>
      </c>
      <c r="OI10" s="30" t="s">
        <v>26</v>
      </c>
      <c r="OJ10" s="30" t="s">
        <v>129</v>
      </c>
      <c r="OK10" s="30" t="s">
        <v>28</v>
      </c>
      <c r="OL10" s="43" t="str">
        <f>_xll.BDP(OD10&amp;" Equity", "DS004")</f>
        <v>GBp</v>
      </c>
      <c r="OM10" s="17" cm="1">
        <f t="array" ref="OM10">_xll.BDP(OD10&amp;" Equity","PX_LAST")/100</f>
        <v>45.42</v>
      </c>
      <c r="ON10" s="33">
        <f t="shared" si="24"/>
        <v>3.9432847178153693E-2</v>
      </c>
      <c r="OO10" s="33">
        <f t="shared" si="131"/>
        <v>3.7390503685983768E-2</v>
      </c>
      <c r="OQ10" s="1" cm="1">
        <f t="array" ref="OQ10">IF(OL10="EUR",1,_xll.BDP(OL10&amp;"EUR CURNCY","PX_LAST"))</f>
        <v>1.1509</v>
      </c>
      <c r="OR10" s="18">
        <v>138926.32995715499</v>
      </c>
      <c r="OS10" s="11">
        <f t="shared" si="132"/>
        <v>7262218.0231680656</v>
      </c>
      <c r="OT10" s="5"/>
      <c r="OU10" s="11" cm="1">
        <f t="array" ref="OU10">IF(OH10="Hong Kong",_xll.BDP(OD10&amp;" Equity","PR414"),_xll.BDP(OD10&amp;" Equity","PR090"))</f>
        <v>1</v>
      </c>
      <c r="OV10" s="11">
        <f t="shared" si="133"/>
        <v>52.273878000000003</v>
      </c>
      <c r="OW10" s="5">
        <f t="shared" si="134"/>
        <v>241.39228960608548</v>
      </c>
      <c r="OX10" s="8">
        <f t="shared" si="135"/>
        <v>3.9368764368750003E-2</v>
      </c>
      <c r="OY10" s="8">
        <f t="shared" si="136"/>
        <v>-1.6251124123543015E-3</v>
      </c>
      <c r="OZ10" s="5"/>
      <c r="PA10" s="21">
        <f t="shared" si="137"/>
        <v>1325.6430042657535</v>
      </c>
      <c r="PB10" s="22">
        <f t="shared" si="138"/>
        <v>1934.1334859999999</v>
      </c>
      <c r="PD10" s="16" t="str" cm="1">
        <f t="array" ref="PD10">_xll.BDP(PE10&amp;" Equity","DS520")</f>
        <v>Tosoh Corp</v>
      </c>
      <c r="PE10" s="45" t="s">
        <v>292</v>
      </c>
      <c r="PF10" s="45">
        <v>4042</v>
      </c>
      <c r="PG10" s="32" t="str" cm="1">
        <f t="array" ref="PG10">_xll.BDP(PE10&amp;" Equity", "ID_ISIN")</f>
        <v>JP3595200001</v>
      </c>
      <c r="PH10" s="45"/>
      <c r="PI10" s="30" t="str">
        <f>_xll.BDP(PE10&amp;" Equity", "DS197")</f>
        <v>Tokyo</v>
      </c>
      <c r="PJ10" s="30" t="s">
        <v>26</v>
      </c>
      <c r="PK10" s="71" t="s">
        <v>320</v>
      </c>
      <c r="PL10" s="30" t="s">
        <v>28</v>
      </c>
      <c r="PM10" s="30" t="str">
        <f>_xll.BDP(PE10&amp;" Equity", "DS004")</f>
        <v>JPY</v>
      </c>
      <c r="PN10" s="17" cm="1">
        <f t="array" ref="PN10">_xll.BDP(PE10&amp;" Equity","PX_LAST")</f>
        <v>2498</v>
      </c>
      <c r="PO10" s="33">
        <f t="shared" si="25"/>
        <v>4.4309751415979148E-2</v>
      </c>
      <c r="PP10" s="33">
        <f t="shared" si="26"/>
        <v>4.2091976974931299E-2</v>
      </c>
      <c r="PR10" s="1">
        <v>1</v>
      </c>
      <c r="PS10" s="18">
        <v>3418.4739771374202</v>
      </c>
      <c r="PT10" s="11">
        <f t="shared" si="139"/>
        <v>8539347.9948892761</v>
      </c>
      <c r="PU10" s="5"/>
      <c r="PV10" s="11" cm="1">
        <f t="array" ref="PV10">IF(PI10="Hong Kong",_xll.BDP(PE10&amp;" Equity","PR414"),_xll.BDP(PE10&amp;" Equity","PR090"))</f>
        <v>100</v>
      </c>
      <c r="PW10" s="11">
        <f t="shared" si="140"/>
        <v>249800</v>
      </c>
      <c r="PX10" s="5">
        <f t="shared" si="141"/>
        <v>5.6761891325513722E-2</v>
      </c>
      <c r="PY10" s="8">
        <f t="shared" si="142"/>
        <v>0</v>
      </c>
      <c r="PZ10" s="8">
        <f t="shared" si="143"/>
        <v>-1</v>
      </c>
      <c r="QA10" s="5"/>
      <c r="QB10" s="21">
        <f t="shared" si="144"/>
        <v>5637585.227118114</v>
      </c>
      <c r="QC10" s="22">
        <f t="shared" si="145"/>
        <v>9242600</v>
      </c>
      <c r="QE10" s="16" t="str" cm="1">
        <f t="array" ref="QE10">_xll.BDP(QF10&amp;" Equity","DS520")</f>
        <v>Clear Secure Inc</v>
      </c>
      <c r="QF10" s="34" t="s">
        <v>296</v>
      </c>
      <c r="QG10" s="34"/>
      <c r="QH10" s="32" t="str" cm="1">
        <f t="array" ref="QH10">_xll.BDP(QF10&amp;" Equity", "ID_ISIN")</f>
        <v>US18467V1098</v>
      </c>
      <c r="QI10" s="34"/>
      <c r="QJ10" s="30" t="str">
        <f>_xll.BDP(QF10&amp;" Equity", "DS197")</f>
        <v>New York</v>
      </c>
      <c r="QK10" s="30" t="s">
        <v>26</v>
      </c>
      <c r="QL10" s="30"/>
      <c r="QM10" s="30" t="s">
        <v>28</v>
      </c>
      <c r="QN10" s="30" t="str">
        <f>_xll.BDP(QF10&amp;" Equity", "DS004")</f>
        <v>USD</v>
      </c>
      <c r="QO10" s="17" cm="1">
        <f t="array" ref="QO10">_xll.BDP(QF10&amp;" Equity","PX_LAST")</f>
        <v>47.42</v>
      </c>
      <c r="QP10" s="33">
        <f t="shared" si="27"/>
        <v>9.6614119693225725E-2</v>
      </c>
      <c r="QQ10" s="33">
        <f t="shared" si="28"/>
        <v>9.1806986814524261E-2</v>
      </c>
      <c r="QS10" s="1" cm="1">
        <f t="array" ref="QS10">IF(QN10="USD",1,_xll.BDP(QN10&amp;"USD CURNCY","PX_LAST"))</f>
        <v>1</v>
      </c>
      <c r="QT10" s="18">
        <v>232429.469626076</v>
      </c>
      <c r="QU10" s="11">
        <f t="shared" si="146"/>
        <v>11021805.449668525</v>
      </c>
      <c r="QV10" s="5"/>
      <c r="QW10" s="11" cm="1">
        <f t="array" ref="QW10">IF(QJ10="Hong Kong",_xll.BDP(QF10&amp;" Equity","PR414"),_xll.BDP(QF10&amp;" Equity","PR090"))</f>
        <v>1</v>
      </c>
      <c r="QX10" s="11">
        <f t="shared" si="147"/>
        <v>47.42</v>
      </c>
      <c r="QY10" s="5">
        <f t="shared" si="148"/>
        <v>651.97212783281805</v>
      </c>
      <c r="QZ10" s="8">
        <f t="shared" si="149"/>
        <v>9.6618250000000003E-2</v>
      </c>
      <c r="RA10" s="8">
        <f t="shared" si="150"/>
        <v>4.2750550203196624E-5</v>
      </c>
      <c r="RB10" s="5"/>
      <c r="RC10" s="21">
        <f t="shared" si="151"/>
        <v>490.8185278774003</v>
      </c>
      <c r="RD10" s="22">
        <f t="shared" si="152"/>
        <v>1754.54</v>
      </c>
      <c r="RF10" s="16" t="str" cm="1">
        <f t="array" ref="RF10">_xll.BDP(RG10&amp;" Equity","DS520")</f>
        <v>Arista Networks Inc</v>
      </c>
      <c r="RG10" s="34" t="s">
        <v>1299</v>
      </c>
      <c r="RH10" s="34"/>
      <c r="RI10" s="32" t="str" cm="1">
        <f t="array" ref="RI10">_xll.BDP(RG10&amp;" Equity", "ID_ISIN")</f>
        <v>US0404132054</v>
      </c>
      <c r="RJ10" s="34"/>
      <c r="RK10" s="30" t="str">
        <f>_xll.BDP(RG10&amp;" Equity", "DS197")</f>
        <v>New York</v>
      </c>
      <c r="RL10" s="30" t="s">
        <v>26</v>
      </c>
      <c r="RM10" s="30"/>
      <c r="RN10" s="30" t="s">
        <v>28</v>
      </c>
      <c r="RO10" s="30" t="str">
        <f>_xll.BDP(RG10&amp;" Equity", "DS004")</f>
        <v>USD</v>
      </c>
      <c r="RP10" s="17" cm="1">
        <f t="array" ref="RP10">_xll.BDP(RG10&amp;" Equity","PX_LAST")</f>
        <v>139.4</v>
      </c>
      <c r="RQ10" s="33">
        <f t="shared" si="153"/>
        <v>2.9983067470124455E-2</v>
      </c>
      <c r="RR10" s="33">
        <f t="shared" si="154"/>
        <v>2.851125370045152E-2</v>
      </c>
      <c r="RT10" s="1" cm="1">
        <f t="array" ref="RT10">IF(RO10="USD",1,_xll.BDP(RO10&amp;"USD CURNCY","PX_LAST"))</f>
        <v>1</v>
      </c>
      <c r="RU10" s="18">
        <v>21674.425704037199</v>
      </c>
      <c r="RV10" s="11">
        <f t="shared" si="155"/>
        <v>3021414.9431427857</v>
      </c>
      <c r="RW10" s="5"/>
      <c r="RX10" s="11" cm="1">
        <f t="array" ref="RX10">IF(RK10="Hong Kong",_xll.BDP(RG10&amp;" Equity","PR414"),_xll.BDP(RG10&amp;" Equity","PR090"))</f>
        <v>1</v>
      </c>
      <c r="RY10" s="11">
        <f t="shared" si="156"/>
        <v>139.4</v>
      </c>
      <c r="RZ10" s="5">
        <f t="shared" si="157"/>
        <v>68.827701509611373</v>
      </c>
      <c r="SA10" s="8">
        <f t="shared" si="158"/>
        <v>3.0058125000000002E-2</v>
      </c>
      <c r="SB10" s="8">
        <f t="shared" si="159"/>
        <v>2.5033305865163058E-3</v>
      </c>
      <c r="SC10" s="5"/>
      <c r="SD10" s="21">
        <f t="shared" si="160"/>
        <v>4649.2908085171775</v>
      </c>
      <c r="SE10" s="22">
        <f t="shared" si="161"/>
        <v>5157.8</v>
      </c>
    </row>
    <row r="11" spans="15:499" x14ac:dyDescent="0.2">
      <c r="O11" s="16" t="str" cm="1">
        <f t="array" ref="O11">_xll.BDP(P11&amp;" Equity","DS520")</f>
        <v>Progressive Corp/The</v>
      </c>
      <c r="P11" s="32" t="s">
        <v>171</v>
      </c>
      <c r="Q11" s="32" t="s">
        <v>429</v>
      </c>
      <c r="R11" s="32" t="str" cm="1">
        <f t="array" ref="R11">_xll.BDP(P11&amp;" Equity", "ID_ISIN")</f>
        <v>US7433151039</v>
      </c>
      <c r="S11" s="32"/>
      <c r="T11" s="30" t="str">
        <f>_xll.BDP(P11&amp;" Equity", "DS197")</f>
        <v>New York</v>
      </c>
      <c r="U11" s="30" t="s">
        <v>26</v>
      </c>
      <c r="V11" s="30" t="s">
        <v>33</v>
      </c>
      <c r="W11" s="30" t="s">
        <v>28</v>
      </c>
      <c r="X11" s="30" t="str">
        <f>_xll.BDP(P11&amp;" Equity", "DS004")</f>
        <v>USD</v>
      </c>
      <c r="Y11" s="17" cm="1">
        <f t="array" ref="Y11">_xll.BDP(P11&amp;" Equity","PX_LAST")</f>
        <v>210.58</v>
      </c>
      <c r="Z11" s="33">
        <f t="shared" si="0"/>
        <v>2.8937212442941708E-2</v>
      </c>
      <c r="AA11" s="33">
        <f t="shared" si="1"/>
        <v>2.7491324333722183E-2</v>
      </c>
      <c r="AB11" s="4"/>
      <c r="AC11" s="1" cm="1">
        <f t="array" ref="AC11">IF(X11="USD",1,_xll.BDP(X11&amp;"USD CURNCY","PX_LAST"))</f>
        <v>1</v>
      </c>
      <c r="AD11" s="18">
        <v>28279.113383048199</v>
      </c>
      <c r="AE11" s="11">
        <f t="shared" ref="AE11" si="162">AD11*Y11*AC11</f>
        <v>5955015.6962022902</v>
      </c>
      <c r="AF11" s="5"/>
      <c r="AG11" s="11" cm="1">
        <f t="array" ref="AG11">IF(T11="Hong Kong",_xll.BDP(P11&amp;" Equity","PR414"),_xll.BDP(P11&amp;" Equity","PR090"))</f>
        <v>1</v>
      </c>
      <c r="AH11" s="11">
        <f t="shared" ref="AH11" si="163">AG11*AC11*Y11</f>
        <v>210.58</v>
      </c>
      <c r="AI11" s="5">
        <f t="shared" ref="AI11" si="164">($AJ$3*Z11)/AH11</f>
        <v>43.973349709095572</v>
      </c>
      <c r="AJ11" s="8">
        <f t="shared" ref="AJ11" si="165">(ROUND(AI11,0)*AH11)/$AJ$3</f>
        <v>2.8954750000000001E-2</v>
      </c>
      <c r="AK11" s="8">
        <f t="shared" ref="AK11" si="166">AJ11/Z11-1</f>
        <v>6.060555104563381E-4</v>
      </c>
      <c r="AL11" s="5"/>
      <c r="AM11" s="21">
        <f t="shared" ref="AM11" si="167">IFERROR(AH11/Z11,0)</f>
        <v>7277.1349491669562</v>
      </c>
      <c r="AN11" s="22">
        <f t="shared" ref="AN11" si="168">AH11/(1/COUNTA($P$6:$P$77))</f>
        <v>7791.46</v>
      </c>
      <c r="AP11" s="16" t="str" cm="1">
        <f t="array" ref="AP11">_xll.BDP(AQ11&amp;" Equity","DS520")</f>
        <v>GSK PLC</v>
      </c>
      <c r="AQ11" s="32" t="s">
        <v>96</v>
      </c>
      <c r="AR11" s="32" t="s">
        <v>333</v>
      </c>
      <c r="AS11" s="32" t="str" cm="1">
        <f t="array" ref="AS11">_xll.BDP(AQ11&amp;" Equity", "ID_ISIN")</f>
        <v>GB00BN7SWP63</v>
      </c>
      <c r="AT11" s="32"/>
      <c r="AU11" s="30" t="str">
        <f>_xll.BDP(AQ11&amp;" Equity", "DS197")</f>
        <v>London</v>
      </c>
      <c r="AV11" s="30" t="s">
        <v>26</v>
      </c>
      <c r="AW11" s="30" t="s">
        <v>129</v>
      </c>
      <c r="AX11" s="30" t="s">
        <v>28</v>
      </c>
      <c r="AY11" s="43" t="str">
        <f>_xll.BDP(AQ11&amp;" Equity", "DS004")</f>
        <v>GBp</v>
      </c>
      <c r="AZ11" s="17" cm="1">
        <f t="array" ref="AZ11">_xll.BDP(AQ11&amp;" Equity","PX_LAST")/100</f>
        <v>20.76</v>
      </c>
      <c r="BA11" s="33">
        <f t="shared" si="4"/>
        <v>5.8610014658552548E-2</v>
      </c>
      <c r="BB11" s="33">
        <f t="shared" si="34"/>
        <v>5.5660606250509219E-2</v>
      </c>
      <c r="BD11" s="1" cm="1">
        <f t="array" ref="BD11">IF(AY11="USD",1,_xll.BDP(AY11&amp;"USD CURNCY","PX_LAST"))</f>
        <v>1.3359000000000001</v>
      </c>
      <c r="BE11" s="18">
        <v>347949.310674462</v>
      </c>
      <c r="BF11" s="11">
        <f t="shared" si="35"/>
        <v>9649777.0505390875</v>
      </c>
      <c r="BG11" s="5"/>
      <c r="BH11" s="11" cm="1">
        <f t="array" ref="BH11">IF(AU11="Hong Kong",_xll.BDP(AQ11&amp;" Equity","PR414"),_xll.BDP(AQ11&amp;" Equity","PR090"))</f>
        <v>1</v>
      </c>
      <c r="BI11" s="11">
        <f t="shared" si="36"/>
        <v>27.733284000000005</v>
      </c>
      <c r="BJ11" s="5">
        <f t="shared" si="37"/>
        <v>676.27060288773635</v>
      </c>
      <c r="BK11" s="8">
        <f t="shared" si="38"/>
        <v>5.8586562450000011E-2</v>
      </c>
      <c r="BL11" s="8">
        <f t="shared" si="39"/>
        <v>-4.0013995371201982E-4</v>
      </c>
      <c r="BM11" s="5"/>
      <c r="BN11" s="21">
        <f t="shared" si="40"/>
        <v>473.18336570238483</v>
      </c>
      <c r="BO11" s="22">
        <f t="shared" si="41"/>
        <v>1026.1315080000002</v>
      </c>
      <c r="BQ11" s="16" t="str" cm="1">
        <f t="array" ref="BQ11">_xll.BDP(BR11&amp;" Equity","DS520")</f>
        <v>Japan Excellent Inc</v>
      </c>
      <c r="BR11" s="32" t="s">
        <v>110</v>
      </c>
      <c r="BS11" s="32">
        <v>8987</v>
      </c>
      <c r="BT11" s="32" t="str" cm="1">
        <f t="array" ref="BT11">_xll.BDP(BR11&amp;" Equity", "ID_ISIN")</f>
        <v>JP3046420000</v>
      </c>
      <c r="BU11" s="32"/>
      <c r="BV11" s="30" t="str">
        <f>_xll.BDP(BR11&amp;" Equity", "DS197")</f>
        <v>Tokyo</v>
      </c>
      <c r="BW11" s="30" t="s">
        <v>26</v>
      </c>
      <c r="BX11" s="71" t="s">
        <v>320</v>
      </c>
      <c r="BY11" s="30" t="s">
        <v>28</v>
      </c>
      <c r="BZ11" s="30" t="str">
        <f>_xll.BDP(BR11&amp;" Equity", "DS004")</f>
        <v>JPY</v>
      </c>
      <c r="CA11" s="17" cm="1">
        <f t="array" ref="CA11">_xll.BDP(BR11&amp;" Equity","PX_LAST")</f>
        <v>152000</v>
      </c>
      <c r="CB11" s="33">
        <f t="shared" si="5"/>
        <v>6.7313943413242427E-2</v>
      </c>
      <c r="CC11" s="33">
        <f t="shared" si="42"/>
        <v>6.3942484884934273E-2</v>
      </c>
      <c r="CE11" s="1">
        <v>1</v>
      </c>
      <c r="CF11" s="18">
        <v>277.833957042956</v>
      </c>
      <c r="CG11" s="11">
        <f t="shared" si="43"/>
        <v>42230761.47052931</v>
      </c>
      <c r="CH11" s="5"/>
      <c r="CI11" s="11" cm="1">
        <f t="array" ref="CI11">IF(BV11="Hong Kong",_xll.BDP(BR11&amp;" Equity","PR414"),_xll.BDP(BR11&amp;" Equity","PR090"))</f>
        <v>1</v>
      </c>
      <c r="CJ11" s="11">
        <f t="shared" si="44"/>
        <v>152000</v>
      </c>
      <c r="CK11" s="5">
        <f t="shared" si="45"/>
        <v>0.14171356508051039</v>
      </c>
      <c r="CL11" s="8">
        <f t="shared" si="46"/>
        <v>0</v>
      </c>
      <c r="CM11" s="8">
        <f t="shared" si="47"/>
        <v>-1</v>
      </c>
      <c r="CN11" s="5"/>
      <c r="CO11" s="21">
        <f t="shared" si="48"/>
        <v>2258075.998710508</v>
      </c>
      <c r="CP11" s="22">
        <f t="shared" si="49"/>
        <v>5624000</v>
      </c>
      <c r="CR11" s="16" t="str" cm="1">
        <f t="array" ref="CR11">_xll.BDP(CS11&amp;" Equity","DS520")</f>
        <v>EPR Properties</v>
      </c>
      <c r="CS11" s="32" t="s">
        <v>253</v>
      </c>
      <c r="CT11" s="32" t="s">
        <v>371</v>
      </c>
      <c r="CU11" s="32" t="str" cm="1">
        <f t="array" ref="CU11">_xll.BDP(CS11&amp;" Equity", "ID_ISIN")</f>
        <v>US26884U1097</v>
      </c>
      <c r="CV11" s="32"/>
      <c r="CW11" s="30" t="str">
        <f>_xll.BDP(CS11&amp;" Equity", "DS197")</f>
        <v>New York</v>
      </c>
      <c r="CX11" s="30" t="s">
        <v>26</v>
      </c>
      <c r="CY11" s="30" t="s">
        <v>33</v>
      </c>
      <c r="CZ11" s="30" t="s">
        <v>28</v>
      </c>
      <c r="DA11" s="30" t="str">
        <f>_xll.BDP(CS11&amp;" Equity", "DS004")</f>
        <v>USD</v>
      </c>
      <c r="DB11" s="17" cm="1">
        <f t="array" ref="DB11">_xll.BDP(CS11&amp;" Equity","PX_LAST")</f>
        <v>57.56</v>
      </c>
      <c r="DC11" s="33">
        <f t="shared" si="6"/>
        <v>5.7399318823052402E-2</v>
      </c>
      <c r="DD11" s="33">
        <f t="shared" si="7"/>
        <v>5.451112240387615E-2</v>
      </c>
      <c r="DF11" s="1" cm="1">
        <f t="array" ref="DF11">IF(DA11="USD",1,_xll.BDP(DA11&amp;"USD CURNCY","PX_LAST"))</f>
        <v>1</v>
      </c>
      <c r="DG11" s="18">
        <v>180850.25292923299</v>
      </c>
      <c r="DH11" s="11">
        <f t="shared" si="8"/>
        <v>10409740.558606651</v>
      </c>
      <c r="DI11" s="5"/>
      <c r="DJ11" s="11" cm="1">
        <f t="array" ref="DJ11">IF(CW11="Hong Kong",_xll.BDP(CS11&amp;" Equity","PR414"),_xll.BDP(CS11&amp;" Equity","PR090"))</f>
        <v>1</v>
      </c>
      <c r="DK11" s="11">
        <f t="shared" si="9"/>
        <v>57.56</v>
      </c>
      <c r="DL11" s="5">
        <f t="shared" si="50"/>
        <v>319.10670645199383</v>
      </c>
      <c r="DM11" s="8">
        <f t="shared" si="51"/>
        <v>5.7380124999999997E-2</v>
      </c>
      <c r="DN11" s="8">
        <f t="shared" si="52"/>
        <v>-3.3439112947619698E-4</v>
      </c>
      <c r="DO11" s="5"/>
      <c r="DP11" s="21">
        <f t="shared" si="53"/>
        <v>1002.7993568607136</v>
      </c>
      <c r="DQ11" s="22">
        <f t="shared" si="54"/>
        <v>2129.7199999999998</v>
      </c>
      <c r="DS11" s="16" t="str" cm="1">
        <f t="array" ref="DS11">_xll.BDP(DT11&amp;" Equity","DS520")</f>
        <v>Coca-Cola HBC AG</v>
      </c>
      <c r="DT11" s="32" t="s">
        <v>135</v>
      </c>
      <c r="DU11" s="32" t="s">
        <v>136</v>
      </c>
      <c r="DV11" s="32" t="str" cm="1">
        <f t="array" ref="DV11">_xll.BDP(DT11&amp;" Equity", "ID_ISIN")</f>
        <v>CH0198251305</v>
      </c>
      <c r="DW11" s="32"/>
      <c r="DX11" s="30" t="str">
        <f>_xll.BDP(DT11&amp;" Equity", "DS197")</f>
        <v>London</v>
      </c>
      <c r="DY11" s="30" t="s">
        <v>26</v>
      </c>
      <c r="DZ11" s="30" t="s">
        <v>129</v>
      </c>
      <c r="EA11" s="30" t="s">
        <v>28</v>
      </c>
      <c r="EB11" s="43" t="str">
        <f>_xll.BDP(DT11&amp;" Equity", "DS004")</f>
        <v>GBp</v>
      </c>
      <c r="EC11" s="17" cm="1">
        <f t="array" ref="EC11">_xll.BDP(DT11&amp;" Equity","PX_LAST")/100</f>
        <v>45.42</v>
      </c>
      <c r="ED11" s="33">
        <f t="shared" si="55"/>
        <v>5.7518406041142577E-2</v>
      </c>
      <c r="EE11" s="33">
        <f t="shared" si="56"/>
        <v>5.4562409270918641E-2</v>
      </c>
      <c r="EG11" s="1">
        <v>1</v>
      </c>
      <c r="EH11" s="18">
        <v>208983.09444997099</v>
      </c>
      <c r="EI11" s="11">
        <f t="shared" si="57"/>
        <v>9492012.1499176826</v>
      </c>
      <c r="EJ11" s="5"/>
      <c r="EK11" s="11" cm="1">
        <f t="array" ref="EK11">IF(DX11="Hong Kong",_xll.BDP(DT11&amp;" Equity","PR414"),_xll.BDP(DT11&amp;" Equity","PR090"))</f>
        <v>1</v>
      </c>
      <c r="EL11" s="11">
        <f t="shared" si="58"/>
        <v>45.42</v>
      </c>
      <c r="EM11" s="5">
        <f t="shared" si="59"/>
        <v>405.2375590745404</v>
      </c>
      <c r="EN11" s="8">
        <f t="shared" si="60"/>
        <v>5.7484687500000006E-2</v>
      </c>
      <c r="EO11" s="8">
        <f t="shared" si="61"/>
        <v>-5.8622175862199644E-4</v>
      </c>
      <c r="EP11" s="5"/>
      <c r="EQ11" s="21">
        <f t="shared" si="62"/>
        <v>789.66026922775541</v>
      </c>
      <c r="ER11" s="22">
        <f t="shared" si="63"/>
        <v>1680.54</v>
      </c>
      <c r="ET11" s="16" t="str" cm="1">
        <f t="array" ref="ET11">_xll.BDP(EU11&amp;" Equity","DS520")</f>
        <v>Amazon.com Inc</v>
      </c>
      <c r="EU11" s="32" t="s">
        <v>41</v>
      </c>
      <c r="EV11" s="32" t="s">
        <v>42</v>
      </c>
      <c r="EW11" s="32" t="str" cm="1">
        <f t="array" ref="EW11">_xll.BDP(EU11&amp;" Equity", "ID_ISIN")</f>
        <v>US0231351067</v>
      </c>
      <c r="EX11" s="32"/>
      <c r="EY11" s="30" t="str">
        <f>_xll.BDP(EU11&amp;" Equity", "DS197")</f>
        <v>NASDAQ GS</v>
      </c>
      <c r="EZ11" s="30" t="s">
        <v>26</v>
      </c>
      <c r="FA11" s="30" t="s">
        <v>33</v>
      </c>
      <c r="FB11" s="30" t="s">
        <v>28</v>
      </c>
      <c r="FC11" s="30" t="str">
        <f>_xll.BDP(EU11&amp;" Equity", "DS004")</f>
        <v>USD</v>
      </c>
      <c r="FD11" s="17" cm="1">
        <f t="array" ref="FD11">_xll.BDP(EU11&amp;" Equity","PX_LAST")</f>
        <v>218.94</v>
      </c>
      <c r="FE11" s="33">
        <f t="shared" si="10"/>
        <v>3.5780250022961771E-2</v>
      </c>
      <c r="FF11" s="33">
        <f t="shared" si="11"/>
        <v>3.3990291605179093E-2</v>
      </c>
      <c r="FH11" s="1" cm="1">
        <f t="array" ref="FH11">IF(FC11="USD",1,_xll.BDP(FC11&amp;"USD CURNCY","PX_LAST"))</f>
        <v>1</v>
      </c>
      <c r="FI11" s="18">
        <v>33489.255979965099</v>
      </c>
      <c r="FJ11" s="11">
        <f t="shared" si="64"/>
        <v>7332137.704253559</v>
      </c>
      <c r="FK11" s="5"/>
      <c r="FL11" s="11" cm="1">
        <f t="array" ref="FL11">IF(EY11="Hong Kong",_xll.BDP(EU11&amp;" Equity","PR414"),_xll.BDP(EU11&amp;" Equity","PR090"))</f>
        <v>1</v>
      </c>
      <c r="FM11" s="11">
        <f t="shared" si="65"/>
        <v>218.94</v>
      </c>
      <c r="FN11" s="5">
        <f t="shared" si="66"/>
        <v>52.29597153260147</v>
      </c>
      <c r="FO11" s="8">
        <f t="shared" si="67"/>
        <v>3.5577749999999998E-2</v>
      </c>
      <c r="FP11" s="8">
        <f t="shared" si="68"/>
        <v>-5.6595474551413005E-3</v>
      </c>
      <c r="FQ11" s="5"/>
      <c r="FR11" s="21">
        <f t="shared" si="69"/>
        <v>6119.0181695068231</v>
      </c>
      <c r="FS11" s="22">
        <f t="shared" si="70"/>
        <v>8100.78</v>
      </c>
      <c r="FU11" s="16" t="str" cm="1">
        <f t="array" ref="FU11">_xll.BDP(FV11&amp;" Equity","DS520")</f>
        <v>Amdocs Ltd</v>
      </c>
      <c r="FV11" s="32" t="s">
        <v>176</v>
      </c>
      <c r="FW11" s="32" t="s">
        <v>409</v>
      </c>
      <c r="FX11" s="32" t="str" cm="1">
        <f t="array" ref="FX11">_xll.BDP(FV11&amp;" Equity", "ID_ISIN")</f>
        <v>GB0022569080</v>
      </c>
      <c r="FY11" s="32"/>
      <c r="FZ11" s="30" t="str">
        <f>_xll.BDP(FV11&amp;" Equity", "DS197")</f>
        <v>NASDAQ GS</v>
      </c>
      <c r="GA11" s="30" t="s">
        <v>26</v>
      </c>
      <c r="GB11" s="30" t="s">
        <v>33</v>
      </c>
      <c r="GC11" s="30" t="s">
        <v>28</v>
      </c>
      <c r="GD11" s="30" t="str">
        <f>_xll.BDP(FV11&amp;" Equity", "DS004")</f>
        <v>USD</v>
      </c>
      <c r="GE11" s="17" cm="1">
        <f t="array" ref="GE11">_xll.BDP(FV11&amp;" Equity","PX_LAST")</f>
        <v>68.47</v>
      </c>
      <c r="GF11" s="33">
        <f t="shared" si="12"/>
        <v>3.016959132330067E-2</v>
      </c>
      <c r="GG11" s="33">
        <f t="shared" si="13"/>
        <v>2.8659739084061452E-2</v>
      </c>
      <c r="GI11" s="1" cm="1">
        <f t="array" ref="GI11">IF(GD11="USD",1,_xll.BDP(GD11&amp;"USD CURNCY","PX_LAST"))</f>
        <v>1</v>
      </c>
      <c r="GJ11" s="18">
        <v>91208.099995544602</v>
      </c>
      <c r="GK11" s="11">
        <f t="shared" si="71"/>
        <v>6245018.6066949386</v>
      </c>
      <c r="GL11" s="5"/>
      <c r="GM11" s="11" cm="1">
        <f t="array" ref="GM11">IF(FZ11="Hong Kong",_xll.BDP(FV11&amp;" Equity","PR414"),_xll.BDP(FV11&amp;" Equity","PR090"))</f>
        <v>1</v>
      </c>
      <c r="GN11" s="11">
        <f t="shared" si="72"/>
        <v>68.47</v>
      </c>
      <c r="GO11" s="5">
        <f t="shared" si="73"/>
        <v>140.99998865862736</v>
      </c>
      <c r="GP11" s="8">
        <f t="shared" si="74"/>
        <v>3.0169593750000001E-2</v>
      </c>
      <c r="GQ11" s="8">
        <f t="shared" si="75"/>
        <v>8.0435273552836861E-8</v>
      </c>
      <c r="GR11" s="5"/>
      <c r="GS11" s="21">
        <f t="shared" si="76"/>
        <v>2269.5037286474294</v>
      </c>
      <c r="GT11" s="22">
        <f t="shared" si="77"/>
        <v>2533.39</v>
      </c>
      <c r="GV11" s="16" t="str" cm="1">
        <f t="array" ref="GV11">_xll.BDP(GW11&amp;" Equity","DS520")</f>
        <v>BHP Group Ltd</v>
      </c>
      <c r="GW11" s="32" t="s">
        <v>189</v>
      </c>
      <c r="GX11" s="32" t="s">
        <v>322</v>
      </c>
      <c r="GY11" s="32" t="str" cm="1">
        <f t="array" ref="GY11">_xll.BDP(GW11&amp;" Equity", "ID_ISIN")</f>
        <v>AU000000BHP4</v>
      </c>
      <c r="GZ11" s="32"/>
      <c r="HA11" s="30" t="str">
        <f>_xll.BDP(GW11&amp;" Equity", "DS197")</f>
        <v>ASE</v>
      </c>
      <c r="HB11" s="30" t="s">
        <v>26</v>
      </c>
      <c r="HC11" s="30" t="s">
        <v>323</v>
      </c>
      <c r="HD11" s="30" t="s">
        <v>28</v>
      </c>
      <c r="HE11" s="30" t="str">
        <f>_xll.BDP(GW11&amp;" Equity", "DS004")</f>
        <v>AUD</v>
      </c>
      <c r="HF11" s="17" cm="1">
        <f t="array" ref="HF11">_xll.BDP(GW11&amp;" Equity","PX_LAST")</f>
        <v>52.81</v>
      </c>
      <c r="HG11" s="33">
        <f t="shared" si="14"/>
        <v>3.8784397809954393E-2</v>
      </c>
      <c r="HH11" s="33">
        <f t="shared" si="78"/>
        <v>3.6842254755800254E-2</v>
      </c>
      <c r="HJ11" s="1" cm="1">
        <f t="array" ref="HJ11">IF(HE11="USD",1,_xll.BDP(HE11&amp;"USD CURNCY","PX_LAST"))</f>
        <v>0.70340000000000003</v>
      </c>
      <c r="HK11" s="18">
        <v>170282.43441908</v>
      </c>
      <c r="HL11" s="11">
        <f t="shared" si="79"/>
        <v>6325405.6453998145</v>
      </c>
      <c r="HM11" s="5"/>
      <c r="HN11" s="11" cm="1">
        <f t="array" ref="HN11">IF(HA11="Hong Kong",_xll.BDP(GW11&amp;" Equity","PR414"),_xll.BDP(GW11&amp;" Equity","PR090"))</f>
        <v>1</v>
      </c>
      <c r="HO11" s="11">
        <f t="shared" si="80"/>
        <v>37.146554000000002</v>
      </c>
      <c r="HP11" s="5">
        <f t="shared" si="81"/>
        <v>334.10925005817245</v>
      </c>
      <c r="HQ11" s="8">
        <f t="shared" si="82"/>
        <v>3.8771715737499997E-2</v>
      </c>
      <c r="HR11" s="8">
        <f t="shared" si="83"/>
        <v>-3.2698902575567512E-4</v>
      </c>
      <c r="HS11" s="5"/>
      <c r="HT11" s="21">
        <f t="shared" si="84"/>
        <v>957.77054943640189</v>
      </c>
      <c r="HU11" s="22">
        <f t="shared" si="85"/>
        <v>1374.4224979999999</v>
      </c>
      <c r="HW11" s="16" t="str" cm="1">
        <f t="array" ref="HW11">_xll.BDP(HX11&amp;" Equity","DS520")</f>
        <v>CITIC Telecom International Holdings Ltd</v>
      </c>
      <c r="HX11" s="32" t="s">
        <v>727</v>
      </c>
      <c r="HY11" s="32">
        <v>1883</v>
      </c>
      <c r="HZ11" s="32" t="str" cm="1">
        <f t="array" ref="HZ11">_xll.BDP(HX11&amp;" Equity", "ID_ISIN")</f>
        <v>HK1883037637</v>
      </c>
      <c r="IA11" s="32"/>
      <c r="IB11" s="30" t="str">
        <f>_xll.BDP(HX11&amp;" Equity", "DS197")</f>
        <v>Hong Kong</v>
      </c>
      <c r="IC11" s="30" t="s">
        <v>26</v>
      </c>
      <c r="ID11" s="30" t="s">
        <v>27</v>
      </c>
      <c r="IE11" s="30" t="s">
        <v>28</v>
      </c>
      <c r="IF11" s="30" t="str">
        <f>_xll.BDP(HX11&amp;" Equity", "DS004")</f>
        <v>HKD</v>
      </c>
      <c r="IG11" s="17" cm="1">
        <f t="array" ref="IG11">_xll.BDP(HX11&amp;" Equity","PX_LAST")</f>
        <v>2.65</v>
      </c>
      <c r="IH11" s="33">
        <f t="shared" si="15"/>
        <v>4.5365364211027707E-2</v>
      </c>
      <c r="II11" s="33">
        <f t="shared" si="16"/>
        <v>4.3120309463828374E-2</v>
      </c>
      <c r="IK11" s="1">
        <v>1</v>
      </c>
      <c r="IL11" s="18">
        <v>3244746.3075514799</v>
      </c>
      <c r="IM11" s="11">
        <f t="shared" si="86"/>
        <v>8598577.7150114216</v>
      </c>
      <c r="IN11" s="5"/>
      <c r="IO11" s="11" cm="1">
        <f t="array" ref="IO11">IF(IB11="Hong Kong",_xll.BDP(HX11&amp;" Equity","PR414"),_xll.BDP(HX11&amp;" Equity","PR090"))</f>
        <v>1000</v>
      </c>
      <c r="IP11" s="11">
        <f t="shared" si="87"/>
        <v>2650</v>
      </c>
      <c r="IQ11" s="5">
        <f t="shared" si="88"/>
        <v>5.4780817160486288</v>
      </c>
      <c r="IR11" s="8">
        <f t="shared" si="89"/>
        <v>4.1406249999999999E-2</v>
      </c>
      <c r="IS11" s="8">
        <f t="shared" si="90"/>
        <v>-8.7271738690578027E-2</v>
      </c>
      <c r="IT11" s="5"/>
      <c r="IU11" s="21">
        <f t="shared" si="91"/>
        <v>58414.608723803009</v>
      </c>
      <c r="IV11" s="22">
        <f t="shared" si="92"/>
        <v>98050</v>
      </c>
      <c r="IX11" s="16" t="str" cm="1">
        <f t="array" ref="IX11">_xll.BDP(IY11&amp;" Equity","DS520")</f>
        <v>Cisco Systems Inc</v>
      </c>
      <c r="IY11" s="32" t="s">
        <v>45</v>
      </c>
      <c r="IZ11" s="32" t="s">
        <v>46</v>
      </c>
      <c r="JA11" s="32" t="str" cm="1">
        <f t="array" ref="JA11">_xll.BDP(IY11&amp;" Equity", "ID_ISIN")</f>
        <v>US17275R1023</v>
      </c>
      <c r="JB11" s="32"/>
      <c r="JC11" s="30" t="str">
        <f>_xll.BDP(IY11&amp;" Equity", "DS197")</f>
        <v>NASDAQ GS</v>
      </c>
      <c r="JD11" s="30" t="s">
        <v>26</v>
      </c>
      <c r="JE11" s="30" t="s">
        <v>33</v>
      </c>
      <c r="JF11" s="30" t="s">
        <v>28</v>
      </c>
      <c r="JG11" s="30" t="str">
        <f>_xll.BDP(IY11&amp;" Equity", "DS004")</f>
        <v>USD</v>
      </c>
      <c r="JH11" s="17" cm="1">
        <f t="array" ref="JH11">_xll.BDP(IY11&amp;" Equity","PX_LAST")</f>
        <v>80.010000000000005</v>
      </c>
      <c r="JI11" s="33">
        <f t="shared" si="93"/>
        <v>4.2119777773704903E-2</v>
      </c>
      <c r="JJ11" s="33">
        <f t="shared" si="17"/>
        <v>4.0011638004692339E-2</v>
      </c>
      <c r="JL11" s="1" cm="1">
        <f t="array" ref="JL11">IF(JG11="USD",1,_xll.BDP(JG11&amp;"USD CURNCY","PX_LAST"))</f>
        <v>1</v>
      </c>
      <c r="JM11" s="18">
        <v>64222.061936788399</v>
      </c>
      <c r="JN11" s="11">
        <f t="shared" si="94"/>
        <v>5138407.1755624404</v>
      </c>
      <c r="JO11" s="5"/>
      <c r="JP11" s="11" cm="1">
        <f t="array" ref="JP11">IF(JC11="Hong Kong",_xll.BDP(IY11&amp;" Equity","PR414"),_xll.BDP(IY11&amp;" Equity","PR090"))</f>
        <v>1</v>
      </c>
      <c r="JQ11" s="11">
        <f t="shared" si="95"/>
        <v>80.010000000000005</v>
      </c>
      <c r="JR11" s="5">
        <f t="shared" si="96"/>
        <v>168.45805383808982</v>
      </c>
      <c r="JS11" s="8">
        <f t="shared" si="97"/>
        <v>4.2005250000000001E-2</v>
      </c>
      <c r="JT11" s="8">
        <f t="shared" si="98"/>
        <v>-2.719097292493311E-3</v>
      </c>
      <c r="JU11" s="5"/>
      <c r="JV11" s="21">
        <f t="shared" si="99"/>
        <v>1899.5826718238222</v>
      </c>
      <c r="JW11" s="22">
        <f t="shared" si="100"/>
        <v>2960.37</v>
      </c>
      <c r="JY11" s="16" t="str" cm="1">
        <f t="array" ref="JY11">_xll.BDP(JZ11&amp;" Equity","DS520")</f>
        <v>Autodesk Inc</v>
      </c>
      <c r="JZ11" s="32" t="s">
        <v>177</v>
      </c>
      <c r="KA11" s="32" t="s">
        <v>388</v>
      </c>
      <c r="KB11" s="32" t="str" cm="1">
        <f t="array" ref="KB11">_xll.BDP(JZ11&amp;" Equity", "ID_ISIN")</f>
        <v>US0527691069</v>
      </c>
      <c r="KC11" s="32"/>
      <c r="KD11" s="30" t="str">
        <f>_xll.BDP(JZ11&amp;" Equity", "DS197")</f>
        <v>NASDAQ GS</v>
      </c>
      <c r="KE11" s="30" t="s">
        <v>26</v>
      </c>
      <c r="KF11" s="30" t="s">
        <v>33</v>
      </c>
      <c r="KG11" s="30" t="s">
        <v>28</v>
      </c>
      <c r="KH11" s="30" t="str">
        <f>_xll.BDP(JZ11&amp;" Equity", "DS004")</f>
        <v>USD</v>
      </c>
      <c r="KI11" s="17" cm="1">
        <f t="array" ref="KI11">_xll.BDP(JZ11&amp;" Equity","PX_LAST")</f>
        <v>264.12</v>
      </c>
      <c r="KJ11" s="33">
        <f t="shared" si="101"/>
        <v>3.2899198962256897E-2</v>
      </c>
      <c r="KK11" s="33">
        <f t="shared" si="102"/>
        <v>3.1259312541901049E-2</v>
      </c>
      <c r="KM11" s="1" cm="1">
        <f t="array" ref="KM11">IF(KH11="USD",1,_xll.BDP(KH11&amp;"USD CURNCY","PX_LAST"))</f>
        <v>1</v>
      </c>
      <c r="KN11" s="18">
        <v>12369.0814138604</v>
      </c>
      <c r="KO11" s="11">
        <f t="shared" si="103"/>
        <v>3266921.7830288089</v>
      </c>
      <c r="KP11" s="5"/>
      <c r="KQ11" s="11" cm="1">
        <f t="array" ref="KQ11">IF(KD11="Hong Kong",_xll.BDP(JZ11&amp;" Equity","PR414"),_xll.BDP(JZ11&amp;" Equity","PR090"))</f>
        <v>1</v>
      </c>
      <c r="KR11" s="11">
        <f t="shared" si="104"/>
        <v>264.12</v>
      </c>
      <c r="KS11" s="5">
        <f t="shared" si="105"/>
        <v>39.85969887900275</v>
      </c>
      <c r="KT11" s="8">
        <f t="shared" si="106"/>
        <v>3.3014999999999996E-2</v>
      </c>
      <c r="KU11" s="8">
        <f t="shared" si="107"/>
        <v>3.5198740819175622E-3</v>
      </c>
      <c r="KV11" s="5"/>
      <c r="KW11" s="21">
        <f t="shared" si="108"/>
        <v>8028.1589926553424</v>
      </c>
      <c r="KX11" s="22">
        <f t="shared" si="109"/>
        <v>9772.44</v>
      </c>
      <c r="KZ11" s="16" t="str" cm="1">
        <f t="array" ref="KZ11">_xll.BDP(LA11&amp;" Equity","DS520")</f>
        <v>Lamar Advertising Co</v>
      </c>
      <c r="LA11" s="32" t="s">
        <v>254</v>
      </c>
      <c r="LB11" s="32" t="s">
        <v>373</v>
      </c>
      <c r="LC11" s="32" t="str" cm="1">
        <f t="array" ref="LC11">_xll.BDP(LA11&amp;" Equity", "ID_ISIN")</f>
        <v>US5128161099</v>
      </c>
      <c r="LD11" s="32"/>
      <c r="LE11" s="30" t="str">
        <f>_xll.BDP(LA11&amp;" Equity", "DS197")</f>
        <v>NASDAQ GS</v>
      </c>
      <c r="LF11" s="30" t="s">
        <v>26</v>
      </c>
      <c r="LG11" s="30" t="s">
        <v>33</v>
      </c>
      <c r="LH11" s="30" t="s">
        <v>28</v>
      </c>
      <c r="LI11" s="30" t="str">
        <f>_xll.BDP(LA11&amp;" Equity", "DS004")</f>
        <v>USD</v>
      </c>
      <c r="LJ11" s="17" cm="1">
        <f t="array" ref="LJ11">_xll.BDP(LA11&amp;" Equity","PX_LAST")</f>
        <v>138.46</v>
      </c>
      <c r="LK11" s="33">
        <f t="shared" si="18"/>
        <v>7.0520511241952646E-2</v>
      </c>
      <c r="LL11" s="33">
        <f t="shared" si="19"/>
        <v>6.696438787692803E-2</v>
      </c>
      <c r="LN11" s="1">
        <v>1</v>
      </c>
      <c r="LO11" s="18">
        <v>56283.929122247202</v>
      </c>
      <c r="LP11" s="11">
        <f t="shared" si="110"/>
        <v>7793072.8262663484</v>
      </c>
      <c r="LQ11" s="5"/>
      <c r="LR11" s="11" cm="1">
        <f t="array" ref="LR11">IF(LE11="Hong Kong",_xll.BDP(LA11&amp;" Equity","PR414"),_xll.BDP(LA11&amp;" Equity","PR090"))</f>
        <v>1</v>
      </c>
      <c r="LS11" s="11">
        <f t="shared" si="111"/>
        <v>138.46</v>
      </c>
      <c r="LT11" s="5">
        <f t="shared" si="112"/>
        <v>162.98254800971287</v>
      </c>
      <c r="LU11" s="8">
        <f t="shared" si="113"/>
        <v>7.0528062500000002E-2</v>
      </c>
      <c r="LV11" s="8">
        <f t="shared" si="114"/>
        <v>1.0707888973526813E-4</v>
      </c>
      <c r="LW11" s="5"/>
      <c r="LX11" s="21">
        <f t="shared" si="115"/>
        <v>1963.400400274327</v>
      </c>
      <c r="LY11" s="22">
        <f t="shared" si="116"/>
        <v>5123.0200000000004</v>
      </c>
      <c r="MA11" s="16" t="str" cm="1">
        <f t="array" ref="MA11">_xll.BDP(MB11&amp;" Equity","DS520")</f>
        <v>Bristol-Myers Squibb Co</v>
      </c>
      <c r="MB11" s="32" t="s">
        <v>317</v>
      </c>
      <c r="MC11" s="32" t="s">
        <v>324</v>
      </c>
      <c r="MD11" s="32" t="str" cm="1">
        <f t="array" ref="MD11">_xll.BDP(MB11&amp;" Equity", "ID_ISIN")</f>
        <v>US1101221083</v>
      </c>
      <c r="ME11" s="32"/>
      <c r="MF11" s="30" t="str">
        <f>_xll.BDP(MB11&amp;" Equity", "DS197")</f>
        <v>New York</v>
      </c>
      <c r="MG11" s="30" t="s">
        <v>26</v>
      </c>
      <c r="MH11" s="30" t="s">
        <v>33</v>
      </c>
      <c r="MI11" s="30" t="s">
        <v>28</v>
      </c>
      <c r="MJ11" s="30" t="str">
        <f>_xll.BDP(MB11&amp;" Equity", "DS004")</f>
        <v>USD</v>
      </c>
      <c r="MK11" s="17" cm="1">
        <f t="array" ref="MK11">_xll.BDP(MB11&amp;" Equity","PX_LAST")</f>
        <v>60.74</v>
      </c>
      <c r="ML11" s="33">
        <f t="shared" si="20"/>
        <v>2.9512088413688641E-2</v>
      </c>
      <c r="MM11" s="33">
        <f t="shared" si="21"/>
        <v>2.8018708303771921E-2</v>
      </c>
      <c r="MO11" s="1" cm="1">
        <f t="array" ref="MO11">IF(MJ11="USD",1,_xll.BDP(MJ11&amp;"USD CURNCY","PX_LAST"))</f>
        <v>1</v>
      </c>
      <c r="MP11" s="18">
        <v>87289.655601517399</v>
      </c>
      <c r="MQ11" s="11">
        <f t="shared" si="117"/>
        <v>5301973.6812361674</v>
      </c>
      <c r="MR11" s="5"/>
      <c r="MS11" s="11" cm="1">
        <f t="array" ref="MS11">IF(MF11="Hong Kong",_xll.BDP(MB11&amp;" Equity","PR414"),_xll.BDP(MB11&amp;" Equity","PR090"))</f>
        <v>1</v>
      </c>
      <c r="MT11" s="11">
        <f t="shared" si="118"/>
        <v>60.74</v>
      </c>
      <c r="MU11" s="5">
        <f t="shared" si="119"/>
        <v>155.48021554791512</v>
      </c>
      <c r="MV11" s="8">
        <f t="shared" si="120"/>
        <v>2.9420937500000001E-2</v>
      </c>
      <c r="MW11" s="8">
        <f t="shared" si="121"/>
        <v>-3.088595846248654E-3</v>
      </c>
      <c r="MX11" s="5"/>
      <c r="MY11" s="21">
        <f t="shared" si="122"/>
        <v>2058.1396730916158</v>
      </c>
      <c r="MZ11" s="22">
        <f t="shared" si="123"/>
        <v>2247.38</v>
      </c>
      <c r="NB11" s="16" t="str" cm="1">
        <f t="array" ref="NB11">_xll.BDP(NC11&amp;" Equity","DS520")</f>
        <v>Coca-Cola Femsa SAB de CV</v>
      </c>
      <c r="NC11" s="32" t="s">
        <v>268</v>
      </c>
      <c r="ND11" s="32" t="s">
        <v>342</v>
      </c>
      <c r="NE11" s="32" t="str" cm="1">
        <f t="array" ref="NE11">_xll.BDP(NC11&amp;" Equity", "ID_ISIN")</f>
        <v>US1912411089</v>
      </c>
      <c r="NF11" s="32"/>
      <c r="NG11" s="30" t="str">
        <f>_xll.BDP(NC11&amp;" Equity", "DS197")</f>
        <v>New York</v>
      </c>
      <c r="NH11" s="30" t="s">
        <v>26</v>
      </c>
      <c r="NI11" s="30" t="s">
        <v>33</v>
      </c>
      <c r="NJ11" s="30" t="s">
        <v>28</v>
      </c>
      <c r="NK11" s="30" t="str">
        <f>_xll.BDP(NC11&amp;" Equity", "DS004")</f>
        <v>USD</v>
      </c>
      <c r="NL11" s="17" cm="1">
        <f t="array" ref="NL11">_xll.BDP(NC11&amp;" Equity","PX_LAST")</f>
        <v>105.52</v>
      </c>
      <c r="NM11" s="33">
        <f t="shared" si="22"/>
        <v>3.6091167794548552E-2</v>
      </c>
      <c r="NN11" s="33">
        <f t="shared" si="23"/>
        <v>3.4260473617326231E-2</v>
      </c>
      <c r="NP11" s="1" cm="1">
        <f t="array" ref="NP11">IF(NK11="USD",1,_xll.BDP(NK11&amp;"USD CURNCY","PX_LAST"))</f>
        <v>1</v>
      </c>
      <c r="NQ11" s="18">
        <v>58472.111950514103</v>
      </c>
      <c r="NR11" s="11">
        <f t="shared" si="124"/>
        <v>6169977.2530182479</v>
      </c>
      <c r="NS11" s="5"/>
      <c r="NT11" s="11" cm="1">
        <f t="array" ref="NT11">IF(NG11="Hong Kong",_xll.BDP(NC11&amp;" Equity","PR414"),_xll.BDP(NC11&amp;" Equity","PR090"))</f>
        <v>1</v>
      </c>
      <c r="NU11" s="11">
        <f t="shared" si="125"/>
        <v>105.52</v>
      </c>
      <c r="NV11" s="5">
        <f t="shared" si="126"/>
        <v>109.45009187126172</v>
      </c>
      <c r="NW11" s="8">
        <f t="shared" si="127"/>
        <v>3.5942750000000002E-2</v>
      </c>
      <c r="NX11" s="8">
        <f t="shared" si="128"/>
        <v>-4.1123023614372256E-3</v>
      </c>
      <c r="NY11" s="5"/>
      <c r="NZ11" s="21">
        <f t="shared" si="129"/>
        <v>2923.7070022416519</v>
      </c>
      <c r="OA11" s="22">
        <f t="shared" si="130"/>
        <v>3904.24</v>
      </c>
      <c r="OC11" s="16" t="str" cm="1">
        <f t="array" ref="OC11">_xll.BDP(OD11&amp;" Equity","DS520")</f>
        <v>Deutsche Telekom AG</v>
      </c>
      <c r="OD11" s="32" t="s">
        <v>257</v>
      </c>
      <c r="OE11" s="32" t="s">
        <v>343</v>
      </c>
      <c r="OF11" s="32" t="str" cm="1">
        <f t="array" ref="OF11">_xll.BDP(OD11&amp;" Equity", "ID_ISIN")</f>
        <v>DE0005557508</v>
      </c>
      <c r="OG11" s="32"/>
      <c r="OH11" s="30" t="str">
        <f>_xll.BDP(OD11&amp;" Equity", "DS197")</f>
        <v>Xetra</v>
      </c>
      <c r="OI11" s="30" t="s">
        <v>26</v>
      </c>
      <c r="OJ11" s="30" t="s">
        <v>39</v>
      </c>
      <c r="OK11" s="30" t="s">
        <v>28</v>
      </c>
      <c r="OL11" s="30" t="str">
        <f>_xll.BDP(OD11&amp;" Equity", "DS004")</f>
        <v>EUR</v>
      </c>
      <c r="OM11" s="17" cm="1">
        <f t="array" ref="OM11">_xll.BDP(OD11&amp;" Equity","PX_LAST")</f>
        <v>32.97</v>
      </c>
      <c r="ON11" s="33">
        <f t="shared" si="24"/>
        <v>3.5853619670720475E-2</v>
      </c>
      <c r="OO11" s="33">
        <f t="shared" si="131"/>
        <v>3.399665493078155E-2</v>
      </c>
      <c r="OQ11" s="1" cm="1">
        <f t="array" ref="OQ11">IF(OL11="EUR",1,_xll.BDP(OL11&amp;"EUR CURNCY","PX_LAST"))</f>
        <v>1</v>
      </c>
      <c r="OR11" s="18">
        <v>200274.29306154</v>
      </c>
      <c r="OS11" s="11">
        <f t="shared" si="132"/>
        <v>6603043.4422389735</v>
      </c>
      <c r="OT11" s="5"/>
      <c r="OU11" s="11" cm="1">
        <f t="array" ref="OU11">IF(OH11="Hong Kong",_xll.BDP(OD11&amp;" Equity","PR414"),_xll.BDP(OD11&amp;" Equity","PR090"))</f>
        <v>1</v>
      </c>
      <c r="OV11" s="11">
        <f t="shared" si="133"/>
        <v>32.97</v>
      </c>
      <c r="OW11" s="5">
        <f t="shared" si="134"/>
        <v>347.98781603368371</v>
      </c>
      <c r="OX11" s="8">
        <f t="shared" si="135"/>
        <v>3.5854875000000001E-2</v>
      </c>
      <c r="OY11" s="8">
        <f t="shared" si="136"/>
        <v>3.5012623301522439E-5</v>
      </c>
      <c r="OZ11" s="5"/>
      <c r="PA11" s="21">
        <f t="shared" si="137"/>
        <v>919.57242540073696</v>
      </c>
      <c r="PB11" s="22">
        <f t="shared" si="138"/>
        <v>1219.8899999999999</v>
      </c>
      <c r="PD11" s="16" t="str" cm="1">
        <f t="array" ref="PD11">_xll.BDP(PE11&amp;" Equity","DS520")</f>
        <v>Sekisui Chemical Co Ltd</v>
      </c>
      <c r="PE11" s="32" t="s">
        <v>288</v>
      </c>
      <c r="PF11" s="32">
        <v>4204</v>
      </c>
      <c r="PG11" s="32" t="str" cm="1">
        <f t="array" ref="PG11">_xll.BDP(PE11&amp;" Equity", "ID_ISIN")</f>
        <v>JP3419400001</v>
      </c>
      <c r="PH11" s="32"/>
      <c r="PI11" s="30" t="str">
        <f>_xll.BDP(PE11&amp;" Equity", "DS197")</f>
        <v>Tokyo</v>
      </c>
      <c r="PJ11" s="30" t="s">
        <v>26</v>
      </c>
      <c r="PK11" s="71" t="s">
        <v>320</v>
      </c>
      <c r="PL11" s="30" t="s">
        <v>28</v>
      </c>
      <c r="PM11" s="30" t="str">
        <f>_xll.BDP(PE11&amp;" Equity", "DS004")</f>
        <v>JPY</v>
      </c>
      <c r="PN11" s="17" cm="1">
        <f t="array" ref="PN11">_xll.BDP(PE11&amp;" Equity","PX_LAST")</f>
        <v>2834.5</v>
      </c>
      <c r="PO11" s="33">
        <f t="shared" si="25"/>
        <v>4.3343637112653252E-2</v>
      </c>
      <c r="PP11" s="33">
        <f t="shared" si="26"/>
        <v>4.1174218248889782E-2</v>
      </c>
      <c r="PR11" s="1">
        <v>1</v>
      </c>
      <c r="PS11" s="18">
        <v>2946.9603251184699</v>
      </c>
      <c r="PT11" s="11">
        <f t="shared" si="139"/>
        <v>8353159.0415483033</v>
      </c>
      <c r="PU11" s="5"/>
      <c r="PV11" s="11" cm="1">
        <f t="array" ref="PV11">IF(PI11="Hong Kong",_xll.BDP(PE11&amp;" Equity","PR414"),_xll.BDP(PE11&amp;" Equity","PR090"))</f>
        <v>100</v>
      </c>
      <c r="PW11" s="11">
        <f t="shared" si="140"/>
        <v>283450</v>
      </c>
      <c r="PX11" s="5">
        <f t="shared" si="141"/>
        <v>4.893266493578776E-2</v>
      </c>
      <c r="PY11" s="8">
        <f t="shared" si="142"/>
        <v>0</v>
      </c>
      <c r="PZ11" s="8">
        <f t="shared" si="143"/>
        <v>-1</v>
      </c>
      <c r="QA11" s="5"/>
      <c r="QB11" s="21">
        <f t="shared" si="144"/>
        <v>6539598.8634570036</v>
      </c>
      <c r="QC11" s="22">
        <f t="shared" si="145"/>
        <v>10487650</v>
      </c>
      <c r="QE11" s="16" t="str" cm="1">
        <f t="array" ref="QE11">_xll.BDP(QF11&amp;" Equity","DS520")</f>
        <v>Cloudflare Inc</v>
      </c>
      <c r="QF11" s="34" t="s">
        <v>610</v>
      </c>
      <c r="QG11" s="34"/>
      <c r="QH11" s="32" t="str" cm="1">
        <f t="array" ref="QH11">_xll.BDP(QF11&amp;" Equity", "ID_ISIN")</f>
        <v>US18915M1071</v>
      </c>
      <c r="QI11" s="34"/>
      <c r="QJ11" s="30" t="str">
        <f>_xll.BDP(QF11&amp;" Equity", "DS197")</f>
        <v>New York</v>
      </c>
      <c r="QK11" s="30" t="s">
        <v>26</v>
      </c>
      <c r="QL11" s="30"/>
      <c r="QM11" s="30" t="s">
        <v>28</v>
      </c>
      <c r="QN11" s="30" t="str">
        <f>_xll.BDP(QF11&amp;" Equity", "DS004")</f>
        <v>USD</v>
      </c>
      <c r="QO11" s="17" cm="1">
        <f t="array" ref="QO11">_xll.BDP(QF11&amp;" Equity","PX_LAST")</f>
        <v>192.31</v>
      </c>
      <c r="QP11" s="33">
        <f t="shared" si="27"/>
        <v>2.9460726814883962E-2</v>
      </c>
      <c r="QQ11" s="33">
        <f t="shared" si="28"/>
        <v>2.7994878666063112E-2</v>
      </c>
      <c r="QS11" s="1" cm="1">
        <f t="array" ref="QS11">IF(QN11="USD",1,_xll.BDP(QN11&amp;"USD CURNCY","PX_LAST"))</f>
        <v>1</v>
      </c>
      <c r="QT11" s="18">
        <v>17476.4705236136</v>
      </c>
      <c r="QU11" s="11">
        <f t="shared" si="146"/>
        <v>3360900.0463961312</v>
      </c>
      <c r="QV11" s="5"/>
      <c r="QW11" s="11" cm="1">
        <f t="array" ref="QW11">IF(QJ11="Hong Kong",_xll.BDP(QF11&amp;" Equity","PR414"),_xll.BDP(QF11&amp;" Equity","PR090"))</f>
        <v>1</v>
      </c>
      <c r="QX11" s="11">
        <f t="shared" si="147"/>
        <v>192.31</v>
      </c>
      <c r="QY11" s="5">
        <f t="shared" si="148"/>
        <v>49.022061155233054</v>
      </c>
      <c r="QZ11" s="8">
        <f t="shared" si="149"/>
        <v>2.9447468750000001E-2</v>
      </c>
      <c r="RA11" s="8">
        <f t="shared" si="150"/>
        <v>-4.5002504409574762E-4</v>
      </c>
      <c r="RB11" s="5"/>
      <c r="RC11" s="21">
        <f t="shared" si="151"/>
        <v>6527.6733058344762</v>
      </c>
      <c r="RD11" s="22">
        <f t="shared" si="152"/>
        <v>7115.4699999999993</v>
      </c>
      <c r="RF11" s="16" t="str" cm="1">
        <f t="array" ref="RF11">_xll.BDP(RG11&amp;" Equity","DS520")</f>
        <v>Baidu Inc</v>
      </c>
      <c r="RG11" s="34" t="s">
        <v>225</v>
      </c>
      <c r="RH11" s="34"/>
      <c r="RI11" s="32" t="str" cm="1">
        <f t="array" ref="RI11">_xll.BDP(RG11&amp;" Equity", "ID_ISIN")</f>
        <v>US0567521085</v>
      </c>
      <c r="RJ11" s="34"/>
      <c r="RK11" s="30" t="str">
        <f>_xll.BDP(RG11&amp;" Equity", "DS197")</f>
        <v>NASDAQ GS</v>
      </c>
      <c r="RL11" s="30" t="s">
        <v>26</v>
      </c>
      <c r="RM11" s="30"/>
      <c r="RN11" s="30" t="s">
        <v>28</v>
      </c>
      <c r="RO11" s="30" t="str">
        <f>_xll.BDP(RG11&amp;" Equity", "DS004")</f>
        <v>USD</v>
      </c>
      <c r="RP11" s="17" cm="1">
        <f t="array" ref="RP11">_xll.BDP(RG11&amp;" Equity","PX_LAST")</f>
        <v>117.93</v>
      </c>
      <c r="RQ11" s="33">
        <f t="shared" si="153"/>
        <v>2.543698734879412E-2</v>
      </c>
      <c r="RR11" s="33">
        <f t="shared" si="154"/>
        <v>2.4188332311204798E-2</v>
      </c>
      <c r="RT11" s="1" cm="1">
        <f t="array" ref="RT11">IF(RO11="USD",1,_xll.BDP(RO11&amp;"USD CURNCY","PX_LAST"))</f>
        <v>1</v>
      </c>
      <c r="RU11" s="18">
        <v>21735.802847084</v>
      </c>
      <c r="RV11" s="11">
        <f t="shared" si="155"/>
        <v>2563303.2297566161</v>
      </c>
      <c r="RW11" s="5"/>
      <c r="RX11" s="11" cm="1">
        <f t="array" ref="RX11">IF(RK11="Hong Kong",_xll.BDP(RG11&amp;" Equity","PR414"),_xll.BDP(RG11&amp;" Equity","PR090"))</f>
        <v>1</v>
      </c>
      <c r="RY11" s="11">
        <f t="shared" si="156"/>
        <v>117.93</v>
      </c>
      <c r="RZ11" s="5">
        <f t="shared" si="157"/>
        <v>69.022606220759073</v>
      </c>
      <c r="SA11" s="8">
        <f t="shared" si="158"/>
        <v>2.5428656250000001E-2</v>
      </c>
      <c r="SB11" s="8">
        <f t="shared" si="159"/>
        <v>-3.2751908391837059E-4</v>
      </c>
      <c r="SC11" s="5"/>
      <c r="SD11" s="21">
        <f t="shared" si="160"/>
        <v>4636.1622303354516</v>
      </c>
      <c r="SE11" s="22">
        <f t="shared" si="161"/>
        <v>4363.41</v>
      </c>
    </row>
    <row r="12" spans="15:499" x14ac:dyDescent="0.2">
      <c r="O12" s="16" t="str" cm="1">
        <f t="array" ref="O12">_xll.BDP(P12&amp;" Equity","DS520")</f>
        <v>Amazon.com Inc</v>
      </c>
      <c r="P12" s="32" t="s">
        <v>41</v>
      </c>
      <c r="Q12" s="32" t="s">
        <v>42</v>
      </c>
      <c r="R12" s="32" t="str" cm="1">
        <f t="array" ref="R12">_xll.BDP(P12&amp;" Equity", "ID_ISIN")</f>
        <v>US0231351067</v>
      </c>
      <c r="S12" s="32"/>
      <c r="T12" s="30" t="str">
        <f>_xll.BDP(P12&amp;" Equity", "DS197")</f>
        <v>NASDAQ GS</v>
      </c>
      <c r="U12" s="30" t="s">
        <v>26</v>
      </c>
      <c r="V12" s="30" t="s">
        <v>33</v>
      </c>
      <c r="W12" s="30" t="s">
        <v>28</v>
      </c>
      <c r="X12" s="30" t="str">
        <f>_xll.BDP(P12&amp;" Equity", "DS004")</f>
        <v>USD</v>
      </c>
      <c r="Y12" s="17" cm="1">
        <f t="array" ref="Y12">_xll.BDP(P12&amp;" Equity","PX_LAST")</f>
        <v>218.94</v>
      </c>
      <c r="Z12" s="33">
        <f t="shared" si="0"/>
        <v>2.9049611180579849E-2</v>
      </c>
      <c r="AA12" s="33">
        <f t="shared" si="1"/>
        <v>2.759810691194059E-2</v>
      </c>
      <c r="AB12" s="4"/>
      <c r="AC12" s="1" cm="1">
        <f t="array" ref="AC12">IF(X12="USD",1,_xll.BDP(X12&amp;"USD CURNCY","PX_LAST"))</f>
        <v>1</v>
      </c>
      <c r="AD12" s="18">
        <v>27304.952664266501</v>
      </c>
      <c r="AE12" s="11">
        <f t="shared" ref="AE12:AE42" si="169">AD12*Y12*AC12</f>
        <v>5978146.3363145078</v>
      </c>
      <c r="AF12" s="5"/>
      <c r="AG12" s="11" cm="1">
        <f t="array" ref="AG12">IF(T12="Hong Kong",_xll.BDP(P12&amp;" Equity","PR414"),_xll.BDP(P12&amp;" Equity","PR090"))</f>
        <v>1</v>
      </c>
      <c r="AH12" s="11">
        <f t="shared" ref="AH12:AH41" si="170">AG12*AC12*Y12</f>
        <v>218.94</v>
      </c>
      <c r="AI12" s="5">
        <f t="shared" ref="AI12:AI41" si="171">($AJ$3*Z12)/AH12</f>
        <v>42.458552926763275</v>
      </c>
      <c r="AJ12" s="8">
        <f t="shared" ref="AJ12:AJ41" si="172">(ROUND(AI12,0)*AH12)/$AJ$3</f>
        <v>2.8735874999999998E-2</v>
      </c>
      <c r="AK12" s="8">
        <f t="shared" ref="AK12:AK41" si="173">AJ12/Z12-1</f>
        <v>-1.080001307520384E-2</v>
      </c>
      <c r="AL12" s="5"/>
      <c r="AM12" s="21">
        <f t="shared" ref="AM12:AM41" si="174">IFERROR(AH12/Z12,0)</f>
        <v>7536.7618051413046</v>
      </c>
      <c r="AN12" s="22">
        <f t="shared" ref="AN12:AN41" si="175">AH12/(1/COUNTA($P$6:$P$77))</f>
        <v>8100.78</v>
      </c>
      <c r="AP12" s="16" t="str" cm="1">
        <f t="array" ref="AP12">_xll.BDP(AQ12&amp;" Equity","DS520")</f>
        <v>HCA Healthcare Inc</v>
      </c>
      <c r="AQ12" s="32" t="s">
        <v>97</v>
      </c>
      <c r="AR12" s="32" t="s">
        <v>361</v>
      </c>
      <c r="AS12" s="32" t="str" cm="1">
        <f t="array" ref="AS12">_xll.BDP(AQ12&amp;" Equity", "ID_ISIN")</f>
        <v>US40412C1018</v>
      </c>
      <c r="AT12" s="32"/>
      <c r="AU12" s="30" t="str">
        <f>_xll.BDP(AQ12&amp;" Equity", "DS197")</f>
        <v>New York</v>
      </c>
      <c r="AV12" s="30" t="s">
        <v>26</v>
      </c>
      <c r="AW12" s="30" t="s">
        <v>33</v>
      </c>
      <c r="AX12" s="30" t="s">
        <v>28</v>
      </c>
      <c r="AY12" s="30" t="str">
        <f>_xll.BDP(AQ12&amp;" Equity", "DS004")</f>
        <v>USD</v>
      </c>
      <c r="AZ12" s="17" cm="1">
        <f t="array" ref="AZ12">_xll.BDP(AQ12&amp;" Equity","PX_LAST")</f>
        <v>534.47</v>
      </c>
      <c r="BA12" s="33">
        <f t="shared" si="4"/>
        <v>5.9085845090174019E-2</v>
      </c>
      <c r="BB12" s="33">
        <f t="shared" si="34"/>
        <v>5.611249165696728E-2</v>
      </c>
      <c r="BD12" s="1" cm="1">
        <f t="array" ref="BD12">IF(AY12="USD",1,_xll.BDP(AY12&amp;"USD CURNCY","PX_LAST"))</f>
        <v>1</v>
      </c>
      <c r="BE12" s="18">
        <v>18201.432434542301</v>
      </c>
      <c r="BF12" s="11">
        <f t="shared" si="35"/>
        <v>9728119.5932898242</v>
      </c>
      <c r="BG12" s="5"/>
      <c r="BH12" s="11" cm="1">
        <f t="array" ref="BH12">IF(AU12="Hong Kong",_xll.BDP(AQ12&amp;" Equity","PR414"),_xll.BDP(AQ12&amp;" Equity","PR090"))</f>
        <v>1</v>
      </c>
      <c r="BI12" s="11">
        <f t="shared" si="36"/>
        <v>534.47</v>
      </c>
      <c r="BJ12" s="5">
        <f t="shared" si="37"/>
        <v>35.37611171600966</v>
      </c>
      <c r="BK12" s="8">
        <f t="shared" si="38"/>
        <v>5.8457656250000004E-2</v>
      </c>
      <c r="BL12" s="8">
        <f t="shared" si="39"/>
        <v>-1.0631799193449809E-2</v>
      </c>
      <c r="BM12" s="5"/>
      <c r="BN12" s="21">
        <f t="shared" si="40"/>
        <v>9045.6521216598867</v>
      </c>
      <c r="BO12" s="22">
        <f t="shared" si="41"/>
        <v>19775.39</v>
      </c>
      <c r="BQ12" s="16" t="str" cm="1">
        <f t="array" ref="BQ12">_xll.BDP(BR12&amp;" Equity","DS520")</f>
        <v>Japan Hotel REIT Investment Corp</v>
      </c>
      <c r="BR12" s="32" t="s">
        <v>752</v>
      </c>
      <c r="BS12" s="32">
        <v>8985</v>
      </c>
      <c r="BT12" s="32" t="str" cm="1">
        <f t="array" ref="BT12">_xll.BDP(BR12&amp;" Equity", "ID_ISIN")</f>
        <v>JP3046400002</v>
      </c>
      <c r="BU12" s="32"/>
      <c r="BV12" s="30" t="str">
        <f>_xll.BDP(BR12&amp;" Equity", "DS197")</f>
        <v>Tokyo</v>
      </c>
      <c r="BW12" s="30" t="s">
        <v>26</v>
      </c>
      <c r="BX12" s="71" t="s">
        <v>320</v>
      </c>
      <c r="BY12" s="30" t="s">
        <v>28</v>
      </c>
      <c r="BZ12" s="30" t="str">
        <f>_xll.BDP(BR12&amp;" Equity", "DS004")</f>
        <v>JPY</v>
      </c>
      <c r="CA12" s="17" cm="1">
        <f t="array" ref="CA12">_xll.BDP(BR12&amp;" Equity","PX_LAST")</f>
        <v>80500</v>
      </c>
      <c r="CB12" s="33">
        <f t="shared" si="5"/>
        <v>5.8397420189974965E-2</v>
      </c>
      <c r="CC12" s="33">
        <f t="shared" si="42"/>
        <v>5.5472550982387375E-2</v>
      </c>
      <c r="CE12" s="1">
        <v>1</v>
      </c>
      <c r="CF12" s="18">
        <v>455.11553542337299</v>
      </c>
      <c r="CG12" s="11">
        <f t="shared" si="43"/>
        <v>36636800.601581529</v>
      </c>
      <c r="CH12" s="5"/>
      <c r="CI12" s="11" cm="1">
        <f t="array" ref="CI12">IF(BV12="Hong Kong",_xll.BDP(BR12&amp;" Equity","PR414"),_xll.BDP(BR12&amp;" Equity","PR090"))</f>
        <v>1</v>
      </c>
      <c r="CJ12" s="11">
        <f t="shared" si="44"/>
        <v>80500</v>
      </c>
      <c r="CK12" s="5">
        <f t="shared" si="45"/>
        <v>0.23213881317754026</v>
      </c>
      <c r="CL12" s="8">
        <f t="shared" si="46"/>
        <v>0</v>
      </c>
      <c r="CM12" s="8">
        <f t="shared" si="47"/>
        <v>-1</v>
      </c>
      <c r="CN12" s="5"/>
      <c r="CO12" s="21">
        <f t="shared" si="48"/>
        <v>1378485.5518980506</v>
      </c>
      <c r="CP12" s="22">
        <f t="shared" si="49"/>
        <v>2978500</v>
      </c>
      <c r="CR12" s="16" t="str" cm="1">
        <f t="array" ref="CR12">_xll.BDP(CS12&amp;" Equity","DS520")</f>
        <v>Gaming and Leisure Properties Inc</v>
      </c>
      <c r="CS12" s="32" t="s">
        <v>120</v>
      </c>
      <c r="CT12" s="32" t="s">
        <v>372</v>
      </c>
      <c r="CU12" s="32" t="str" cm="1">
        <f t="array" ref="CU12">_xll.BDP(CS12&amp;" Equity", "ID_ISIN")</f>
        <v>US36467J1088</v>
      </c>
      <c r="CV12" s="32"/>
      <c r="CW12" s="30" t="str">
        <f>_xll.BDP(CS12&amp;" Equity", "DS197")</f>
        <v>NASDAQ GS</v>
      </c>
      <c r="CX12" s="30" t="s">
        <v>26</v>
      </c>
      <c r="CY12" s="30" t="s">
        <v>33</v>
      </c>
      <c r="CZ12" s="30" t="s">
        <v>28</v>
      </c>
      <c r="DA12" s="30" t="str">
        <f>_xll.BDP(CS12&amp;" Equity", "DS004")</f>
        <v>USD</v>
      </c>
      <c r="DB12" s="17" cm="1">
        <f t="array" ref="DB12">_xll.BDP(CS12&amp;" Equity","PX_LAST")</f>
        <v>49.36</v>
      </c>
      <c r="DC12" s="33">
        <f t="shared" si="6"/>
        <v>5.4027602065163167E-2</v>
      </c>
      <c r="DD12" s="33">
        <f t="shared" si="7"/>
        <v>5.130906236781374E-2</v>
      </c>
      <c r="DF12" s="1" cm="1">
        <f t="array" ref="DF12">IF(DA12="USD",1,_xll.BDP(DA12&amp;"USD CURNCY","PX_LAST"))</f>
        <v>1</v>
      </c>
      <c r="DG12" s="18">
        <v>198506.032212069</v>
      </c>
      <c r="DH12" s="11">
        <f t="shared" si="8"/>
        <v>9798257.7499877252</v>
      </c>
      <c r="DI12" s="5"/>
      <c r="DJ12" s="11" cm="1">
        <f t="array" ref="DJ12">IF(CW12="Hong Kong",_xll.BDP(CS12&amp;" Equity","PR414"),_xll.BDP(CS12&amp;" Equity","PR090"))</f>
        <v>1</v>
      </c>
      <c r="DK12" s="11">
        <f t="shared" si="9"/>
        <v>49.36</v>
      </c>
      <c r="DL12" s="5">
        <f t="shared" si="50"/>
        <v>350.25998097350515</v>
      </c>
      <c r="DM12" s="8">
        <f t="shared" si="51"/>
        <v>5.3987500000000001E-2</v>
      </c>
      <c r="DN12" s="8">
        <f t="shared" si="52"/>
        <v>-7.4225143501283064E-4</v>
      </c>
      <c r="DO12" s="5"/>
      <c r="DP12" s="21">
        <f t="shared" si="53"/>
        <v>913.60708440227404</v>
      </c>
      <c r="DQ12" s="22">
        <f t="shared" si="54"/>
        <v>1826.32</v>
      </c>
      <c r="DS12" s="16" t="str" cm="1">
        <f t="array" ref="DS12">_xll.BDP(DT12&amp;" Equity","DS520")</f>
        <v>GSK PLC</v>
      </c>
      <c r="DT12" s="32" t="s">
        <v>96</v>
      </c>
      <c r="DU12" s="32" t="s">
        <v>333</v>
      </c>
      <c r="DV12" s="32" t="str" cm="1">
        <f t="array" ref="DV12">_xll.BDP(DT12&amp;" Equity", "ID_ISIN")</f>
        <v>GB00BN7SWP63</v>
      </c>
      <c r="DW12" s="32"/>
      <c r="DX12" s="30" t="str">
        <f>_xll.BDP(DT12&amp;" Equity", "DS197")</f>
        <v>London</v>
      </c>
      <c r="DY12" s="30" t="s">
        <v>26</v>
      </c>
      <c r="DZ12" s="30" t="s">
        <v>129</v>
      </c>
      <c r="EA12" s="30" t="s">
        <v>28</v>
      </c>
      <c r="EB12" s="43" t="str">
        <f>_xll.BDP(DT12&amp;" Equity", "DS004")</f>
        <v>GBp</v>
      </c>
      <c r="EC12" s="17" cm="1">
        <f t="array" ref="EC12">_xll.BDP(DT12&amp;" Equity","PX_LAST")/100</f>
        <v>20.76</v>
      </c>
      <c r="ED12" s="33">
        <f t="shared" si="55"/>
        <v>6.0269076103072076E-2</v>
      </c>
      <c r="EE12" s="33">
        <f t="shared" si="56"/>
        <v>5.7171716378297578E-2</v>
      </c>
      <c r="EG12" s="1">
        <v>1</v>
      </c>
      <c r="EH12" s="18">
        <v>479091.67897621699</v>
      </c>
      <c r="EI12" s="11">
        <f t="shared" si="57"/>
        <v>9945943.2555462662</v>
      </c>
      <c r="EJ12" s="5"/>
      <c r="EK12" s="11" cm="1">
        <f t="array" ref="EK12">IF(DX12="Hong Kong",_xll.BDP(DT12&amp;" Equity","PR414"),_xll.BDP(DT12&amp;" Equity","PR090"))</f>
        <v>1</v>
      </c>
      <c r="EL12" s="11">
        <f t="shared" si="58"/>
        <v>20.76</v>
      </c>
      <c r="EM12" s="5">
        <f t="shared" si="59"/>
        <v>929.0030998546755</v>
      </c>
      <c r="EN12" s="8">
        <f t="shared" si="60"/>
        <v>6.0268875E-2</v>
      </c>
      <c r="EO12" s="8">
        <f t="shared" si="61"/>
        <v>-3.3367538558870535E-6</v>
      </c>
      <c r="EP12" s="5"/>
      <c r="EQ12" s="21">
        <f t="shared" si="62"/>
        <v>344.45525537003891</v>
      </c>
      <c r="ER12" s="22">
        <f t="shared" si="63"/>
        <v>768.12</v>
      </c>
      <c r="ET12" s="16" t="str" cm="1">
        <f t="array" ref="ET12">_xll.BDP(EU12&amp;" Equity","DS520")</f>
        <v>Verizon Communications Inc</v>
      </c>
      <c r="EU12" s="32" t="s">
        <v>74</v>
      </c>
      <c r="EV12" s="32" t="s">
        <v>75</v>
      </c>
      <c r="EW12" s="32" t="str" cm="1">
        <f t="array" ref="EW12">_xll.BDP(EU12&amp;" Equity", "ID_ISIN")</f>
        <v>US92343V1044</v>
      </c>
      <c r="EX12" s="32"/>
      <c r="EY12" s="30" t="str">
        <f>_xll.BDP(EU12&amp;" Equity", "DS197")</f>
        <v>New York</v>
      </c>
      <c r="EZ12" s="30" t="s">
        <v>26</v>
      </c>
      <c r="FA12" s="30" t="s">
        <v>33</v>
      </c>
      <c r="FB12" s="30" t="s">
        <v>28</v>
      </c>
      <c r="FC12" s="30" t="str">
        <f>_xll.BDP(EU12&amp;" Equity", "DS004")</f>
        <v>USD</v>
      </c>
      <c r="FD12" s="17" cm="1">
        <f t="array" ref="FD12">_xll.BDP(EU12&amp;" Equity","PX_LAST")</f>
        <v>51.18</v>
      </c>
      <c r="FE12" s="33">
        <f t="shared" si="10"/>
        <v>3.7127865324902053E-2</v>
      </c>
      <c r="FF12" s="33">
        <f t="shared" si="11"/>
        <v>3.52704905153364E-2</v>
      </c>
      <c r="FH12" s="1" cm="1">
        <f t="array" ref="FH12">IF(FC12="USD",1,_xll.BDP(FC12&amp;"USD CURNCY","PX_LAST"))</f>
        <v>1</v>
      </c>
      <c r="FI12" s="18">
        <v>148657.539518042</v>
      </c>
      <c r="FJ12" s="11">
        <f t="shared" si="64"/>
        <v>7608292.8725333894</v>
      </c>
      <c r="FK12" s="5"/>
      <c r="FL12" s="11" cm="1">
        <f t="array" ref="FL12">IF(EY12="Hong Kong",_xll.BDP(EU12&amp;" Equity","PR414"),_xll.BDP(EU12&amp;" Equity","PR090"))</f>
        <v>1</v>
      </c>
      <c r="FM12" s="11">
        <f t="shared" si="65"/>
        <v>51.18</v>
      </c>
      <c r="FN12" s="5">
        <f t="shared" si="66"/>
        <v>232.13983790481939</v>
      </c>
      <c r="FO12" s="8">
        <f t="shared" si="67"/>
        <v>3.71055E-2</v>
      </c>
      <c r="FP12" s="8">
        <f t="shared" si="68"/>
        <v>-6.0238650152211193E-4</v>
      </c>
      <c r="FQ12" s="5"/>
      <c r="FR12" s="21">
        <f t="shared" si="69"/>
        <v>1378.4794668944521</v>
      </c>
      <c r="FS12" s="22">
        <f t="shared" si="70"/>
        <v>1893.6599999999999</v>
      </c>
      <c r="FU12" s="16" t="str" cm="1">
        <f t="array" ref="FU12">_xll.BDP(FV12&amp;" Equity","DS520")</f>
        <v>Apple Inc</v>
      </c>
      <c r="FV12" s="32" t="s">
        <v>31</v>
      </c>
      <c r="FW12" s="32" t="s">
        <v>32</v>
      </c>
      <c r="FX12" s="32" t="str" cm="1">
        <f t="array" ref="FX12">_xll.BDP(FV12&amp;" Equity", "ID_ISIN")</f>
        <v>US0378331005</v>
      </c>
      <c r="FY12" s="32"/>
      <c r="FZ12" s="30" t="str">
        <f>_xll.BDP(FV12&amp;" Equity", "DS197")</f>
        <v>NASDAQ GS</v>
      </c>
      <c r="GA12" s="30" t="s">
        <v>26</v>
      </c>
      <c r="GB12" s="30" t="s">
        <v>33</v>
      </c>
      <c r="GC12" s="30" t="s">
        <v>28</v>
      </c>
      <c r="GD12" s="30" t="str">
        <f>_xll.BDP(FV12&amp;" Equity", "DS004")</f>
        <v>USD</v>
      </c>
      <c r="GE12" s="17" cm="1">
        <f t="array" ref="GE12">_xll.BDP(FV12&amp;" Equity","PX_LAST")</f>
        <v>260.29000000000002</v>
      </c>
      <c r="GF12" s="33">
        <f t="shared" si="12"/>
        <v>3.1973112129702434E-2</v>
      </c>
      <c r="GG12" s="33">
        <f t="shared" si="13"/>
        <v>3.0373001792536741E-2</v>
      </c>
      <c r="GI12" s="1" cm="1">
        <f t="array" ref="GI12">IF(GD12="USD",1,_xll.BDP(GD12&amp;"USD CURNCY","PX_LAST"))</f>
        <v>1</v>
      </c>
      <c r="GJ12" s="18">
        <v>25426.8017401043</v>
      </c>
      <c r="GK12" s="11">
        <f t="shared" si="71"/>
        <v>6618342.2249317486</v>
      </c>
      <c r="GL12" s="5"/>
      <c r="GM12" s="11" cm="1">
        <f t="array" ref="GM12">IF(FZ12="Hong Kong",_xll.BDP(FV12&amp;" Equity","PR414"),_xll.BDP(FV12&amp;" Equity","PR090"))</f>
        <v>1</v>
      </c>
      <c r="GN12" s="11">
        <f t="shared" si="72"/>
        <v>260.29000000000002</v>
      </c>
      <c r="GO12" s="5">
        <f t="shared" si="73"/>
        <v>39.307679440258092</v>
      </c>
      <c r="GP12" s="8">
        <f t="shared" si="74"/>
        <v>3.1722843750000007E-2</v>
      </c>
      <c r="GQ12" s="8">
        <f t="shared" si="75"/>
        <v>-7.8274638604833857E-3</v>
      </c>
      <c r="GR12" s="5"/>
      <c r="GS12" s="21">
        <f t="shared" si="76"/>
        <v>8140.9028606319307</v>
      </c>
      <c r="GT12" s="22">
        <f t="shared" si="77"/>
        <v>9630.73</v>
      </c>
      <c r="GV12" s="16" t="str" cm="1">
        <f t="array" ref="GV12">_xll.BDP(GW12&amp;" Equity","DS520")</f>
        <v>Bridgestone Corp</v>
      </c>
      <c r="GW12" s="32" t="s">
        <v>190</v>
      </c>
      <c r="GX12" s="32">
        <v>5108</v>
      </c>
      <c r="GY12" s="32" t="str" cm="1">
        <f t="array" ref="GY12">_xll.BDP(GW12&amp;" Equity", "ID_ISIN")</f>
        <v>JP3830800003</v>
      </c>
      <c r="GZ12" s="32"/>
      <c r="HA12" s="30" t="str">
        <f>_xll.BDP(GW12&amp;" Equity", "DS197")</f>
        <v>Tokyo</v>
      </c>
      <c r="HB12" s="30" t="s">
        <v>26</v>
      </c>
      <c r="HC12" s="30" t="s">
        <v>320</v>
      </c>
      <c r="HD12" s="30" t="s">
        <v>28</v>
      </c>
      <c r="HE12" s="30" t="str">
        <f>_xll.BDP(GW12&amp;" Equity", "DS004")</f>
        <v>JPY</v>
      </c>
      <c r="HF12" s="17" cm="1">
        <f t="array" ref="HF12">_xll.BDP(GW12&amp;" Equity","PX_LAST")</f>
        <v>3465</v>
      </c>
      <c r="HG12" s="33">
        <f t="shared" si="14"/>
        <v>1.3659893936878109E-2</v>
      </c>
      <c r="HH12" s="33">
        <f t="shared" si="78"/>
        <v>1.2975869699606568E-2</v>
      </c>
      <c r="HJ12" s="1" cm="1">
        <f t="array" ref="HJ12">IF(HE12="USD",1,_xll.BDP(HE12&amp;"USD CURNCY","PX_LAST"))</f>
        <v>6.3369999999999998E-3</v>
      </c>
      <c r="HK12" s="18">
        <v>101459.264643755</v>
      </c>
      <c r="HL12" s="11">
        <f t="shared" si="79"/>
        <v>2227812.6025645025</v>
      </c>
      <c r="HM12" s="5"/>
      <c r="HN12" s="11" cm="1">
        <f t="array" ref="HN12">IF(HA12="Hong Kong",_xll.BDP(GW12&amp;" Equity","PR414"),_xll.BDP(GW12&amp;" Equity","PR090"))</f>
        <v>100</v>
      </c>
      <c r="HO12" s="11">
        <f t="shared" si="80"/>
        <v>2195.7704999999996</v>
      </c>
      <c r="HP12" s="5">
        <f t="shared" si="81"/>
        <v>1.9907208243306829</v>
      </c>
      <c r="HQ12" s="8">
        <f t="shared" si="82"/>
        <v>1.3723565624999998E-2</v>
      </c>
      <c r="HR12" s="8">
        <f t="shared" si="83"/>
        <v>4.6612139461779112E-3</v>
      </c>
      <c r="HS12" s="5"/>
      <c r="HT12" s="21">
        <f t="shared" si="84"/>
        <v>160745.79423138849</v>
      </c>
      <c r="HU12" s="22">
        <f t="shared" si="85"/>
        <v>81243.508499999982</v>
      </c>
      <c r="HW12" s="16" t="str" cm="1">
        <f t="array" ref="HW12">_xll.BDP(HX12&amp;" Equity","DS520")</f>
        <v>China Shenhua Energy Co Ltd</v>
      </c>
      <c r="HX12" s="45" t="s">
        <v>209</v>
      </c>
      <c r="HY12" s="32">
        <v>1088</v>
      </c>
      <c r="HZ12" s="32" t="str" cm="1">
        <f t="array" ref="HZ12">_xll.BDP(HX12&amp;" Equity", "ID_ISIN")</f>
        <v>CNE1000002R0</v>
      </c>
      <c r="IA12" s="45"/>
      <c r="IB12" s="30" t="str">
        <f>_xll.BDP(HX12&amp;" Equity", "DS197")</f>
        <v>Hong Kong</v>
      </c>
      <c r="IC12" s="30" t="s">
        <v>26</v>
      </c>
      <c r="ID12" s="30" t="s">
        <v>27</v>
      </c>
      <c r="IE12" s="30" t="s">
        <v>28</v>
      </c>
      <c r="IF12" s="30" t="str">
        <f>_xll.BDP(HX12&amp;" Equity", "DS004")</f>
        <v>HKD</v>
      </c>
      <c r="IG12" s="17" cm="1">
        <f t="array" ref="IG12">_xll.BDP(HX12&amp;" Equity","PX_LAST")</f>
        <v>45.34</v>
      </c>
      <c r="IH12" s="33">
        <f t="shared" si="15"/>
        <v>4.473980974386698E-2</v>
      </c>
      <c r="II12" s="33">
        <f t="shared" si="16"/>
        <v>4.2525712623715413E-2</v>
      </c>
      <c r="IK12" s="1">
        <v>1</v>
      </c>
      <c r="IL12" s="18">
        <v>187031.53407043699</v>
      </c>
      <c r="IM12" s="11">
        <f t="shared" si="86"/>
        <v>8480009.7547536138</v>
      </c>
      <c r="IN12" s="5"/>
      <c r="IO12" s="11" cm="1">
        <f t="array" ref="IO12">IF(IB12="Hong Kong",_xll.BDP(HX12&amp;" Equity","PR414"),_xll.BDP(HX12&amp;" Equity","PR090"))</f>
        <v>500</v>
      </c>
      <c r="IP12" s="11">
        <f t="shared" si="87"/>
        <v>22670</v>
      </c>
      <c r="IQ12" s="5">
        <f t="shared" si="88"/>
        <v>0.63152797168228647</v>
      </c>
      <c r="IR12" s="8">
        <f t="shared" si="89"/>
        <v>7.0843749999999997E-2</v>
      </c>
      <c r="IS12" s="8">
        <f t="shared" si="90"/>
        <v>0.58346113686170509</v>
      </c>
      <c r="IT12" s="5"/>
      <c r="IU12" s="21">
        <f t="shared" si="91"/>
        <v>506707.56379574561</v>
      </c>
      <c r="IV12" s="22">
        <f t="shared" si="92"/>
        <v>838790</v>
      </c>
      <c r="IX12" s="16" t="str" cm="1">
        <f t="array" ref="IX12">_xll.BDP(IY12&amp;" Equity","DS520")</f>
        <v>Deere &amp; Co</v>
      </c>
      <c r="IY12" s="32" t="s">
        <v>226</v>
      </c>
      <c r="IZ12" s="32" t="s">
        <v>394</v>
      </c>
      <c r="JA12" s="32" t="str" cm="1">
        <f t="array" ref="JA12">_xll.BDP(IY12&amp;" Equity", "ID_ISIN")</f>
        <v>US2441991054</v>
      </c>
      <c r="JB12" s="32"/>
      <c r="JC12" s="30" t="str">
        <f>_xll.BDP(IY12&amp;" Equity", "DS197")</f>
        <v>New York</v>
      </c>
      <c r="JD12" s="30" t="s">
        <v>26</v>
      </c>
      <c r="JE12" s="30" t="s">
        <v>33</v>
      </c>
      <c r="JF12" s="30" t="s">
        <v>28</v>
      </c>
      <c r="JG12" s="30" t="str">
        <f>_xll.BDP(IY12&amp;" Equity", "DS004")</f>
        <v>USD</v>
      </c>
      <c r="JH12" s="17" cm="1">
        <f t="array" ref="JH12">_xll.BDP(IY12&amp;" Equity","PX_LAST")</f>
        <v>590.69000000000005</v>
      </c>
      <c r="JI12" s="33">
        <f t="shared" si="93"/>
        <v>4.4806350814294502E-2</v>
      </c>
      <c r="JJ12" s="33">
        <f t="shared" si="17"/>
        <v>4.2563745201239435E-2</v>
      </c>
      <c r="JL12" s="1" cm="1">
        <f t="array" ref="JL12">IF(JG12="USD",1,_xll.BDP(JG12&amp;"USD CURNCY","PX_LAST"))</f>
        <v>1</v>
      </c>
      <c r="JM12" s="18">
        <v>9253.84882984674</v>
      </c>
      <c r="JN12" s="11">
        <f t="shared" si="94"/>
        <v>5466155.9653021712</v>
      </c>
      <c r="JO12" s="5"/>
      <c r="JP12" s="11" cm="1">
        <f t="array" ref="JP12">IF(JC12="Hong Kong",_xll.BDP(IY12&amp;" Equity","PR414"),_xll.BDP(IY12&amp;" Equity","PR090"))</f>
        <v>1</v>
      </c>
      <c r="JQ12" s="11">
        <f t="shared" si="95"/>
        <v>590.69000000000005</v>
      </c>
      <c r="JR12" s="5">
        <f t="shared" si="96"/>
        <v>24.273362102920718</v>
      </c>
      <c r="JS12" s="8">
        <f t="shared" si="97"/>
        <v>4.4301750000000001E-2</v>
      </c>
      <c r="JT12" s="8">
        <f t="shared" si="98"/>
        <v>-1.1261814566999262E-2</v>
      </c>
      <c r="JU12" s="5"/>
      <c r="JV12" s="21">
        <f t="shared" si="99"/>
        <v>13183.175805773344</v>
      </c>
      <c r="JW12" s="22">
        <f t="shared" si="100"/>
        <v>21855.530000000002</v>
      </c>
      <c r="JY12" s="16" t="str" cm="1">
        <f t="array" ref="JY12">_xll.BDP(JZ12&amp;" Equity","DS520")</f>
        <v>Baidu Inc</v>
      </c>
      <c r="JZ12" s="32" t="s">
        <v>225</v>
      </c>
      <c r="KA12" s="32" t="s">
        <v>389</v>
      </c>
      <c r="KB12" s="32" t="str" cm="1">
        <f t="array" ref="KB12">_xll.BDP(JZ12&amp;" Equity", "ID_ISIN")</f>
        <v>US0567521085</v>
      </c>
      <c r="KC12" s="32"/>
      <c r="KD12" s="30" t="str">
        <f>_xll.BDP(JZ12&amp;" Equity", "DS197")</f>
        <v>NASDAQ GS</v>
      </c>
      <c r="KE12" s="30" t="s">
        <v>26</v>
      </c>
      <c r="KF12" s="30" t="s">
        <v>33</v>
      </c>
      <c r="KG12" s="30" t="s">
        <v>28</v>
      </c>
      <c r="KH12" s="30" t="str">
        <f>_xll.BDP(JZ12&amp;" Equity", "DS004")</f>
        <v>USD</v>
      </c>
      <c r="KI12" s="17" cm="1">
        <f t="array" ref="KI12">_xll.BDP(JZ12&amp;" Equity","PX_LAST")</f>
        <v>117.93</v>
      </c>
      <c r="KJ12" s="33">
        <f t="shared" si="101"/>
        <v>2.424069718018252E-2</v>
      </c>
      <c r="KK12" s="33">
        <f t="shared" si="102"/>
        <v>2.3032400583923612E-2</v>
      </c>
      <c r="KM12" s="1" cm="1">
        <f t="array" ref="KM12">IF(KH12="USD",1,_xll.BDP(KH12&amp;"USD CURNCY","PX_LAST"))</f>
        <v>1</v>
      </c>
      <c r="KN12" s="18">
        <v>20411.4670701746</v>
      </c>
      <c r="KO12" s="11">
        <f t="shared" si="103"/>
        <v>2407124.3115856908</v>
      </c>
      <c r="KP12" s="5"/>
      <c r="KQ12" s="11" cm="1">
        <f t="array" ref="KQ12">IF(KD12="Hong Kong",_xll.BDP(JZ12&amp;" Equity","PR414"),_xll.BDP(JZ12&amp;" Equity","PR090"))</f>
        <v>1</v>
      </c>
      <c r="KR12" s="11">
        <f t="shared" si="104"/>
        <v>117.93</v>
      </c>
      <c r="KS12" s="5">
        <f t="shared" si="105"/>
        <v>65.776503838365187</v>
      </c>
      <c r="KT12" s="8">
        <f t="shared" si="106"/>
        <v>2.4323062499999999E-2</v>
      </c>
      <c r="KU12" s="8">
        <f t="shared" si="107"/>
        <v>3.3978115070392167E-3</v>
      </c>
      <c r="KV12" s="5"/>
      <c r="KW12" s="21">
        <f t="shared" si="108"/>
        <v>4864.9590860947364</v>
      </c>
      <c r="KX12" s="22">
        <f t="shared" si="109"/>
        <v>4363.41</v>
      </c>
      <c r="KZ12" s="16" t="str" cm="1">
        <f t="array" ref="KZ12">_xll.BDP(LA12&amp;" Equity","DS520")</f>
        <v>National Health Investors Inc</v>
      </c>
      <c r="LA12" s="32" t="s">
        <v>255</v>
      </c>
      <c r="LB12" s="32" t="s">
        <v>374</v>
      </c>
      <c r="LC12" s="32" t="str" cm="1">
        <f t="array" ref="LC12">_xll.BDP(LA12&amp;" Equity", "ID_ISIN")</f>
        <v>US63633D1046</v>
      </c>
      <c r="LD12" s="32"/>
      <c r="LE12" s="30" t="str">
        <f>_xll.BDP(LA12&amp;" Equity", "DS197")</f>
        <v>New York</v>
      </c>
      <c r="LF12" s="30" t="s">
        <v>26</v>
      </c>
      <c r="LG12" s="30" t="s">
        <v>33</v>
      </c>
      <c r="LH12" s="30" t="s">
        <v>28</v>
      </c>
      <c r="LI12" s="30" t="str">
        <f>_xll.BDP(LA12&amp;" Equity", "DS004")</f>
        <v>USD</v>
      </c>
      <c r="LJ12" s="17" cm="1">
        <f t="array" ref="LJ12">_xll.BDP(LA12&amp;" Equity","PX_LAST")</f>
        <v>84.06</v>
      </c>
      <c r="LK12" s="33">
        <f t="shared" si="18"/>
        <v>6.8141865058957751E-2</v>
      </c>
      <c r="LL12" s="33">
        <f t="shared" si="19"/>
        <v>6.4705689197425462E-2</v>
      </c>
      <c r="LN12" s="1">
        <v>1</v>
      </c>
      <c r="LO12" s="18">
        <v>89581.413966008404</v>
      </c>
      <c r="LP12" s="11">
        <f t="shared" si="110"/>
        <v>7530213.657982667</v>
      </c>
      <c r="LQ12" s="5"/>
      <c r="LR12" s="11" cm="1">
        <f t="array" ref="LR12">IF(LE12="Hong Kong",_xll.BDP(LA12&amp;" Equity","PR414"),_xll.BDP(LA12&amp;" Equity","PR090"))</f>
        <v>1</v>
      </c>
      <c r="LS12" s="11">
        <f t="shared" si="111"/>
        <v>84.06</v>
      </c>
      <c r="LT12" s="5">
        <f t="shared" si="112"/>
        <v>259.40276967483322</v>
      </c>
      <c r="LU12" s="8">
        <f t="shared" si="113"/>
        <v>6.8036062500000008E-2</v>
      </c>
      <c r="LV12" s="8">
        <f t="shared" si="114"/>
        <v>-1.5526807032094636E-3</v>
      </c>
      <c r="LW12" s="5"/>
      <c r="LX12" s="21">
        <f t="shared" si="115"/>
        <v>1233.6028655404361</v>
      </c>
      <c r="LY12" s="22">
        <f t="shared" si="116"/>
        <v>3110.22</v>
      </c>
      <c r="MA12" s="16" t="str" cm="1">
        <f t="array" ref="MA12">_xll.BDP(MB12&amp;" Equity","DS520")</f>
        <v>Coca-Cola Femsa SAB de CV</v>
      </c>
      <c r="MB12" s="32" t="s">
        <v>259</v>
      </c>
      <c r="MC12" s="32" t="s">
        <v>335</v>
      </c>
      <c r="MD12" s="32" t="str" cm="1">
        <f t="array" ref="MD12">_xll.BDP(MB12&amp;" Equity", "ID_ISIN")</f>
        <v>MX01KO000002</v>
      </c>
      <c r="ME12" s="32"/>
      <c r="MF12" s="30" t="str">
        <f>_xll.BDP(MB12&amp;" Equity", "DS197")</f>
        <v>BMV Mexico</v>
      </c>
      <c r="MG12" s="30" t="s">
        <v>26</v>
      </c>
      <c r="MH12" s="30" t="s">
        <v>336</v>
      </c>
      <c r="MI12" s="30" t="s">
        <v>28</v>
      </c>
      <c r="MJ12" s="30" t="str">
        <f>_xll.BDP(MB12&amp;" Equity", "DS004")</f>
        <v>MXN</v>
      </c>
      <c r="MK12" s="17" cm="1">
        <f t="array" ref="MK12">_xll.BDP(MB12&amp;" Equity","PX_LAST")</f>
        <v>186.59</v>
      </c>
      <c r="ML12" s="33">
        <f t="shared" si="20"/>
        <v>2.8732340814295022E-2</v>
      </c>
      <c r="MM12" s="33">
        <f t="shared" si="21"/>
        <v>2.7278417741080238E-2</v>
      </c>
      <c r="MO12" s="1" cm="1">
        <f t="array" ref="MO12">IF(MJ12="USD",1,_xll.BDP(MJ12&amp;"USD CURNCY","PX_LAST"))</f>
        <v>5.6529999999999997E-2</v>
      </c>
      <c r="MP12" s="18">
        <v>489374.44107516302</v>
      </c>
      <c r="MQ12" s="11">
        <f t="shared" si="117"/>
        <v>5161888.6695609353</v>
      </c>
      <c r="MR12" s="5"/>
      <c r="MS12" s="11" cm="1">
        <f t="array" ref="MS12">IF(MF12="Hong Kong",_xll.BDP(MB12&amp;" Equity","PR414"),_xll.BDP(MB12&amp;" Equity","PR090"))</f>
        <v>1</v>
      </c>
      <c r="MT12" s="11">
        <f t="shared" si="118"/>
        <v>10.5479327</v>
      </c>
      <c r="MU12" s="5">
        <f t="shared" si="119"/>
        <v>871.6730872367441</v>
      </c>
      <c r="MV12" s="8">
        <f t="shared" si="120"/>
        <v>2.8743116607500001E-2</v>
      </c>
      <c r="MW12" s="8">
        <f t="shared" si="121"/>
        <v>3.7504056055248647E-4</v>
      </c>
      <c r="MX12" s="5"/>
      <c r="MY12" s="21">
        <f t="shared" si="122"/>
        <v>367.11010662772571</v>
      </c>
      <c r="MZ12" s="22">
        <f t="shared" si="123"/>
        <v>390.27350990000002</v>
      </c>
      <c r="NB12" s="16" t="str" cm="1">
        <f t="array" ref="NB12">_xll.BDP(NC12&amp;" Equity","DS520")</f>
        <v>Comcast Corp</v>
      </c>
      <c r="NC12" s="32" t="s">
        <v>43</v>
      </c>
      <c r="ND12" s="32" t="s">
        <v>44</v>
      </c>
      <c r="NE12" s="32" t="str" cm="1">
        <f t="array" ref="NE12">_xll.BDP(NC12&amp;" Equity", "ID_ISIN")</f>
        <v>US20030N1019</v>
      </c>
      <c r="NF12" s="32"/>
      <c r="NG12" s="30" t="str">
        <f>_xll.BDP(NC12&amp;" Equity", "DS197")</f>
        <v>NASDAQ GS</v>
      </c>
      <c r="NH12" s="30" t="s">
        <v>26</v>
      </c>
      <c r="NI12" s="30" t="s">
        <v>33</v>
      </c>
      <c r="NJ12" s="30" t="s">
        <v>28</v>
      </c>
      <c r="NK12" s="30" t="str">
        <f>_xll.BDP(NC12&amp;" Equity", "DS004")</f>
        <v>USD</v>
      </c>
      <c r="NL12" s="17" cm="1">
        <f t="array" ref="NL12">_xll.BDP(NC12&amp;" Equity","PX_LAST")</f>
        <v>31.6</v>
      </c>
      <c r="NM12" s="33">
        <f t="shared" si="22"/>
        <v>3.8994345450813678E-2</v>
      </c>
      <c r="NN12" s="33">
        <f t="shared" si="23"/>
        <v>3.7016390025049285E-2</v>
      </c>
      <c r="NP12" s="1" cm="1">
        <f t="array" ref="NP12">IF(NK12="USD",1,_xll.BDP(NK12&amp;"USD CURNCY","PX_LAST"))</f>
        <v>1</v>
      </c>
      <c r="NQ12" s="18">
        <v>210958.57365171099</v>
      </c>
      <c r="NR12" s="11">
        <f t="shared" si="124"/>
        <v>6666290.9273940679</v>
      </c>
      <c r="NS12" s="5"/>
      <c r="NT12" s="11" cm="1">
        <f t="array" ref="NT12">IF(NG12="Hong Kong",_xll.BDP(NC12&amp;" Equity","PR414"),_xll.BDP(NC12&amp;" Equity","PR090"))</f>
        <v>1</v>
      </c>
      <c r="NU12" s="11">
        <f t="shared" si="125"/>
        <v>31.6</v>
      </c>
      <c r="NV12" s="5">
        <f t="shared" si="126"/>
        <v>394.87944760317646</v>
      </c>
      <c r="NW12" s="8">
        <f t="shared" si="127"/>
        <v>3.9006249999999999E-2</v>
      </c>
      <c r="NX12" s="8">
        <f t="shared" si="128"/>
        <v>3.052891143240366E-4</v>
      </c>
      <c r="NY12" s="5"/>
      <c r="NZ12" s="21">
        <f t="shared" si="129"/>
        <v>810.37390510527518</v>
      </c>
      <c r="OA12" s="22">
        <f t="shared" si="130"/>
        <v>1169.2</v>
      </c>
      <c r="OC12" s="16" t="str" cm="1">
        <f t="array" ref="OC12">_xll.BDP(OD12&amp;" Equity","DS520")</f>
        <v>Endesa SA</v>
      </c>
      <c r="OD12" s="32" t="s">
        <v>260</v>
      </c>
      <c r="OE12" s="32" t="s">
        <v>325</v>
      </c>
      <c r="OF12" s="32" t="str" cm="1">
        <f t="array" ref="OF12">_xll.BDP(OD12&amp;" Equity", "ID_ISIN")</f>
        <v>ES0130670112</v>
      </c>
      <c r="OG12" s="32"/>
      <c r="OH12" s="30" t="str">
        <f>_xll.BDP(OD12&amp;" Equity", "DS197")</f>
        <v>Soc.Bol SIBE</v>
      </c>
      <c r="OI12" s="30" t="s">
        <v>26</v>
      </c>
      <c r="OJ12" s="30" t="s">
        <v>326</v>
      </c>
      <c r="OK12" s="30" t="s">
        <v>28</v>
      </c>
      <c r="OL12" s="30" t="str">
        <f>_xll.BDP(OD12&amp;" Equity", "DS004")</f>
        <v>EUR</v>
      </c>
      <c r="OM12" s="17" cm="1">
        <f t="array" ref="OM12">_xll.BDP(OD12&amp;" Equity","PX_LAST")</f>
        <v>33.03</v>
      </c>
      <c r="ON12" s="33">
        <f t="shared" si="24"/>
        <v>3.8663139151151237E-2</v>
      </c>
      <c r="OO12" s="33">
        <f t="shared" si="131"/>
        <v>3.6660661108531972E-2</v>
      </c>
      <c r="OQ12" s="1" cm="1">
        <f t="array" ref="OQ12">IF(OL12="EUR",1,_xll.BDP(OL12&amp;"EUR CURNCY","PX_LAST"))</f>
        <v>1</v>
      </c>
      <c r="OR12" s="18">
        <v>215575.641007153</v>
      </c>
      <c r="OS12" s="11">
        <f t="shared" si="132"/>
        <v>7120463.4224662641</v>
      </c>
      <c r="OT12" s="5"/>
      <c r="OU12" s="11" cm="1">
        <f t="array" ref="OU12">IF(OH12="Hong Kong",_xll.BDP(OD12&amp;" Equity","PR414"),_xll.BDP(OD12&amp;" Equity","PR090"))</f>
        <v>1</v>
      </c>
      <c r="OV12" s="11">
        <f t="shared" si="133"/>
        <v>33.03</v>
      </c>
      <c r="OW12" s="5">
        <f t="shared" si="134"/>
        <v>374.57476622368745</v>
      </c>
      <c r="OX12" s="8">
        <f t="shared" si="135"/>
        <v>3.8707031250000003E-2</v>
      </c>
      <c r="OY12" s="8">
        <f t="shared" si="136"/>
        <v>1.1352440544771802E-3</v>
      </c>
      <c r="OZ12" s="5"/>
      <c r="PA12" s="21">
        <f t="shared" si="137"/>
        <v>854.30207492648708</v>
      </c>
      <c r="PB12" s="22">
        <f t="shared" si="138"/>
        <v>1222.1099999999999</v>
      </c>
      <c r="PD12" s="16" t="str" cm="1">
        <f t="array" ref="PD12">_xll.BDP(PE12&amp;" Equity","DS520")</f>
        <v>Takeda Pharmaceutical Co Ltd</v>
      </c>
      <c r="PE12" s="32" t="s">
        <v>203</v>
      </c>
      <c r="PF12" s="32">
        <v>4502</v>
      </c>
      <c r="PG12" s="32" t="str" cm="1">
        <f t="array" ref="PG12">_xll.BDP(PE12&amp;" Equity", "ID_ISIN")</f>
        <v>JP3463000004</v>
      </c>
      <c r="PH12" s="32"/>
      <c r="PI12" s="30" t="str">
        <f>_xll.BDP(PE12&amp;" Equity", "DS197")</f>
        <v>Tokyo</v>
      </c>
      <c r="PJ12" s="30" t="s">
        <v>26</v>
      </c>
      <c r="PK12" s="71" t="s">
        <v>320</v>
      </c>
      <c r="PL12" s="30" t="s">
        <v>28</v>
      </c>
      <c r="PM12" s="30" t="str">
        <f>_xll.BDP(PE12&amp;" Equity", "DS004")</f>
        <v>JPY</v>
      </c>
      <c r="PN12" s="17" cm="1">
        <f t="array" ref="PN12">_xll.BDP(PE12&amp;" Equity","PX_LAST")</f>
        <v>5679</v>
      </c>
      <c r="PO12" s="33">
        <f t="shared" si="25"/>
        <v>4.3334926598759281E-2</v>
      </c>
      <c r="PP12" s="33">
        <f t="shared" si="26"/>
        <v>4.1165943710248773E-2</v>
      </c>
      <c r="PR12" s="1">
        <v>1</v>
      </c>
      <c r="PS12" s="18">
        <v>1470.5899553930201</v>
      </c>
      <c r="PT12" s="11">
        <f t="shared" si="139"/>
        <v>8351480.3566769613</v>
      </c>
      <c r="PU12" s="5"/>
      <c r="PV12" s="11" cm="1">
        <f t="array" ref="PV12">IF(PI12="Hong Kong",_xll.BDP(PE12&amp;" Equity","PR414"),_xll.BDP(PE12&amp;" Equity","PR090"))</f>
        <v>100</v>
      </c>
      <c r="PW12" s="11">
        <f t="shared" si="140"/>
        <v>567900</v>
      </c>
      <c r="PX12" s="5">
        <f t="shared" si="141"/>
        <v>2.441834215813166E-2</v>
      </c>
      <c r="PY12" s="8">
        <f t="shared" si="142"/>
        <v>0</v>
      </c>
      <c r="PZ12" s="8">
        <f t="shared" si="143"/>
        <v>-1</v>
      </c>
      <c r="QA12" s="5"/>
      <c r="QB12" s="21">
        <f t="shared" si="144"/>
        <v>13104902.778726744</v>
      </c>
      <c r="QC12" s="22">
        <f t="shared" si="145"/>
        <v>21012300</v>
      </c>
      <c r="QE12" s="16" t="str" cm="1">
        <f t="array" ref="QE12">_xll.BDP(QF12&amp;" Equity","DS520")</f>
        <v>CyberArk Software Ltd</v>
      </c>
      <c r="QF12" s="34" t="s">
        <v>297</v>
      </c>
      <c r="QG12" s="34"/>
      <c r="QH12" s="32" t="str" cm="1">
        <f t="array" ref="QH12">_xll.BDP(QF12&amp;" Equity", "ID_ISIN")</f>
        <v>IL0011334468</v>
      </c>
      <c r="QI12" s="34"/>
      <c r="QJ12" s="30" t="str">
        <f>_xll.BDP(QF12&amp;" Equity", "DS197")</f>
        <v>#N/A Field Not Applicable</v>
      </c>
      <c r="QK12" s="30" t="s">
        <v>26</v>
      </c>
      <c r="QL12" s="30"/>
      <c r="QM12" s="30" t="s">
        <v>28</v>
      </c>
      <c r="QN12" s="30" t="str">
        <f>_xll.BDP(QF12&amp;" Equity", "DS004")</f>
        <v>USD</v>
      </c>
      <c r="QO12" s="17" cm="1">
        <f t="array" ref="QO12">_xll.BDP(QF12&amp;" Equity","PX_LAST")</f>
        <v>408.85</v>
      </c>
      <c r="QP12" s="33">
        <f t="shared" si="27"/>
        <v>5.4801349642933359E-2</v>
      </c>
      <c r="QQ12" s="33">
        <f t="shared" si="28"/>
        <v>5.2074653270785684E-2</v>
      </c>
      <c r="QS12" s="1" cm="1">
        <f t="array" ref="QS12">IF(QN12="USD",1,_xll.BDP(QN12&amp;"USD CURNCY","PX_LAST"))</f>
        <v>1</v>
      </c>
      <c r="QT12" s="18">
        <v>15291.123362161101</v>
      </c>
      <c r="QU12" s="11">
        <f t="shared" si="146"/>
        <v>6251775.7866195664</v>
      </c>
      <c r="QV12" s="5"/>
      <c r="QW12" s="11" cm="1">
        <f t="array" ref="QW12">IF(QJ12="Hong Kong",_xll.BDP(QF12&amp;" Equity","PR414"),_xll.BDP(QF12&amp;" Equity","PR090"))</f>
        <v>1</v>
      </c>
      <c r="QX12" s="11">
        <f t="shared" si="147"/>
        <v>408.85</v>
      </c>
      <c r="QY12" s="5">
        <f t="shared" si="148"/>
        <v>42.892092174975353</v>
      </c>
      <c r="QZ12" s="8">
        <f t="shared" si="149"/>
        <v>5.4939218749999998E-2</v>
      </c>
      <c r="RA12" s="8">
        <f t="shared" si="150"/>
        <v>2.5157976576297703E-3</v>
      </c>
      <c r="RB12" s="5"/>
      <c r="RC12" s="21">
        <f t="shared" si="151"/>
        <v>7460.5826802428264</v>
      </c>
      <c r="RD12" s="22">
        <f t="shared" si="152"/>
        <v>15127.45</v>
      </c>
      <c r="RF12" s="16" t="str" cm="1">
        <f t="array" ref="RF12">_xll.BDP(RG12&amp;" Equity","DS520")</f>
        <v>Contemporary Amperex Technology Co Ltd</v>
      </c>
      <c r="RG12" s="34" t="s">
        <v>1300</v>
      </c>
      <c r="RH12" s="34"/>
      <c r="RI12" s="32" t="str" cm="1">
        <f t="array" ref="RI12">_xll.BDP(RG12&amp;" Equity", "ID_ISIN")</f>
        <v>CNE100006WS8</v>
      </c>
      <c r="RJ12" s="34"/>
      <c r="RK12" s="30" t="str">
        <f>_xll.BDP(RG12&amp;" Equity", "DS197")</f>
        <v>Hong Kong</v>
      </c>
      <c r="RL12" s="30" t="s">
        <v>26</v>
      </c>
      <c r="RM12" s="30"/>
      <c r="RN12" s="30" t="s">
        <v>28</v>
      </c>
      <c r="RO12" s="30" t="str">
        <f>_xll.BDP(RG12&amp;" Equity", "DS004")</f>
        <v>HKD</v>
      </c>
      <c r="RP12" s="17" cm="1">
        <f t="array" ref="RP12">_xll.BDP(RG12&amp;" Equity","PX_LAST")</f>
        <v>503.5</v>
      </c>
      <c r="RQ12" s="33">
        <f t="shared" si="153"/>
        <v>2.7932518567146552E-2</v>
      </c>
      <c r="RR12" s="33">
        <f t="shared" si="154"/>
        <v>2.6561362480807645E-2</v>
      </c>
      <c r="RT12" s="1" cm="1">
        <f t="array" ref="RT12">IF(RO12="USD",1,_xll.BDP(RO12&amp;"USD CURNCY","PX_LAST"))</f>
        <v>0.12784999999999999</v>
      </c>
      <c r="RU12" s="18">
        <v>43726.447957443699</v>
      </c>
      <c r="RV12" s="11">
        <f t="shared" si="155"/>
        <v>2814779.6779793454</v>
      </c>
      <c r="RW12" s="5"/>
      <c r="RX12" s="11" cm="1">
        <f t="array" ref="RX12">IF(RK12="Hong Kong",_xll.BDP(RG12&amp;" Equity","PR414"),_xll.BDP(RG12&amp;" Equity","PR090"))</f>
        <v>100</v>
      </c>
      <c r="RY12" s="11">
        <f t="shared" si="156"/>
        <v>6437.2474999999995</v>
      </c>
      <c r="RZ12" s="5">
        <f t="shared" si="157"/>
        <v>1.3885447066447107</v>
      </c>
      <c r="SA12" s="8">
        <f t="shared" si="158"/>
        <v>2.0116398437499999E-2</v>
      </c>
      <c r="SB12" s="8">
        <f t="shared" si="159"/>
        <v>-0.27982153169817114</v>
      </c>
      <c r="SC12" s="5"/>
      <c r="SD12" s="21">
        <f t="shared" si="160"/>
        <v>230457.10985658522</v>
      </c>
      <c r="SE12" s="22">
        <f t="shared" si="161"/>
        <v>238178.15749999997</v>
      </c>
    </row>
    <row r="13" spans="15:499" x14ac:dyDescent="0.2">
      <c r="O13" s="16" t="str" cm="1">
        <f t="array" ref="O13">_xll.BDP(P13&amp;" Equity","DS520")</f>
        <v>Equinor ASA</v>
      </c>
      <c r="P13" s="32" t="s">
        <v>262</v>
      </c>
      <c r="Q13" s="32" t="s">
        <v>329</v>
      </c>
      <c r="R13" s="32" t="str" cm="1">
        <f t="array" ref="R13">_xll.BDP(P13&amp;" Equity", "ID_ISIN")</f>
        <v>NO0010096985</v>
      </c>
      <c r="S13" s="32"/>
      <c r="T13" s="30" t="str">
        <f>_xll.BDP(P13&amp;" Equity", "DS197")</f>
        <v>Oslo</v>
      </c>
      <c r="U13" s="30" t="s">
        <v>26</v>
      </c>
      <c r="V13" s="30" t="s">
        <v>330</v>
      </c>
      <c r="W13" s="30" t="s">
        <v>28</v>
      </c>
      <c r="X13" s="30" t="str">
        <f>_xll.BDP(P13&amp;" Equity", "DS004")</f>
        <v>NOK</v>
      </c>
      <c r="Y13" s="17" cm="1">
        <f t="array" ref="Y13">_xll.BDP(P13&amp;" Equity","PX_LAST")</f>
        <v>307.3</v>
      </c>
      <c r="Z13" s="33">
        <f t="shared" si="0"/>
        <v>3.1575307761088439E-2</v>
      </c>
      <c r="AA13" s="33">
        <f t="shared" si="1"/>
        <v>2.9997603546256899E-2</v>
      </c>
      <c r="AB13" s="4"/>
      <c r="AC13" s="1" cm="1">
        <f t="array" ref="AC13">IF(X13="USD",1,_xll.BDP(X13&amp;"USD CURNCY","PX_LAST"))</f>
        <v>0.10349999999999999</v>
      </c>
      <c r="AD13" s="18">
        <v>204301.19177934699</v>
      </c>
      <c r="AE13" s="11">
        <f t="shared" si="169"/>
        <v>6497911.7701976094</v>
      </c>
      <c r="AF13" s="5"/>
      <c r="AG13" s="11" cm="1">
        <f t="array" ref="AG13">IF(T13="Hong Kong",_xll.BDP(P13&amp;" Equity","PR414"),_xll.BDP(P13&amp;" Equity","PR090"))</f>
        <v>1</v>
      </c>
      <c r="AH13" s="11">
        <f t="shared" si="170"/>
        <v>31.80555</v>
      </c>
      <c r="AI13" s="5">
        <f t="shared" si="171"/>
        <v>317.68350126151887</v>
      </c>
      <c r="AJ13" s="8">
        <f t="shared" si="172"/>
        <v>3.16067653125E-2</v>
      </c>
      <c r="AK13" s="8">
        <f t="shared" si="173"/>
        <v>9.9627061910467773E-4</v>
      </c>
      <c r="AL13" s="5"/>
      <c r="AM13" s="21">
        <f t="shared" si="174"/>
        <v>1007.2918446481557</v>
      </c>
      <c r="AN13" s="22">
        <f t="shared" si="175"/>
        <v>1176.8053499999999</v>
      </c>
      <c r="AP13" s="16" t="str" cm="1">
        <f t="array" ref="AP13">_xll.BDP(AQ13&amp;" Equity","DS520")</f>
        <v>Incyte Corp</v>
      </c>
      <c r="AQ13" s="32" t="s">
        <v>98</v>
      </c>
      <c r="AR13" s="32" t="s">
        <v>362</v>
      </c>
      <c r="AS13" s="32" t="str" cm="1">
        <f t="array" ref="AS13">_xll.BDP(AQ13&amp;" Equity", "ID_ISIN")</f>
        <v>US45337C1027</v>
      </c>
      <c r="AT13" s="32"/>
      <c r="AU13" s="30" t="str">
        <f>_xll.BDP(AQ13&amp;" Equity", "DS197")</f>
        <v>NASDAQ GS</v>
      </c>
      <c r="AV13" s="30" t="s">
        <v>26</v>
      </c>
      <c r="AW13" s="30" t="s">
        <v>33</v>
      </c>
      <c r="AX13" s="30" t="s">
        <v>28</v>
      </c>
      <c r="AY13" s="30" t="str">
        <f>_xll.BDP(AQ13&amp;" Equity", "DS004")</f>
        <v>USD</v>
      </c>
      <c r="AZ13" s="17" cm="1">
        <f t="array" ref="AZ13">_xll.BDP(AQ13&amp;" Equity","PX_LAST")</f>
        <v>97.33</v>
      </c>
      <c r="BA13" s="33">
        <f t="shared" si="4"/>
        <v>5.1710451896000723E-2</v>
      </c>
      <c r="BB13" s="33">
        <f t="shared" si="34"/>
        <v>4.9108247434966196E-2</v>
      </c>
      <c r="BD13" s="1" cm="1">
        <f t="array" ref="BD13">IF(AY13="USD",1,_xll.BDP(AY13&amp;"USD CURNCY","PX_LAST"))</f>
        <v>1</v>
      </c>
      <c r="BE13" s="18">
        <v>87473.611837520803</v>
      </c>
      <c r="BF13" s="11">
        <f t="shared" si="35"/>
        <v>8513806.6401458997</v>
      </c>
      <c r="BG13" s="5"/>
      <c r="BH13" s="11" cm="1">
        <f t="array" ref="BH13">IF(AU13="Hong Kong",_xll.BDP(AQ13&amp;" Equity","PR414"),_xll.BDP(AQ13&amp;" Equity","PR090"))</f>
        <v>1</v>
      </c>
      <c r="BI13" s="11">
        <f t="shared" si="36"/>
        <v>97.33</v>
      </c>
      <c r="BJ13" s="5">
        <f t="shared" si="37"/>
        <v>170.0127874932727</v>
      </c>
      <c r="BK13" s="8">
        <f t="shared" si="38"/>
        <v>5.1706562499999997E-2</v>
      </c>
      <c r="BL13" s="8">
        <f t="shared" si="39"/>
        <v>-7.521489095763112E-5</v>
      </c>
      <c r="BM13" s="5"/>
      <c r="BN13" s="21">
        <f t="shared" si="40"/>
        <v>1882.2113602052564</v>
      </c>
      <c r="BO13" s="22">
        <f t="shared" si="41"/>
        <v>3601.2099999999996</v>
      </c>
      <c r="BQ13" s="16" t="str" cm="1">
        <f t="array" ref="BQ13">_xll.BDP(BR13&amp;" Equity","DS520")</f>
        <v>Japan Prime Realty Investment Corp</v>
      </c>
      <c r="BR13" s="44" t="s">
        <v>306</v>
      </c>
      <c r="BS13" s="44">
        <v>8955</v>
      </c>
      <c r="BT13" s="32" t="str" cm="1">
        <f t="array" ref="BT13">_xll.BDP(BR13&amp;" Equity", "ID_ISIN")</f>
        <v>JP3040890000</v>
      </c>
      <c r="BU13" s="44"/>
      <c r="BV13" s="30" t="str">
        <f>_xll.BDP(BR13&amp;" Equity", "DS197")</f>
        <v>Tokyo</v>
      </c>
      <c r="BW13" s="30" t="s">
        <v>26</v>
      </c>
      <c r="BX13" s="71" t="s">
        <v>320</v>
      </c>
      <c r="BY13" s="30" t="s">
        <v>28</v>
      </c>
      <c r="BZ13" s="30" t="str">
        <f>_xll.BDP(BR13&amp;" Equity", "DS004")</f>
        <v>JPY</v>
      </c>
      <c r="CA13" s="17" cm="1">
        <f t="array" ref="CA13">_xll.BDP(BR13&amp;" Equity","PX_LAST")</f>
        <v>103900</v>
      </c>
      <c r="CB13" s="33">
        <f t="shared" si="5"/>
        <v>6.4584512091046847E-2</v>
      </c>
      <c r="CC13" s="33">
        <f t="shared" si="42"/>
        <v>6.1349758739141072E-2</v>
      </c>
      <c r="CE13" s="1">
        <v>1</v>
      </c>
      <c r="CF13" s="18">
        <v>389.97495306315699</v>
      </c>
      <c r="CG13" s="11">
        <f t="shared" si="43"/>
        <v>40518397.623262011</v>
      </c>
      <c r="CH13" s="5"/>
      <c r="CI13" s="11" cm="1">
        <f t="array" ref="CI13">IF(BV13="Hong Kong",_xll.BDP(BR13&amp;" Equity","PR414"),_xll.BDP(BR13&amp;" Equity","PR090"))</f>
        <v>1</v>
      </c>
      <c r="CJ13" s="11">
        <f t="shared" si="44"/>
        <v>103900</v>
      </c>
      <c r="CK13" s="5">
        <f t="shared" si="45"/>
        <v>0.19891283800899895</v>
      </c>
      <c r="CL13" s="8">
        <f t="shared" si="46"/>
        <v>0</v>
      </c>
      <c r="CM13" s="8">
        <f t="shared" si="47"/>
        <v>-1</v>
      </c>
      <c r="CN13" s="5"/>
      <c r="CO13" s="21">
        <f t="shared" si="48"/>
        <v>1608744.8311683279</v>
      </c>
      <c r="CP13" s="22">
        <f t="shared" si="49"/>
        <v>3844300</v>
      </c>
      <c r="CR13" s="16" t="str" cm="1">
        <f t="array" ref="CR13">_xll.BDP(CS13&amp;" Equity","DS520")</f>
        <v>Industrial &amp; Infrastructure Fund Investment Corp</v>
      </c>
      <c r="CS13" s="32" t="s">
        <v>740</v>
      </c>
      <c r="CT13" s="32">
        <v>3249</v>
      </c>
      <c r="CU13" s="32" t="str" cm="1">
        <f t="array" ref="CU13">_xll.BDP(CS13&amp;" Equity", "ID_ISIN")</f>
        <v>JP3046500009</v>
      </c>
      <c r="CV13" s="32"/>
      <c r="CW13" s="30" t="str">
        <f>_xll.BDP(CS13&amp;" Equity", "DS197")</f>
        <v>Tokyo</v>
      </c>
      <c r="CX13" s="30" t="s">
        <v>26</v>
      </c>
      <c r="CY13" s="30" t="s">
        <v>320</v>
      </c>
      <c r="CZ13" s="30" t="s">
        <v>28</v>
      </c>
      <c r="DA13" s="30" t="str">
        <f>_xll.BDP(CS13&amp;" Equity", "DS004")</f>
        <v>JPY</v>
      </c>
      <c r="DB13" s="17" cm="1">
        <f t="array" ref="DB13">_xll.BDP(CS13&amp;" Equity","PX_LAST")</f>
        <v>150000</v>
      </c>
      <c r="DC13" s="33">
        <f t="shared" si="6"/>
        <v>4.9983276126963676E-2</v>
      </c>
      <c r="DD13" s="33">
        <f t="shared" si="7"/>
        <v>4.7468237236456552E-2</v>
      </c>
      <c r="DF13" s="1" cm="1">
        <f t="array" ref="DF13">IF(DA13="USD",1,_xll.BDP(DA13&amp;"USD CURNCY","PX_LAST"))</f>
        <v>6.3369999999999998E-3</v>
      </c>
      <c r="DG13" s="18">
        <v>9536.3661910541796</v>
      </c>
      <c r="DH13" s="11">
        <f t="shared" si="8"/>
        <v>9064792.8829065487</v>
      </c>
      <c r="DI13" s="5"/>
      <c r="DJ13" s="11" cm="1">
        <f t="array" ref="DJ13">IF(CW13="Hong Kong",_xll.BDP(CS13&amp;" Equity","PR414"),_xll.BDP(CS13&amp;" Equity","PR090"))</f>
        <v>1</v>
      </c>
      <c r="DK13" s="11">
        <f t="shared" si="9"/>
        <v>950.55</v>
      </c>
      <c r="DL13" s="5">
        <f t="shared" si="50"/>
        <v>16.826730167406634</v>
      </c>
      <c r="DM13" s="8">
        <f t="shared" si="51"/>
        <v>5.0497968749999997E-2</v>
      </c>
      <c r="DN13" s="8">
        <f t="shared" si="52"/>
        <v>1.0297296674370404E-2</v>
      </c>
      <c r="DO13" s="5"/>
      <c r="DP13" s="21">
        <f t="shared" si="53"/>
        <v>19017.360878576386</v>
      </c>
      <c r="DQ13" s="22">
        <f t="shared" si="54"/>
        <v>35170.35</v>
      </c>
      <c r="DS13" s="16" t="str" cm="1">
        <f t="array" ref="DS13">_xll.BDP(DT13&amp;" Equity","DS520")</f>
        <v>Hikma Pharmaceuticals PLC</v>
      </c>
      <c r="DT13" s="32" t="s">
        <v>137</v>
      </c>
      <c r="DU13" s="32" t="s">
        <v>138</v>
      </c>
      <c r="DV13" s="32" t="str" cm="1">
        <f t="array" ref="DV13">_xll.BDP(DT13&amp;" Equity", "ID_ISIN")</f>
        <v>GB00B0LCW083</v>
      </c>
      <c r="DW13" s="32"/>
      <c r="DX13" s="30" t="str">
        <f>_xll.BDP(DT13&amp;" Equity", "DS197")</f>
        <v>London</v>
      </c>
      <c r="DY13" s="30" t="s">
        <v>26</v>
      </c>
      <c r="DZ13" s="30" t="s">
        <v>129</v>
      </c>
      <c r="EA13" s="30" t="s">
        <v>28</v>
      </c>
      <c r="EB13" s="43" t="str">
        <f>_xll.BDP(DT13&amp;" Equity", "DS004")</f>
        <v>GBp</v>
      </c>
      <c r="EC13" s="17" cm="1">
        <f t="array" ref="EC13">_xll.BDP(DT13&amp;" Equity","PX_LAST")/100</f>
        <v>12.1</v>
      </c>
      <c r="ED13" s="33">
        <f t="shared" si="55"/>
        <v>3.2142373300012655E-2</v>
      </c>
      <c r="EE13" s="33">
        <f t="shared" si="56"/>
        <v>3.0490506389893358E-2</v>
      </c>
      <c r="EG13" s="1">
        <v>1</v>
      </c>
      <c r="EH13" s="18">
        <v>438373.21801440499</v>
      </c>
      <c r="EI13" s="11">
        <f t="shared" si="57"/>
        <v>5304315.9379743002</v>
      </c>
      <c r="EJ13" s="5"/>
      <c r="EK13" s="11" cm="1">
        <f t="array" ref="EK13">IF(DX13="Hong Kong",_xll.BDP(DT13&amp;" Equity","PR414"),_xll.BDP(DT13&amp;" Equity","PR090"))</f>
        <v>1</v>
      </c>
      <c r="EL13" s="11">
        <f t="shared" si="58"/>
        <v>12.1</v>
      </c>
      <c r="EM13" s="5">
        <f t="shared" si="59"/>
        <v>850.04623603339257</v>
      </c>
      <c r="EN13" s="8">
        <f t="shared" si="60"/>
        <v>3.2140624999999999E-2</v>
      </c>
      <c r="EO13" s="8">
        <f t="shared" si="61"/>
        <v>-5.4392374711609293E-5</v>
      </c>
      <c r="EP13" s="5"/>
      <c r="EQ13" s="21">
        <f t="shared" si="62"/>
        <v>376.45011110599091</v>
      </c>
      <c r="ER13" s="22">
        <f t="shared" si="63"/>
        <v>447.7</v>
      </c>
      <c r="ET13" s="16" t="str" cm="1">
        <f t="array" ref="ET13">_xll.BDP(EU13&amp;" Equity","DS520")</f>
        <v>AbbVie Inc</v>
      </c>
      <c r="EU13" s="32" t="s">
        <v>92</v>
      </c>
      <c r="EV13" s="32" t="s">
        <v>321</v>
      </c>
      <c r="EW13" s="32" t="str" cm="1">
        <f t="array" ref="EW13">_xll.BDP(EU13&amp;" Equity", "ID_ISIN")</f>
        <v>US00287Y1091</v>
      </c>
      <c r="EX13" s="32"/>
      <c r="EY13" s="30" t="str">
        <f>_xll.BDP(EU13&amp;" Equity", "DS197")</f>
        <v>New York</v>
      </c>
      <c r="EZ13" s="30" t="s">
        <v>26</v>
      </c>
      <c r="FA13" s="30" t="s">
        <v>33</v>
      </c>
      <c r="FB13" s="30" t="s">
        <v>28</v>
      </c>
      <c r="FC13" s="30" t="str">
        <f>_xll.BDP(EU13&amp;" Equity", "DS004")</f>
        <v>USD</v>
      </c>
      <c r="FD13" s="17" cm="1">
        <f t="array" ref="FD13">_xll.BDP(EU13&amp;" Equity","PX_LAST")</f>
        <v>232.35</v>
      </c>
      <c r="FE13" s="33">
        <f t="shared" si="10"/>
        <v>3.5498833292383555E-2</v>
      </c>
      <c r="FF13" s="33">
        <f t="shared" si="11"/>
        <v>3.3722953150897995E-2</v>
      </c>
      <c r="FH13" s="1" cm="1">
        <f t="array" ref="FH13">IF(FC13="USD",1,_xll.BDP(FC13&amp;"USD CURNCY","PX_LAST"))</f>
        <v>1</v>
      </c>
      <c r="FI13" s="18">
        <v>31308.239309049099</v>
      </c>
      <c r="FJ13" s="11">
        <f t="shared" si="64"/>
        <v>7274469.4034575578</v>
      </c>
      <c r="FK13" s="5"/>
      <c r="FL13" s="11" cm="1">
        <f t="array" ref="FL13">IF(EY13="Hong Kong",_xll.BDP(EU13&amp;" Equity","PR414"),_xll.BDP(EU13&amp;" Equity","PR090"))</f>
        <v>1</v>
      </c>
      <c r="FM13" s="11">
        <f t="shared" si="65"/>
        <v>232.35</v>
      </c>
      <c r="FN13" s="5">
        <f t="shared" si="66"/>
        <v>48.890151295729453</v>
      </c>
      <c r="FO13" s="8">
        <f t="shared" si="67"/>
        <v>3.5578593749999998E-2</v>
      </c>
      <c r="FP13" s="8">
        <f t="shared" si="68"/>
        <v>2.2468472966281627E-3</v>
      </c>
      <c r="FQ13" s="5"/>
      <c r="FR13" s="21">
        <f t="shared" si="69"/>
        <v>6545.2855333657344</v>
      </c>
      <c r="FS13" s="22">
        <f t="shared" si="70"/>
        <v>8596.9499999999989</v>
      </c>
      <c r="FU13" s="16" t="str" cm="1">
        <f t="array" ref="FU13">_xll.BDP(FV13&amp;" Equity","DS520")</f>
        <v>ASE Technology Holding Co Ltd</v>
      </c>
      <c r="FV13" s="32" t="s">
        <v>186</v>
      </c>
      <c r="FW13" s="32" t="s">
        <v>387</v>
      </c>
      <c r="FX13" s="32" t="str" cm="1">
        <f t="array" ref="FX13">_xll.BDP(FV13&amp;" Equity", "ID_ISIN")</f>
        <v>US00215W1009</v>
      </c>
      <c r="FY13" s="32"/>
      <c r="FZ13" s="30" t="str">
        <f>_xll.BDP(FV13&amp;" Equity", "DS197")</f>
        <v>New York</v>
      </c>
      <c r="GA13" s="30" t="s">
        <v>26</v>
      </c>
      <c r="GB13" s="30" t="s">
        <v>33</v>
      </c>
      <c r="GC13" s="30" t="s">
        <v>28</v>
      </c>
      <c r="GD13" s="30" t="str">
        <f>_xll.BDP(FV13&amp;" Equity", "DS004")</f>
        <v>USD</v>
      </c>
      <c r="GE13" s="17" cm="1">
        <f t="array" ref="GE13">_xll.BDP(FV13&amp;" Equity","PX_LAST")</f>
        <v>22.06</v>
      </c>
      <c r="GF13" s="33">
        <f t="shared" si="12"/>
        <v>5.0682232662717895E-2</v>
      </c>
      <c r="GG13" s="33">
        <f t="shared" si="13"/>
        <v>4.8145815060788119E-2</v>
      </c>
      <c r="GI13" s="1" cm="1">
        <f t="array" ref="GI13">IF(GD13="USD",1,_xll.BDP(GD13&amp;"USD CURNCY","PX_LAST"))</f>
        <v>1</v>
      </c>
      <c r="GJ13" s="18">
        <v>475570.09744113998</v>
      </c>
      <c r="GK13" s="11">
        <f t="shared" si="71"/>
        <v>10491076.349551547</v>
      </c>
      <c r="GL13" s="5"/>
      <c r="GM13" s="11" cm="1">
        <f t="array" ref="GM13">IF(FZ13="Hong Kong",_xll.BDP(FV13&amp;" Equity","PR414"),_xll.BDP(FV13&amp;" Equity","PR090"))</f>
        <v>1</v>
      </c>
      <c r="GN13" s="11">
        <f t="shared" si="72"/>
        <v>22.06</v>
      </c>
      <c r="GO13" s="5">
        <f t="shared" si="73"/>
        <v>735.19104497142916</v>
      </c>
      <c r="GP13" s="8">
        <f t="shared" si="74"/>
        <v>5.0669062499999994E-2</v>
      </c>
      <c r="GQ13" s="8">
        <f t="shared" si="75"/>
        <v>-2.5985758767865796E-4</v>
      </c>
      <c r="GR13" s="5"/>
      <c r="GS13" s="21">
        <f t="shared" si="76"/>
        <v>435.26101438359575</v>
      </c>
      <c r="GT13" s="22">
        <f t="shared" si="77"/>
        <v>816.21999999999991</v>
      </c>
      <c r="GV13" s="16" t="str" cm="1">
        <f t="array" ref="GV13">_xll.BDP(GW13&amp;" Equity","DS520")</f>
        <v>BYD Co Ltd</v>
      </c>
      <c r="GW13" s="32" t="s">
        <v>25</v>
      </c>
      <c r="GX13" s="32">
        <v>1211</v>
      </c>
      <c r="GY13" s="32" t="str" cm="1">
        <f t="array" ref="GY13">_xll.BDP(GW13&amp;" Equity", "ID_ISIN")</f>
        <v>CNE100000296</v>
      </c>
      <c r="GZ13" s="32"/>
      <c r="HA13" s="30" t="str">
        <f>_xll.BDP(GW13&amp;" Equity", "DS197")</f>
        <v>Hong Kong</v>
      </c>
      <c r="HB13" s="30" t="s">
        <v>26</v>
      </c>
      <c r="HC13" s="30" t="s">
        <v>27</v>
      </c>
      <c r="HD13" s="30" t="s">
        <v>28</v>
      </c>
      <c r="HE13" s="30" t="str">
        <f>_xll.BDP(GW13&amp;" Equity", "DS004")</f>
        <v>HKD</v>
      </c>
      <c r="HF13" s="17" cm="1">
        <f t="array" ref="HF13">_xll.BDP(GW13&amp;" Equity","PX_LAST")</f>
        <v>93.4</v>
      </c>
      <c r="HG13" s="33">
        <f t="shared" si="14"/>
        <v>2.3528439420758399E-2</v>
      </c>
      <c r="HH13" s="33">
        <f t="shared" si="78"/>
        <v>2.2350244121194299E-2</v>
      </c>
      <c r="HJ13" s="1" cm="1">
        <f t="array" ref="HJ13">IF(HE13="USD",1,_xll.BDP(HE13&amp;"USD CURNCY","PX_LAST"))</f>
        <v>0.12784999999999999</v>
      </c>
      <c r="HK13" s="18">
        <v>321348.918824377</v>
      </c>
      <c r="HL13" s="11">
        <f t="shared" si="79"/>
        <v>3837288.4959764625</v>
      </c>
      <c r="HM13" s="5"/>
      <c r="HN13" s="11" cm="1">
        <f t="array" ref="HN13">IF(HA13="Hong Kong",_xll.BDP(GW13&amp;" Equity","PR414"),_xll.BDP(GW13&amp;" Equity","PR090"))</f>
        <v>100</v>
      </c>
      <c r="HO13" s="11">
        <f t="shared" si="80"/>
        <v>1194.1189999999999</v>
      </c>
      <c r="HP13" s="5">
        <f t="shared" si="81"/>
        <v>6.3051510064262333</v>
      </c>
      <c r="HQ13" s="8">
        <f t="shared" si="82"/>
        <v>2.2389731249999999E-2</v>
      </c>
      <c r="HR13" s="8">
        <f t="shared" si="83"/>
        <v>-4.8397097248776833E-2</v>
      </c>
      <c r="HS13" s="5"/>
      <c r="HT13" s="21">
        <f t="shared" si="84"/>
        <v>50752.154813398563</v>
      </c>
      <c r="HU13" s="22">
        <f t="shared" si="85"/>
        <v>44182.402999999991</v>
      </c>
      <c r="HW13" s="16" t="str" cm="1">
        <f t="array" ref="HW13">_xll.BDP(HX13&amp;" Equity","DS520")</f>
        <v>CLP Holdings Ltd</v>
      </c>
      <c r="HX13" s="45" t="s">
        <v>212</v>
      </c>
      <c r="HY13" s="32">
        <v>2</v>
      </c>
      <c r="HZ13" s="32" t="str" cm="1">
        <f t="array" ref="HZ13">_xll.BDP(HX13&amp;" Equity", "ID_ISIN")</f>
        <v>HK0002007356</v>
      </c>
      <c r="IA13" s="45"/>
      <c r="IB13" s="30" t="str">
        <f>_xll.BDP(HX13&amp;" Equity", "DS197")</f>
        <v>Hong Kong</v>
      </c>
      <c r="IC13" s="30" t="s">
        <v>26</v>
      </c>
      <c r="ID13" s="30" t="s">
        <v>27</v>
      </c>
      <c r="IE13" s="30" t="s">
        <v>28</v>
      </c>
      <c r="IF13" s="30" t="str">
        <f>_xll.BDP(HX13&amp;" Equity", "DS004")</f>
        <v>HKD</v>
      </c>
      <c r="IG13" s="17" cm="1">
        <f t="array" ref="IG13">_xll.BDP(HX13&amp;" Equity","PX_LAST")</f>
        <v>75</v>
      </c>
      <c r="IH13" s="33">
        <f t="shared" si="15"/>
        <v>4.5685689157997804E-2</v>
      </c>
      <c r="II13" s="33">
        <f t="shared" si="16"/>
        <v>4.3424782073771123E-2</v>
      </c>
      <c r="IK13" s="1">
        <v>1</v>
      </c>
      <c r="IL13" s="18">
        <v>115457.23057545201</v>
      </c>
      <c r="IM13" s="11">
        <f t="shared" si="86"/>
        <v>8659292.2931589</v>
      </c>
      <c r="IN13" s="5"/>
      <c r="IO13" s="11" cm="1">
        <f t="array" ref="IO13">IF(IB13="Hong Kong",_xll.BDP(HX13&amp;" Equity","PR414"),_xll.BDP(HX13&amp;" Equity","PR090"))</f>
        <v>500</v>
      </c>
      <c r="IP13" s="11">
        <f t="shared" si="87"/>
        <v>37500</v>
      </c>
      <c r="IQ13" s="5">
        <f t="shared" si="88"/>
        <v>0.38985121414824792</v>
      </c>
      <c r="IR13" s="8">
        <f t="shared" si="89"/>
        <v>0</v>
      </c>
      <c r="IS13" s="8">
        <f t="shared" si="90"/>
        <v>-1</v>
      </c>
      <c r="IT13" s="5"/>
      <c r="IU13" s="21">
        <f t="shared" si="91"/>
        <v>820825.96741205547</v>
      </c>
      <c r="IV13" s="22">
        <f t="shared" si="92"/>
        <v>1387500</v>
      </c>
      <c r="IX13" s="16" t="str" cm="1">
        <f t="array" ref="IX13">_xll.BDP(IY13&amp;" Equity","DS520")</f>
        <v>GX Japan Robotics &amp; AI ETF</v>
      </c>
      <c r="IY13" s="32" t="s">
        <v>227</v>
      </c>
      <c r="IZ13" s="32">
        <v>2638</v>
      </c>
      <c r="JA13" s="32" t="str" cm="1">
        <f t="array" ref="JA13">_xll.BDP(IY13&amp;" Equity", "ID_ISIN")</f>
        <v>JP3049300001</v>
      </c>
      <c r="JB13" s="32"/>
      <c r="JC13" s="30" t="str">
        <f>_xll.BDP(IY13&amp;" Equity", "DS197")</f>
        <v>Tokyo</v>
      </c>
      <c r="JD13" s="30" t="s">
        <v>26</v>
      </c>
      <c r="JE13" s="30" t="s">
        <v>320</v>
      </c>
      <c r="JF13" s="30" t="s">
        <v>28</v>
      </c>
      <c r="JG13" s="30" t="str">
        <f>_xll.BDP(IY13&amp;" Equity", "DS004")</f>
        <v>JPY</v>
      </c>
      <c r="JH13" s="17" cm="1">
        <f t="array" ref="JH13">_xll.BDP(IY13&amp;" Equity","PX_LAST")</f>
        <v>2507</v>
      </c>
      <c r="JI13" s="33">
        <f t="shared" si="93"/>
        <v>7.3047372761210899E-2</v>
      </c>
      <c r="JJ13" s="33">
        <f t="shared" si="17"/>
        <v>6.9391273900311135E-2</v>
      </c>
      <c r="JL13" s="1" cm="1">
        <f t="array" ref="JL13">IF(JG13="USD",1,_xll.BDP(JG13&amp;"USD CURNCY","PX_LAST"))</f>
        <v>6.3369999999999998E-3</v>
      </c>
      <c r="JM13" s="18">
        <v>560930.43400117499</v>
      </c>
      <c r="JN13" s="11">
        <f t="shared" si="94"/>
        <v>8911422.7137854733</v>
      </c>
      <c r="JO13" s="5"/>
      <c r="JP13" s="11" cm="1">
        <f t="array" ref="JP13">IF(JC13="Hong Kong",_xll.BDP(IY13&amp;" Equity","PR414"),_xll.BDP(IY13&amp;" Equity","PR090"))</f>
        <v>1</v>
      </c>
      <c r="JQ13" s="11">
        <f t="shared" si="95"/>
        <v>15.886858999999999</v>
      </c>
      <c r="JR13" s="5">
        <f t="shared" si="96"/>
        <v>1471.3518439099564</v>
      </c>
      <c r="JS13" s="8">
        <f t="shared" si="97"/>
        <v>7.3029904965625003E-2</v>
      </c>
      <c r="JT13" s="8">
        <f t="shared" si="98"/>
        <v>-2.391296897562567E-4</v>
      </c>
      <c r="JU13" s="5"/>
      <c r="JV13" s="21">
        <f t="shared" si="99"/>
        <v>217.48706900018897</v>
      </c>
      <c r="JW13" s="22">
        <f t="shared" si="100"/>
        <v>587.81378299999994</v>
      </c>
      <c r="JY13" s="16" t="str" cm="1">
        <f t="array" ref="JY13">_xll.BDP(JZ13&amp;" Equity","DS520")</f>
        <v>BioGaia AB</v>
      </c>
      <c r="JZ13" s="32" t="s">
        <v>239</v>
      </c>
      <c r="KA13" s="32" t="s">
        <v>1374</v>
      </c>
      <c r="KB13" s="32" t="str" cm="1">
        <f t="array" ref="KB13">_xll.BDP(JZ13&amp;" Equity", "ID_ISIN")</f>
        <v>SE0017769995</v>
      </c>
      <c r="KC13" s="32"/>
      <c r="KD13" s="30" t="str">
        <f>_xll.BDP(JZ13&amp;" Equity", "DS197")</f>
        <v>Stockholm</v>
      </c>
      <c r="KE13" s="30" t="s">
        <v>26</v>
      </c>
      <c r="KF13" s="30" t="s">
        <v>406</v>
      </c>
      <c r="KG13" s="30" t="s">
        <v>28</v>
      </c>
      <c r="KH13" s="30" t="str">
        <f>_xll.BDP(JZ13&amp;" Equity", "DS004")</f>
        <v>SEK</v>
      </c>
      <c r="KI13" s="17" cm="1">
        <f t="array" ref="KI13">_xll.BDP(JZ13&amp;" Equity","PX_LAST")</f>
        <v>110.7</v>
      </c>
      <c r="KJ13" s="33">
        <f t="shared" si="101"/>
        <v>2.9654443529759714E-2</v>
      </c>
      <c r="KK13" s="33">
        <f t="shared" si="102"/>
        <v>2.8176294493260309E-2</v>
      </c>
      <c r="KM13" s="1" cm="1">
        <f t="array" ref="KM13">IF(KH13="USD",1,_xll.BDP(KH13&amp;"USD CURNCY","PX_LAST"))</f>
        <v>0.108429</v>
      </c>
      <c r="KN13" s="18">
        <v>245329.69471862001</v>
      </c>
      <c r="KO13" s="11">
        <f t="shared" si="103"/>
        <v>2944714.4789790292</v>
      </c>
      <c r="KP13" s="5"/>
      <c r="KQ13" s="11" cm="1">
        <f t="array" ref="KQ13">IF(KD13="Hong Kong",_xll.BDP(JZ13&amp;" Equity","PR414"),_xll.BDP(JZ13&amp;" Equity","PR090"))</f>
        <v>1</v>
      </c>
      <c r="KR13" s="11">
        <f t="shared" si="104"/>
        <v>12.0030903</v>
      </c>
      <c r="KS13" s="5">
        <f t="shared" si="105"/>
        <v>790.58156627573726</v>
      </c>
      <c r="KT13" s="8">
        <f t="shared" si="106"/>
        <v>2.9670138835312502E-2</v>
      </c>
      <c r="KU13" s="8">
        <f t="shared" si="107"/>
        <v>5.292733123465343E-4</v>
      </c>
      <c r="KV13" s="5"/>
      <c r="KW13" s="21">
        <f t="shared" si="108"/>
        <v>404.76531916555103</v>
      </c>
      <c r="KX13" s="22">
        <f t="shared" si="109"/>
        <v>444.11434109999999</v>
      </c>
      <c r="KZ13" s="16" t="str" cm="1">
        <f t="array" ref="KZ13">_xll.BDP(LA13&amp;" Equity","DS520")</f>
        <v>NNN REIT Inc</v>
      </c>
      <c r="LA13" s="32" t="s">
        <v>121</v>
      </c>
      <c r="LB13" s="32" t="s">
        <v>375</v>
      </c>
      <c r="LC13" s="32" t="str" cm="1">
        <f t="array" ref="LC13">_xll.BDP(LA13&amp;" Equity", "ID_ISIN")</f>
        <v>US6374171063</v>
      </c>
      <c r="LD13" s="32"/>
      <c r="LE13" s="30" t="str">
        <f>_xll.BDP(LA13&amp;" Equity", "DS197")</f>
        <v>New York</v>
      </c>
      <c r="LF13" s="30" t="s">
        <v>26</v>
      </c>
      <c r="LG13" s="30" t="s">
        <v>33</v>
      </c>
      <c r="LH13" s="30" t="s">
        <v>28</v>
      </c>
      <c r="LI13" s="30" t="str">
        <f>_xll.BDP(LA13&amp;" Equity", "DS004")</f>
        <v>USD</v>
      </c>
      <c r="LJ13" s="17" cm="1">
        <f t="array" ref="LJ13">_xll.BDP(LA13&amp;" Equity","PX_LAST")</f>
        <v>45</v>
      </c>
      <c r="LK13" s="33">
        <f t="shared" si="18"/>
        <v>6.7177808065159536E-2</v>
      </c>
      <c r="LL13" s="33">
        <f t="shared" si="19"/>
        <v>6.3790246508040035E-2</v>
      </c>
      <c r="LN13" s="1">
        <v>1</v>
      </c>
      <c r="LO13" s="18">
        <v>164970.616772301</v>
      </c>
      <c r="LP13" s="11">
        <f t="shared" si="110"/>
        <v>7423677.7547535449</v>
      </c>
      <c r="LQ13" s="5"/>
      <c r="LR13" s="11" cm="1">
        <f t="array" ref="LR13">IF(LE13="Hong Kong",_xll.BDP(LA13&amp;" Equity","PR414"),_xll.BDP(LA13&amp;" Equity","PR090"))</f>
        <v>1</v>
      </c>
      <c r="LS13" s="11">
        <f t="shared" si="111"/>
        <v>45</v>
      </c>
      <c r="LT13" s="5">
        <f t="shared" si="112"/>
        <v>477.70885735224562</v>
      </c>
      <c r="LU13" s="8">
        <f t="shared" si="113"/>
        <v>6.7218749999999994E-2</v>
      </c>
      <c r="LV13" s="8">
        <f t="shared" si="114"/>
        <v>6.0945624782426933E-4</v>
      </c>
      <c r="LW13" s="5"/>
      <c r="LX13" s="21">
        <f t="shared" si="115"/>
        <v>669.86407112825066</v>
      </c>
      <c r="LY13" s="22">
        <f t="shared" si="116"/>
        <v>1665</v>
      </c>
      <c r="MA13" s="16" t="str" cm="1">
        <f t="array" ref="MA13">_xll.BDP(MB13&amp;" Equity","DS520")</f>
        <v>Comcast Corp</v>
      </c>
      <c r="MB13" s="32" t="s">
        <v>43</v>
      </c>
      <c r="MC13" s="32" t="s">
        <v>44</v>
      </c>
      <c r="MD13" s="32" t="str" cm="1">
        <f t="array" ref="MD13">_xll.BDP(MB13&amp;" Equity", "ID_ISIN")</f>
        <v>US20030N1019</v>
      </c>
      <c r="ME13" s="32"/>
      <c r="MF13" s="30" t="str">
        <f>_xll.BDP(MB13&amp;" Equity", "DS197")</f>
        <v>NASDAQ GS</v>
      </c>
      <c r="MG13" s="30" t="s">
        <v>26</v>
      </c>
      <c r="MH13" s="30" t="s">
        <v>33</v>
      </c>
      <c r="MI13" s="30" t="s">
        <v>28</v>
      </c>
      <c r="MJ13" s="30" t="str">
        <f>_xll.BDP(MB13&amp;" Equity", "DS004")</f>
        <v>USD</v>
      </c>
      <c r="MK13" s="17" cm="1">
        <f t="array" ref="MK13">_xll.BDP(MB13&amp;" Equity","PX_LAST")</f>
        <v>31.6</v>
      </c>
      <c r="ML13" s="33">
        <f t="shared" si="20"/>
        <v>3.0930506397535296E-2</v>
      </c>
      <c r="MM13" s="33">
        <f t="shared" si="21"/>
        <v>2.9365351048437526E-2</v>
      </c>
      <c r="MO13" s="1" cm="1">
        <f t="array" ref="MO13">IF(MJ13="USD",1,_xll.BDP(MJ13&amp;"USD CURNCY","PX_LAST"))</f>
        <v>1</v>
      </c>
      <c r="MP13" s="18">
        <v>175848.05619724299</v>
      </c>
      <c r="MQ13" s="11">
        <f t="shared" si="117"/>
        <v>5556798.5758328782</v>
      </c>
      <c r="MR13" s="5"/>
      <c r="MS13" s="11" cm="1">
        <f t="array" ref="MS13">IF(MF13="Hong Kong",_xll.BDP(MB13&amp;" Equity","PR414"),_xll.BDP(MB13&amp;" Equity","PR090"))</f>
        <v>1</v>
      </c>
      <c r="MT13" s="11">
        <f t="shared" si="118"/>
        <v>31.6</v>
      </c>
      <c r="MU13" s="5">
        <f t="shared" si="119"/>
        <v>313.22031794972446</v>
      </c>
      <c r="MV13" s="8">
        <f t="shared" si="120"/>
        <v>3.0908750000000002E-2</v>
      </c>
      <c r="MW13" s="8">
        <f t="shared" si="121"/>
        <v>-7.0339609884395582E-4</v>
      </c>
      <c r="MX13" s="5"/>
      <c r="MY13" s="21">
        <f t="shared" si="122"/>
        <v>1021.6450902503832</v>
      </c>
      <c r="MZ13" s="22">
        <f t="shared" si="123"/>
        <v>1169.2</v>
      </c>
      <c r="NB13" s="16" t="str" cm="1">
        <f t="array" ref="NB13">_xll.BDP(NC13&amp;" Equity","DS520")</f>
        <v>Duke Energy Corp</v>
      </c>
      <c r="NC13" s="32" t="s">
        <v>167</v>
      </c>
      <c r="ND13" s="32" t="s">
        <v>344</v>
      </c>
      <c r="NE13" s="32" t="str" cm="1">
        <f t="array" ref="NE13">_xll.BDP(NC13&amp;" Equity", "ID_ISIN")</f>
        <v>US26441C2044</v>
      </c>
      <c r="NF13" s="32"/>
      <c r="NG13" s="30" t="str">
        <f>_xll.BDP(NC13&amp;" Equity", "DS197")</f>
        <v>New York</v>
      </c>
      <c r="NH13" s="30" t="s">
        <v>26</v>
      </c>
      <c r="NI13" s="30" t="s">
        <v>33</v>
      </c>
      <c r="NJ13" s="30" t="s">
        <v>28</v>
      </c>
      <c r="NK13" s="30" t="str">
        <f>_xll.BDP(NC13&amp;" Equity", "DS004")</f>
        <v>USD</v>
      </c>
      <c r="NL13" s="17" cm="1">
        <f t="array" ref="NL13">_xll.BDP(NC13&amp;" Equity","PX_LAST")</f>
        <v>131.61000000000001</v>
      </c>
      <c r="NM13" s="33">
        <f t="shared" si="22"/>
        <v>4.0146869470351079E-2</v>
      </c>
      <c r="NN13" s="33">
        <f t="shared" si="23"/>
        <v>3.8110453231578731E-2</v>
      </c>
      <c r="NP13" s="1" cm="1">
        <f t="array" ref="NP13">IF(NK13="USD",1,_xll.BDP(NK13&amp;"USD CURNCY","PX_LAST"))</f>
        <v>1</v>
      </c>
      <c r="NQ13" s="18">
        <v>52148.932783125303</v>
      </c>
      <c r="NR13" s="11">
        <f t="shared" si="124"/>
        <v>6863321.0435871221</v>
      </c>
      <c r="NS13" s="5"/>
      <c r="NT13" s="11" cm="1">
        <f t="array" ref="NT13">IF(NG13="Hong Kong",_xll.BDP(NC13&amp;" Equity","PR414"),_xll.BDP(NC13&amp;" Equity","PR090"))</f>
        <v>1</v>
      </c>
      <c r="NU13" s="11">
        <f t="shared" si="125"/>
        <v>131.61000000000001</v>
      </c>
      <c r="NV13" s="5">
        <f t="shared" si="126"/>
        <v>97.614149612585237</v>
      </c>
      <c r="NW13" s="8">
        <f t="shared" si="127"/>
        <v>4.0305562500000003E-2</v>
      </c>
      <c r="NX13" s="8">
        <f t="shared" si="128"/>
        <v>3.952812055896926E-3</v>
      </c>
      <c r="NY13" s="5"/>
      <c r="NZ13" s="21">
        <f t="shared" si="129"/>
        <v>3278.2132638559901</v>
      </c>
      <c r="OA13" s="22">
        <f t="shared" si="130"/>
        <v>4869.5700000000006</v>
      </c>
      <c r="OC13" s="16" t="str" cm="1">
        <f t="array" ref="OC13">_xll.BDP(OD13&amp;" Equity","DS520")</f>
        <v>Enel SpA</v>
      </c>
      <c r="OD13" s="32" t="s">
        <v>261</v>
      </c>
      <c r="OE13" s="32" t="s">
        <v>327</v>
      </c>
      <c r="OF13" s="32" t="str" cm="1">
        <f t="array" ref="OF13">_xll.BDP(OD13&amp;" Equity", "ID_ISIN")</f>
        <v>IT0003128367</v>
      </c>
      <c r="OG13" s="32"/>
      <c r="OH13" s="30" t="str">
        <f>_xll.BDP(OD13&amp;" Equity", "DS197")</f>
        <v>BrsaItaliana</v>
      </c>
      <c r="OI13" s="30" t="s">
        <v>26</v>
      </c>
      <c r="OJ13" s="30" t="s">
        <v>328</v>
      </c>
      <c r="OK13" s="30" t="s">
        <v>28</v>
      </c>
      <c r="OL13" s="30" t="str">
        <f>_xll.BDP(OD13&amp;" Equity", "DS004")</f>
        <v>EUR</v>
      </c>
      <c r="OM13" s="17" cm="1">
        <f t="array" ref="OM13">_xll.BDP(OD13&amp;" Equity","PX_LAST")</f>
        <v>9.4619999999999997</v>
      </c>
      <c r="ON13" s="33">
        <f t="shared" si="24"/>
        <v>3.7502427861717251E-2</v>
      </c>
      <c r="OO13" s="33">
        <f t="shared" si="131"/>
        <v>3.5560066481167898E-2</v>
      </c>
      <c r="OQ13" s="1" cm="1">
        <f t="array" ref="OQ13">IF(OL13="EUR",1,_xll.BDP(OL13&amp;"EUR CURNCY","PX_LAST"))</f>
        <v>1</v>
      </c>
      <c r="OR13" s="18">
        <v>729940.71384733601</v>
      </c>
      <c r="OS13" s="11">
        <f t="shared" si="132"/>
        <v>6906699.0344234928</v>
      </c>
      <c r="OT13" s="5"/>
      <c r="OU13" s="11" cm="1">
        <f t="array" ref="OU13">IF(OH13="Hong Kong",_xll.BDP(OD13&amp;" Equity","PR414"),_xll.BDP(OD13&amp;" Equity","PR090"))</f>
        <v>1</v>
      </c>
      <c r="OV13" s="11">
        <f t="shared" si="133"/>
        <v>9.4619999999999997</v>
      </c>
      <c r="OW13" s="5">
        <f t="shared" si="134"/>
        <v>1268.3129270502559</v>
      </c>
      <c r="OX13" s="8">
        <f t="shared" si="135"/>
        <v>3.7493174999999997E-2</v>
      </c>
      <c r="OY13" s="8">
        <f t="shared" si="136"/>
        <v>-2.4672700528538538E-4</v>
      </c>
      <c r="OZ13" s="5"/>
      <c r="PA13" s="21">
        <f t="shared" si="137"/>
        <v>252.30366510907623</v>
      </c>
      <c r="PB13" s="22">
        <f t="shared" si="138"/>
        <v>350.09399999999999</v>
      </c>
      <c r="PD13" s="16" t="str" cm="1">
        <f t="array" ref="PD13">_xll.BDP(PE13&amp;" Equity","DS520")</f>
        <v>Ono Pharmaceutical Co Ltd</v>
      </c>
      <c r="PE13" s="32" t="s">
        <v>102</v>
      </c>
      <c r="PF13" s="32">
        <v>4528</v>
      </c>
      <c r="PG13" s="32" t="str" cm="1">
        <f t="array" ref="PG13">_xll.BDP(PE13&amp;" Equity", "ID_ISIN")</f>
        <v>JP3197600004</v>
      </c>
      <c r="PH13" s="32"/>
      <c r="PI13" s="30" t="str">
        <f>_xll.BDP(PE13&amp;" Equity", "DS197")</f>
        <v>Tokyo</v>
      </c>
      <c r="PJ13" s="30" t="s">
        <v>26</v>
      </c>
      <c r="PK13" s="71" t="s">
        <v>320</v>
      </c>
      <c r="PL13" s="30" t="s">
        <v>28</v>
      </c>
      <c r="PM13" s="30" t="str">
        <f>_xll.BDP(PE13&amp;" Equity", "DS004")</f>
        <v>JPY</v>
      </c>
      <c r="PN13" s="17" cm="1">
        <f t="array" ref="PN13">_xll.BDP(PE13&amp;" Equity","PX_LAST")</f>
        <v>2516</v>
      </c>
      <c r="PO13" s="33">
        <f t="shared" si="25"/>
        <v>4.4207576224359786E-2</v>
      </c>
      <c r="PP13" s="33">
        <f t="shared" si="26"/>
        <v>4.1994915816255959E-2</v>
      </c>
      <c r="PR13" s="1">
        <v>1</v>
      </c>
      <c r="PS13" s="18">
        <v>3386.1911188027302</v>
      </c>
      <c r="PT13" s="11">
        <f t="shared" si="139"/>
        <v>8519656.8549076691</v>
      </c>
      <c r="PU13" s="5"/>
      <c r="PV13" s="11" cm="1">
        <f t="array" ref="PV13">IF(PI13="Hong Kong",_xll.BDP(PE13&amp;" Equity","PR414"),_xll.BDP(PE13&amp;" Equity","PR090"))</f>
        <v>100</v>
      </c>
      <c r="PW13" s="11">
        <f t="shared" si="140"/>
        <v>251600</v>
      </c>
      <c r="PX13" s="5">
        <f t="shared" si="141"/>
        <v>5.6225852113653149E-2</v>
      </c>
      <c r="PY13" s="8">
        <f t="shared" si="142"/>
        <v>0</v>
      </c>
      <c r="PZ13" s="8">
        <f t="shared" si="143"/>
        <v>-1</v>
      </c>
      <c r="QA13" s="5"/>
      <c r="QB13" s="21">
        <f t="shared" si="144"/>
        <v>5691332.1536357012</v>
      </c>
      <c r="QC13" s="22">
        <f t="shared" si="145"/>
        <v>9309200</v>
      </c>
      <c r="QE13" s="16" t="str" cm="1">
        <f t="array" ref="QE13">_xll.BDP(QF13&amp;" Equity","DS520")</f>
        <v>F5 Inc</v>
      </c>
      <c r="QF13" s="34" t="s">
        <v>179</v>
      </c>
      <c r="QG13" s="34"/>
      <c r="QH13" s="32" t="str" cm="1">
        <f t="array" ref="QH13">_xll.BDP(QF13&amp;" Equity", "ID_ISIN")</f>
        <v>US3156161024</v>
      </c>
      <c r="QI13" s="34"/>
      <c r="QJ13" s="30" t="str">
        <f>_xll.BDP(QF13&amp;" Equity", "DS197")</f>
        <v>NASDAQ GS</v>
      </c>
      <c r="QK13" s="30" t="s">
        <v>26</v>
      </c>
      <c r="QL13" s="30"/>
      <c r="QM13" s="30" t="s">
        <v>28</v>
      </c>
      <c r="QN13" s="30" t="str">
        <f>_xll.BDP(QF13&amp;" Equity", "DS004")</f>
        <v>USD</v>
      </c>
      <c r="QO13" s="17" cm="1">
        <f t="array" ref="QO13">_xll.BDP(QF13&amp;" Equity","PX_LAST")</f>
        <v>283.64</v>
      </c>
      <c r="QP13" s="33">
        <f t="shared" si="27"/>
        <v>5.1546333062756231E-2</v>
      </c>
      <c r="QQ13" s="33">
        <f t="shared" si="28"/>
        <v>4.8981593320477683E-2</v>
      </c>
      <c r="QS13" s="1" cm="1">
        <f t="array" ref="QS13">IF(QN13="USD",1,_xll.BDP(QN13&amp;"USD CURNCY","PX_LAST"))</f>
        <v>1</v>
      </c>
      <c r="QT13" s="18">
        <v>20732.059120046699</v>
      </c>
      <c r="QU13" s="11">
        <f t="shared" si="146"/>
        <v>5880441.2488100454</v>
      </c>
      <c r="QV13" s="5"/>
      <c r="QW13" s="11" cm="1">
        <f t="array" ref="QW13">IF(QJ13="Hong Kong",_xll.BDP(QF13&amp;" Equity","PR414"),_xll.BDP(QF13&amp;" Equity","PR090"))</f>
        <v>1</v>
      </c>
      <c r="QX13" s="11">
        <f t="shared" si="147"/>
        <v>283.64</v>
      </c>
      <c r="QY13" s="5">
        <f t="shared" si="148"/>
        <v>58.154091736292465</v>
      </c>
      <c r="QZ13" s="8">
        <f t="shared" si="149"/>
        <v>5.1409749999999997E-2</v>
      </c>
      <c r="RA13" s="8">
        <f t="shared" si="150"/>
        <v>-2.6497144343894385E-3</v>
      </c>
      <c r="RB13" s="5"/>
      <c r="RC13" s="21">
        <f t="shared" si="151"/>
        <v>5502.622265189575</v>
      </c>
      <c r="RD13" s="22">
        <f t="shared" si="152"/>
        <v>10494.679999999998</v>
      </c>
      <c r="RF13" s="16" t="str" cm="1">
        <f t="array" ref="RF13">_xll.BDP(RG13&amp;" Equity","DS520")</f>
        <v>Credo Technology Group Holding Ltd</v>
      </c>
      <c r="RG13" s="34" t="s">
        <v>1301</v>
      </c>
      <c r="RH13" s="34"/>
      <c r="RI13" s="32" t="str" cm="1">
        <f t="array" ref="RI13">_xll.BDP(RG13&amp;" Equity", "ID_ISIN")</f>
        <v>KYG254571055</v>
      </c>
      <c r="RJ13" s="34"/>
      <c r="RK13" s="30" t="str">
        <f>_xll.BDP(RG13&amp;" Equity", "DS197")</f>
        <v>NASDAQ GS</v>
      </c>
      <c r="RL13" s="30" t="s">
        <v>26</v>
      </c>
      <c r="RM13" s="30"/>
      <c r="RN13" s="30" t="s">
        <v>28</v>
      </c>
      <c r="RO13" s="30" t="str">
        <f>_xll.BDP(RG13&amp;" Equity", "DS004")</f>
        <v>USD</v>
      </c>
      <c r="RP13" s="17" cm="1">
        <f t="array" ref="RP13">_xll.BDP(RG13&amp;" Equity","PX_LAST")</f>
        <v>114.74</v>
      </c>
      <c r="RQ13" s="33">
        <f t="shared" si="153"/>
        <v>2.2473373115813617E-2</v>
      </c>
      <c r="RR13" s="33">
        <f t="shared" si="154"/>
        <v>2.137019646333101E-2</v>
      </c>
      <c r="RT13" s="1" cm="1">
        <f t="array" ref="RT13">IF(RO13="USD",1,_xll.BDP(RO13&amp;"USD CURNCY","PX_LAST"))</f>
        <v>1</v>
      </c>
      <c r="RU13" s="18">
        <v>19737.299325873901</v>
      </c>
      <c r="RV13" s="11">
        <f t="shared" si="155"/>
        <v>2264657.7246507714</v>
      </c>
      <c r="RW13" s="5"/>
      <c r="RX13" s="11" cm="1">
        <f t="array" ref="RX13">IF(RK13="Hong Kong",_xll.BDP(RG13&amp;" Equity","PR414"),_xll.BDP(RG13&amp;" Equity","PR090"))</f>
        <v>1</v>
      </c>
      <c r="RY13" s="11">
        <f t="shared" si="156"/>
        <v>114.74</v>
      </c>
      <c r="RZ13" s="5">
        <f t="shared" si="157"/>
        <v>62.676306406313039</v>
      </c>
      <c r="SA13" s="8">
        <f t="shared" si="158"/>
        <v>2.25894375E-2</v>
      </c>
      <c r="SB13" s="8">
        <f t="shared" si="159"/>
        <v>5.1645288665951306E-3</v>
      </c>
      <c r="SC13" s="5"/>
      <c r="SD13" s="21">
        <f t="shared" si="160"/>
        <v>5105.5976069414355</v>
      </c>
      <c r="SE13" s="22">
        <f t="shared" si="161"/>
        <v>4245.3799999999992</v>
      </c>
    </row>
    <row r="14" spans="15:499" x14ac:dyDescent="0.2">
      <c r="O14" s="16" t="str" cm="1">
        <f t="array" ref="O14">_xll.BDP(P14&amp;" Equity","DS520")</f>
        <v>Verizon Communications Inc</v>
      </c>
      <c r="P14" s="32" t="s">
        <v>74</v>
      </c>
      <c r="Q14" s="32" t="s">
        <v>75</v>
      </c>
      <c r="R14" s="32" t="str" cm="1">
        <f t="array" ref="R14">_xll.BDP(P14&amp;" Equity", "ID_ISIN")</f>
        <v>US92343V1044</v>
      </c>
      <c r="S14" s="32"/>
      <c r="T14" s="30" t="str">
        <f>_xll.BDP(P14&amp;" Equity", "DS197")</f>
        <v>New York</v>
      </c>
      <c r="U14" s="30" t="s">
        <v>26</v>
      </c>
      <c r="V14" s="30" t="s">
        <v>33</v>
      </c>
      <c r="W14" s="30" t="s">
        <v>28</v>
      </c>
      <c r="X14" s="30" t="str">
        <f>_xll.BDP(P14&amp;" Equity", "DS004")</f>
        <v>USD</v>
      </c>
      <c r="Y14" s="17" cm="1">
        <f t="array" ref="Y14">_xll.BDP(P14&amp;" Equity","PX_LAST")</f>
        <v>51.18</v>
      </c>
      <c r="Z14" s="33">
        <f t="shared" si="0"/>
        <v>3.014372596505567E-2</v>
      </c>
      <c r="AA14" s="33">
        <f t="shared" si="1"/>
        <v>2.8637552727865473E-2</v>
      </c>
      <c r="AB14" s="4"/>
      <c r="AC14" s="1" cm="1">
        <f t="array" ref="AC14">IF(X14="USD",1,_xll.BDP(X14&amp;"USD CURNCY","PX_LAST"))</f>
        <v>1</v>
      </c>
      <c r="AD14" s="18">
        <v>121205.651214073</v>
      </c>
      <c r="AE14" s="11">
        <f t="shared" si="169"/>
        <v>6203305.2291362565</v>
      </c>
      <c r="AF14" s="5"/>
      <c r="AG14" s="11" cm="1">
        <f t="array" ref="AG14">IF(T14="Hong Kong",_xll.BDP(P14&amp;" Equity","PR414"),_xll.BDP(P14&amp;" Equity","PR090"))</f>
        <v>1</v>
      </c>
      <c r="AH14" s="11">
        <f t="shared" si="170"/>
        <v>51.18</v>
      </c>
      <c r="AI14" s="5">
        <f t="shared" si="171"/>
        <v>188.47190912109838</v>
      </c>
      <c r="AJ14" s="8">
        <f t="shared" si="172"/>
        <v>3.0068250000000001E-2</v>
      </c>
      <c r="AK14" s="8">
        <f t="shared" si="173"/>
        <v>-2.5038697984172131E-3</v>
      </c>
      <c r="AL14" s="5"/>
      <c r="AM14" s="21">
        <f t="shared" si="174"/>
        <v>1697.8657535346088</v>
      </c>
      <c r="AN14" s="22">
        <f t="shared" si="175"/>
        <v>1893.6599999999999</v>
      </c>
      <c r="AP14" s="16" t="str" cm="1">
        <f t="array" ref="AP14">_xll.BDP(AQ14&amp;" Equity","DS520")</f>
        <v>Johnson &amp; Johnson</v>
      </c>
      <c r="AQ14" s="32" t="s">
        <v>100</v>
      </c>
      <c r="AR14" s="32" t="s">
        <v>334</v>
      </c>
      <c r="AS14" s="32" t="str" cm="1">
        <f t="array" ref="AS14">_xll.BDP(AQ14&amp;" Equity", "ID_ISIN")</f>
        <v>US4781601046</v>
      </c>
      <c r="AT14" s="32"/>
      <c r="AU14" s="30" t="str">
        <f>_xll.BDP(AQ14&amp;" Equity", "DS197")</f>
        <v>New York</v>
      </c>
      <c r="AV14" s="30" t="s">
        <v>26</v>
      </c>
      <c r="AW14" s="30" t="s">
        <v>33</v>
      </c>
      <c r="AX14" s="30" t="s">
        <v>28</v>
      </c>
      <c r="AY14" s="30" t="str">
        <f>_xll.BDP(AQ14&amp;" Equity", "DS004")</f>
        <v>USD</v>
      </c>
      <c r="AZ14" s="17" cm="1">
        <f t="array" ref="AZ14">_xll.BDP(AQ14&amp;" Equity","PX_LAST")</f>
        <v>239.63</v>
      </c>
      <c r="BA14" s="33">
        <f t="shared" si="4"/>
        <v>5.7858105320777661E-2</v>
      </c>
      <c r="BB14" s="33">
        <f t="shared" si="34"/>
        <v>5.4946534946658049E-2</v>
      </c>
      <c r="BD14" s="1" cm="1">
        <f t="array" ref="BD14">IF(AY14="USD",1,_xll.BDP(AY14&amp;"USD CURNCY","PX_LAST"))</f>
        <v>1</v>
      </c>
      <c r="BE14" s="18">
        <v>39752.868256995302</v>
      </c>
      <c r="BF14" s="11">
        <f t="shared" si="35"/>
        <v>9525979.8204237837</v>
      </c>
      <c r="BG14" s="5"/>
      <c r="BH14" s="11" cm="1">
        <f t="array" ref="BH14">IF(AU14="Hong Kong",_xll.BDP(AQ14&amp;" Equity","PR414"),_xll.BDP(AQ14&amp;" Equity","PR090"))</f>
        <v>1</v>
      </c>
      <c r="BI14" s="11">
        <f t="shared" si="36"/>
        <v>239.63</v>
      </c>
      <c r="BJ14" s="5">
        <f t="shared" si="37"/>
        <v>77.263254611896883</v>
      </c>
      <c r="BK14" s="8">
        <f t="shared" si="38"/>
        <v>5.7660968749999993E-2</v>
      </c>
      <c r="BL14" s="8">
        <f t="shared" si="39"/>
        <v>-3.4072420741173559E-3</v>
      </c>
      <c r="BM14" s="5"/>
      <c r="BN14" s="21">
        <f t="shared" si="40"/>
        <v>4141.6841887828896</v>
      </c>
      <c r="BO14" s="22">
        <f t="shared" si="41"/>
        <v>8866.31</v>
      </c>
      <c r="BQ14" s="16" t="str" cm="1">
        <f t="array" ref="BQ14">_xll.BDP(BR14&amp;" Equity","DS520")</f>
        <v>Mori Hills REIT Investment Corp</v>
      </c>
      <c r="BR14" s="32" t="s">
        <v>111</v>
      </c>
      <c r="BS14" s="32">
        <v>3234</v>
      </c>
      <c r="BT14" s="32" t="str" cm="1">
        <f t="array" ref="BT14">_xll.BDP(BR14&amp;" Equity", "ID_ISIN")</f>
        <v>JP3046470005</v>
      </c>
      <c r="BU14" s="32"/>
      <c r="BV14" s="30" t="str">
        <f>_xll.BDP(BR14&amp;" Equity", "DS197")</f>
        <v>Tokyo</v>
      </c>
      <c r="BW14" s="30" t="s">
        <v>26</v>
      </c>
      <c r="BX14" s="71" t="s">
        <v>320</v>
      </c>
      <c r="BY14" s="30" t="s">
        <v>28</v>
      </c>
      <c r="BZ14" s="30" t="str">
        <f>_xll.BDP(BR14&amp;" Equity", "DS004")</f>
        <v>JPY</v>
      </c>
      <c r="CA14" s="17" cm="1">
        <f t="array" ref="CA14">_xll.BDP(BR14&amp;" Equity","PX_LAST")</f>
        <v>145200</v>
      </c>
      <c r="CB14" s="33">
        <f t="shared" si="5"/>
        <v>6.469837336417178E-2</v>
      </c>
      <c r="CC14" s="33">
        <f t="shared" si="42"/>
        <v>6.1457917203295735E-2</v>
      </c>
      <c r="CE14" s="1">
        <v>1</v>
      </c>
      <c r="CF14" s="18">
        <v>279.54428919985497</v>
      </c>
      <c r="CG14" s="11">
        <f t="shared" si="43"/>
        <v>40589830.791818939</v>
      </c>
      <c r="CH14" s="5"/>
      <c r="CI14" s="11" cm="1">
        <f t="array" ref="CI14">IF(BV14="Hong Kong",_xll.BDP(BR14&amp;" Equity","PR414"),_xll.BDP(BR14&amp;" Equity","PR090"))</f>
        <v>1</v>
      </c>
      <c r="CJ14" s="11">
        <f t="shared" si="44"/>
        <v>145200</v>
      </c>
      <c r="CK14" s="5">
        <f t="shared" si="45"/>
        <v>0.14258594680809208</v>
      </c>
      <c r="CL14" s="8">
        <f t="shared" si="46"/>
        <v>0</v>
      </c>
      <c r="CM14" s="8">
        <f t="shared" si="47"/>
        <v>-1</v>
      </c>
      <c r="CN14" s="5"/>
      <c r="CO14" s="21">
        <f t="shared" si="48"/>
        <v>2244260.4419542928</v>
      </c>
      <c r="CP14" s="22">
        <f t="shared" si="49"/>
        <v>5372400</v>
      </c>
      <c r="CR14" s="16" t="str" cm="1">
        <f t="array" ref="CR14">_xll.BDP(CS14&amp;" Equity","DS520")</f>
        <v>Klepierre SA</v>
      </c>
      <c r="CS14" s="32" t="s">
        <v>309</v>
      </c>
      <c r="CT14" s="32" t="s">
        <v>380</v>
      </c>
      <c r="CU14" s="32" t="str" cm="1">
        <f t="array" ref="CU14">_xll.BDP(CS14&amp;" Equity", "ID_ISIN")</f>
        <v>FR0000121964</v>
      </c>
      <c r="CV14" s="32"/>
      <c r="CW14" s="30" t="str">
        <f>_xll.BDP(CS14&amp;" Equity", "DS197")</f>
        <v>EN Paris</v>
      </c>
      <c r="CX14" s="30" t="s">
        <v>26</v>
      </c>
      <c r="CY14" s="30" t="s">
        <v>39</v>
      </c>
      <c r="CZ14" s="30" t="s">
        <v>28</v>
      </c>
      <c r="DA14" s="30" t="str">
        <f>_xll.BDP(CS14&amp;" Equity", "DS004")</f>
        <v>EUR</v>
      </c>
      <c r="DB14" s="17" cm="1">
        <f t="array" ref="DB14">_xll.BDP(CS14&amp;" Equity","PX_LAST")</f>
        <v>34.24</v>
      </c>
      <c r="DC14" s="33">
        <f t="shared" si="6"/>
        <v>5.0794542787197354E-2</v>
      </c>
      <c r="DD14" s="33">
        <f t="shared" si="7"/>
        <v>4.8238682898965372E-2</v>
      </c>
      <c r="DF14" s="1" cm="1">
        <f t="array" ref="DF14">IF(DA14="USD",1,_xll.BDP(DA14&amp;"USD CURNCY","PX_LAST"))</f>
        <v>1.1607000000000001</v>
      </c>
      <c r="DG14" s="18">
        <v>231790.95364999</v>
      </c>
      <c r="DH14" s="11">
        <f t="shared" si="8"/>
        <v>9211921.3790288456</v>
      </c>
      <c r="DI14" s="5"/>
      <c r="DJ14" s="11" cm="1">
        <f t="array" ref="DJ14">IF(CW14="Hong Kong",_xll.BDP(CS14&amp;" Equity","PR414"),_xll.BDP(CS14&amp;" Equity","PR090"))</f>
        <v>1</v>
      </c>
      <c r="DK14" s="11">
        <f t="shared" si="9"/>
        <v>39.742368000000006</v>
      </c>
      <c r="DL14" s="5">
        <f t="shared" si="50"/>
        <v>408.99056875280183</v>
      </c>
      <c r="DM14" s="8">
        <f t="shared" si="51"/>
        <v>5.0795714100000007E-2</v>
      </c>
      <c r="DN14" s="8">
        <f t="shared" si="52"/>
        <v>2.3059815845938303E-5</v>
      </c>
      <c r="DO14" s="5"/>
      <c r="DP14" s="21">
        <f t="shared" si="53"/>
        <v>782.41412992926826</v>
      </c>
      <c r="DQ14" s="22">
        <f t="shared" si="54"/>
        <v>1470.4676160000001</v>
      </c>
      <c r="DS14" s="16" t="str" cm="1">
        <f t="array" ref="DS14">_xll.BDP(DT14&amp;" Equity","DS520")</f>
        <v>HSBC Holdings PLC</v>
      </c>
      <c r="DT14" s="32" t="s">
        <v>139</v>
      </c>
      <c r="DU14" s="32" t="s">
        <v>140</v>
      </c>
      <c r="DV14" s="32" t="str" cm="1">
        <f t="array" ref="DV14">_xll.BDP(DT14&amp;" Equity", "ID_ISIN")</f>
        <v>GB0005405286</v>
      </c>
      <c r="DW14" s="32"/>
      <c r="DX14" s="30" t="str">
        <f>_xll.BDP(DT14&amp;" Equity", "DS197")</f>
        <v>London</v>
      </c>
      <c r="DY14" s="30" t="s">
        <v>26</v>
      </c>
      <c r="DZ14" s="30" t="s">
        <v>129</v>
      </c>
      <c r="EA14" s="30" t="s">
        <v>28</v>
      </c>
      <c r="EB14" s="43" t="str">
        <f>_xll.BDP(DT14&amp;" Equity", "DS004")</f>
        <v>GBp</v>
      </c>
      <c r="EC14" s="17" cm="1">
        <f t="array" ref="EC14">_xll.BDP(DT14&amp;" Equity","PX_LAST")/100</f>
        <v>12.788</v>
      </c>
      <c r="ED14" s="33">
        <f t="shared" si="55"/>
        <v>5.4188639155496841E-2</v>
      </c>
      <c r="EE14" s="33">
        <f t="shared" si="56"/>
        <v>5.1403766392995355E-2</v>
      </c>
      <c r="EG14" s="1">
        <v>1</v>
      </c>
      <c r="EH14" s="18">
        <v>699289.58527490206</v>
      </c>
      <c r="EI14" s="11">
        <f t="shared" si="57"/>
        <v>8942515.2164954469</v>
      </c>
      <c r="EJ14" s="5"/>
      <c r="EK14" s="11" cm="1">
        <f t="array" ref="EK14">IF(DX14="Hong Kong",_xll.BDP(DT14&amp;" Equity","PR414"),_xll.BDP(DT14&amp;" Equity","PR090"))</f>
        <v>1</v>
      </c>
      <c r="EL14" s="11">
        <f t="shared" si="58"/>
        <v>12.788</v>
      </c>
      <c r="EM14" s="5">
        <f t="shared" si="59"/>
        <v>1355.9872169032678</v>
      </c>
      <c r="EN14" s="8">
        <f t="shared" si="60"/>
        <v>5.4189150000000005E-2</v>
      </c>
      <c r="EO14" s="8">
        <f t="shared" si="61"/>
        <v>9.4271513573218613E-6</v>
      </c>
      <c r="EP14" s="5"/>
      <c r="EQ14" s="21">
        <f t="shared" si="62"/>
        <v>235.99042528645597</v>
      </c>
      <c r="ER14" s="22">
        <f t="shared" si="63"/>
        <v>473.15600000000001</v>
      </c>
      <c r="ET14" s="16" t="str" cm="1">
        <f t="array" ref="ET14">_xll.BDP(EU14&amp;" Equity","DS520")</f>
        <v>Waste Management Inc</v>
      </c>
      <c r="EU14" s="32" t="s">
        <v>705</v>
      </c>
      <c r="EV14" s="32" t="s">
        <v>709</v>
      </c>
      <c r="EW14" s="32" t="str" cm="1">
        <f t="array" ref="EW14">_xll.BDP(EU14&amp;" Equity", "ID_ISIN")</f>
        <v>US94106L1098</v>
      </c>
      <c r="EX14" s="32"/>
      <c r="EY14" s="30" t="str">
        <f>_xll.BDP(EU14&amp;" Equity", "DS197")</f>
        <v>New York</v>
      </c>
      <c r="EZ14" s="30" t="s">
        <v>26</v>
      </c>
      <c r="FA14" s="30" t="s">
        <v>33</v>
      </c>
      <c r="FB14" s="30" t="s">
        <v>28</v>
      </c>
      <c r="FC14" s="30" t="str">
        <f>_xll.BDP(EU14&amp;" Equity", "DS004")</f>
        <v>USD</v>
      </c>
      <c r="FD14" s="17" cm="1">
        <f t="array" ref="FD14">_xll.BDP(EU14&amp;" Equity","PX_LAST")</f>
        <v>246.09</v>
      </c>
      <c r="FE14" s="33">
        <f t="shared" si="10"/>
        <v>3.6417100097939928E-2</v>
      </c>
      <c r="FF14" s="33">
        <f t="shared" si="11"/>
        <v>3.4595282340106767E-2</v>
      </c>
      <c r="FH14" s="1" cm="1">
        <f t="array" ref="FH14">IF(FC14="USD",1,_xll.BDP(FC14&amp;"USD CURNCY","PX_LAST"))</f>
        <v>1</v>
      </c>
      <c r="FI14" s="18">
        <v>30324.8481914894</v>
      </c>
      <c r="FJ14" s="11">
        <f t="shared" si="64"/>
        <v>7462641.891443627</v>
      </c>
      <c r="FK14" s="5"/>
      <c r="FL14" s="11" cm="1">
        <f t="array" ref="FL14">IF(EY14="Hong Kong",_xll.BDP(EU14&amp;" Equity","PR414"),_xll.BDP(EU14&amp;" Equity","PR090"))</f>
        <v>1</v>
      </c>
      <c r="FM14" s="11">
        <f t="shared" si="65"/>
        <v>246.09</v>
      </c>
      <c r="FN14" s="5">
        <f t="shared" si="66"/>
        <v>47.354512704054514</v>
      </c>
      <c r="FO14" s="8">
        <f t="shared" si="67"/>
        <v>3.6144468749999999E-2</v>
      </c>
      <c r="FP14" s="8">
        <f t="shared" si="68"/>
        <v>-7.4863552344013318E-3</v>
      </c>
      <c r="FQ14" s="5"/>
      <c r="FR14" s="21">
        <f t="shared" si="69"/>
        <v>6757.5397090423739</v>
      </c>
      <c r="FS14" s="22">
        <f t="shared" si="70"/>
        <v>9105.33</v>
      </c>
      <c r="FU14" s="16" t="str" cm="1">
        <f t="array" ref="FU14">_xll.BDP(FV14&amp;" Equity","DS520")</f>
        <v>ASML Holding NV</v>
      </c>
      <c r="FV14" s="32" t="s">
        <v>754</v>
      </c>
      <c r="FW14" s="32" t="s">
        <v>759</v>
      </c>
      <c r="FX14" s="32" t="str" cm="1">
        <f t="array" ref="FX14">_xll.BDP(FV14&amp;" Equity", "ID_ISIN")</f>
        <v>NL0010273215</v>
      </c>
      <c r="FY14" s="32"/>
      <c r="FZ14" s="30" t="str">
        <f>_xll.BDP(FV14&amp;" Equity", "DS197")</f>
        <v>EN Amsterdam</v>
      </c>
      <c r="GA14" s="30" t="s">
        <v>26</v>
      </c>
      <c r="GB14" s="30" t="s">
        <v>39</v>
      </c>
      <c r="GC14" s="30" t="s">
        <v>28</v>
      </c>
      <c r="GD14" s="30" t="str">
        <f>_xll.BDP(FV14&amp;" Equity", "DS004")</f>
        <v>EUR</v>
      </c>
      <c r="GE14" s="17" cm="1">
        <f t="array" ref="GE14">_xll.BDP(FV14&amp;" Equity","PX_LAST")</f>
        <v>1186</v>
      </c>
      <c r="GF14" s="33">
        <f t="shared" si="12"/>
        <v>4.4505923717353894E-2</v>
      </c>
      <c r="GG14" s="33">
        <f t="shared" si="13"/>
        <v>4.2278602575878621E-2</v>
      </c>
      <c r="GI14" s="1" cm="1">
        <f t="array" ref="GI14">IF(GD14="USD",1,_xll.BDP(GD14&amp;"USD CURNCY","PX_LAST"))</f>
        <v>1.1607000000000001</v>
      </c>
      <c r="GJ14" s="18">
        <v>6692.3316517592602</v>
      </c>
      <c r="GK14" s="11">
        <f t="shared" si="71"/>
        <v>9212598.1669616103</v>
      </c>
      <c r="GL14" s="5"/>
      <c r="GM14" s="11" cm="1">
        <f t="array" ref="GM14">IF(FZ14="Hong Kong",_xll.BDP(FV14&amp;" Equity","PR414"),_xll.BDP(FV14&amp;" Equity","PR090"))</f>
        <v>1</v>
      </c>
      <c r="GN14" s="11">
        <f t="shared" si="72"/>
        <v>1376.5902000000001</v>
      </c>
      <c r="GO14" s="5">
        <f t="shared" si="73"/>
        <v>10.345777261492378</v>
      </c>
      <c r="GP14" s="8">
        <f t="shared" si="74"/>
        <v>4.3018443750000003E-2</v>
      </c>
      <c r="GQ14" s="8">
        <f t="shared" si="75"/>
        <v>-3.3422067066858574E-2</v>
      </c>
      <c r="GR14" s="5"/>
      <c r="GS14" s="21">
        <f t="shared" si="76"/>
        <v>30930.493853860527</v>
      </c>
      <c r="GT14" s="22">
        <f t="shared" si="77"/>
        <v>50933.837400000004</v>
      </c>
      <c r="GV14" s="16" t="str" cm="1">
        <f t="array" ref="GV14">_xll.BDP(GW14&amp;" Equity","DS520")</f>
        <v>Canon Inc</v>
      </c>
      <c r="GW14" s="32" t="s">
        <v>191</v>
      </c>
      <c r="GX14" s="32">
        <v>7751</v>
      </c>
      <c r="GY14" s="32" t="str" cm="1">
        <f t="array" ref="GY14">_xll.BDP(GW14&amp;" Equity", "ID_ISIN")</f>
        <v>JP3242800005</v>
      </c>
      <c r="GZ14" s="32"/>
      <c r="HA14" s="30" t="str">
        <f>_xll.BDP(GW14&amp;" Equity", "DS197")</f>
        <v>Tokyo</v>
      </c>
      <c r="HB14" s="30" t="s">
        <v>26</v>
      </c>
      <c r="HC14" s="30" t="s">
        <v>320</v>
      </c>
      <c r="HD14" s="30" t="s">
        <v>28</v>
      </c>
      <c r="HE14" s="30" t="str">
        <f>_xll.BDP(GW14&amp;" Equity", "DS004")</f>
        <v>JPY</v>
      </c>
      <c r="HF14" s="17" cm="1">
        <f t="array" ref="HF14">_xll.BDP(GW14&amp;" Equity","PX_LAST")</f>
        <v>4526</v>
      </c>
      <c r="HG14" s="33">
        <f t="shared" si="14"/>
        <v>2.8744334409914543E-2</v>
      </c>
      <c r="HH14" s="33">
        <f t="shared" si="78"/>
        <v>2.7304951241093722E-2</v>
      </c>
      <c r="HJ14" s="1" cm="1">
        <f t="array" ref="HJ14">IF(HE14="USD",1,_xll.BDP(HE14&amp;"USD CURNCY","PX_LAST"))</f>
        <v>6.3369999999999998E-3</v>
      </c>
      <c r="HK14" s="18">
        <v>163450.15214574401</v>
      </c>
      <c r="HL14" s="11">
        <f t="shared" si="79"/>
        <v>4687956.6376319453</v>
      </c>
      <c r="HM14" s="5"/>
      <c r="HN14" s="11" cm="1">
        <f t="array" ref="HN14">IF(HA14="Hong Kong",_xll.BDP(GW14&amp;" Equity","PR414"),_xll.BDP(GW14&amp;" Equity","PR090"))</f>
        <v>100</v>
      </c>
      <c r="HO14" s="11">
        <f t="shared" si="80"/>
        <v>2868.1261999999997</v>
      </c>
      <c r="HP14" s="5">
        <f t="shared" si="81"/>
        <v>3.207037058262169</v>
      </c>
      <c r="HQ14" s="8">
        <f t="shared" si="82"/>
        <v>2.6888683125E-2</v>
      </c>
      <c r="HR14" s="8">
        <f t="shared" si="83"/>
        <v>-6.4557114402151172E-2</v>
      </c>
      <c r="HS14" s="5"/>
      <c r="HT14" s="21">
        <f t="shared" si="84"/>
        <v>99780.574463770536</v>
      </c>
      <c r="HU14" s="22">
        <f t="shared" si="85"/>
        <v>106120.66939999998</v>
      </c>
      <c r="HW14" s="16" t="str" cm="1">
        <f t="array" ref="HW14">_xll.BDP(HX14&amp;" Equity","DS520")</f>
        <v>CITIC Ltd</v>
      </c>
      <c r="HX14" s="45" t="s">
        <v>211</v>
      </c>
      <c r="HY14" s="32">
        <v>267</v>
      </c>
      <c r="HZ14" s="32" t="str" cm="1">
        <f t="array" ref="HZ14">_xll.BDP(HX14&amp;" Equity", "ID_ISIN")</f>
        <v>HK0267001375</v>
      </c>
      <c r="IA14" s="45"/>
      <c r="IB14" s="30" t="str">
        <f>_xll.BDP(HX14&amp;" Equity", "DS197")</f>
        <v>Hong Kong</v>
      </c>
      <c r="IC14" s="30" t="s">
        <v>26</v>
      </c>
      <c r="ID14" s="30" t="s">
        <v>27</v>
      </c>
      <c r="IE14" s="30" t="s">
        <v>28</v>
      </c>
      <c r="IF14" s="30" t="str">
        <f>_xll.BDP(HX14&amp;" Equity", "DS004")</f>
        <v>HKD</v>
      </c>
      <c r="IG14" s="17" cm="1">
        <f t="array" ref="IG14">_xll.BDP(HX14&amp;" Equity","PX_LAST")</f>
        <v>11.91</v>
      </c>
      <c r="IH14" s="33">
        <f t="shared" si="15"/>
        <v>4.5874654620566606E-2</v>
      </c>
      <c r="II14" s="33">
        <f t="shared" si="16"/>
        <v>4.3604395956865695E-2</v>
      </c>
      <c r="IK14" s="1">
        <v>1</v>
      </c>
      <c r="IL14" s="18">
        <v>730067.919199083</v>
      </c>
      <c r="IM14" s="11">
        <f t="shared" ref="IM14" si="176">IL14*IG14*IK14</f>
        <v>8695108.9176610783</v>
      </c>
      <c r="IN14" s="5"/>
      <c r="IO14" s="11" cm="1">
        <f t="array" ref="IO14">IF(IB14="Hong Kong",_xll.BDP(HX14&amp;" Equity","PR414"),_xll.BDP(HX14&amp;" Equity","PR090"))</f>
        <v>1000</v>
      </c>
      <c r="IP14" s="11">
        <f t="shared" ref="IP14" si="177">IO14*IK14*IG14</f>
        <v>11910</v>
      </c>
      <c r="IQ14" s="5">
        <f t="shared" ref="IQ14" si="178">($AJ$3*IH14)/IP14</f>
        <v>1.2325683861109415</v>
      </c>
      <c r="IR14" s="8">
        <f t="shared" ref="IR14" si="179">(ROUND(IQ14,0)*IP14)/$AJ$3</f>
        <v>3.7218750000000002E-2</v>
      </c>
      <c r="IS14" s="8">
        <f t="shared" ref="IS14" si="180">IR14/IH14-1</f>
        <v>-0.18868598994718044</v>
      </c>
      <c r="IT14" s="5"/>
      <c r="IU14" s="21">
        <f t="shared" ref="IU14" si="181">IFERROR(IP14/IH14,0)</f>
        <v>259620.48321690224</v>
      </c>
      <c r="IV14" s="22">
        <f t="shared" ref="IV14" si="182">IP14/(1/COUNTA($P$6:$P$77))</f>
        <v>440670</v>
      </c>
      <c r="IX14" s="16" t="str" cm="1">
        <f t="array" ref="IX14">_xll.BDP(IY14&amp;" Equity","DS520")</f>
        <v>Global X China Robotics &amp; AI ETF</v>
      </c>
      <c r="IY14" s="32" t="s">
        <v>228</v>
      </c>
      <c r="IZ14" s="32">
        <v>9807</v>
      </c>
      <c r="JA14" s="32" t="str" cm="1">
        <f t="array" ref="JA14">_xll.BDP(IY14&amp;" Equity", "ID_ISIN")</f>
        <v>HK0000637857</v>
      </c>
      <c r="JB14" s="32"/>
      <c r="JC14" s="30" t="str">
        <f>_xll.BDP(IY14&amp;" Equity", "DS197")</f>
        <v>Hong Kong</v>
      </c>
      <c r="JD14" s="30" t="s">
        <v>26</v>
      </c>
      <c r="JE14" s="30" t="s">
        <v>27</v>
      </c>
      <c r="JF14" s="30" t="s">
        <v>28</v>
      </c>
      <c r="JG14" s="30" t="str">
        <f>_xll.BDP(IY14&amp;" Equity", "DS004")</f>
        <v>USD</v>
      </c>
      <c r="JH14" s="17" cm="1">
        <f t="array" ref="JH14">_xll.BDP(IY14&amp;" Equity","PX_LAST")</f>
        <v>7.8650000000000002</v>
      </c>
      <c r="JI14" s="33">
        <f t="shared" si="93"/>
        <v>3.0088414645567215E-2</v>
      </c>
      <c r="JJ14" s="33">
        <f t="shared" si="17"/>
        <v>2.8582457424196035E-2</v>
      </c>
      <c r="JL14" s="1" cm="1">
        <f t="array" ref="JL14">IF(JG14="USD",1,_xll.BDP(JG14&amp;"USD CURNCY","PX_LAST"))</f>
        <v>1</v>
      </c>
      <c r="JM14" s="18">
        <v>466705.61157787702</v>
      </c>
      <c r="JN14" s="11">
        <f t="shared" si="94"/>
        <v>3670639.635060003</v>
      </c>
      <c r="JO14" s="5"/>
      <c r="JP14" s="11" cm="1">
        <f t="array" ref="JP14">IF(JC14="Hong Kong",_xll.BDP(IY14&amp;" Equity","PR414"),_xll.BDP(IY14&amp;" Equity","PR090"))</f>
        <v>50</v>
      </c>
      <c r="JQ14" s="11">
        <f t="shared" si="95"/>
        <v>393.25</v>
      </c>
      <c r="JR14" s="5">
        <f t="shared" si="96"/>
        <v>24.483897486539117</v>
      </c>
      <c r="JS14" s="8">
        <f t="shared" si="97"/>
        <v>2.9493749999999999E-2</v>
      </c>
      <c r="JT14" s="8">
        <f t="shared" si="98"/>
        <v>-1.9763907556187066E-2</v>
      </c>
      <c r="JU14" s="5"/>
      <c r="JV14" s="21">
        <f t="shared" si="99"/>
        <v>13069.814565917506</v>
      </c>
      <c r="JW14" s="22">
        <f t="shared" si="100"/>
        <v>14550.25</v>
      </c>
      <c r="JY14" s="16" t="str" cm="1">
        <f t="array" ref="JY14">_xll.BDP(JZ14&amp;" Equity","DS520")</f>
        <v>Brambles Ltd</v>
      </c>
      <c r="JZ14" s="32" t="s">
        <v>1370</v>
      </c>
      <c r="KA14" s="32" t="s">
        <v>1375</v>
      </c>
      <c r="KB14" s="32" t="str" cm="1">
        <f t="array" ref="KB14">_xll.BDP(JZ14&amp;" Equity", "ID_ISIN")</f>
        <v>AU000000BXB1</v>
      </c>
      <c r="KC14" s="32"/>
      <c r="KD14" s="30" t="str">
        <f>_xll.BDP(JZ14&amp;" Equity", "DS197")</f>
        <v>ASE</v>
      </c>
      <c r="KE14" s="30" t="s">
        <v>26</v>
      </c>
      <c r="KF14" s="30" t="s">
        <v>323</v>
      </c>
      <c r="KG14" s="30" t="s">
        <v>28</v>
      </c>
      <c r="KH14" s="30" t="str">
        <f>_xll.BDP(JZ14&amp;" Equity", "DS004")</f>
        <v>AUD</v>
      </c>
      <c r="KI14" s="17" cm="1">
        <f t="array" ref="KI14">_xll.BDP(JZ14&amp;" Equity","PX_LAST")</f>
        <v>24.4</v>
      </c>
      <c r="KJ14" s="33">
        <f t="shared" si="101"/>
        <v>3.1589351071205252E-2</v>
      </c>
      <c r="KK14" s="33">
        <f t="shared" si="102"/>
        <v>3.0014755048093776E-2</v>
      </c>
      <c r="KM14" s="1" cm="1">
        <f t="array" ref="KM14">IF(KH14="USD",1,_xll.BDP(KH14&amp;"USD CURNCY","PX_LAST"))</f>
        <v>0.70340000000000003</v>
      </c>
      <c r="KN14" s="18">
        <v>182768.74386654401</v>
      </c>
      <c r="KO14" s="11">
        <f t="shared" si="103"/>
        <v>3136852.6402317402</v>
      </c>
      <c r="KP14" s="5"/>
      <c r="KQ14" s="11" cm="1">
        <f t="array" ref="KQ14">IF(KD14="Hong Kong",_xll.BDP(JZ14&amp;" Equity","PR414"),_xll.BDP(JZ14&amp;" Equity","PR090"))</f>
        <v>1</v>
      </c>
      <c r="KR14" s="11">
        <f t="shared" si="104"/>
        <v>17.162959999999998</v>
      </c>
      <c r="KS14" s="5">
        <f t="shared" si="105"/>
        <v>588.97721271771775</v>
      </c>
      <c r="KT14" s="8">
        <f t="shared" si="106"/>
        <v>3.1590573249999997E-2</v>
      </c>
      <c r="KU14" s="8">
        <f t="shared" si="107"/>
        <v>3.8689582194662009E-5</v>
      </c>
      <c r="KV14" s="5"/>
      <c r="KW14" s="21">
        <f t="shared" si="108"/>
        <v>543.31473797334854</v>
      </c>
      <c r="KX14" s="22">
        <f t="shared" si="109"/>
        <v>635.02951999999993</v>
      </c>
      <c r="KZ14" s="16" t="str" cm="1">
        <f t="array" ref="KZ14">_xll.BDP(LA14&amp;" Equity","DS520")</f>
        <v>Omega Healthcare Investors Inc</v>
      </c>
      <c r="LA14" s="44" t="s">
        <v>310</v>
      </c>
      <c r="LB14" s="32" t="s">
        <v>376</v>
      </c>
      <c r="LC14" s="32" t="str" cm="1">
        <f t="array" ref="LC14">_xll.BDP(LA14&amp;" Equity", "ID_ISIN")</f>
        <v>US6819361006</v>
      </c>
      <c r="LD14" s="44"/>
      <c r="LE14" s="30" t="str">
        <f>_xll.BDP(LA14&amp;" Equity", "DS197")</f>
        <v>New York</v>
      </c>
      <c r="LF14" s="30" t="s">
        <v>26</v>
      </c>
      <c r="LG14" s="30" t="s">
        <v>33</v>
      </c>
      <c r="LH14" s="30" t="s">
        <v>28</v>
      </c>
      <c r="LI14" s="30" t="str">
        <f>_xll.BDP(LA14&amp;" Equity", "DS004")</f>
        <v>USD</v>
      </c>
      <c r="LJ14" s="17" cm="1">
        <f t="array" ref="LJ14">_xll.BDP(LA14&amp;" Equity","PX_LAST")</f>
        <v>47.07</v>
      </c>
      <c r="LK14" s="33">
        <f t="shared" si="18"/>
        <v>6.7643177815248687E-2</v>
      </c>
      <c r="LL14" s="33">
        <f t="shared" si="19"/>
        <v>6.4232149153133453E-2</v>
      </c>
      <c r="LN14" s="1">
        <v>1</v>
      </c>
      <c r="LO14" s="18">
        <v>158808.259686112</v>
      </c>
      <c r="LP14" s="11">
        <f t="shared" si="110"/>
        <v>7475104.783425292</v>
      </c>
      <c r="LQ14" s="5"/>
      <c r="LR14" s="11" cm="1">
        <f t="array" ref="LR14">IF(LE14="Hong Kong",_xll.BDP(LA14&amp;" Equity","PR414"),_xll.BDP(LA14&amp;" Equity","PR090"))</f>
        <v>1</v>
      </c>
      <c r="LS14" s="11">
        <f t="shared" si="111"/>
        <v>47.07</v>
      </c>
      <c r="LT14" s="5">
        <f t="shared" si="112"/>
        <v>459.86439135074528</v>
      </c>
      <c r="LU14" s="8">
        <f t="shared" si="113"/>
        <v>6.7663125000000005E-2</v>
      </c>
      <c r="LV14" s="8">
        <f t="shared" si="114"/>
        <v>2.9488834492363836E-4</v>
      </c>
      <c r="LW14" s="5"/>
      <c r="LX14" s="21">
        <f t="shared" si="115"/>
        <v>695.85731363125126</v>
      </c>
      <c r="LY14" s="22">
        <f t="shared" si="116"/>
        <v>1741.59</v>
      </c>
      <c r="MA14" s="16" t="str" cm="1">
        <f t="array" ref="MA14">_xll.BDP(MB14&amp;" Equity","DS520")</f>
        <v>Endesa SA</v>
      </c>
      <c r="MB14" s="32" t="s">
        <v>260</v>
      </c>
      <c r="MC14" s="32" t="s">
        <v>325</v>
      </c>
      <c r="MD14" s="32" t="str" cm="1">
        <f t="array" ref="MD14">_xll.BDP(MB14&amp;" Equity", "ID_ISIN")</f>
        <v>ES0130670112</v>
      </c>
      <c r="ME14" s="32"/>
      <c r="MF14" s="30" t="str">
        <f>_xll.BDP(MB14&amp;" Equity", "DS197")</f>
        <v>Soc.Bol SIBE</v>
      </c>
      <c r="MG14" s="30" t="s">
        <v>26</v>
      </c>
      <c r="MH14" s="30" t="s">
        <v>326</v>
      </c>
      <c r="MI14" s="30" t="s">
        <v>28</v>
      </c>
      <c r="MJ14" s="30" t="str">
        <f>_xll.BDP(MB14&amp;" Equity", "DS004")</f>
        <v>EUR</v>
      </c>
      <c r="MK14" s="17" cm="1">
        <f t="array" ref="MK14">_xll.BDP(MB14&amp;" Equity","PX_LAST")</f>
        <v>33.03</v>
      </c>
      <c r="ML14" s="33">
        <f t="shared" si="20"/>
        <v>2.8463645058212313E-2</v>
      </c>
      <c r="MM14" s="33">
        <f t="shared" si="21"/>
        <v>2.7023318613339387E-2</v>
      </c>
      <c r="MO14" s="1" cm="1">
        <f t="array" ref="MO14">IF(MJ14="USD",1,_xll.BDP(MJ14&amp;"USD CURNCY","PX_LAST"))</f>
        <v>1.1607000000000001</v>
      </c>
      <c r="MP14" s="18">
        <v>133382.72361501501</v>
      </c>
      <c r="MQ14" s="11">
        <f t="shared" si="117"/>
        <v>5113616.3207172798</v>
      </c>
      <c r="MR14" s="5"/>
      <c r="MS14" s="11" cm="1">
        <f t="array" ref="MS14">IF(MF14="Hong Kong",_xll.BDP(MB14&amp;" Equity","PR414"),_xll.BDP(MB14&amp;" Equity","PR090"))</f>
        <v>1</v>
      </c>
      <c r="MT14" s="11">
        <f t="shared" si="118"/>
        <v>38.337921000000001</v>
      </c>
      <c r="MU14" s="5">
        <f t="shared" si="119"/>
        <v>237.58112545090643</v>
      </c>
      <c r="MV14" s="8">
        <f t="shared" si="120"/>
        <v>2.8513828743750004E-2</v>
      </c>
      <c r="MW14" s="8">
        <f t="shared" si="121"/>
        <v>1.7630800775887412E-3</v>
      </c>
      <c r="MX14" s="5"/>
      <c r="MY14" s="21">
        <f t="shared" si="122"/>
        <v>1346.9083429614636</v>
      </c>
      <c r="MZ14" s="22">
        <f t="shared" si="123"/>
        <v>1418.5030770000001</v>
      </c>
      <c r="NB14" s="16" t="str" cm="1">
        <f t="array" ref="NB14">_xll.BDP(NC14&amp;" Equity","DS520")</f>
        <v>Eversource Energy</v>
      </c>
      <c r="NC14" s="32" t="s">
        <v>1408</v>
      </c>
      <c r="ND14" s="32" t="s">
        <v>1411</v>
      </c>
      <c r="NE14" s="32" t="str" cm="1">
        <f t="array" ref="NE14">_xll.BDP(NC14&amp;" Equity", "ID_ISIN")</f>
        <v>US30040W1080</v>
      </c>
      <c r="NF14" s="32"/>
      <c r="NG14" s="30" t="str">
        <f>_xll.BDP(NC14&amp;" Equity", "DS197")</f>
        <v>New York</v>
      </c>
      <c r="NH14" s="30" t="s">
        <v>26</v>
      </c>
      <c r="NI14" s="30" t="s">
        <v>33</v>
      </c>
      <c r="NJ14" s="30" t="s">
        <v>28</v>
      </c>
      <c r="NK14" s="30" t="str">
        <f>_xll.BDP(NC14&amp;" Equity", "DS004")</f>
        <v>USD</v>
      </c>
      <c r="NL14" s="17" cm="1">
        <f t="array" ref="NL14">_xll.BDP(NC14&amp;" Equity","PX_LAST")</f>
        <v>73.87</v>
      </c>
      <c r="NM14" s="33">
        <f t="shared" si="22"/>
        <v>3.8836485600953284E-2</v>
      </c>
      <c r="NN14" s="33">
        <f t="shared" si="23"/>
        <v>3.6866537483503263E-2</v>
      </c>
      <c r="NP14" s="1" cm="1">
        <f t="array" ref="NP14">IF(NK14="USD",1,_xll.BDP(NK14&amp;"USD CURNCY","PX_LAST"))</f>
        <v>1</v>
      </c>
      <c r="NQ14" s="18">
        <v>89878.217757539896</v>
      </c>
      <c r="NR14" s="11">
        <f t="shared" si="124"/>
        <v>6639303.9457494728</v>
      </c>
      <c r="NS14" s="5"/>
      <c r="NT14" s="11" cm="1">
        <f t="array" ref="NT14">IF(NG14="Hong Kong",_xll.BDP(NC14&amp;" Equity","PR414"),_xll.BDP(NC14&amp;" Equity","PR090"))</f>
        <v>1</v>
      </c>
      <c r="NU14" s="11">
        <f t="shared" si="125"/>
        <v>73.87</v>
      </c>
      <c r="NV14" s="5">
        <f t="shared" si="126"/>
        <v>168.23711103702519</v>
      </c>
      <c r="NW14" s="8">
        <f t="shared" si="127"/>
        <v>3.8781749999999997E-2</v>
      </c>
      <c r="NX14" s="8">
        <f t="shared" si="128"/>
        <v>-1.409386047844241E-3</v>
      </c>
      <c r="NY14" s="5"/>
      <c r="NZ14" s="21">
        <f t="shared" si="129"/>
        <v>1902.0773599088684</v>
      </c>
      <c r="OA14" s="22">
        <f t="shared" si="130"/>
        <v>2733.19</v>
      </c>
      <c r="OC14" s="16" t="str" cm="1">
        <f t="array" ref="OC14">_xll.BDP(OD14&amp;" Equity","DS520")</f>
        <v>Engie SA</v>
      </c>
      <c r="OD14" s="32" t="s">
        <v>276</v>
      </c>
      <c r="OE14" s="32" t="s">
        <v>352</v>
      </c>
      <c r="OF14" s="32" t="str" cm="1">
        <f t="array" ref="OF14">_xll.BDP(OD14&amp;" Equity", "ID_ISIN")</f>
        <v>FR0010208488</v>
      </c>
      <c r="OG14" s="32"/>
      <c r="OH14" s="30" t="str">
        <f>_xll.BDP(OD14&amp;" Equity", "DS197")</f>
        <v>EN Paris</v>
      </c>
      <c r="OI14" s="30" t="s">
        <v>26</v>
      </c>
      <c r="OJ14" s="30" t="s">
        <v>39</v>
      </c>
      <c r="OK14" s="30" t="s">
        <v>28</v>
      </c>
      <c r="OL14" s="30" t="str">
        <f>_xll.BDP(OD14&amp;" Equity", "DS004")</f>
        <v>EUR</v>
      </c>
      <c r="OM14" s="17" cm="1">
        <f t="array" ref="OM14">_xll.BDP(OD14&amp;" Equity","PX_LAST")</f>
        <v>26.52</v>
      </c>
      <c r="ON14" s="33">
        <f t="shared" si="24"/>
        <v>4.5431529675485409E-2</v>
      </c>
      <c r="OO14" s="33">
        <f t="shared" si="131"/>
        <v>4.3078496719157124E-2</v>
      </c>
      <c r="OQ14" s="1" cm="1">
        <f t="array" ref="OQ14">IF(OL14="EUR",1,_xll.BDP(OL14&amp;"EUR CURNCY","PX_LAST"))</f>
        <v>1</v>
      </c>
      <c r="OR14" s="18">
        <v>315496.82079647703</v>
      </c>
      <c r="OS14" s="11">
        <f t="shared" si="132"/>
        <v>8366975.6875225706</v>
      </c>
      <c r="OT14" s="5"/>
      <c r="OU14" s="11" cm="1">
        <f t="array" ref="OU14">IF(OH14="Hong Kong",_xll.BDP(OD14&amp;" Equity","PR414"),_xll.BDP(OD14&amp;" Equity","PR090"))</f>
        <v>1</v>
      </c>
      <c r="OV14" s="11">
        <f t="shared" si="133"/>
        <v>26.52</v>
      </c>
      <c r="OW14" s="5">
        <f t="shared" si="134"/>
        <v>548.19341991535941</v>
      </c>
      <c r="OX14" s="8">
        <f t="shared" si="135"/>
        <v>4.5415499999999998E-2</v>
      </c>
      <c r="OY14" s="8">
        <f t="shared" si="136"/>
        <v>-3.5283151590781436E-4</v>
      </c>
      <c r="OZ14" s="5"/>
      <c r="PA14" s="21">
        <f t="shared" si="137"/>
        <v>583.73557283742616</v>
      </c>
      <c r="PB14" s="22">
        <f t="shared" si="138"/>
        <v>981.2399999999999</v>
      </c>
      <c r="PD14" s="16" t="str" cm="1">
        <f t="array" ref="PD14">_xll.BDP(PE14&amp;" Equity","DS520")</f>
        <v>Bridgestone Corp</v>
      </c>
      <c r="PE14" s="32" t="s">
        <v>190</v>
      </c>
      <c r="PF14" s="32">
        <v>5108</v>
      </c>
      <c r="PG14" s="32" t="str" cm="1">
        <f t="array" ref="PG14">_xll.BDP(PE14&amp;" Equity", "ID_ISIN")</f>
        <v>JP3830800003</v>
      </c>
      <c r="PH14" s="32"/>
      <c r="PI14" s="30" t="str">
        <f>_xll.BDP(PE14&amp;" Equity", "DS197")</f>
        <v>Tokyo</v>
      </c>
      <c r="PJ14" s="30" t="s">
        <v>26</v>
      </c>
      <c r="PK14" s="71" t="s">
        <v>320</v>
      </c>
      <c r="PL14" s="30" t="s">
        <v>28</v>
      </c>
      <c r="PM14" s="30" t="str">
        <f>_xll.BDP(PE14&amp;" Equity", "DS004")</f>
        <v>JPY</v>
      </c>
      <c r="PN14" s="17" cm="1">
        <f t="array" ref="PN14">_xll.BDP(PE14&amp;" Equity","PX_LAST")</f>
        <v>3465</v>
      </c>
      <c r="PO14" s="33">
        <f t="shared" si="25"/>
        <v>4.2547559870965687E-2</v>
      </c>
      <c r="PP14" s="33">
        <f t="shared" si="26"/>
        <v>4.041798595562316E-2</v>
      </c>
      <c r="PR14" s="1">
        <v>1</v>
      </c>
      <c r="PS14" s="18">
        <v>2366.4471936424802</v>
      </c>
      <c r="PT14" s="11">
        <f t="shared" si="139"/>
        <v>8199739.5259711938</v>
      </c>
      <c r="PU14" s="5"/>
      <c r="PV14" s="11" cm="1">
        <f t="array" ref="PV14">IF(PI14="Hong Kong",_xll.BDP(PE14&amp;" Equity","PR414"),_xll.BDP(PE14&amp;" Equity","PR090"))</f>
        <v>100</v>
      </c>
      <c r="PW14" s="11">
        <f t="shared" si="140"/>
        <v>346500</v>
      </c>
      <c r="PX14" s="5">
        <f t="shared" si="141"/>
        <v>3.9293561785596016E-2</v>
      </c>
      <c r="PY14" s="8">
        <f t="shared" si="142"/>
        <v>0</v>
      </c>
      <c r="PZ14" s="8">
        <f t="shared" si="143"/>
        <v>-1</v>
      </c>
      <c r="QA14" s="5"/>
      <c r="QB14" s="21">
        <f t="shared" si="144"/>
        <v>8143827.7788628358</v>
      </c>
      <c r="QC14" s="22">
        <f t="shared" si="145"/>
        <v>12820500</v>
      </c>
      <c r="QE14" s="16" t="str" cm="1">
        <f t="array" ref="QE14">_xll.BDP(QF14&amp;" Equity","DS520")</f>
        <v>Fortinet Inc</v>
      </c>
      <c r="QF14" s="34" t="s">
        <v>298</v>
      </c>
      <c r="QG14" s="34"/>
      <c r="QH14" s="32" t="str" cm="1">
        <f t="array" ref="QH14">_xll.BDP(QF14&amp;" Equity", "ID_ISIN")</f>
        <v>US34959E1091</v>
      </c>
      <c r="QI14" s="34"/>
      <c r="QJ14" s="30" t="str">
        <f>_xll.BDP(QF14&amp;" Equity", "DS197")</f>
        <v>NASDAQ GS</v>
      </c>
      <c r="QK14" s="30" t="s">
        <v>26</v>
      </c>
      <c r="QL14" s="30"/>
      <c r="QM14" s="30" t="s">
        <v>28</v>
      </c>
      <c r="QN14" s="30" t="str">
        <f>_xll.BDP(QF14&amp;" Equity", "DS004")</f>
        <v>USD</v>
      </c>
      <c r="QO14" s="17" cm="1">
        <f t="array" ref="QO14">_xll.BDP(QF14&amp;" Equity","PX_LAST")</f>
        <v>84.42</v>
      </c>
      <c r="QP14" s="33">
        <f t="shared" si="27"/>
        <v>4.3342605844256622E-2</v>
      </c>
      <c r="QQ14" s="33">
        <f t="shared" si="28"/>
        <v>4.1186050816232771E-2</v>
      </c>
      <c r="QS14" s="1" cm="1">
        <f t="array" ref="QS14">IF(QN14="USD",1,_xll.BDP(QN14&amp;"USD CURNCY","PX_LAST"))</f>
        <v>1</v>
      </c>
      <c r="QT14" s="18">
        <v>58570.888251485303</v>
      </c>
      <c r="QU14" s="11">
        <f t="shared" si="146"/>
        <v>4944554.3861903893</v>
      </c>
      <c r="QV14" s="5"/>
      <c r="QW14" s="11" cm="1">
        <f t="array" ref="QW14">IF(QJ14="Hong Kong",_xll.BDP(QF14&amp;" Equity","PR414"),_xll.BDP(QF14&amp;" Equity","PR090"))</f>
        <v>1</v>
      </c>
      <c r="QX14" s="11">
        <f t="shared" si="147"/>
        <v>84.42</v>
      </c>
      <c r="QY14" s="5">
        <f t="shared" si="148"/>
        <v>164.2932228164193</v>
      </c>
      <c r="QZ14" s="8">
        <f t="shared" si="149"/>
        <v>4.3265250000000005E-2</v>
      </c>
      <c r="RA14" s="8">
        <f t="shared" si="150"/>
        <v>-1.7847529641983328E-3</v>
      </c>
      <c r="RB14" s="5"/>
      <c r="RC14" s="21">
        <f t="shared" si="151"/>
        <v>1947.73706738693</v>
      </c>
      <c r="RD14" s="22">
        <f t="shared" si="152"/>
        <v>3123.54</v>
      </c>
      <c r="RF14" s="16" t="str" cm="1">
        <f t="array" ref="RF14">_xll.BDP(RG14&amp;" Equity","DS520")</f>
        <v>Datadog Inc</v>
      </c>
      <c r="RG14" s="34" t="s">
        <v>1302</v>
      </c>
      <c r="RH14" s="34"/>
      <c r="RI14" s="32" t="str" cm="1">
        <f t="array" ref="RI14">_xll.BDP(RG14&amp;" Equity", "ID_ISIN")</f>
        <v>US23804L1035</v>
      </c>
      <c r="RJ14" s="34"/>
      <c r="RK14" s="30" t="str">
        <f>_xll.BDP(RG14&amp;" Equity", "DS197")</f>
        <v>NASDAQ GS</v>
      </c>
      <c r="RL14" s="30" t="s">
        <v>26</v>
      </c>
      <c r="RM14" s="30"/>
      <c r="RN14" s="30" t="s">
        <v>28</v>
      </c>
      <c r="RO14" s="30" t="str">
        <f>_xll.BDP(RG14&amp;" Equity", "DS004")</f>
        <v>USD</v>
      </c>
      <c r="RP14" s="17" cm="1">
        <f t="array" ref="RP14">_xll.BDP(RG14&amp;" Equity","PX_LAST")</f>
        <v>122.36</v>
      </c>
      <c r="RQ14" s="33">
        <f t="shared" si="153"/>
        <v>2.5358089120902878E-2</v>
      </c>
      <c r="RR14" s="33">
        <f t="shared" si="154"/>
        <v>2.4113307052559575E-2</v>
      </c>
      <c r="RT14" s="1" cm="1">
        <f t="array" ref="RT14">IF(RO14="USD",1,_xll.BDP(RO14&amp;"USD CURNCY","PX_LAST"))</f>
        <v>1</v>
      </c>
      <c r="RU14" s="18">
        <v>20883.888521214802</v>
      </c>
      <c r="RV14" s="11">
        <f t="shared" si="155"/>
        <v>2555352.5994558432</v>
      </c>
      <c r="RW14" s="5"/>
      <c r="RX14" s="11" cm="1">
        <f t="array" ref="RX14">IF(RK14="Hong Kong",_xll.BDP(RG14&amp;" Equity","PR414"),_xll.BDP(RG14&amp;" Equity","PR090"))</f>
        <v>1</v>
      </c>
      <c r="RY14" s="11">
        <f t="shared" si="156"/>
        <v>122.36</v>
      </c>
      <c r="RZ14" s="5">
        <f t="shared" si="157"/>
        <v>66.317330162544309</v>
      </c>
      <c r="SA14" s="8">
        <f t="shared" si="158"/>
        <v>2.5236750000000002E-2</v>
      </c>
      <c r="SB14" s="8">
        <f t="shared" si="159"/>
        <v>-4.7850262030530999E-3</v>
      </c>
      <c r="SC14" s="5"/>
      <c r="SD14" s="21">
        <f t="shared" si="160"/>
        <v>4825.2847214397425</v>
      </c>
      <c r="SE14" s="22">
        <f t="shared" si="161"/>
        <v>4527.32</v>
      </c>
    </row>
    <row r="15" spans="15:499" x14ac:dyDescent="0.2">
      <c r="O15" s="16" t="str" cm="1">
        <f t="array" ref="O15">_xll.BDP(P15&amp;" Equity","DS520")</f>
        <v>AbbVie Inc</v>
      </c>
      <c r="P15" s="32" t="s">
        <v>92</v>
      </c>
      <c r="Q15" s="32" t="s">
        <v>321</v>
      </c>
      <c r="R15" s="32" t="str" cm="1">
        <f t="array" ref="R15">_xll.BDP(P15&amp;" Equity", "ID_ISIN")</f>
        <v>US00287Y1091</v>
      </c>
      <c r="S15" s="32"/>
      <c r="T15" s="30" t="str">
        <f>_xll.BDP(P15&amp;" Equity", "DS197")</f>
        <v>New York</v>
      </c>
      <c r="U15" s="30" t="s">
        <v>26</v>
      </c>
      <c r="V15" s="30" t="s">
        <v>33</v>
      </c>
      <c r="W15" s="30" t="s">
        <v>28</v>
      </c>
      <c r="X15" s="30" t="str">
        <f>_xll.BDP(P15&amp;" Equity", "DS004")</f>
        <v>USD</v>
      </c>
      <c r="Y15" s="17" cm="1">
        <f t="array" ref="Y15">_xll.BDP(P15&amp;" Equity","PX_LAST")</f>
        <v>232.35</v>
      </c>
      <c r="Z15" s="33">
        <f t="shared" si="0"/>
        <v>2.8821131877116025E-2</v>
      </c>
      <c r="AA15" s="33">
        <f t="shared" si="1"/>
        <v>2.7381043894987862E-2</v>
      </c>
      <c r="AB15" s="4"/>
      <c r="AC15" s="1" cm="1">
        <f t="array" ref="AC15">IF(X15="USD",1,_xll.BDP(X15&amp;"USD CURNCY","PX_LAST"))</f>
        <v>1</v>
      </c>
      <c r="AD15" s="18">
        <v>25526.694079036501</v>
      </c>
      <c r="AE15" s="11">
        <f t="shared" si="169"/>
        <v>5931127.3692641305</v>
      </c>
      <c r="AF15" s="5"/>
      <c r="AG15" s="11" cm="1">
        <f t="array" ref="AG15">IF(T15="Hong Kong",_xll.BDP(P15&amp;" Equity","PR414"),_xll.BDP(P15&amp;" Equity","PR090"))</f>
        <v>1</v>
      </c>
      <c r="AH15" s="11">
        <f t="shared" si="170"/>
        <v>232.35</v>
      </c>
      <c r="AI15" s="5">
        <f t="shared" si="171"/>
        <v>39.693403058649146</v>
      </c>
      <c r="AJ15" s="8">
        <f t="shared" si="172"/>
        <v>2.904375E-2</v>
      </c>
      <c r="AK15" s="8">
        <f t="shared" si="173"/>
        <v>7.7241283872244715E-3</v>
      </c>
      <c r="AL15" s="5"/>
      <c r="AM15" s="21">
        <f t="shared" si="174"/>
        <v>8061.7930270977959</v>
      </c>
      <c r="AN15" s="22">
        <f t="shared" si="175"/>
        <v>8596.9499999999989</v>
      </c>
      <c r="AP15" s="16" t="str" cm="1">
        <f t="array" ref="AP15">_xll.BDP(AQ15&amp;" Equity","DS520")</f>
        <v>Labcorp Holdings Inc</v>
      </c>
      <c r="AQ15" s="32" t="s">
        <v>101</v>
      </c>
      <c r="AR15" s="32" t="s">
        <v>363</v>
      </c>
      <c r="AS15" s="32" t="str" cm="1">
        <f t="array" ref="AS15">_xll.BDP(AQ15&amp;" Equity", "ID_ISIN")</f>
        <v>US5049221055</v>
      </c>
      <c r="AT15" s="32"/>
      <c r="AU15" s="30" t="str">
        <f>_xll.BDP(AQ15&amp;" Equity", "DS197")</f>
        <v>New York</v>
      </c>
      <c r="AV15" s="30" t="s">
        <v>26</v>
      </c>
      <c r="AW15" s="30" t="s">
        <v>33</v>
      </c>
      <c r="AX15" s="30" t="s">
        <v>28</v>
      </c>
      <c r="AY15" s="30" t="str">
        <f>_xll.BDP(AQ15&amp;" Equity", "DS004")</f>
        <v>USD</v>
      </c>
      <c r="AZ15" s="17" cm="1">
        <f t="array" ref="AZ15">_xll.BDP(AQ15&amp;" Equity","PX_LAST")</f>
        <v>275.92</v>
      </c>
      <c r="BA15" s="33">
        <f t="shared" si="4"/>
        <v>4.5113252111182056E-2</v>
      </c>
      <c r="BB15" s="33">
        <f t="shared" si="34"/>
        <v>4.2843035905537716E-2</v>
      </c>
      <c r="BD15" s="1" cm="1">
        <f t="array" ref="BD15">IF(AY15="USD",1,_xll.BDP(AY15&amp;"USD CURNCY","PX_LAST"))</f>
        <v>1</v>
      </c>
      <c r="BE15" s="18">
        <v>26919.463711303601</v>
      </c>
      <c r="BF15" s="11">
        <f t="shared" si="35"/>
        <v>7427618.4272228898</v>
      </c>
      <c r="BG15" s="5"/>
      <c r="BH15" s="11" cm="1">
        <f t="array" ref="BH15">IF(AU15="Hong Kong",_xll.BDP(AQ15&amp;" Equity","PR414"),_xll.BDP(AQ15&amp;" Equity","PR090"))</f>
        <v>1</v>
      </c>
      <c r="BI15" s="11">
        <f t="shared" si="36"/>
        <v>275.92</v>
      </c>
      <c r="BJ15" s="5">
        <f t="shared" si="37"/>
        <v>52.320385168085885</v>
      </c>
      <c r="BK15" s="8">
        <f t="shared" si="38"/>
        <v>4.4837000000000002E-2</v>
      </c>
      <c r="BL15" s="8">
        <f t="shared" si="39"/>
        <v>-6.1235246463994253E-3</v>
      </c>
      <c r="BM15" s="5"/>
      <c r="BN15" s="21">
        <f t="shared" si="40"/>
        <v>6116.1629252529265</v>
      </c>
      <c r="BO15" s="22">
        <f t="shared" si="41"/>
        <v>10209.040000000001</v>
      </c>
      <c r="BQ15" s="16" t="str" cm="1">
        <f t="array" ref="BQ15">_xll.BDP(BR15&amp;" Equity","DS520")</f>
        <v>Mori Trust Reit Inc</v>
      </c>
      <c r="BR15" s="32" t="s">
        <v>112</v>
      </c>
      <c r="BS15" s="32">
        <v>8961</v>
      </c>
      <c r="BT15" s="32" t="str" cm="1">
        <f t="array" ref="BT15">_xll.BDP(BR15&amp;" Equity", "ID_ISIN")</f>
        <v>JP3046170001</v>
      </c>
      <c r="BU15" s="32"/>
      <c r="BV15" s="30" t="str">
        <f>_xll.BDP(BR15&amp;" Equity", "DS197")</f>
        <v>Tokyo</v>
      </c>
      <c r="BW15" s="30" t="s">
        <v>26</v>
      </c>
      <c r="BX15" s="71" t="s">
        <v>320</v>
      </c>
      <c r="BY15" s="30" t="s">
        <v>28</v>
      </c>
      <c r="BZ15" s="30" t="str">
        <f>_xll.BDP(BR15&amp;" Equity", "DS004")</f>
        <v>JPY</v>
      </c>
      <c r="CA15" s="17" cm="1">
        <f t="array" ref="CA15">_xll.BDP(BR15&amp;" Equity","PX_LAST")</f>
        <v>77000</v>
      </c>
      <c r="CB15" s="33">
        <f t="shared" si="5"/>
        <v>6.4557071975443137E-2</v>
      </c>
      <c r="CC15" s="33">
        <f t="shared" si="42"/>
        <v>6.1323692977899608E-2</v>
      </c>
      <c r="CE15" s="1">
        <v>1</v>
      </c>
      <c r="CF15" s="18">
        <v>525.98938328209601</v>
      </c>
      <c r="CG15" s="11">
        <f t="shared" si="43"/>
        <v>40501182.51272139</v>
      </c>
      <c r="CH15" s="5"/>
      <c r="CI15" s="11" cm="1">
        <f t="array" ref="CI15">IF(BV15="Hong Kong",_xll.BDP(BR15&amp;" Equity","PR414"),_xll.BDP(BR15&amp;" Equity","PR090"))</f>
        <v>1</v>
      </c>
      <c r="CJ15" s="11">
        <f t="shared" si="44"/>
        <v>77000</v>
      </c>
      <c r="CK15" s="5">
        <f t="shared" si="45"/>
        <v>0.26828913028755591</v>
      </c>
      <c r="CL15" s="8">
        <f t="shared" si="46"/>
        <v>0</v>
      </c>
      <c r="CM15" s="8">
        <f t="shared" si="47"/>
        <v>-1</v>
      </c>
      <c r="CN15" s="5"/>
      <c r="CO15" s="21">
        <f t="shared" si="48"/>
        <v>1192743.0666200293</v>
      </c>
      <c r="CP15" s="22">
        <f t="shared" si="49"/>
        <v>2849000</v>
      </c>
      <c r="CR15" s="16" t="str" cm="1">
        <f t="array" ref="CR15">_xll.BDP(CS15&amp;" Equity","DS520")</f>
        <v>Mapletree Pan Asia Commercial Trust</v>
      </c>
      <c r="CS15" s="32" t="s">
        <v>741</v>
      </c>
      <c r="CT15" s="32" t="s">
        <v>743</v>
      </c>
      <c r="CU15" s="32" t="str" cm="1">
        <f t="array" ref="CU15">_xll.BDP(CS15&amp;" Equity", "ID_ISIN")</f>
        <v>SG2D18969584</v>
      </c>
      <c r="CV15" s="32"/>
      <c r="CW15" s="30" t="str">
        <f>_xll.BDP(CS15&amp;" Equity", "DS197")</f>
        <v>Singapore</v>
      </c>
      <c r="CX15" s="30" t="s">
        <v>26</v>
      </c>
      <c r="CY15" s="30" t="s">
        <v>384</v>
      </c>
      <c r="CZ15" s="30" t="s">
        <v>28</v>
      </c>
      <c r="DA15" s="30" t="str">
        <f>_xll.BDP(CS15&amp;" Equity", "DS004")</f>
        <v>SGD</v>
      </c>
      <c r="DB15" s="17" cm="1">
        <f t="array" ref="DB15">_xll.BDP(CS15&amp;" Equity","PX_LAST")</f>
        <v>1.39</v>
      </c>
      <c r="DC15" s="33">
        <f t="shared" si="6"/>
        <v>4.8042884102923851E-2</v>
      </c>
      <c r="DD15" s="33">
        <f t="shared" si="7"/>
        <v>4.5625481097485439E-2</v>
      </c>
      <c r="DF15" s="1" cm="1">
        <f t="array" ref="DF15">IF(DA15="USD",1,_xll.BDP(DA15&amp;"USD CURNCY","PX_LAST"))</f>
        <v>0.7823</v>
      </c>
      <c r="DG15" s="18">
        <v>8012611.9008793002</v>
      </c>
      <c r="DH15" s="11">
        <f t="shared" si="8"/>
        <v>8712890.1431804467</v>
      </c>
      <c r="DI15" s="5"/>
      <c r="DJ15" s="11" cm="1">
        <f t="array" ref="DJ15">IF(CW15="Hong Kong",_xll.BDP(CS15&amp;" Equity","PR414"),_xll.BDP(CS15&amp;" Equity","PR090"))</f>
        <v>100</v>
      </c>
      <c r="DK15" s="11">
        <f t="shared" si="9"/>
        <v>108.7397</v>
      </c>
      <c r="DL15" s="5">
        <f t="shared" si="50"/>
        <v>141.38095757975819</v>
      </c>
      <c r="DM15" s="8">
        <f t="shared" si="51"/>
        <v>4.7913430312499998E-2</v>
      </c>
      <c r="DN15" s="8">
        <f t="shared" si="52"/>
        <v>-2.6945466085366299E-3</v>
      </c>
      <c r="DO15" s="5"/>
      <c r="DP15" s="21">
        <f t="shared" si="53"/>
        <v>2263.388263016087</v>
      </c>
      <c r="DQ15" s="22">
        <f t="shared" si="54"/>
        <v>4023.3688999999999</v>
      </c>
      <c r="DS15" s="16" t="str" cm="1">
        <f t="array" ref="DS15">_xll.BDP(DT15&amp;" Equity","DS520")</f>
        <v>IG Group Holdings PLC</v>
      </c>
      <c r="DT15" s="32" t="s">
        <v>724</v>
      </c>
      <c r="DU15" s="32" t="s">
        <v>726</v>
      </c>
      <c r="DV15" s="32" t="str" cm="1">
        <f t="array" ref="DV15">_xll.BDP(DT15&amp;" Equity", "ID_ISIN")</f>
        <v>GB00B06QFB75</v>
      </c>
      <c r="DW15" s="32"/>
      <c r="DX15" s="30" t="str">
        <f>_xll.BDP(DT15&amp;" Equity", "DS197")</f>
        <v>London</v>
      </c>
      <c r="DY15" s="30" t="s">
        <v>26</v>
      </c>
      <c r="DZ15" s="30" t="s">
        <v>129</v>
      </c>
      <c r="EA15" s="30" t="s">
        <v>28</v>
      </c>
      <c r="EB15" s="43" t="str">
        <f>_xll.BDP(DT15&amp;" Equity", "DS004")</f>
        <v>GBp</v>
      </c>
      <c r="EC15" s="17" cm="1">
        <f t="array" ref="EC15">_xll.BDP(DT15&amp;" Equity","PX_LAST")/100</f>
        <v>13.43</v>
      </c>
      <c r="ED15" s="33">
        <f t="shared" si="55"/>
        <v>5.5782706927224625E-2</v>
      </c>
      <c r="EE15" s="33">
        <f t="shared" si="56"/>
        <v>5.2915911533185422E-2</v>
      </c>
      <c r="EG15" s="1">
        <v>1</v>
      </c>
      <c r="EH15" s="18">
        <v>685448.79235240095</v>
      </c>
      <c r="EI15" s="11">
        <f t="shared" si="57"/>
        <v>9205577.281292744</v>
      </c>
      <c r="EJ15" s="5"/>
      <c r="EK15" s="11" cm="1">
        <f t="array" ref="EK15">IF(DX15="Hong Kong",_xll.BDP(DT15&amp;" Equity","PR414"),_xll.BDP(DT15&amp;" Equity","PR090"))</f>
        <v>1</v>
      </c>
      <c r="EL15" s="11">
        <f t="shared" si="58"/>
        <v>13.43</v>
      </c>
      <c r="EM15" s="5">
        <f t="shared" si="59"/>
        <v>1329.1486386233717</v>
      </c>
      <c r="EN15" s="8">
        <f t="shared" si="60"/>
        <v>5.5776468750000002E-2</v>
      </c>
      <c r="EO15" s="8">
        <f t="shared" si="61"/>
        <v>-1.1182994817304781E-4</v>
      </c>
      <c r="EP15" s="5"/>
      <c r="EQ15" s="21">
        <f t="shared" si="62"/>
        <v>240.75561656627886</v>
      </c>
      <c r="ER15" s="22">
        <f t="shared" si="63"/>
        <v>496.90999999999997</v>
      </c>
      <c r="ET15" s="16" t="str" cm="1">
        <f t="array" ref="ET15">_xll.BDP(EU15&amp;" Equity","DS520")</f>
        <v>Meta Platforms Inc</v>
      </c>
      <c r="EU15" s="32" t="s">
        <v>170</v>
      </c>
      <c r="EV15" s="32" t="s">
        <v>358</v>
      </c>
      <c r="EW15" s="32" t="str" cm="1">
        <f t="array" ref="EW15">_xll.BDP(EU15&amp;" Equity", "ID_ISIN")</f>
        <v>US30303M1027</v>
      </c>
      <c r="EX15" s="32"/>
      <c r="EY15" s="30" t="str">
        <f>_xll.BDP(EU15&amp;" Equity", "DS197")</f>
        <v>NASDAQ GS</v>
      </c>
      <c r="EZ15" s="30" t="s">
        <v>26</v>
      </c>
      <c r="FA15" s="30" t="s">
        <v>33</v>
      </c>
      <c r="FB15" s="30" t="s">
        <v>28</v>
      </c>
      <c r="FC15" s="30" t="str">
        <f>_xll.BDP(EU15&amp;" Equity", "DS004")</f>
        <v>USD</v>
      </c>
      <c r="FD15" s="17" cm="1">
        <f t="array" ref="FD15">_xll.BDP(EU15&amp;" Equity","PX_LAST")</f>
        <v>660.57</v>
      </c>
      <c r="FE15" s="33">
        <f t="shared" si="10"/>
        <v>3.3271424400118418E-2</v>
      </c>
      <c r="FF15" s="33">
        <f t="shared" si="11"/>
        <v>3.1606973588891737E-2</v>
      </c>
      <c r="FH15" s="1" cm="1">
        <f t="array" ref="FH15">IF(FC15="USD",1,_xll.BDP(FC15&amp;"USD CURNCY","PX_LAST"))</f>
        <v>1</v>
      </c>
      <c r="FI15" s="18">
        <v>10321.4280560797</v>
      </c>
      <c r="FJ15" s="11">
        <f t="shared" si="64"/>
        <v>6818025.7310045678</v>
      </c>
      <c r="FK15" s="5"/>
      <c r="FL15" s="11" cm="1">
        <f t="array" ref="FL15">IF(EY15="Hong Kong",_xll.BDP(EU15&amp;" Equity","PR414"),_xll.BDP(EU15&amp;" Equity","PR090"))</f>
        <v>1</v>
      </c>
      <c r="FM15" s="11">
        <f t="shared" si="65"/>
        <v>660.57</v>
      </c>
      <c r="FN15" s="5">
        <f t="shared" si="66"/>
        <v>16.117679894693815</v>
      </c>
      <c r="FO15" s="8">
        <f t="shared" si="67"/>
        <v>3.3028500000000002E-2</v>
      </c>
      <c r="FP15" s="8">
        <f t="shared" si="68"/>
        <v>-7.301292460371811E-3</v>
      </c>
      <c r="FQ15" s="5"/>
      <c r="FR15" s="21">
        <f t="shared" si="69"/>
        <v>19853.974150792565</v>
      </c>
      <c r="FS15" s="22">
        <f t="shared" si="70"/>
        <v>24441.09</v>
      </c>
      <c r="FU15" s="16" t="str" cm="1">
        <f t="array" ref="FU15">_xll.BDP(FV15&amp;" Equity","DS520")</f>
        <v>Autodesk Inc</v>
      </c>
      <c r="FV15" s="32" t="s">
        <v>177</v>
      </c>
      <c r="FW15" s="32" t="s">
        <v>388</v>
      </c>
      <c r="FX15" s="32" t="str" cm="1">
        <f t="array" ref="FX15">_xll.BDP(FV15&amp;" Equity", "ID_ISIN")</f>
        <v>US0527691069</v>
      </c>
      <c r="FY15" s="32"/>
      <c r="FZ15" s="30" t="str">
        <f>_xll.BDP(FV15&amp;" Equity", "DS197")</f>
        <v>NASDAQ GS</v>
      </c>
      <c r="GA15" s="30" t="s">
        <v>26</v>
      </c>
      <c r="GB15" s="30" t="s">
        <v>33</v>
      </c>
      <c r="GC15" s="30" t="s">
        <v>28</v>
      </c>
      <c r="GD15" s="30" t="str">
        <f>_xll.BDP(FV15&amp;" Equity", "DS004")</f>
        <v>USD</v>
      </c>
      <c r="GE15" s="17" cm="1">
        <f t="array" ref="GE15">_xll.BDP(FV15&amp;" Equity","PX_LAST")</f>
        <v>264.12</v>
      </c>
      <c r="GF15" s="33">
        <f t="shared" si="12"/>
        <v>2.9721053620458692E-2</v>
      </c>
      <c r="GG15" s="33">
        <f t="shared" si="13"/>
        <v>2.8233648674182845E-2</v>
      </c>
      <c r="GI15" s="1" cm="1">
        <f t="array" ref="GI15">IF(GD15="USD",1,_xll.BDP(GD15&amp;"USD CURNCY","PX_LAST"))</f>
        <v>1</v>
      </c>
      <c r="GJ15" s="18">
        <v>23293.096291986301</v>
      </c>
      <c r="GK15" s="11">
        <f t="shared" si="71"/>
        <v>6152172.592639422</v>
      </c>
      <c r="GL15" s="5"/>
      <c r="GM15" s="11" cm="1">
        <f t="array" ref="GM15">IF(FZ15="Hong Kong",_xll.BDP(FV15&amp;" Equity","PR414"),_xll.BDP(FV15&amp;" Equity","PR090"))</f>
        <v>1</v>
      </c>
      <c r="GN15" s="11">
        <f t="shared" si="72"/>
        <v>264.12</v>
      </c>
      <c r="GO15" s="5">
        <f t="shared" si="73"/>
        <v>36.009151743702787</v>
      </c>
      <c r="GP15" s="8">
        <f t="shared" si="74"/>
        <v>2.97135E-2</v>
      </c>
      <c r="GQ15" s="8">
        <f t="shared" si="75"/>
        <v>-2.5415049396138034E-4</v>
      </c>
      <c r="GR15" s="5"/>
      <c r="GS15" s="21">
        <f t="shared" si="76"/>
        <v>8886.6297733870106</v>
      </c>
      <c r="GT15" s="22">
        <f t="shared" si="77"/>
        <v>9772.44</v>
      </c>
      <c r="GV15" s="16" t="str" cm="1">
        <f t="array" ref="GV15">_xll.BDP(GW15&amp;" Equity","DS520")</f>
        <v>Coles Group Ltd</v>
      </c>
      <c r="GW15" s="32" t="s">
        <v>192</v>
      </c>
      <c r="GX15" s="32" t="s">
        <v>414</v>
      </c>
      <c r="GY15" s="32" t="str" cm="1">
        <f t="array" ref="GY15">_xll.BDP(GW15&amp;" Equity", "ID_ISIN")</f>
        <v>AU0000030678</v>
      </c>
      <c r="GZ15" s="32"/>
      <c r="HA15" s="30" t="str">
        <f>_xll.BDP(GW15&amp;" Equity", "DS197")</f>
        <v>ASE</v>
      </c>
      <c r="HB15" s="30" t="s">
        <v>26</v>
      </c>
      <c r="HC15" s="30" t="s">
        <v>323</v>
      </c>
      <c r="HD15" s="30" t="s">
        <v>28</v>
      </c>
      <c r="HE15" s="30" t="str">
        <f>_xll.BDP(GW15&amp;" Equity", "DS004")</f>
        <v>AUD</v>
      </c>
      <c r="HF15" s="17" cm="1">
        <f t="array" ref="HF15">_xll.BDP(GW15&amp;" Equity","PX_LAST")</f>
        <v>21.15</v>
      </c>
      <c r="HG15" s="33">
        <f t="shared" si="14"/>
        <v>2.8176807593536982E-2</v>
      </c>
      <c r="HH15" s="33">
        <f t="shared" si="78"/>
        <v>2.6765843539791119E-2</v>
      </c>
      <c r="HJ15" s="1" cm="1">
        <f t="array" ref="HJ15">IF(HE15="USD",1,_xll.BDP(HE15&amp;"USD CURNCY","PX_LAST"))</f>
        <v>0.70340000000000003</v>
      </c>
      <c r="HK15" s="18">
        <v>308894.64528723003</v>
      </c>
      <c r="HL15" s="11">
        <f t="shared" si="79"/>
        <v>4595397.8374200454</v>
      </c>
      <c r="HM15" s="5"/>
      <c r="HN15" s="11" cm="1">
        <f t="array" ref="HN15">IF(HA15="Hong Kong",_xll.BDP(GW15&amp;" Equity","PR414"),_xll.BDP(GW15&amp;" Equity","PR090"))</f>
        <v>1</v>
      </c>
      <c r="HO15" s="11">
        <f t="shared" si="80"/>
        <v>14.876909999999999</v>
      </c>
      <c r="HP15" s="5">
        <f t="shared" si="81"/>
        <v>606.07871056098577</v>
      </c>
      <c r="HQ15" s="8">
        <f t="shared" si="82"/>
        <v>2.8173148312499997E-2</v>
      </c>
      <c r="HR15" s="8">
        <f t="shared" si="83"/>
        <v>-1.2986854613805665E-4</v>
      </c>
      <c r="HS15" s="5"/>
      <c r="HT15" s="21">
        <f t="shared" si="84"/>
        <v>527.98422783042213</v>
      </c>
      <c r="HU15" s="22">
        <f t="shared" si="85"/>
        <v>550.44566999999995</v>
      </c>
      <c r="HW15" s="16" t="str" cm="1">
        <f t="array" ref="HW15">_xll.BDP(HX15&amp;" Equity","DS520")</f>
        <v>People's Insurance Co Group of China Ltd/The</v>
      </c>
      <c r="HX15" s="32" t="s">
        <v>215</v>
      </c>
      <c r="HY15" s="32">
        <v>1339</v>
      </c>
      <c r="HZ15" s="32" t="str" cm="1">
        <f t="array" ref="HZ15">_xll.BDP(HX15&amp;" Equity", "ID_ISIN")</f>
        <v>CNE100001MK7</v>
      </c>
      <c r="IA15" s="32"/>
      <c r="IB15" s="30" t="str">
        <f>_xll.BDP(HX15&amp;" Equity", "DS197")</f>
        <v>Hong Kong</v>
      </c>
      <c r="IC15" s="30" t="s">
        <v>26</v>
      </c>
      <c r="ID15" s="30" t="s">
        <v>27</v>
      </c>
      <c r="IE15" s="30" t="s">
        <v>28</v>
      </c>
      <c r="IF15" s="30" t="str">
        <f>_xll.BDP(HX15&amp;" Equity", "DS004")</f>
        <v>HKD</v>
      </c>
      <c r="IG15" s="17" cm="1">
        <f t="array" ref="IG15">_xll.BDP(HX15&amp;" Equity","PX_LAST")</f>
        <v>6.4</v>
      </c>
      <c r="IH15" s="33">
        <f t="shared" si="15"/>
        <v>4.5534373499639812E-2</v>
      </c>
      <c r="II15" s="33">
        <f t="shared" si="16"/>
        <v>4.3280954770087018E-2</v>
      </c>
      <c r="IK15" s="1">
        <v>1</v>
      </c>
      <c r="IL15" s="18">
        <v>1348533.0991575399</v>
      </c>
      <c r="IM15" s="11">
        <f t="shared" ref="IM15:IM27" si="183">IL15*IG15*IK15</f>
        <v>8630611.834608255</v>
      </c>
      <c r="IN15" s="5"/>
      <c r="IO15" s="11" cm="1">
        <f t="array" ref="IO15">IF(IB15="Hong Kong",_xll.BDP(HX15&amp;" Equity","PR414"),_xll.BDP(HX15&amp;" Equity","PR090"))</f>
        <v>1000</v>
      </c>
      <c r="IP15" s="11">
        <f t="shared" ref="IP15:IP27" si="184">IO15*IK15*IG15</f>
        <v>6400</v>
      </c>
      <c r="IQ15" s="5">
        <f t="shared" ref="IQ15:IQ27" si="185">($AJ$3*IH15)/IP15</f>
        <v>2.2767186749819905</v>
      </c>
      <c r="IR15" s="8">
        <f t="shared" ref="IR15:IR27" si="186">(ROUND(IQ15,0)*IP15)/$AJ$3</f>
        <v>0.04</v>
      </c>
      <c r="IS15" s="8">
        <f t="shared" ref="IS15:IS27" si="187">IR15/IH15-1</f>
        <v>-0.12154276152901478</v>
      </c>
      <c r="IT15" s="5"/>
      <c r="IU15" s="21">
        <f t="shared" ref="IU15:IU27" si="188">IFERROR(IP15/IH15,0)</f>
        <v>140553.15815535764</v>
      </c>
      <c r="IV15" s="22">
        <f t="shared" ref="IV15:IV27" si="189">IP15/(1/COUNTA($P$6:$P$77))</f>
        <v>236800</v>
      </c>
      <c r="IX15" s="16" t="str" cm="1">
        <f t="array" ref="IX15">_xll.BDP(IY15&amp;" Equity","DS520")</f>
        <v>Global X China Semiconductor ETF</v>
      </c>
      <c r="IY15" s="32" t="s">
        <v>229</v>
      </c>
      <c r="IZ15" s="32">
        <v>9191</v>
      </c>
      <c r="JA15" s="32" t="str" cm="1">
        <f t="array" ref="JA15">_xll.BDP(IY15&amp;" Equity", "ID_ISIN")</f>
        <v>HK0000637832</v>
      </c>
      <c r="JB15" s="32"/>
      <c r="JC15" s="30" t="str">
        <f>_xll.BDP(IY15&amp;" Equity", "DS197")</f>
        <v>Hong Kong</v>
      </c>
      <c r="JD15" s="30" t="s">
        <v>26</v>
      </c>
      <c r="JE15" s="30" t="s">
        <v>27</v>
      </c>
      <c r="JF15" s="30" t="s">
        <v>28</v>
      </c>
      <c r="JG15" s="30" t="str">
        <f>_xll.BDP(IY15&amp;" Equity", "DS004")</f>
        <v>USD</v>
      </c>
      <c r="JH15" s="17" cm="1">
        <f t="array" ref="JH15">_xll.BDP(IY15&amp;" Equity","PX_LAST")</f>
        <v>8.15</v>
      </c>
      <c r="JI15" s="33">
        <f t="shared" si="93"/>
        <v>3.533223152912391E-2</v>
      </c>
      <c r="JJ15" s="33">
        <f t="shared" si="17"/>
        <v>3.3563815683848336E-2</v>
      </c>
      <c r="JL15" s="1" cm="1">
        <f t="array" ref="JL15">IF(JG15="USD",1,_xll.BDP(JG15&amp;"USD CURNCY","PX_LAST"))</f>
        <v>1</v>
      </c>
      <c r="JM15" s="18">
        <v>528878.48884329002</v>
      </c>
      <c r="JN15" s="11">
        <f t="shared" si="94"/>
        <v>4310359.684072814</v>
      </c>
      <c r="JO15" s="5"/>
      <c r="JP15" s="11" cm="1">
        <f t="array" ref="JP15">IF(JC15="Hong Kong",_xll.BDP(IY15&amp;" Equity","PR414"),_xll.BDP(IY15&amp;" Equity","PR090"))</f>
        <v>50</v>
      </c>
      <c r="JQ15" s="11">
        <f t="shared" si="95"/>
        <v>407.5</v>
      </c>
      <c r="JR15" s="5">
        <f t="shared" si="96"/>
        <v>27.745556047410187</v>
      </c>
      <c r="JS15" s="8">
        <f t="shared" si="97"/>
        <v>3.565625E-2</v>
      </c>
      <c r="JT15" s="8">
        <f t="shared" si="98"/>
        <v>9.1706200501093793E-3</v>
      </c>
      <c r="JU15" s="5"/>
      <c r="JV15" s="21">
        <f t="shared" si="99"/>
        <v>11533.378514858392</v>
      </c>
      <c r="JW15" s="22">
        <f t="shared" si="100"/>
        <v>15077.5</v>
      </c>
      <c r="JY15" s="16" t="str" cm="1">
        <f t="array" ref="JY15">_xll.BDP(JZ15&amp;" Equity","DS520")</f>
        <v>Bucher Industries AG</v>
      </c>
      <c r="JZ15" s="32" t="s">
        <v>240</v>
      </c>
      <c r="KA15" s="32" t="s">
        <v>390</v>
      </c>
      <c r="KB15" s="32" t="str" cm="1">
        <f t="array" ref="KB15">_xll.BDP(JZ15&amp;" Equity", "ID_ISIN")</f>
        <v>CH0002432174</v>
      </c>
      <c r="KC15" s="32"/>
      <c r="KD15" s="30" t="str">
        <f>_xll.BDP(JZ15&amp;" Equity", "DS197")</f>
        <v>SIX Swiss Ex</v>
      </c>
      <c r="KE15" s="30" t="s">
        <v>26</v>
      </c>
      <c r="KF15" s="30" t="s">
        <v>61</v>
      </c>
      <c r="KG15" s="30" t="s">
        <v>28</v>
      </c>
      <c r="KH15" s="30" t="str">
        <f>_xll.BDP(JZ15&amp;" Equity", "DS004")</f>
        <v>CHF</v>
      </c>
      <c r="KI15" s="17" cm="1">
        <f t="array" ref="KI15">_xll.BDP(JZ15&amp;" Equity","PX_LAST")</f>
        <v>372</v>
      </c>
      <c r="KJ15" s="33">
        <f t="shared" si="101"/>
        <v>2.9101959059120448E-2</v>
      </c>
      <c r="KK15" s="33">
        <f t="shared" si="102"/>
        <v>2.7651349045133361E-2</v>
      </c>
      <c r="KM15" s="1" cm="1">
        <f t="array" ref="KM15">IF(KH15="USD",1,_xll.BDP(KH15&amp;"USD CURNCY","PX_LAST"))</f>
        <v>1.2806</v>
      </c>
      <c r="KN15" s="18">
        <v>6066.23458799117</v>
      </c>
      <c r="KO15" s="11">
        <f t="shared" si="103"/>
        <v>2889852.2449779147</v>
      </c>
      <c r="KP15" s="5"/>
      <c r="KQ15" s="11" cm="1">
        <f t="array" ref="KQ15">IF(KD15="Hong Kong",_xll.BDP(JZ15&amp;" Equity","PR414"),_xll.BDP(JZ15&amp;" Equity","PR090"))</f>
        <v>1</v>
      </c>
      <c r="KR15" s="11">
        <f t="shared" si="104"/>
        <v>476.38319999999999</v>
      </c>
      <c r="KS15" s="5">
        <f t="shared" si="105"/>
        <v>19.548604776403835</v>
      </c>
      <c r="KT15" s="8">
        <f t="shared" si="106"/>
        <v>2.977395E-2</v>
      </c>
      <c r="KU15" s="8">
        <f t="shared" si="107"/>
        <v>2.3090917677205391E-2</v>
      </c>
      <c r="KV15" s="5"/>
      <c r="KW15" s="21">
        <f t="shared" si="108"/>
        <v>16369.454682835285</v>
      </c>
      <c r="KX15" s="22">
        <f t="shared" si="109"/>
        <v>17626.178399999997</v>
      </c>
      <c r="KZ15" s="16" t="str" cm="1">
        <f t="array" ref="KZ15">_xll.BDP(LA15&amp;" Equity","DS520")</f>
        <v>Public Storage</v>
      </c>
      <c r="LA15" s="32" t="s">
        <v>122</v>
      </c>
      <c r="LB15" s="32" t="s">
        <v>377</v>
      </c>
      <c r="LC15" s="32" t="str" cm="1">
        <f t="array" ref="LC15">_xll.BDP(LA15&amp;" Equity", "ID_ISIN")</f>
        <v>US74460D1090</v>
      </c>
      <c r="LD15" s="32"/>
      <c r="LE15" s="30" t="str">
        <f>_xll.BDP(LA15&amp;" Equity", "DS197")</f>
        <v>New York</v>
      </c>
      <c r="LF15" s="30" t="s">
        <v>26</v>
      </c>
      <c r="LG15" s="30" t="s">
        <v>33</v>
      </c>
      <c r="LH15" s="30" t="s">
        <v>28</v>
      </c>
      <c r="LI15" s="30" t="str">
        <f>_xll.BDP(LA15&amp;" Equity", "DS004")</f>
        <v>USD</v>
      </c>
      <c r="LJ15" s="17" cm="1">
        <f t="array" ref="LJ15">_xll.BDP(LA15&amp;" Equity","PX_LAST")</f>
        <v>306.94</v>
      </c>
      <c r="LK15" s="33">
        <f t="shared" si="18"/>
        <v>6.6553964216626724E-2</v>
      </c>
      <c r="LL15" s="33">
        <f t="shared" si="19"/>
        <v>6.3197861105380962E-2</v>
      </c>
      <c r="LN15" s="1">
        <v>1</v>
      </c>
      <c r="LO15" s="18">
        <v>23961.484615907801</v>
      </c>
      <c r="LP15" s="11">
        <f t="shared" si="110"/>
        <v>7354738.0880067404</v>
      </c>
      <c r="LQ15" s="5"/>
      <c r="LR15" s="11" cm="1">
        <f t="array" ref="LR15">IF(LE15="Hong Kong",_xll.BDP(LA15&amp;" Equity","PR414"),_xll.BDP(LA15&amp;" Equity","PR090"))</f>
        <v>1</v>
      </c>
      <c r="LS15" s="11">
        <f t="shared" si="111"/>
        <v>306.94</v>
      </c>
      <c r="LT15" s="5">
        <f t="shared" si="112"/>
        <v>69.385770995375481</v>
      </c>
      <c r="LU15" s="8">
        <f t="shared" si="113"/>
        <v>6.6183937499999998E-2</v>
      </c>
      <c r="LV15" s="8">
        <f t="shared" si="114"/>
        <v>-5.5597997952807621E-3</v>
      </c>
      <c r="LW15" s="5"/>
      <c r="LX15" s="21">
        <f t="shared" si="115"/>
        <v>4611.8965806595679</v>
      </c>
      <c r="LY15" s="22">
        <f t="shared" si="116"/>
        <v>11356.779999999999</v>
      </c>
      <c r="MA15" s="16" t="str" cm="1">
        <f t="array" ref="MA15">_xll.BDP(MB15&amp;" Equity","DS520")</f>
        <v>Enel SpA</v>
      </c>
      <c r="MB15" s="32" t="s">
        <v>261</v>
      </c>
      <c r="MC15" s="32" t="s">
        <v>327</v>
      </c>
      <c r="MD15" s="32" t="str" cm="1">
        <f t="array" ref="MD15">_xll.BDP(MB15&amp;" Equity", "ID_ISIN")</f>
        <v>IT0003128367</v>
      </c>
      <c r="ME15" s="32"/>
      <c r="MF15" s="30" t="str">
        <f>_xll.BDP(MB15&amp;" Equity", "DS197")</f>
        <v>BrsaItaliana</v>
      </c>
      <c r="MG15" s="30" t="s">
        <v>26</v>
      </c>
      <c r="MH15" s="30" t="s">
        <v>328</v>
      </c>
      <c r="MI15" s="30" t="s">
        <v>28</v>
      </c>
      <c r="MJ15" s="30" t="str">
        <f>_xll.BDP(MB15&amp;" Equity", "DS004")</f>
        <v>EUR</v>
      </c>
      <c r="MK15" s="17" cm="1">
        <f t="array" ref="MK15">_xll.BDP(MB15&amp;" Equity","PX_LAST")</f>
        <v>9.4619999999999997</v>
      </c>
      <c r="ML15" s="33">
        <f t="shared" si="20"/>
        <v>2.765155985930369E-2</v>
      </c>
      <c r="MM15" s="33">
        <f t="shared" si="21"/>
        <v>2.6252326808656478E-2</v>
      </c>
      <c r="MO15" s="1" cm="1">
        <f t="array" ref="MO15">IF(MJ15="USD",1,_xll.BDP(MJ15&amp;"USD CURNCY","PX_LAST"))</f>
        <v>1.1607000000000001</v>
      </c>
      <c r="MP15" s="18">
        <v>452328.89497460099</v>
      </c>
      <c r="MQ15" s="11">
        <f t="shared" si="117"/>
        <v>4967721.7201325968</v>
      </c>
      <c r="MR15" s="5"/>
      <c r="MS15" s="11" cm="1">
        <f t="array" ref="MS15">IF(MF15="Hong Kong",_xll.BDP(MB15&amp;" Equity","PR414"),_xll.BDP(MB15&amp;" Equity","PR090"))</f>
        <v>1</v>
      </c>
      <c r="MT15" s="11">
        <f t="shared" si="118"/>
        <v>10.982543400000001</v>
      </c>
      <c r="MU15" s="5">
        <f t="shared" si="119"/>
        <v>805.6876110298075</v>
      </c>
      <c r="MV15" s="8">
        <f t="shared" si="120"/>
        <v>2.7662281188750002E-2</v>
      </c>
      <c r="MW15" s="8">
        <f t="shared" si="121"/>
        <v>3.8772964349442773E-4</v>
      </c>
      <c r="MX15" s="5"/>
      <c r="MY15" s="21">
        <f t="shared" si="122"/>
        <v>397.17626983364545</v>
      </c>
      <c r="MZ15" s="22">
        <f t="shared" si="123"/>
        <v>406.35410580000001</v>
      </c>
      <c r="NB15" s="16" t="str" cm="1">
        <f t="array" ref="NB15">_xll.BDP(NC15&amp;" Equity","DS520")</f>
        <v>Exelon Corp</v>
      </c>
      <c r="NC15" s="32" t="s">
        <v>319</v>
      </c>
      <c r="ND15" s="32" t="s">
        <v>345</v>
      </c>
      <c r="NE15" s="32" t="str" cm="1">
        <f t="array" ref="NE15">_xll.BDP(NC15&amp;" Equity", "ID_ISIN")</f>
        <v>US30161N1019</v>
      </c>
      <c r="NF15" s="32"/>
      <c r="NG15" s="30" t="str">
        <f>_xll.BDP(NC15&amp;" Equity", "DS197")</f>
        <v>NASDAQ GS</v>
      </c>
      <c r="NH15" s="30" t="s">
        <v>26</v>
      </c>
      <c r="NI15" s="30" t="s">
        <v>33</v>
      </c>
      <c r="NJ15" s="30" t="s">
        <v>28</v>
      </c>
      <c r="NK15" s="30" t="str">
        <f>_xll.BDP(NC15&amp;" Equity", "DS004")</f>
        <v>USD</v>
      </c>
      <c r="NL15" s="17" cm="1">
        <f t="array" ref="NL15">_xll.BDP(NC15&amp;" Equity","PX_LAST")</f>
        <v>48.77</v>
      </c>
      <c r="NM15" s="33">
        <f t="shared" si="22"/>
        <v>3.9466559588308303E-2</v>
      </c>
      <c r="NN15" s="33">
        <f t="shared" si="23"/>
        <v>3.7464651496982228E-2</v>
      </c>
      <c r="NP15" s="1" cm="1">
        <f t="array" ref="NP15">IF(NK15="USD",1,_xll.BDP(NK15&amp;"USD CURNCY","PX_LAST"))</f>
        <v>1</v>
      </c>
      <c r="NQ15" s="18">
        <v>138343.62205994199</v>
      </c>
      <c r="NR15" s="11">
        <f t="shared" si="124"/>
        <v>6747018.4478633711</v>
      </c>
      <c r="NS15" s="5"/>
      <c r="NT15" s="11" cm="1">
        <f t="array" ref="NT15">IF(NG15="Hong Kong",_xll.BDP(NC15&amp;" Equity","PR414"),_xll.BDP(NC15&amp;" Equity","PR090"))</f>
        <v>1</v>
      </c>
      <c r="NU15" s="11">
        <f t="shared" si="125"/>
        <v>48.77</v>
      </c>
      <c r="NV15" s="5">
        <f t="shared" si="126"/>
        <v>258.95630650520104</v>
      </c>
      <c r="NW15" s="8">
        <f t="shared" si="127"/>
        <v>3.9473218750000004E-2</v>
      </c>
      <c r="NX15" s="8">
        <f t="shared" si="128"/>
        <v>1.6872921686528208E-4</v>
      </c>
      <c r="NY15" s="5"/>
      <c r="NZ15" s="21">
        <f t="shared" si="129"/>
        <v>1235.7297040517253</v>
      </c>
      <c r="OA15" s="22">
        <f t="shared" si="130"/>
        <v>1804.49</v>
      </c>
      <c r="OC15" s="16" t="str" cm="1">
        <f t="array" ref="OC15">_xll.BDP(OD15&amp;" Equity","DS520")</f>
        <v>Equinor ASA</v>
      </c>
      <c r="OD15" s="32" t="s">
        <v>262</v>
      </c>
      <c r="OE15" s="32" t="s">
        <v>329</v>
      </c>
      <c r="OF15" s="32" t="str" cm="1">
        <f t="array" ref="OF15">_xll.BDP(OD15&amp;" Equity", "ID_ISIN")</f>
        <v>NO0010096985</v>
      </c>
      <c r="OG15" s="32"/>
      <c r="OH15" s="30" t="str">
        <f>_xll.BDP(OD15&amp;" Equity", "DS197")</f>
        <v>Oslo</v>
      </c>
      <c r="OI15" s="30" t="s">
        <v>26</v>
      </c>
      <c r="OJ15" s="30" t="s">
        <v>330</v>
      </c>
      <c r="OK15" s="30" t="s">
        <v>28</v>
      </c>
      <c r="OL15" s="30" t="str">
        <f>_xll.BDP(OD15&amp;" Equity", "DS004")</f>
        <v>NOK</v>
      </c>
      <c r="OM15" s="17" cm="1">
        <f t="array" ref="OM15">_xll.BDP(OD15&amp;" Equity","PX_LAST")</f>
        <v>307.3</v>
      </c>
      <c r="ON15" s="33">
        <f t="shared" si="24"/>
        <v>4.1370346794966352E-2</v>
      </c>
      <c r="OO15" s="33">
        <f t="shared" si="131"/>
        <v>3.9227654481530712E-2</v>
      </c>
      <c r="OQ15" s="1" cm="1">
        <f t="array" ref="OQ15">IF(OL15="EUR",1,_xll.BDP(OL15&amp;"EUR CURNCY","PX_LAST"))</f>
        <v>8.9200000000000002E-2</v>
      </c>
      <c r="OR15" s="18">
        <v>277953.97814580798</v>
      </c>
      <c r="OS15" s="11">
        <f t="shared" si="132"/>
        <v>7619040.9675912466</v>
      </c>
      <c r="OT15" s="5"/>
      <c r="OU15" s="11" cm="1">
        <f t="array" ref="OU15">IF(OH15="Hong Kong",_xll.BDP(OD15&amp;" Equity","PR414"),_xll.BDP(OD15&amp;" Equity","PR090"))</f>
        <v>1</v>
      </c>
      <c r="OV15" s="11">
        <f t="shared" si="133"/>
        <v>27.411160000000002</v>
      </c>
      <c r="OW15" s="5">
        <f t="shared" si="134"/>
        <v>482.96062532155634</v>
      </c>
      <c r="OX15" s="8">
        <f t="shared" si="135"/>
        <v>4.1373719624999999E-2</v>
      </c>
      <c r="OY15" s="8">
        <f t="shared" si="136"/>
        <v>8.1527719609564286E-5</v>
      </c>
      <c r="OZ15" s="5"/>
      <c r="PA15" s="21">
        <f t="shared" si="137"/>
        <v>662.57989414135625</v>
      </c>
      <c r="PB15" s="22">
        <f t="shared" si="138"/>
        <v>1014.2129200000001</v>
      </c>
      <c r="PD15" s="16" t="str" cm="1">
        <f t="array" ref="PD15">_xll.BDP(PE15&amp;" Equity","DS520")</f>
        <v>Amano Corp</v>
      </c>
      <c r="PE15" s="32" t="s">
        <v>718</v>
      </c>
      <c r="PF15" s="32">
        <v>6436</v>
      </c>
      <c r="PG15" s="32" t="str" cm="1">
        <f t="array" ref="PG15">_xll.BDP(PE15&amp;" Equity", "ID_ISIN")</f>
        <v>JP3124400007</v>
      </c>
      <c r="PH15" s="32"/>
      <c r="PI15" s="30" t="str">
        <f>_xll.BDP(PE15&amp;" Equity", "DS197")</f>
        <v>Tokyo</v>
      </c>
      <c r="PJ15" s="30" t="s">
        <v>26</v>
      </c>
      <c r="PK15" s="71" t="s">
        <v>320</v>
      </c>
      <c r="PL15" s="30" t="s">
        <v>28</v>
      </c>
      <c r="PM15" s="30" t="str">
        <f>_xll.BDP(PE15&amp;" Equity", "DS004")</f>
        <v>JPY</v>
      </c>
      <c r="PN15" s="17" cm="1">
        <f t="array" ref="PN15">_xll.BDP(PE15&amp;" Equity","PX_LAST")</f>
        <v>3983</v>
      </c>
      <c r="PO15" s="33">
        <f t="shared" si="25"/>
        <v>4.3282147046662361E-2</v>
      </c>
      <c r="PP15" s="33">
        <f t="shared" si="26"/>
        <v>4.1115805859761774E-2</v>
      </c>
      <c r="PR15" s="1">
        <v>1</v>
      </c>
      <c r="PS15" s="18">
        <v>2094.2276459735999</v>
      </c>
      <c r="PT15" s="11">
        <f t="shared" si="139"/>
        <v>8341308.7139128484</v>
      </c>
      <c r="PU15" s="5"/>
      <c r="PV15" s="11" cm="1">
        <f t="array" ref="PV15">IF(PI15="Hong Kong",_xll.BDP(PE15&amp;" Equity","PR414"),_xll.BDP(PE15&amp;" Equity","PR090"))</f>
        <v>100</v>
      </c>
      <c r="PW15" s="11">
        <f t="shared" si="140"/>
        <v>398300</v>
      </c>
      <c r="PX15" s="5">
        <f t="shared" si="141"/>
        <v>3.4773505033723215E-2</v>
      </c>
      <c r="PY15" s="8">
        <f t="shared" si="142"/>
        <v>0</v>
      </c>
      <c r="PZ15" s="8">
        <f t="shared" si="143"/>
        <v>-1</v>
      </c>
      <c r="QA15" s="5"/>
      <c r="QB15" s="21">
        <f t="shared" si="144"/>
        <v>9202408.5489704069</v>
      </c>
      <c r="QC15" s="22">
        <f t="shared" si="145"/>
        <v>14737100</v>
      </c>
      <c r="QE15" s="16" t="str" cm="1">
        <f t="array" ref="QE15">_xll.BDP(QF15&amp;" Equity","DS520")</f>
        <v>Gen Digital Inc</v>
      </c>
      <c r="QF15" s="34" t="s">
        <v>299</v>
      </c>
      <c r="QG15" s="34"/>
      <c r="QH15" s="32" t="str" cm="1">
        <f t="array" ref="QH15">_xll.BDP(QF15&amp;" Equity", "ID_ISIN")</f>
        <v>US6687711084</v>
      </c>
      <c r="QI15" s="34"/>
      <c r="QJ15" s="30" t="str">
        <f>_xll.BDP(QF15&amp;" Equity", "DS197")</f>
        <v>NASDAQ GS</v>
      </c>
      <c r="QK15" s="30" t="s">
        <v>26</v>
      </c>
      <c r="QL15" s="30"/>
      <c r="QM15" s="30" t="s">
        <v>28</v>
      </c>
      <c r="QN15" s="30" t="str">
        <f>_xll.BDP(QF15&amp;" Equity", "DS004")</f>
        <v>USD</v>
      </c>
      <c r="QO15" s="17" cm="1">
        <f t="array" ref="QO15">_xll.BDP(QF15&amp;" Equity","PX_LAST")</f>
        <v>22.61</v>
      </c>
      <c r="QP15" s="33">
        <f t="shared" si="27"/>
        <v>4.1410066933540747E-2</v>
      </c>
      <c r="QQ15" s="33">
        <f t="shared" si="28"/>
        <v>3.9349667326345338E-2</v>
      </c>
      <c r="QS15" s="1" cm="1">
        <f t="array" ref="QS15">IF(QN15="USD",1,_xll.BDP(QN15&amp;"USD CURNCY","PX_LAST"))</f>
        <v>1</v>
      </c>
      <c r="QT15" s="18">
        <v>208938.03686765101</v>
      </c>
      <c r="QU15" s="11">
        <f t="shared" si="146"/>
        <v>4724089.0135775888</v>
      </c>
      <c r="QV15" s="5"/>
      <c r="QW15" s="11" cm="1">
        <f t="array" ref="QW15">IF(QJ15="Hong Kong",_xll.BDP(QF15&amp;" Equity","PR414"),_xll.BDP(QF15&amp;" Equity","PR090"))</f>
        <v>1</v>
      </c>
      <c r="QX15" s="11">
        <f t="shared" si="147"/>
        <v>22.61</v>
      </c>
      <c r="QY15" s="5">
        <f t="shared" si="148"/>
        <v>586.07790441101463</v>
      </c>
      <c r="QZ15" s="8">
        <f t="shared" si="149"/>
        <v>4.1404562499999999E-2</v>
      </c>
      <c r="RA15" s="8">
        <f t="shared" si="150"/>
        <v>-1.3292500950512487E-4</v>
      </c>
      <c r="RB15" s="5"/>
      <c r="RC15" s="21">
        <f t="shared" si="151"/>
        <v>546.00249828832489</v>
      </c>
      <c r="RD15" s="22">
        <f t="shared" si="152"/>
        <v>836.56999999999994</v>
      </c>
      <c r="RF15" s="16" t="str" cm="1">
        <f t="array" ref="RF15">_xll.BDP(RG15&amp;" Equity","DS520")</f>
        <v>Electrovaya Inc</v>
      </c>
      <c r="RG15" s="34" t="s">
        <v>1303</v>
      </c>
      <c r="RH15" s="34"/>
      <c r="RI15" s="32" t="str" cm="1">
        <f t="array" ref="RI15">_xll.BDP(RG15&amp;" Equity", "ID_ISIN")</f>
        <v>CA28617B6061</v>
      </c>
      <c r="RJ15" s="34"/>
      <c r="RK15" s="30" t="str">
        <f>_xll.BDP(RG15&amp;" Equity", "DS197")</f>
        <v>NASDAQ CM</v>
      </c>
      <c r="RL15" s="30" t="s">
        <v>26</v>
      </c>
      <c r="RM15" s="30"/>
      <c r="RN15" s="30" t="s">
        <v>28</v>
      </c>
      <c r="RO15" s="30" t="str">
        <f>_xll.BDP(RG15&amp;" Equity", "DS004")</f>
        <v>USD</v>
      </c>
      <c r="RP15" s="17" cm="1">
        <f t="array" ref="RP15">_xll.BDP(RG15&amp;" Equity","PX_LAST")</f>
        <v>7.78</v>
      </c>
      <c r="RQ15" s="33">
        <f t="shared" si="153"/>
        <v>2.77546998457667E-2</v>
      </c>
      <c r="RR15" s="33">
        <f t="shared" si="154"/>
        <v>2.6392272554201488E-2</v>
      </c>
      <c r="RT15" s="1" cm="1">
        <f t="array" ref="RT15">IF(RO15="USD",1,_xll.BDP(RO15&amp;"USD CURNCY","PX_LAST"))</f>
        <v>1</v>
      </c>
      <c r="RU15" s="18">
        <v>359493.670886076</v>
      </c>
      <c r="RV15" s="11">
        <f t="shared" si="155"/>
        <v>2796860.7594936714</v>
      </c>
      <c r="RW15" s="5"/>
      <c r="RX15" s="11" cm="1">
        <f t="array" ref="RX15">IF(RK15="Hong Kong",_xll.BDP(RG15&amp;" Equity","PR414"),_xll.BDP(RG15&amp;" Equity","PR090"))</f>
        <v>1</v>
      </c>
      <c r="RY15" s="11">
        <f t="shared" si="156"/>
        <v>7.78</v>
      </c>
      <c r="RZ15" s="5">
        <f t="shared" si="157"/>
        <v>1141.5814846587846</v>
      </c>
      <c r="SA15" s="8">
        <f t="shared" si="158"/>
        <v>2.7764875000000001E-2</v>
      </c>
      <c r="SB15" s="8">
        <f t="shared" si="159"/>
        <v>3.666101341337491E-4</v>
      </c>
      <c r="SC15" s="5"/>
      <c r="SD15" s="21">
        <f t="shared" si="160"/>
        <v>280.31288550168375</v>
      </c>
      <c r="SE15" s="22">
        <f t="shared" si="161"/>
        <v>287.86</v>
      </c>
    </row>
    <row r="16" spans="15:499" x14ac:dyDescent="0.2">
      <c r="O16" s="16" t="str" cm="1">
        <f t="array" ref="O16">_xll.BDP(P16&amp;" Equity","DS520")</f>
        <v>Waste Management Inc</v>
      </c>
      <c r="P16" s="32" t="s">
        <v>705</v>
      </c>
      <c r="Q16" s="32" t="s">
        <v>709</v>
      </c>
      <c r="R16" s="32" t="str" cm="1">
        <f t="array" ref="R16">_xll.BDP(P16&amp;" Equity", "ID_ISIN")</f>
        <v>US94106L1098</v>
      </c>
      <c r="S16" s="32"/>
      <c r="T16" s="30" t="str">
        <f>_xll.BDP(P16&amp;" Equity", "DS197")</f>
        <v>New York</v>
      </c>
      <c r="U16" s="30" t="s">
        <v>26</v>
      </c>
      <c r="V16" s="30" t="s">
        <v>33</v>
      </c>
      <c r="W16" s="30" t="s">
        <v>28</v>
      </c>
      <c r="X16" s="30" t="str">
        <f>_xll.BDP(P16&amp;" Equity", "DS004")</f>
        <v>USD</v>
      </c>
      <c r="Y16" s="17" cm="1">
        <f t="array" ref="Y16">_xll.BDP(P16&amp;" Equity","PX_LAST")</f>
        <v>246.09</v>
      </c>
      <c r="Z16" s="33">
        <f t="shared" si="0"/>
        <v>2.9566663102983039E-2</v>
      </c>
      <c r="AA16" s="33">
        <f t="shared" si="1"/>
        <v>2.8089323615145455E-2</v>
      </c>
      <c r="AB16" s="4"/>
      <c r="AC16" s="1" cm="1">
        <f t="array" ref="AC16">IF(X16="USD",1,_xll.BDP(X16&amp;"USD CURNCY","PX_LAST"))</f>
        <v>1</v>
      </c>
      <c r="AD16" s="18">
        <v>24724.901171738398</v>
      </c>
      <c r="AE16" s="11">
        <f t="shared" si="169"/>
        <v>6084550.9293531021</v>
      </c>
      <c r="AF16" s="5"/>
      <c r="AG16" s="11" cm="1">
        <f t="array" ref="AG16">IF(T16="Hong Kong",_xll.BDP(P16&amp;" Equity","PR414"),_xll.BDP(P16&amp;" Equity","PR090"))</f>
        <v>1</v>
      </c>
      <c r="AH16" s="11">
        <f t="shared" si="170"/>
        <v>246.09</v>
      </c>
      <c r="AI16" s="5">
        <f t="shared" si="171"/>
        <v>38.446634129605314</v>
      </c>
      <c r="AJ16" s="8">
        <f t="shared" si="172"/>
        <v>2.9223187500000001E-2</v>
      </c>
      <c r="AK16" s="8">
        <f t="shared" si="173"/>
        <v>-1.1616989099739961E-2</v>
      </c>
      <c r="AL16" s="5"/>
      <c r="AM16" s="21">
        <f t="shared" si="174"/>
        <v>8323.2253549495581</v>
      </c>
      <c r="AN16" s="22">
        <f t="shared" si="175"/>
        <v>9105.33</v>
      </c>
      <c r="AP16" s="16" t="str" cm="1">
        <f t="array" ref="AP16">_xll.BDP(AQ16&amp;" Equity","DS520")</f>
        <v>Medtronic PLC</v>
      </c>
      <c r="AQ16" s="32" t="s">
        <v>53</v>
      </c>
      <c r="AR16" s="32" t="s">
        <v>54</v>
      </c>
      <c r="AS16" s="32" t="str" cm="1">
        <f t="array" ref="AS16">_xll.BDP(AQ16&amp;" Equity", "ID_ISIN")</f>
        <v>IE00BTN1Y115</v>
      </c>
      <c r="AT16" s="32"/>
      <c r="AU16" s="30" t="str">
        <f>_xll.BDP(AQ16&amp;" Equity", "DS197")</f>
        <v>New York</v>
      </c>
      <c r="AV16" s="30" t="s">
        <v>26</v>
      </c>
      <c r="AW16" s="30" t="s">
        <v>33</v>
      </c>
      <c r="AX16" s="30" t="s">
        <v>28</v>
      </c>
      <c r="AY16" s="30" t="str">
        <f>_xll.BDP(AQ16&amp;" Equity", "DS004")</f>
        <v>USD</v>
      </c>
      <c r="AZ16" s="17" cm="1">
        <f t="array" ref="AZ16">_xll.BDP(AQ16&amp;" Equity","PX_LAST")</f>
        <v>93.01</v>
      </c>
      <c r="BA16" s="33">
        <f t="shared" si="4"/>
        <v>4.5396128289281502E-2</v>
      </c>
      <c r="BB16" s="33">
        <f t="shared" si="34"/>
        <v>4.3111677018469845E-2</v>
      </c>
      <c r="BD16" s="1" cm="1">
        <f t="array" ref="BD16">IF(AY16="USD",1,_xll.BDP(AY16&amp;"USD CURNCY","PX_LAST"))</f>
        <v>1</v>
      </c>
      <c r="BE16" s="18">
        <v>80359.017777082699</v>
      </c>
      <c r="BF16" s="11">
        <f t="shared" si="35"/>
        <v>7474192.2434464619</v>
      </c>
      <c r="BG16" s="5"/>
      <c r="BH16" s="11" cm="1">
        <f t="array" ref="BH16">IF(AU16="Hong Kong",_xll.BDP(AQ16&amp;" Equity","PR414"),_xll.BDP(AQ16&amp;" Equity","PR090"))</f>
        <v>1</v>
      </c>
      <c r="BI16" s="11">
        <f t="shared" si="36"/>
        <v>93.01</v>
      </c>
      <c r="BJ16" s="5">
        <f t="shared" si="37"/>
        <v>156.18493766874616</v>
      </c>
      <c r="BK16" s="8">
        <f t="shared" si="38"/>
        <v>4.5342375000000004E-2</v>
      </c>
      <c r="BL16" s="8">
        <f t="shared" si="39"/>
        <v>-1.1840941354945844E-3</v>
      </c>
      <c r="BM16" s="5"/>
      <c r="BN16" s="21">
        <f t="shared" si="40"/>
        <v>2048.8531402348826</v>
      </c>
      <c r="BO16" s="22">
        <f t="shared" si="41"/>
        <v>3441.37</v>
      </c>
      <c r="BQ16" s="16" t="str" cm="1">
        <f t="array" ref="BQ16">_xll.BDP(BR16&amp;" Equity","DS520")</f>
        <v>NIPPON REIT Investment Corp</v>
      </c>
      <c r="BR16" s="32" t="s">
        <v>113</v>
      </c>
      <c r="BS16" s="32">
        <v>3296</v>
      </c>
      <c r="BT16" s="32" t="str" cm="1">
        <f t="array" ref="BT16">_xll.BDP(BR16&amp;" Equity", "ID_ISIN")</f>
        <v>JP3047750009</v>
      </c>
      <c r="BU16" s="32"/>
      <c r="BV16" s="30" t="str">
        <f>_xll.BDP(BR16&amp;" Equity", "DS197")</f>
        <v>Tokyo</v>
      </c>
      <c r="BW16" s="30" t="s">
        <v>26</v>
      </c>
      <c r="BX16" s="71" t="s">
        <v>320</v>
      </c>
      <c r="BY16" s="30" t="s">
        <v>28</v>
      </c>
      <c r="BZ16" s="30" t="str">
        <f>_xll.BDP(BR16&amp;" Equity", "DS004")</f>
        <v>JPY</v>
      </c>
      <c r="CA16" s="17" cm="1">
        <f t="array" ref="CA16">_xll.BDP(BR16&amp;" Equity","PX_LAST")</f>
        <v>93000</v>
      </c>
      <c r="CB16" s="33">
        <f t="shared" si="5"/>
        <v>6.2265033542231139E-2</v>
      </c>
      <c r="CC16" s="33">
        <f t="shared" si="42"/>
        <v>5.9146452640461367E-2</v>
      </c>
      <c r="CE16" s="1">
        <v>1</v>
      </c>
      <c r="CF16" s="18">
        <v>420.03468736915602</v>
      </c>
      <c r="CG16" s="11">
        <f t="shared" si="43"/>
        <v>39063225.925331511</v>
      </c>
      <c r="CH16" s="5"/>
      <c r="CI16" s="11" cm="1">
        <f t="array" ref="CI16">IF(BV16="Hong Kong",_xll.BDP(BR16&amp;" Equity","PR414"),_xll.BDP(BR16&amp;" Equity","PR090"))</f>
        <v>1</v>
      </c>
      <c r="CJ16" s="11">
        <f t="shared" si="44"/>
        <v>93000</v>
      </c>
      <c r="CK16" s="5">
        <f t="shared" si="45"/>
        <v>0.21424527670445123</v>
      </c>
      <c r="CL16" s="8">
        <f t="shared" si="46"/>
        <v>0</v>
      </c>
      <c r="CM16" s="8">
        <f t="shared" si="47"/>
        <v>-1</v>
      </c>
      <c r="CN16" s="5"/>
      <c r="CO16" s="21">
        <f t="shared" si="48"/>
        <v>1493615.191533189</v>
      </c>
      <c r="CP16" s="22">
        <f t="shared" si="49"/>
        <v>3441000</v>
      </c>
      <c r="CR16" s="16" t="str" cm="1">
        <f t="array" ref="CR16">_xll.BDP(CS16&amp;" Equity","DS520")</f>
        <v>Mori Trust Reit Inc</v>
      </c>
      <c r="CS16" s="32" t="s">
        <v>112</v>
      </c>
      <c r="CT16" s="32">
        <v>8961</v>
      </c>
      <c r="CU16" s="32" t="str" cm="1">
        <f t="array" ref="CU16">_xll.BDP(CS16&amp;" Equity", "ID_ISIN")</f>
        <v>JP3046170001</v>
      </c>
      <c r="CV16" s="32"/>
      <c r="CW16" s="30" t="str">
        <f>_xll.BDP(CS16&amp;" Equity", "DS197")</f>
        <v>Tokyo</v>
      </c>
      <c r="CX16" s="30" t="s">
        <v>26</v>
      </c>
      <c r="CY16" s="30" t="s">
        <v>320</v>
      </c>
      <c r="CZ16" s="30" t="s">
        <v>28</v>
      </c>
      <c r="DA16" s="30" t="str">
        <f>_xll.BDP(CS16&amp;" Equity", "DS004")</f>
        <v>JPY</v>
      </c>
      <c r="DB16" s="17" cm="1">
        <f t="array" ref="DB16">_xll.BDP(CS16&amp;" Equity","PX_LAST")</f>
        <v>77000</v>
      </c>
      <c r="DC16" s="33">
        <f t="shared" si="6"/>
        <v>4.7287481414530493E-2</v>
      </c>
      <c r="DD16" s="33">
        <f t="shared" si="7"/>
        <v>4.490808846538525E-2</v>
      </c>
      <c r="DF16" s="1" cm="1">
        <f t="array" ref="DF16">IF(DA16="USD",1,_xll.BDP(DA16&amp;"USD CURNCY","PX_LAST"))</f>
        <v>6.3369999999999998E-3</v>
      </c>
      <c r="DG16" s="18">
        <v>17575.387883641699</v>
      </c>
      <c r="DH16" s="11">
        <f t="shared" si="8"/>
        <v>8575892.942435082</v>
      </c>
      <c r="DI16" s="5"/>
      <c r="DJ16" s="11" cm="1">
        <f t="array" ref="DJ16">IF(CW16="Hong Kong",_xll.BDP(CS16&amp;" Equity","PR414"),_xll.BDP(CS16&amp;" Equity","PR090"))</f>
        <v>1</v>
      </c>
      <c r="DK16" s="11">
        <f t="shared" si="9"/>
        <v>487.94899999999996</v>
      </c>
      <c r="DL16" s="5">
        <f t="shared" si="50"/>
        <v>31.011425482273268</v>
      </c>
      <c r="DM16" s="8">
        <f t="shared" si="51"/>
        <v>4.7270059374999993E-2</v>
      </c>
      <c r="DN16" s="8">
        <f t="shared" si="52"/>
        <v>-3.6842815496507253E-4</v>
      </c>
      <c r="DO16" s="5"/>
      <c r="DP16" s="21">
        <f t="shared" si="53"/>
        <v>10318.777515819716</v>
      </c>
      <c r="DQ16" s="22">
        <f t="shared" si="54"/>
        <v>18054.112999999998</v>
      </c>
      <c r="DS16" s="16" t="str" cm="1">
        <f t="array" ref="DS16">_xll.BDP(DT16&amp;" Equity","DS520")</f>
        <v>ITV PLC</v>
      </c>
      <c r="DT16" s="44" t="s">
        <v>141</v>
      </c>
      <c r="DU16" s="44" t="s">
        <v>142</v>
      </c>
      <c r="DV16" s="32" t="str" cm="1">
        <f t="array" ref="DV16">_xll.BDP(DT16&amp;" Equity", "ID_ISIN")</f>
        <v>GB0033986497</v>
      </c>
      <c r="DW16" s="44"/>
      <c r="DX16" s="30" t="str">
        <f>_xll.BDP(DT16&amp;" Equity", "DS197")</f>
        <v>London</v>
      </c>
      <c r="DY16" s="30" t="s">
        <v>26</v>
      </c>
      <c r="DZ16" s="30" t="s">
        <v>129</v>
      </c>
      <c r="EA16" s="30" t="s">
        <v>28</v>
      </c>
      <c r="EB16" s="43" t="str">
        <f>_xll.BDP(DT16&amp;" Equity", "DS004")</f>
        <v>GBp</v>
      </c>
      <c r="EC16" s="17" cm="1">
        <f t="array" ref="EC16">_xll.BDP(DT16&amp;" Equity","PX_LAST")/100</f>
        <v>0.78500000000000003</v>
      </c>
      <c r="ED16" s="33">
        <f t="shared" si="55"/>
        <v>4.346058275281986E-2</v>
      </c>
      <c r="EE16" s="33">
        <f t="shared" si="56"/>
        <v>4.1227048288087091E-2</v>
      </c>
      <c r="EG16" s="1">
        <v>1</v>
      </c>
      <c r="EH16" s="18">
        <v>9136446.8427876607</v>
      </c>
      <c r="EI16" s="11">
        <f t="shared" si="57"/>
        <v>7172110.7715883143</v>
      </c>
      <c r="EJ16" s="5"/>
      <c r="EK16" s="11" cm="1">
        <f t="array" ref="EK16">IF(DX16="Hong Kong",_xll.BDP(DT16&amp;" Equity","PR414"),_xll.BDP(DT16&amp;" Equity","PR090"))</f>
        <v>1</v>
      </c>
      <c r="EL16" s="11">
        <f t="shared" si="58"/>
        <v>0.78500000000000003</v>
      </c>
      <c r="EM16" s="5">
        <f t="shared" si="59"/>
        <v>17716.415899238666</v>
      </c>
      <c r="EN16" s="8">
        <f t="shared" si="60"/>
        <v>4.3459562500000007E-2</v>
      </c>
      <c r="EO16" s="8">
        <f t="shared" si="61"/>
        <v>-2.3475359860136713E-5</v>
      </c>
      <c r="EP16" s="5"/>
      <c r="EQ16" s="21">
        <f t="shared" si="62"/>
        <v>18.062344089232599</v>
      </c>
      <c r="ER16" s="22">
        <f t="shared" si="63"/>
        <v>29.044999999999998</v>
      </c>
      <c r="ET16" s="16" t="str" cm="1">
        <f t="array" ref="ET16">_xll.BDP(EU16&amp;" Equity","DS520")</f>
        <v>Exxon Mobil Corp</v>
      </c>
      <c r="EU16" s="32" t="s">
        <v>76</v>
      </c>
      <c r="EV16" s="32" t="s">
        <v>77</v>
      </c>
      <c r="EW16" s="32" t="str" cm="1">
        <f t="array" ref="EW16">_xll.BDP(EU16&amp;" Equity", "ID_ISIN")</f>
        <v>US30231G1022</v>
      </c>
      <c r="EX16" s="32"/>
      <c r="EY16" s="30" t="str">
        <f>_xll.BDP(EU16&amp;" Equity", "DS197")</f>
        <v>New York</v>
      </c>
      <c r="EZ16" s="30" t="s">
        <v>26</v>
      </c>
      <c r="FA16" s="30" t="s">
        <v>33</v>
      </c>
      <c r="FB16" s="30" t="s">
        <v>28</v>
      </c>
      <c r="FC16" s="30" t="str">
        <f>_xll.BDP(EU16&amp;" Equity", "DS004")</f>
        <v>USD</v>
      </c>
      <c r="FD16" s="17" cm="1">
        <f t="array" ref="FD16">_xll.BDP(EU16&amp;" Equity","PX_LAST")</f>
        <v>150.76</v>
      </c>
      <c r="FE16" s="33">
        <f t="shared" si="10"/>
        <v>3.4008536147538633E-2</v>
      </c>
      <c r="FF16" s="33">
        <f t="shared" si="11"/>
        <v>3.2307210262037894E-2</v>
      </c>
      <c r="FH16" s="1" cm="1">
        <f t="array" ref="FH16">IF(FC16="USD",1,_xll.BDP(FC16&amp;"USD CURNCY","PX_LAST"))</f>
        <v>1</v>
      </c>
      <c r="FI16" s="18">
        <v>46226.2913043999</v>
      </c>
      <c r="FJ16" s="11">
        <f t="shared" si="64"/>
        <v>6969075.6770513281</v>
      </c>
      <c r="FK16" s="5"/>
      <c r="FL16" s="11" cm="1">
        <f t="array" ref="FL16">IF(EY16="Hong Kong",_xll.BDP(EU16&amp;" Equity","PR414"),_xll.BDP(EU16&amp;" Equity","PR090"))</f>
        <v>1</v>
      </c>
      <c r="FM16" s="11">
        <f t="shared" si="65"/>
        <v>150.76</v>
      </c>
      <c r="FN16" s="5">
        <f t="shared" si="66"/>
        <v>72.185802382676854</v>
      </c>
      <c r="FO16" s="8">
        <f t="shared" si="67"/>
        <v>3.3921E-2</v>
      </c>
      <c r="FP16" s="8">
        <f t="shared" si="68"/>
        <v>-2.5739463515535022E-3</v>
      </c>
      <c r="FQ16" s="5"/>
      <c r="FR16" s="21">
        <f t="shared" si="69"/>
        <v>4433.0046828819841</v>
      </c>
      <c r="FS16" s="22">
        <f t="shared" si="70"/>
        <v>5578.119999999999</v>
      </c>
      <c r="FU16" s="16" t="str" cm="1">
        <f t="array" ref="FU16">_xll.BDP(FV16&amp;" Equity","DS520")</f>
        <v>Cadence Design Systems Inc</v>
      </c>
      <c r="FV16" s="32" t="s">
        <v>755</v>
      </c>
      <c r="FW16" s="32" t="s">
        <v>760</v>
      </c>
      <c r="FX16" s="32" t="str" cm="1">
        <f t="array" ref="FX16">_xll.BDP(FV16&amp;" Equity", "ID_ISIN")</f>
        <v>US1273871087</v>
      </c>
      <c r="FY16" s="32"/>
      <c r="FZ16" s="30" t="str">
        <f>_xll.BDP(FV16&amp;" Equity", "DS197")</f>
        <v>NASDAQ GS</v>
      </c>
      <c r="GA16" s="30" t="s">
        <v>26</v>
      </c>
      <c r="GB16" s="30" t="s">
        <v>33</v>
      </c>
      <c r="GC16" s="30" t="s">
        <v>28</v>
      </c>
      <c r="GD16" s="30" t="str">
        <f>_xll.BDP(FV16&amp;" Equity", "DS004")</f>
        <v>USD</v>
      </c>
      <c r="GE16" s="17" cm="1">
        <f t="array" ref="GE16">_xll.BDP(FV16&amp;" Equity","PX_LAST")</f>
        <v>299.83999999999997</v>
      </c>
      <c r="GF16" s="33">
        <f t="shared" si="12"/>
        <v>3.1635865299404098E-2</v>
      </c>
      <c r="GG16" s="33">
        <f t="shared" si="13"/>
        <v>3.005263264799973E-2</v>
      </c>
      <c r="GI16" s="1" cm="1">
        <f t="array" ref="GI16">IF(GD16="USD",1,_xll.BDP(GD16&amp;"USD CURNCY","PX_LAST"))</f>
        <v>1</v>
      </c>
      <c r="GJ16" s="18">
        <v>21840.091719955501</v>
      </c>
      <c r="GK16" s="11">
        <f t="shared" si="71"/>
        <v>6548533.1013114564</v>
      </c>
      <c r="GL16" s="5"/>
      <c r="GM16" s="11" cm="1">
        <f t="array" ref="GM16">IF(FZ16="Hong Kong",_xll.BDP(FV16&amp;" Equity","PR414"),_xll.BDP(FV16&amp;" Equity","PR090"))</f>
        <v>1</v>
      </c>
      <c r="GN16" s="11">
        <f t="shared" si="72"/>
        <v>299.83999999999997</v>
      </c>
      <c r="GO16" s="5">
        <f t="shared" si="73"/>
        <v>33.762929881968091</v>
      </c>
      <c r="GP16" s="8">
        <f t="shared" si="74"/>
        <v>3.1857999999999997E-2</v>
      </c>
      <c r="GQ16" s="8">
        <f t="shared" si="75"/>
        <v>7.0216097613768902E-3</v>
      </c>
      <c r="GR16" s="5"/>
      <c r="GS16" s="21">
        <f t="shared" si="76"/>
        <v>9477.8504448129588</v>
      </c>
      <c r="GT16" s="22">
        <f t="shared" si="77"/>
        <v>11094.079999999998</v>
      </c>
      <c r="GV16" s="16" t="str" cm="1">
        <f t="array" ref="GV16">_xll.BDP(GW16&amp;" Equity","DS520")</f>
        <v>COSCO SHIPPING Holdings Co Ltd</v>
      </c>
      <c r="GW16" s="32" t="s">
        <v>728</v>
      </c>
      <c r="GX16" s="32">
        <v>1919</v>
      </c>
      <c r="GY16" s="32" t="str" cm="1">
        <f t="array" ref="GY16">_xll.BDP(GW16&amp;" Equity", "ID_ISIN")</f>
        <v>CNE1000002J7</v>
      </c>
      <c r="GZ16" s="32"/>
      <c r="HA16" s="30" t="str">
        <f>_xll.BDP(GW16&amp;" Equity", "DS197")</f>
        <v>Hong Kong</v>
      </c>
      <c r="HB16" s="30" t="s">
        <v>26</v>
      </c>
      <c r="HC16" s="30" t="s">
        <v>27</v>
      </c>
      <c r="HD16" s="30" t="s">
        <v>28</v>
      </c>
      <c r="HE16" s="30" t="str">
        <f>_xll.BDP(GW16&amp;" Equity", "DS004")</f>
        <v>HKD</v>
      </c>
      <c r="HF16" s="17" cm="1">
        <f t="array" ref="HF16">_xll.BDP(GW16&amp;" Equity","PX_LAST")</f>
        <v>15.97</v>
      </c>
      <c r="HG16" s="33">
        <f t="shared" si="14"/>
        <v>3.8185074364077483E-2</v>
      </c>
      <c r="HH16" s="33">
        <f t="shared" si="78"/>
        <v>3.6272942652971776E-2</v>
      </c>
      <c r="HJ16" s="1" cm="1">
        <f t="array" ref="HJ16">IF(HE16="USD",1,_xll.BDP(HE16&amp;"USD CURNCY","PX_LAST"))</f>
        <v>0.12784999999999999</v>
      </c>
      <c r="HK16" s="18">
        <v>3050136.8229114302</v>
      </c>
      <c r="HL16" s="11">
        <f t="shared" si="79"/>
        <v>6227661.0851633446</v>
      </c>
      <c r="HM16" s="5"/>
      <c r="HN16" s="11" cm="1">
        <f t="array" ref="HN16">IF(HA16="Hong Kong",_xll.BDP(GW16&amp;" Equity","PR414"),_xll.BDP(GW16&amp;" Equity","PR090"))</f>
        <v>500</v>
      </c>
      <c r="HO16" s="11">
        <f t="shared" si="80"/>
        <v>1020.88225</v>
      </c>
      <c r="HP16" s="5">
        <f t="shared" si="81"/>
        <v>11.969278334014325</v>
      </c>
      <c r="HQ16" s="8">
        <f t="shared" si="82"/>
        <v>3.8283084374999998E-2</v>
      </c>
      <c r="HR16" s="8">
        <f t="shared" si="83"/>
        <v>2.566709965994507E-3</v>
      </c>
      <c r="HS16" s="5"/>
      <c r="HT16" s="21">
        <f t="shared" si="84"/>
        <v>26735.112265759853</v>
      </c>
      <c r="HU16" s="22">
        <f t="shared" si="85"/>
        <v>37772.643250000001</v>
      </c>
      <c r="HW16" s="16" t="str" cm="1">
        <f t="array" ref="HW16">_xll.BDP(HX16&amp;" Equity","DS520")</f>
        <v>Qingdao Port International Co Ltd</v>
      </c>
      <c r="HX16" s="45" t="s">
        <v>216</v>
      </c>
      <c r="HY16" s="32">
        <v>6198</v>
      </c>
      <c r="HZ16" s="32" t="str" cm="1">
        <f t="array" ref="HZ16">_xll.BDP(HX16&amp;" Equity", "ID_ISIN")</f>
        <v>CNE100001SG2</v>
      </c>
      <c r="IA16" s="45"/>
      <c r="IB16" s="30" t="str">
        <f>_xll.BDP(HX16&amp;" Equity", "DS197")</f>
        <v>Hong Kong</v>
      </c>
      <c r="IC16" s="30" t="s">
        <v>26</v>
      </c>
      <c r="ID16" s="30" t="s">
        <v>27</v>
      </c>
      <c r="IE16" s="30" t="s">
        <v>28</v>
      </c>
      <c r="IF16" s="30" t="str">
        <f>_xll.BDP(HX16&amp;" Equity", "DS004")</f>
        <v>HKD</v>
      </c>
      <c r="IG16" s="17" cm="1">
        <f t="array" ref="IG16">_xll.BDP(HX16&amp;" Equity","PX_LAST")</f>
        <v>7.3</v>
      </c>
      <c r="IH16" s="33">
        <f t="shared" si="15"/>
        <v>4.4926778123224216E-2</v>
      </c>
      <c r="II16" s="33">
        <f t="shared" si="16"/>
        <v>4.2703428255851231E-2</v>
      </c>
      <c r="IK16" s="1">
        <v>1</v>
      </c>
      <c r="IL16" s="18">
        <v>1166499.70560735</v>
      </c>
      <c r="IM16" s="11">
        <f t="shared" si="183"/>
        <v>8515447.8509336542</v>
      </c>
      <c r="IN16" s="5"/>
      <c r="IO16" s="11" cm="1">
        <f t="array" ref="IO16">IF(IB16="Hong Kong",_xll.BDP(HX16&amp;" Equity","PR414"),_xll.BDP(HX16&amp;" Equity","PR090"))</f>
        <v>1000</v>
      </c>
      <c r="IP16" s="11">
        <f t="shared" si="184"/>
        <v>7300</v>
      </c>
      <c r="IQ16" s="5">
        <f t="shared" si="185"/>
        <v>1.9693930136207876</v>
      </c>
      <c r="IR16" s="8">
        <f t="shared" si="186"/>
        <v>4.5624999999999999E-2</v>
      </c>
      <c r="IS16" s="8">
        <f t="shared" si="187"/>
        <v>1.5541329824736438E-2</v>
      </c>
      <c r="IT16" s="5"/>
      <c r="IU16" s="21">
        <f t="shared" si="188"/>
        <v>162486.61277195785</v>
      </c>
      <c r="IV16" s="22">
        <f t="shared" si="189"/>
        <v>270100</v>
      </c>
      <c r="IX16" s="16" t="str" cm="1">
        <f t="array" ref="IX16">_xll.BDP(IY16&amp;" Equity","DS520")</f>
        <v>International Business Machines Corp</v>
      </c>
      <c r="IY16" s="32" t="s">
        <v>49</v>
      </c>
      <c r="IZ16" s="32" t="s">
        <v>50</v>
      </c>
      <c r="JA16" s="32" t="str" cm="1">
        <f t="array" ref="JA16">_xll.BDP(IY16&amp;" Equity", "ID_ISIN")</f>
        <v>US4592001014</v>
      </c>
      <c r="JB16" s="32"/>
      <c r="JC16" s="30" t="str">
        <f>_xll.BDP(IY16&amp;" Equity", "DS197")</f>
        <v>New York</v>
      </c>
      <c r="JD16" s="30" t="s">
        <v>26</v>
      </c>
      <c r="JE16" s="30" t="s">
        <v>33</v>
      </c>
      <c r="JF16" s="30" t="s">
        <v>28</v>
      </c>
      <c r="JG16" s="30" t="str">
        <f>_xll.BDP(IY16&amp;" Equity", "DS004")</f>
        <v>USD</v>
      </c>
      <c r="JH16" s="17" cm="1">
        <f t="array" ref="JH16">_xll.BDP(IY16&amp;" Equity","PX_LAST")</f>
        <v>256.55</v>
      </c>
      <c r="JI16" s="33">
        <f t="shared" si="93"/>
        <v>3.9463486543919381E-2</v>
      </c>
      <c r="JJ16" s="33">
        <f t="shared" si="17"/>
        <v>3.7488296982044096E-2</v>
      </c>
      <c r="JL16" s="1" cm="1">
        <f t="array" ref="JL16">IF(JG16="USD",1,_xll.BDP(JG16&amp;"USD CURNCY","PX_LAST"))</f>
        <v>1</v>
      </c>
      <c r="JM16" s="18">
        <v>18765.7478808987</v>
      </c>
      <c r="JN16" s="11">
        <f t="shared" si="94"/>
        <v>4814352.6188445613</v>
      </c>
      <c r="JO16" s="5"/>
      <c r="JP16" s="11" cm="1">
        <f t="array" ref="JP16">IF(JC16="Hong Kong",_xll.BDP(IY16&amp;" Equity","PR414"),_xll.BDP(IY16&amp;" Equity","PR090"))</f>
        <v>1</v>
      </c>
      <c r="JQ16" s="11">
        <f t="shared" si="95"/>
        <v>256.55</v>
      </c>
      <c r="JR16" s="5">
        <f t="shared" si="96"/>
        <v>49.223604342444752</v>
      </c>
      <c r="JS16" s="8">
        <f t="shared" si="97"/>
        <v>3.9284218750000002E-2</v>
      </c>
      <c r="JT16" s="8">
        <f t="shared" si="98"/>
        <v>-4.5426243248900544E-3</v>
      </c>
      <c r="JU16" s="5"/>
      <c r="JV16" s="21">
        <f t="shared" si="99"/>
        <v>6500.9461268578607</v>
      </c>
      <c r="JW16" s="22">
        <f t="shared" si="100"/>
        <v>9492.35</v>
      </c>
      <c r="JY16" s="16" t="str" cm="1">
        <f t="array" ref="JY16">_xll.BDP(JZ16&amp;" Equity","DS520")</f>
        <v>Check Point Software Technologies Ltd</v>
      </c>
      <c r="JZ16" s="32" t="s">
        <v>166</v>
      </c>
      <c r="KA16" s="32" t="s">
        <v>391</v>
      </c>
      <c r="KB16" s="32" t="str" cm="1">
        <f t="array" ref="KB16">_xll.BDP(JZ16&amp;" Equity", "ID_ISIN")</f>
        <v>IL0010824113</v>
      </c>
      <c r="KC16" s="32"/>
      <c r="KD16" s="30" t="str">
        <f>_xll.BDP(JZ16&amp;" Equity", "DS197")</f>
        <v>NASDAQ GS</v>
      </c>
      <c r="KE16" s="30" t="s">
        <v>26</v>
      </c>
      <c r="KF16" s="30" t="s">
        <v>33</v>
      </c>
      <c r="KG16" s="30" t="s">
        <v>28</v>
      </c>
      <c r="KH16" s="30" t="str">
        <f>_xll.BDP(JZ16&amp;" Equity", "DS004")</f>
        <v>USD</v>
      </c>
      <c r="KI16" s="17" cm="1">
        <f t="array" ref="KI16">_xll.BDP(JZ16&amp;" Equity","PX_LAST")</f>
        <v>164.48</v>
      </c>
      <c r="KJ16" s="33">
        <f t="shared" si="101"/>
        <v>2.7411743825950258E-2</v>
      </c>
      <c r="KK16" s="33">
        <f t="shared" si="102"/>
        <v>2.6045383918220599E-2</v>
      </c>
      <c r="KM16" s="1" cm="1">
        <f t="array" ref="KM16">IF(KH16="USD",1,_xll.BDP(KH16&amp;"USD CURNCY","PX_LAST"))</f>
        <v>1</v>
      </c>
      <c r="KN16" s="18">
        <v>16549.199069363702</v>
      </c>
      <c r="KO16" s="11">
        <f t="shared" si="103"/>
        <v>2722012.2629289413</v>
      </c>
      <c r="KP16" s="5"/>
      <c r="KQ16" s="11" cm="1">
        <f t="array" ref="KQ16">IF(KD16="Hong Kong",_xll.BDP(JZ16&amp;" Equity","PR414"),_xll.BDP(JZ16&amp;" Equity","PR090"))</f>
        <v>1</v>
      </c>
      <c r="KR16" s="11">
        <f t="shared" si="104"/>
        <v>164.48</v>
      </c>
      <c r="KS16" s="5">
        <f t="shared" si="105"/>
        <v>53.330240906518014</v>
      </c>
      <c r="KT16" s="8">
        <f t="shared" si="106"/>
        <v>2.7241999999999995E-2</v>
      </c>
      <c r="KU16" s="8">
        <f t="shared" si="107"/>
        <v>-6.1923760497706315E-3</v>
      </c>
      <c r="KV16" s="5"/>
      <c r="KW16" s="21">
        <f t="shared" si="108"/>
        <v>6000.3479181900648</v>
      </c>
      <c r="KX16" s="22">
        <f t="shared" si="109"/>
        <v>6085.7599999999993</v>
      </c>
      <c r="KZ16" s="16" t="str" cm="1">
        <f t="array" ref="KZ16">_xll.BDP(LA16&amp;" Equity","DS520")</f>
        <v>Rayonier Inc</v>
      </c>
      <c r="LA16" s="32" t="s">
        <v>746</v>
      </c>
      <c r="LB16" s="32" t="s">
        <v>749</v>
      </c>
      <c r="LC16" s="32" t="str" cm="1">
        <f t="array" ref="LC16">_xll.BDP(LA16&amp;" Equity", "ID_ISIN")</f>
        <v>US7549071030</v>
      </c>
      <c r="LD16" s="32"/>
      <c r="LE16" s="30" t="str">
        <f>_xll.BDP(LA16&amp;" Equity", "DS197")</f>
        <v>New York</v>
      </c>
      <c r="LF16" s="30" t="s">
        <v>26</v>
      </c>
      <c r="LG16" s="30" t="s">
        <v>33</v>
      </c>
      <c r="LH16" s="30" t="s">
        <v>28</v>
      </c>
      <c r="LI16" s="30" t="str">
        <f>_xll.BDP(LA16&amp;" Equity", "DS004")</f>
        <v>USD</v>
      </c>
      <c r="LJ16" s="17" cm="1">
        <f t="array" ref="LJ16">_xll.BDP(LA16&amp;" Equity","PX_LAST")</f>
        <v>21.92</v>
      </c>
      <c r="LK16" s="33">
        <f t="shared" si="18"/>
        <v>5.9989799512474871E-2</v>
      </c>
      <c r="LL16" s="33">
        <f t="shared" si="19"/>
        <v>5.6964706189235555E-2</v>
      </c>
      <c r="LN16" s="1">
        <v>1</v>
      </c>
      <c r="LO16" s="18">
        <v>302433.67261473899</v>
      </c>
      <c r="LP16" s="11">
        <f t="shared" si="110"/>
        <v>6629346.1037150789</v>
      </c>
      <c r="LQ16" s="5"/>
      <c r="LR16" s="11" cm="1">
        <f t="array" ref="LR16">IF(LE16="Hong Kong",_xll.BDP(LA16&amp;" Equity","PR414"),_xll.BDP(LA16&amp;" Equity","PR090"))</f>
        <v>1</v>
      </c>
      <c r="LS16" s="11">
        <f t="shared" si="111"/>
        <v>21.92</v>
      </c>
      <c r="LT16" s="5">
        <f t="shared" si="112"/>
        <v>875.76349653247985</v>
      </c>
      <c r="LU16" s="8">
        <f t="shared" si="113"/>
        <v>6.0006000000000004E-2</v>
      </c>
      <c r="LV16" s="8">
        <f t="shared" si="114"/>
        <v>2.7005403679947193E-4</v>
      </c>
      <c r="LW16" s="5"/>
      <c r="LX16" s="21">
        <f t="shared" si="115"/>
        <v>365.39545352942446</v>
      </c>
      <c r="LY16" s="22">
        <f t="shared" si="116"/>
        <v>811.04</v>
      </c>
      <c r="MA16" s="16" t="str" cm="1">
        <f t="array" ref="MA16">_xll.BDP(MB16&amp;" Equity","DS520")</f>
        <v>Equinor ASA</v>
      </c>
      <c r="MB16" s="32" t="s">
        <v>262</v>
      </c>
      <c r="MC16" s="32" t="s">
        <v>329</v>
      </c>
      <c r="MD16" s="32" t="str" cm="1">
        <f t="array" ref="MD16">_xll.BDP(MB16&amp;" Equity", "ID_ISIN")</f>
        <v>NO0010096985</v>
      </c>
      <c r="ME16" s="32"/>
      <c r="MF16" s="30" t="str">
        <f>_xll.BDP(MB16&amp;" Equity", "DS197")</f>
        <v>Oslo</v>
      </c>
      <c r="MG16" s="30" t="s">
        <v>26</v>
      </c>
      <c r="MH16" s="30" t="s">
        <v>330</v>
      </c>
      <c r="MI16" s="30" t="s">
        <v>28</v>
      </c>
      <c r="MJ16" s="30" t="str">
        <f>_xll.BDP(MB16&amp;" Equity", "DS004")</f>
        <v>NOK</v>
      </c>
      <c r="MK16" s="17" cm="1">
        <f t="array" ref="MK16">_xll.BDP(MB16&amp;" Equity","PX_LAST")</f>
        <v>307.3</v>
      </c>
      <c r="ML16" s="33">
        <f t="shared" si="20"/>
        <v>3.2561003917533506E-2</v>
      </c>
      <c r="MM16" s="33">
        <f t="shared" si="21"/>
        <v>3.0913341612929853E-2</v>
      </c>
      <c r="MO16" s="1" cm="1">
        <f t="array" ref="MO16">IF(MJ16="USD",1,_xll.BDP(MJ16&amp;"USD CURNCY","PX_LAST"))</f>
        <v>0.10349999999999999</v>
      </c>
      <c r="MP16" s="18">
        <v>183921.50023279601</v>
      </c>
      <c r="MQ16" s="11">
        <f t="shared" si="117"/>
        <v>5849724.471729205</v>
      </c>
      <c r="MR16" s="5"/>
      <c r="MS16" s="11" cm="1">
        <f t="array" ref="MS16">IF(MF16="Hong Kong",_xll.BDP(MB16&amp;" Equity","PR414"),_xll.BDP(MB16&amp;" Equity","PR090"))</f>
        <v>1</v>
      </c>
      <c r="MT16" s="11">
        <f t="shared" si="118"/>
        <v>31.80555</v>
      </c>
      <c r="MU16" s="5">
        <f t="shared" si="119"/>
        <v>327.60072545862971</v>
      </c>
      <c r="MV16" s="8">
        <f t="shared" si="120"/>
        <v>3.2600688750000002E-2</v>
      </c>
      <c r="MW16" s="8">
        <f t="shared" si="121"/>
        <v>1.2187840573651965E-3</v>
      </c>
      <c r="MX16" s="5"/>
      <c r="MY16" s="21">
        <f t="shared" si="122"/>
        <v>976.79881371450256</v>
      </c>
      <c r="MZ16" s="22">
        <f t="shared" si="123"/>
        <v>1176.8053499999999</v>
      </c>
      <c r="NB16" s="16" t="str" cm="1">
        <f t="array" ref="NB16">_xll.BDP(NC16&amp;" Equity","DS520")</f>
        <v>General Mills Inc</v>
      </c>
      <c r="NC16" s="32" t="s">
        <v>263</v>
      </c>
      <c r="ND16" s="32" t="s">
        <v>332</v>
      </c>
      <c r="NE16" s="32" t="str" cm="1">
        <f t="array" ref="NE16">_xll.BDP(NC16&amp;" Equity", "ID_ISIN")</f>
        <v>US3703341046</v>
      </c>
      <c r="NF16" s="32"/>
      <c r="NG16" s="30" t="str">
        <f>_xll.BDP(NC16&amp;" Equity", "DS197")</f>
        <v>New York</v>
      </c>
      <c r="NH16" s="30" t="s">
        <v>26</v>
      </c>
      <c r="NI16" s="30" t="s">
        <v>33</v>
      </c>
      <c r="NJ16" s="30" t="s">
        <v>28</v>
      </c>
      <c r="NK16" s="30" t="str">
        <f>_xll.BDP(NC16&amp;" Equity", "DS004")</f>
        <v>USD</v>
      </c>
      <c r="NL16" s="17" cm="1">
        <f t="array" ref="NL16">_xll.BDP(NC16&amp;" Equity","PX_LAST")</f>
        <v>43.57</v>
      </c>
      <c r="NM16" s="33">
        <f t="shared" si="22"/>
        <v>3.7763439086668509E-2</v>
      </c>
      <c r="NN16" s="33">
        <f t="shared" si="23"/>
        <v>3.5847920352517264E-2</v>
      </c>
      <c r="NP16" s="1" cm="1">
        <f t="array" ref="NP16">IF(NK16="USD",1,_xll.BDP(NK16&amp;"USD CURNCY","PX_LAST"))</f>
        <v>1</v>
      </c>
      <c r="NQ16" s="18">
        <v>148172.158185671</v>
      </c>
      <c r="NR16" s="11">
        <f t="shared" si="124"/>
        <v>6455860.932149685</v>
      </c>
      <c r="NS16" s="5"/>
      <c r="NT16" s="11" cm="1">
        <f t="array" ref="NT16">IF(NG16="Hong Kong",_xll.BDP(NC16&amp;" Equity","PR414"),_xll.BDP(NC16&amp;" Equity","PR090"))</f>
        <v>1</v>
      </c>
      <c r="NU16" s="11">
        <f t="shared" si="125"/>
        <v>43.57</v>
      </c>
      <c r="NV16" s="5">
        <f t="shared" si="126"/>
        <v>277.35369538062707</v>
      </c>
      <c r="NW16" s="8">
        <f t="shared" si="127"/>
        <v>3.7715281249999996E-2</v>
      </c>
      <c r="NX16" s="8">
        <f t="shared" si="128"/>
        <v>-1.2752502905784002E-3</v>
      </c>
      <c r="NY16" s="5"/>
      <c r="NZ16" s="21">
        <f t="shared" si="129"/>
        <v>1153.7614437076352</v>
      </c>
      <c r="OA16" s="22">
        <f t="shared" si="130"/>
        <v>1612.09</v>
      </c>
      <c r="OC16" s="16" t="str" cm="1">
        <f t="array" ref="OC16">_xll.BDP(OD16&amp;" Equity","DS520")</f>
        <v>Generali</v>
      </c>
      <c r="OD16" s="44" t="s">
        <v>277</v>
      </c>
      <c r="OE16" s="32" t="s">
        <v>353</v>
      </c>
      <c r="OF16" s="32" t="str" cm="1">
        <f t="array" ref="OF16">_xll.BDP(OD16&amp;" Equity", "ID_ISIN")</f>
        <v>IT0000062072</v>
      </c>
      <c r="OG16" s="44"/>
      <c r="OH16" s="30" t="str">
        <f>_xll.BDP(OD16&amp;" Equity", "DS197")</f>
        <v>BrsaItaliana</v>
      </c>
      <c r="OI16" s="30" t="s">
        <v>26</v>
      </c>
      <c r="OJ16" s="30" t="s">
        <v>328</v>
      </c>
      <c r="OK16" s="30" t="s">
        <v>28</v>
      </c>
      <c r="OL16" s="30" t="str">
        <f>_xll.BDP(OD16&amp;" Equity", "DS004")</f>
        <v>EUR</v>
      </c>
      <c r="OM16" s="17" cm="1">
        <f t="array" ref="OM16">_xll.BDP(OD16&amp;" Equity","PX_LAST")</f>
        <v>33.75</v>
      </c>
      <c r="ON16" s="33">
        <f t="shared" si="24"/>
        <v>3.1702586022587E-2</v>
      </c>
      <c r="OO16" s="33">
        <f t="shared" si="131"/>
        <v>3.0060615561877821E-2</v>
      </c>
      <c r="OQ16" s="1" cm="1">
        <f t="array" ref="OQ16">IF(OL16="EUR",1,_xll.BDP(OL16&amp;"EUR CURNCY","PX_LAST"))</f>
        <v>1</v>
      </c>
      <c r="OR16" s="18">
        <v>172994.40596677901</v>
      </c>
      <c r="OS16" s="11">
        <f t="shared" si="132"/>
        <v>5838561.2013787916</v>
      </c>
      <c r="OT16" s="5"/>
      <c r="OU16" s="11" cm="1">
        <f t="array" ref="OU16">IF(OH16="Hong Kong",_xll.BDP(OD16&amp;" Equity","PR414"),_xll.BDP(OD16&amp;" Equity","PR090"))</f>
        <v>1</v>
      </c>
      <c r="OV16" s="11">
        <f t="shared" si="133"/>
        <v>33.75</v>
      </c>
      <c r="OW16" s="5">
        <f t="shared" si="134"/>
        <v>300.58748228823231</v>
      </c>
      <c r="OX16" s="8">
        <f t="shared" si="135"/>
        <v>3.1746093750000003E-2</v>
      </c>
      <c r="OY16" s="8">
        <f t="shared" si="136"/>
        <v>1.3723715592792729E-3</v>
      </c>
      <c r="OZ16" s="5"/>
      <c r="PA16" s="21">
        <f t="shared" si="137"/>
        <v>1064.5819232523897</v>
      </c>
      <c r="PB16" s="22">
        <f t="shared" si="138"/>
        <v>1248.75</v>
      </c>
      <c r="PD16" s="16" t="str" cm="1">
        <f t="array" ref="PD16">_xll.BDP(PE16&amp;" Equity","DS520")</f>
        <v>Brother Industries Ltd</v>
      </c>
      <c r="PE16" s="32" t="s">
        <v>282</v>
      </c>
      <c r="PF16" s="32">
        <v>6448</v>
      </c>
      <c r="PG16" s="32" t="str" cm="1">
        <f t="array" ref="PG16">_xll.BDP(PE16&amp;" Equity", "ID_ISIN")</f>
        <v>JP3830000000</v>
      </c>
      <c r="PH16" s="32"/>
      <c r="PI16" s="30" t="str">
        <f>_xll.BDP(PE16&amp;" Equity", "DS197")</f>
        <v>Tokyo</v>
      </c>
      <c r="PJ16" s="30" t="s">
        <v>26</v>
      </c>
      <c r="PK16" s="71" t="s">
        <v>320</v>
      </c>
      <c r="PL16" s="30" t="s">
        <v>28</v>
      </c>
      <c r="PM16" s="30" t="str">
        <f>_xll.BDP(PE16&amp;" Equity", "DS004")</f>
        <v>JPY</v>
      </c>
      <c r="PN16" s="17" cm="1">
        <f t="array" ref="PN16">_xll.BDP(PE16&amp;" Equity","PX_LAST")</f>
        <v>3066</v>
      </c>
      <c r="PO16" s="33">
        <f t="shared" si="25"/>
        <v>4.3895544142555129E-2</v>
      </c>
      <c r="PP16" s="33">
        <f t="shared" si="26"/>
        <v>4.1698501442826975E-2</v>
      </c>
      <c r="PR16" s="1">
        <v>1</v>
      </c>
      <c r="PS16" s="18">
        <v>2759.1396687333699</v>
      </c>
      <c r="PT16" s="11">
        <f t="shared" si="139"/>
        <v>8459522.2243365124</v>
      </c>
      <c r="PU16" s="5"/>
      <c r="PV16" s="11" cm="1">
        <f t="array" ref="PV16">IF(PI16="Hong Kong",_xll.BDP(PE16&amp;" Equity","PR414"),_xll.BDP(PE16&amp;" Equity","PR090"))</f>
        <v>100</v>
      </c>
      <c r="PW16" s="11">
        <f t="shared" si="140"/>
        <v>306600</v>
      </c>
      <c r="PX16" s="5">
        <f t="shared" si="141"/>
        <v>4.5814005628237578E-2</v>
      </c>
      <c r="PY16" s="8">
        <f t="shared" si="142"/>
        <v>0</v>
      </c>
      <c r="PZ16" s="8">
        <f t="shared" si="143"/>
        <v>-1</v>
      </c>
      <c r="QA16" s="5"/>
      <c r="QB16" s="21">
        <f t="shared" si="144"/>
        <v>6984763.6243962739</v>
      </c>
      <c r="QC16" s="22">
        <f t="shared" si="145"/>
        <v>11344200</v>
      </c>
      <c r="QE16" s="16" t="str" cm="1">
        <f t="array" ref="QE16">_xll.BDP(QF16&amp;" Equity","DS520")</f>
        <v>Hennge KK</v>
      </c>
      <c r="QF16" s="34" t="s">
        <v>611</v>
      </c>
      <c r="QG16" s="34"/>
      <c r="QH16" s="32" t="str" cm="1">
        <f t="array" ref="QH16">_xll.BDP(QF16&amp;" Equity", "ID_ISIN")</f>
        <v>JP3835150008</v>
      </c>
      <c r="QI16" s="34"/>
      <c r="QJ16" s="30" t="str">
        <f>_xll.BDP(QF16&amp;" Equity", "DS197")</f>
        <v>Tokyo</v>
      </c>
      <c r="QK16" s="30" t="s">
        <v>26</v>
      </c>
      <c r="QL16" s="30"/>
      <c r="QM16" s="30" t="s">
        <v>28</v>
      </c>
      <c r="QN16" s="30" t="str">
        <f>_xll.BDP(QF16&amp;" Equity", "DS004")</f>
        <v>JPY</v>
      </c>
      <c r="QO16" s="17" cm="1">
        <f t="array" ref="QO16">_xll.BDP(QF16&amp;" Equity","PX_LAST")</f>
        <v>1014</v>
      </c>
      <c r="QP16" s="33">
        <f t="shared" si="27"/>
        <v>3.1907475424702E-2</v>
      </c>
      <c r="QQ16" s="33">
        <f t="shared" si="28"/>
        <v>3.0319886833329687E-2</v>
      </c>
      <c r="QS16" s="1" cm="1">
        <f t="array" ref="QS16">IF(QN16="USD",1,_xll.BDP(QN16&amp;"USD CURNCY","PX_LAST"))</f>
        <v>6.3369999999999998E-3</v>
      </c>
      <c r="QT16" s="18">
        <v>566477.83428209298</v>
      </c>
      <c r="QU16" s="11">
        <f t="shared" si="146"/>
        <v>3640026.8163474621</v>
      </c>
      <c r="QV16" s="5"/>
      <c r="QW16" s="11" cm="1">
        <f t="array" ref="QW16">IF(QJ16="Hong Kong",_xll.BDP(QF16&amp;" Equity","PR414"),_xll.BDP(QF16&amp;" Equity","PR090"))</f>
        <v>100</v>
      </c>
      <c r="QX16" s="11">
        <f t="shared" si="147"/>
        <v>642.57179999999994</v>
      </c>
      <c r="QY16" s="5">
        <f t="shared" si="148"/>
        <v>15.889885201785452</v>
      </c>
      <c r="QZ16" s="8">
        <f t="shared" si="149"/>
        <v>3.2128589999999999E-2</v>
      </c>
      <c r="RA16" s="8">
        <f t="shared" si="150"/>
        <v>6.9298674481408362E-3</v>
      </c>
      <c r="RB16" s="5"/>
      <c r="RC16" s="21">
        <f t="shared" si="151"/>
        <v>20138.597348962816</v>
      </c>
      <c r="RD16" s="22">
        <f t="shared" si="152"/>
        <v>23775.156599999995</v>
      </c>
      <c r="RF16" s="16" t="str" cm="1">
        <f t="array" ref="RF16">_xll.BDP(RG16&amp;" Equity","DS520")</f>
        <v>Genmab A/S</v>
      </c>
      <c r="RG16" s="34" t="s">
        <v>1304</v>
      </c>
      <c r="RH16" s="34"/>
      <c r="RI16" s="32" t="str" cm="1">
        <f t="array" ref="RI16">_xll.BDP(RG16&amp;" Equity", "ID_ISIN")</f>
        <v>US3723032062</v>
      </c>
      <c r="RJ16" s="34"/>
      <c r="RK16" s="30" t="str">
        <f>_xll.BDP(RG16&amp;" Equity", "DS197")</f>
        <v>NASDAQ GS</v>
      </c>
      <c r="RL16" s="30" t="s">
        <v>26</v>
      </c>
      <c r="RM16" s="30"/>
      <c r="RN16" s="30" t="s">
        <v>28</v>
      </c>
      <c r="RO16" s="30" t="str">
        <f>_xll.BDP(RG16&amp;" Equity", "DS004")</f>
        <v>USD</v>
      </c>
      <c r="RP16" s="17" cm="1">
        <f t="array" ref="RP16">_xll.BDP(RG16&amp;" Equity","PX_LAST")</f>
        <v>27.48</v>
      </c>
      <c r="RQ16" s="33">
        <f t="shared" si="153"/>
        <v>2.514490743380119E-2</v>
      </c>
      <c r="RR16" s="33">
        <f t="shared" si="154"/>
        <v>2.3910590063335482E-2</v>
      </c>
      <c r="RT16" s="1" cm="1">
        <f t="array" ref="RT16">IF(RO16="USD",1,_xll.BDP(RO16&amp;"USD CURNCY","PX_LAST"))</f>
        <v>1</v>
      </c>
      <c r="RU16" s="18">
        <v>92207.792207792096</v>
      </c>
      <c r="RV16" s="11">
        <f t="shared" si="155"/>
        <v>2533870.129870127</v>
      </c>
      <c r="RW16" s="5"/>
      <c r="RX16" s="11" cm="1">
        <f t="array" ref="RX16">IF(RK16="Hong Kong",_xll.BDP(RG16&amp;" Equity","PR414"),_xll.BDP(RG16&amp;" Equity","PR090"))</f>
        <v>1</v>
      </c>
      <c r="RY16" s="11">
        <f t="shared" si="156"/>
        <v>27.48</v>
      </c>
      <c r="RZ16" s="5">
        <f t="shared" si="157"/>
        <v>292.80823794819435</v>
      </c>
      <c r="SA16" s="8">
        <f t="shared" si="158"/>
        <v>2.5161375E-2</v>
      </c>
      <c r="SB16" s="8">
        <f t="shared" si="159"/>
        <v>6.5490661447697995E-4</v>
      </c>
      <c r="SC16" s="5"/>
      <c r="SD16" s="21">
        <f t="shared" si="160"/>
        <v>1092.8654270192242</v>
      </c>
      <c r="SE16" s="22">
        <f t="shared" si="161"/>
        <v>1016.76</v>
      </c>
    </row>
    <row r="17" spans="15:499" x14ac:dyDescent="0.2">
      <c r="O17" s="16" t="str" cm="1">
        <f t="array" ref="O17">_xll.BDP(P17&amp;" Equity","DS520")</f>
        <v>Meta Platforms Inc</v>
      </c>
      <c r="P17" s="32" t="s">
        <v>170</v>
      </c>
      <c r="Q17" s="32" t="s">
        <v>358</v>
      </c>
      <c r="R17" s="32" t="str" cm="1">
        <f t="array" ref="R17">_xll.BDP(P17&amp;" Equity", "ID_ISIN")</f>
        <v>US30303M1027</v>
      </c>
      <c r="S17" s="32"/>
      <c r="T17" s="30" t="str">
        <f>_xll.BDP(P17&amp;" Equity", "DS197")</f>
        <v>NASDAQ GS</v>
      </c>
      <c r="U17" s="30" t="s">
        <v>26</v>
      </c>
      <c r="V17" s="30" t="s">
        <v>33</v>
      </c>
      <c r="W17" s="30" t="s">
        <v>28</v>
      </c>
      <c r="X17" s="30" t="str">
        <f>_xll.BDP(P17&amp;" Equity", "DS004")</f>
        <v>USD</v>
      </c>
      <c r="Y17" s="17" cm="1">
        <f t="array" ref="Y17">_xll.BDP(P17&amp;" Equity","PX_LAST")</f>
        <v>660.57</v>
      </c>
      <c r="Z17" s="33">
        <f t="shared" si="0"/>
        <v>2.7012721868271979E-2</v>
      </c>
      <c r="AA17" s="33">
        <f t="shared" si="1"/>
        <v>2.5662993610099154E-2</v>
      </c>
      <c r="AB17" s="4"/>
      <c r="AC17" s="1" cm="1">
        <f t="array" ref="AC17">IF(X17="USD",1,_xll.BDP(X17&amp;"USD CURNCY","PX_LAST"))</f>
        <v>1</v>
      </c>
      <c r="AD17" s="18">
        <v>8415.4185051913591</v>
      </c>
      <c r="AE17" s="11">
        <f t="shared" si="169"/>
        <v>5558973.0019742567</v>
      </c>
      <c r="AF17" s="5"/>
      <c r="AG17" s="11" cm="1">
        <f t="array" ref="AG17">IF(T17="Hong Kong",_xll.BDP(P17&amp;" Equity","PR414"),_xll.BDP(P17&amp;" Equity","PR090"))</f>
        <v>1</v>
      </c>
      <c r="AH17" s="11">
        <f t="shared" si="170"/>
        <v>660.57</v>
      </c>
      <c r="AI17" s="5">
        <f t="shared" si="171"/>
        <v>13.08577591753642</v>
      </c>
      <c r="AJ17" s="8">
        <f t="shared" si="172"/>
        <v>2.6835656249999999E-2</v>
      </c>
      <c r="AK17" s="8">
        <f t="shared" si="173"/>
        <v>-6.5548973233960917E-3</v>
      </c>
      <c r="AL17" s="5"/>
      <c r="AM17" s="21">
        <f t="shared" si="174"/>
        <v>24454.033296654867</v>
      </c>
      <c r="AN17" s="22">
        <f t="shared" si="175"/>
        <v>24441.09</v>
      </c>
      <c r="AP17" s="16" t="str" cm="1">
        <f t="array" ref="AP17">_xll.BDP(AQ17&amp;" Equity","DS520")</f>
        <v>Merck &amp; Co Inc</v>
      </c>
      <c r="AQ17" s="32" t="s">
        <v>57</v>
      </c>
      <c r="AR17" s="32" t="s">
        <v>58</v>
      </c>
      <c r="AS17" s="32" t="str" cm="1">
        <f t="array" ref="AS17">_xll.BDP(AQ17&amp;" Equity", "ID_ISIN")</f>
        <v>US58933Y1055</v>
      </c>
      <c r="AT17" s="32"/>
      <c r="AU17" s="30" t="str">
        <f>_xll.BDP(AQ17&amp;" Equity", "DS197")</f>
        <v>New York</v>
      </c>
      <c r="AV17" s="30" t="s">
        <v>26</v>
      </c>
      <c r="AW17" s="30" t="s">
        <v>33</v>
      </c>
      <c r="AX17" s="30" t="s">
        <v>28</v>
      </c>
      <c r="AY17" s="30" t="str">
        <f>_xll.BDP(AQ17&amp;" Equity", "DS004")</f>
        <v>USD</v>
      </c>
      <c r="AZ17" s="17" cm="1">
        <f t="array" ref="AZ17">_xll.BDP(AQ17&amp;" Equity","PX_LAST")</f>
        <v>116.07</v>
      </c>
      <c r="BA17" s="33">
        <f t="shared" si="4"/>
        <v>6.4157895107456828E-2</v>
      </c>
      <c r="BB17" s="33">
        <f t="shared" si="34"/>
        <v>6.0929302922747619E-2</v>
      </c>
      <c r="BD17" s="1" cm="1">
        <f t="array" ref="BD17">IF(AY17="USD",1,_xll.BDP(AY17&amp;"USD CURNCY","PX_LAST"))</f>
        <v>1</v>
      </c>
      <c r="BE17" s="18">
        <v>91007.162172711396</v>
      </c>
      <c r="BF17" s="11">
        <f t="shared" si="35"/>
        <v>10563201.313386612</v>
      </c>
      <c r="BG17" s="5"/>
      <c r="BH17" s="11" cm="1">
        <f t="array" ref="BH17">IF(AU17="Hong Kong",_xll.BDP(AQ17&amp;" Equity","PR414"),_xll.BDP(AQ17&amp;" Equity","PR090"))</f>
        <v>1</v>
      </c>
      <c r="BI17" s="11">
        <f t="shared" si="36"/>
        <v>116.07</v>
      </c>
      <c r="BJ17" s="5">
        <f t="shared" si="37"/>
        <v>176.88055858004813</v>
      </c>
      <c r="BK17" s="8">
        <f t="shared" si="38"/>
        <v>6.4201218749999997E-2</v>
      </c>
      <c r="BL17" s="8">
        <f t="shared" si="39"/>
        <v>6.7526595862599237E-4</v>
      </c>
      <c r="BM17" s="5"/>
      <c r="BN17" s="21">
        <f t="shared" si="40"/>
        <v>1809.1304243319794</v>
      </c>
      <c r="BO17" s="22">
        <f t="shared" si="41"/>
        <v>4294.5899999999992</v>
      </c>
      <c r="BQ17" s="16" t="str" cm="1">
        <f t="array" ref="BQ17">_xll.BDP(BR17&amp;" Equity","DS520")</f>
        <v>Nomura Real Estate Master Fund Inc</v>
      </c>
      <c r="BR17" s="32" t="s">
        <v>753</v>
      </c>
      <c r="BS17" s="32">
        <v>3462</v>
      </c>
      <c r="BT17" s="32" t="str" cm="1">
        <f t="array" ref="BT17">_xll.BDP(BR17&amp;" Equity", "ID_ISIN")</f>
        <v>JP3048110005</v>
      </c>
      <c r="BU17" s="32"/>
      <c r="BV17" s="30" t="str">
        <f>_xll.BDP(BR17&amp;" Equity", "DS197")</f>
        <v>Tokyo</v>
      </c>
      <c r="BW17" s="30" t="s">
        <v>26</v>
      </c>
      <c r="BX17" s="71" t="s">
        <v>320</v>
      </c>
      <c r="BY17" s="30" t="s">
        <v>28</v>
      </c>
      <c r="BZ17" s="30" t="str">
        <f>_xll.BDP(BR17&amp;" Equity", "DS004")</f>
        <v>JPY</v>
      </c>
      <c r="CA17" s="17" cm="1">
        <f t="array" ref="CA17">_xll.BDP(BR17&amp;" Equity","PX_LAST")</f>
        <v>165500</v>
      </c>
      <c r="CB17" s="33">
        <f t="shared" si="5"/>
        <v>6.557983248865723E-2</v>
      </c>
      <c r="CC17" s="33">
        <f t="shared" si="42"/>
        <v>6.2295227928030522E-2</v>
      </c>
      <c r="CE17" s="1">
        <v>1</v>
      </c>
      <c r="CF17" s="18">
        <v>248.59717202566199</v>
      </c>
      <c r="CG17" s="11">
        <f t="shared" si="43"/>
        <v>41142831.97024706</v>
      </c>
      <c r="CH17" s="5"/>
      <c r="CI17" s="11" cm="1">
        <f t="array" ref="CI17">IF(BV17="Hong Kong",_xll.BDP(BR17&amp;" Equity","PR414"),_xll.BDP(BR17&amp;" Equity","PR090"))</f>
        <v>1</v>
      </c>
      <c r="CJ17" s="11">
        <f t="shared" si="44"/>
        <v>165500</v>
      </c>
      <c r="CK17" s="5">
        <f t="shared" si="45"/>
        <v>0.12680088457021338</v>
      </c>
      <c r="CL17" s="8">
        <f t="shared" si="46"/>
        <v>0</v>
      </c>
      <c r="CM17" s="8">
        <f t="shared" si="47"/>
        <v>-1</v>
      </c>
      <c r="CN17" s="5"/>
      <c r="CO17" s="21">
        <f t="shared" si="48"/>
        <v>2523641.7008022256</v>
      </c>
      <c r="CP17" s="22">
        <f t="shared" si="49"/>
        <v>6123500</v>
      </c>
      <c r="CR17" s="16" t="str" cm="1">
        <f t="array" ref="CR17">_xll.BDP(CS17&amp;" Equity","DS520")</f>
        <v>NNN REIT Inc</v>
      </c>
      <c r="CS17" s="44" t="s">
        <v>121</v>
      </c>
      <c r="CT17" s="32" t="s">
        <v>375</v>
      </c>
      <c r="CU17" s="32" t="str" cm="1">
        <f t="array" ref="CU17">_xll.BDP(CS17&amp;" Equity", "ID_ISIN")</f>
        <v>US6374171063</v>
      </c>
      <c r="CV17" s="44"/>
      <c r="CW17" s="30" t="str">
        <f>_xll.BDP(CS17&amp;" Equity", "DS197")</f>
        <v>New York</v>
      </c>
      <c r="CX17" s="30" t="s">
        <v>26</v>
      </c>
      <c r="CY17" s="30" t="s">
        <v>33</v>
      </c>
      <c r="CZ17" s="30" t="s">
        <v>28</v>
      </c>
      <c r="DA17" s="30" t="str">
        <f>_xll.BDP(CS17&amp;" Equity", "DS004")</f>
        <v>USD</v>
      </c>
      <c r="DB17" s="17" cm="1">
        <f t="array" ref="DB17">_xll.BDP(CS17&amp;" Equity","PX_LAST")</f>
        <v>45</v>
      </c>
      <c r="DC17" s="33">
        <f t="shared" si="6"/>
        <v>5.4368317764648323E-2</v>
      </c>
      <c r="DD17" s="33">
        <f t="shared" si="7"/>
        <v>5.1632634068321429E-2</v>
      </c>
      <c r="DF17" s="1" cm="1">
        <f t="array" ref="DF17">IF(DA17="USD",1,_xll.BDP(DA17&amp;"USD CURNCY","PX_LAST"))</f>
        <v>1</v>
      </c>
      <c r="DG17" s="18">
        <v>219112.19472543299</v>
      </c>
      <c r="DH17" s="11">
        <f t="shared" si="8"/>
        <v>9860048.7626444846</v>
      </c>
      <c r="DI17" s="5"/>
      <c r="DJ17" s="11" cm="1">
        <f t="array" ref="DJ17">IF(CW17="Hong Kong",_xll.BDP(CS17&amp;" Equity","PR414"),_xll.BDP(CS17&amp;" Equity","PR090"))</f>
        <v>1</v>
      </c>
      <c r="DK17" s="11">
        <f t="shared" si="9"/>
        <v>45</v>
      </c>
      <c r="DL17" s="5">
        <f t="shared" si="50"/>
        <v>386.61914854861033</v>
      </c>
      <c r="DM17" s="8">
        <f t="shared" si="51"/>
        <v>5.4421875000000001E-2</v>
      </c>
      <c r="DN17" s="8">
        <f t="shared" si="52"/>
        <v>9.8508170849642696E-4</v>
      </c>
      <c r="DO17" s="5"/>
      <c r="DP17" s="21">
        <f t="shared" si="53"/>
        <v>827.68792285973871</v>
      </c>
      <c r="DQ17" s="22">
        <f t="shared" si="54"/>
        <v>1665</v>
      </c>
      <c r="DS17" s="16" t="str" cm="1">
        <f t="array" ref="DS17">_xll.BDP(DT17&amp;" Equity","DS520")</f>
        <v>Kingfisher PLC</v>
      </c>
      <c r="DT17" s="32" t="s">
        <v>143</v>
      </c>
      <c r="DU17" s="32" t="s">
        <v>144</v>
      </c>
      <c r="DV17" s="32" t="str" cm="1">
        <f t="array" ref="DV17">_xll.BDP(DT17&amp;" Equity", "ID_ISIN")</f>
        <v>GB0033195214</v>
      </c>
      <c r="DW17" s="32"/>
      <c r="DX17" s="30" t="str">
        <f>_xll.BDP(DT17&amp;" Equity", "DS197")</f>
        <v>London</v>
      </c>
      <c r="DY17" s="30" t="s">
        <v>26</v>
      </c>
      <c r="DZ17" s="30" t="s">
        <v>129</v>
      </c>
      <c r="EA17" s="30" t="s">
        <v>28</v>
      </c>
      <c r="EB17" s="43" t="str">
        <f>_xll.BDP(DT17&amp;" Equity", "DS004")</f>
        <v>GBp</v>
      </c>
      <c r="EC17" s="17" cm="1">
        <f t="array" ref="EC17">_xll.BDP(DT17&amp;" Equity","PX_LAST")/100</f>
        <v>3.4339999999999997</v>
      </c>
      <c r="ED17" s="33">
        <f t="shared" si="55"/>
        <v>4.9797615446689349E-2</v>
      </c>
      <c r="EE17" s="33">
        <f t="shared" si="56"/>
        <v>4.7238407002700572E-2</v>
      </c>
      <c r="EG17" s="1">
        <v>1</v>
      </c>
      <c r="EH17" s="18">
        <v>2393093.6778081502</v>
      </c>
      <c r="EI17" s="11">
        <f t="shared" si="57"/>
        <v>8217883.6895931866</v>
      </c>
      <c r="EJ17" s="5"/>
      <c r="EK17" s="11" cm="1">
        <f t="array" ref="EK17">IF(DX17="Hong Kong",_xll.BDP(DT17&amp;" Equity","PR414"),_xll.BDP(DT17&amp;" Equity","PR090"))</f>
        <v>1</v>
      </c>
      <c r="EL17" s="11">
        <f t="shared" si="58"/>
        <v>3.4339999999999997</v>
      </c>
      <c r="EM17" s="5">
        <f t="shared" si="59"/>
        <v>4640.4300940421062</v>
      </c>
      <c r="EN17" s="8">
        <f t="shared" si="60"/>
        <v>4.9792999999999997E-2</v>
      </c>
      <c r="EO17" s="8">
        <f t="shared" si="61"/>
        <v>-9.2684090351569104E-5</v>
      </c>
      <c r="EP17" s="5"/>
      <c r="EQ17" s="21">
        <f t="shared" si="62"/>
        <v>68.959125235148164</v>
      </c>
      <c r="ER17" s="22">
        <f t="shared" si="63"/>
        <v>127.05799999999998</v>
      </c>
      <c r="ET17" s="16" t="str" cm="1">
        <f t="array" ref="ET17">_xll.BDP(EU17&amp;" Equity","DS520")</f>
        <v>AT&amp;T Inc</v>
      </c>
      <c r="EU17" s="32" t="s">
        <v>165</v>
      </c>
      <c r="EV17" s="32" t="s">
        <v>7</v>
      </c>
      <c r="EW17" s="32" t="str" cm="1">
        <f t="array" ref="EW17">_xll.BDP(EU17&amp;" Equity", "ID_ISIN")</f>
        <v>US00206R1023</v>
      </c>
      <c r="EX17" s="32"/>
      <c r="EY17" s="30" t="str">
        <f>_xll.BDP(EU17&amp;" Equity", "DS197")</f>
        <v>New York</v>
      </c>
      <c r="EZ17" s="30" t="s">
        <v>26</v>
      </c>
      <c r="FA17" s="30" t="s">
        <v>33</v>
      </c>
      <c r="FB17" s="30" t="s">
        <v>28</v>
      </c>
      <c r="FC17" s="30" t="str">
        <f>_xll.BDP(EU17&amp;" Equity", "DS004")</f>
        <v>USD</v>
      </c>
      <c r="FD17" s="17" cm="1">
        <f t="array" ref="FD17">_xll.BDP(EU17&amp;" Equity","PX_LAST")</f>
        <v>28.97</v>
      </c>
      <c r="FE17" s="33">
        <f t="shared" si="10"/>
        <v>3.6450316271083583E-2</v>
      </c>
      <c r="FF17" s="33">
        <f t="shared" si="11"/>
        <v>3.4626836826462691E-2</v>
      </c>
      <c r="FH17" s="1" cm="1">
        <f t="array" ref="FH17">IF(FC17="USD",1,_xll.BDP(FC17&amp;"USD CURNCY","PX_LAST"))</f>
        <v>1</v>
      </c>
      <c r="FI17" s="18">
        <v>257833.91767385899</v>
      </c>
      <c r="FJ17" s="11">
        <f t="shared" si="64"/>
        <v>7469448.5950116944</v>
      </c>
      <c r="FK17" s="5"/>
      <c r="FL17" s="11" cm="1">
        <f t="array" ref="FL17">IF(EY17="Hong Kong",_xll.BDP(EU17&amp;" Equity","PR414"),_xll.BDP(EU17&amp;" Equity","PR090"))</f>
        <v>1</v>
      </c>
      <c r="FM17" s="11">
        <f t="shared" si="65"/>
        <v>28.97</v>
      </c>
      <c r="FN17" s="5">
        <f t="shared" si="66"/>
        <v>402.62689702266994</v>
      </c>
      <c r="FO17" s="8">
        <f t="shared" si="67"/>
        <v>3.6484093750000002E-2</v>
      </c>
      <c r="FP17" s="8">
        <f t="shared" si="68"/>
        <v>9.2667176507377214E-4</v>
      </c>
      <c r="FQ17" s="5"/>
      <c r="FR17" s="21">
        <f t="shared" si="69"/>
        <v>794.78048378368123</v>
      </c>
      <c r="FS17" s="22">
        <f t="shared" si="70"/>
        <v>1071.8899999999999</v>
      </c>
      <c r="FU17" s="16" t="str" cm="1">
        <f t="array" ref="FU17">_xll.BDP(FV17&amp;" Equity","DS520")</f>
        <v>Check Point Software Technologies Ltd</v>
      </c>
      <c r="FV17" s="32" t="s">
        <v>166</v>
      </c>
      <c r="FW17" s="32" t="s">
        <v>391</v>
      </c>
      <c r="FX17" s="32" t="str" cm="1">
        <f t="array" ref="FX17">_xll.BDP(FV17&amp;" Equity", "ID_ISIN")</f>
        <v>IL0010824113</v>
      </c>
      <c r="FY17" s="32"/>
      <c r="FZ17" s="30" t="str">
        <f>_xll.BDP(FV17&amp;" Equity", "DS197")</f>
        <v>NASDAQ GS</v>
      </c>
      <c r="GA17" s="30" t="s">
        <v>26</v>
      </c>
      <c r="GB17" s="30" t="s">
        <v>33</v>
      </c>
      <c r="GC17" s="30" t="s">
        <v>28</v>
      </c>
      <c r="GD17" s="30" t="str">
        <f>_xll.BDP(FV17&amp;" Equity", "DS004")</f>
        <v>USD</v>
      </c>
      <c r="GE17" s="17" cm="1">
        <f t="array" ref="GE17">_xll.BDP(FV17&amp;" Equity","PX_LAST")</f>
        <v>164.48</v>
      </c>
      <c r="GF17" s="33">
        <f t="shared" si="12"/>
        <v>2.8130146896142665E-2</v>
      </c>
      <c r="GG17" s="33">
        <f t="shared" si="13"/>
        <v>2.6722359670053635E-2</v>
      </c>
      <c r="GI17" s="1" cm="1">
        <f t="array" ref="GI17">IF(GD17="USD",1,_xll.BDP(GD17&amp;"USD CURNCY","PX_LAST"))</f>
        <v>1</v>
      </c>
      <c r="GJ17" s="18">
        <v>35401.626202021398</v>
      </c>
      <c r="GK17" s="11">
        <f t="shared" si="71"/>
        <v>5822859.4777084794</v>
      </c>
      <c r="GL17" s="5"/>
      <c r="GM17" s="11" cm="1">
        <f t="array" ref="GM17">IF(FZ17="Hong Kong",_xll.BDP(FV17&amp;" Equity","PR414"),_xll.BDP(FV17&amp;" Equity","PR090"))</f>
        <v>1</v>
      </c>
      <c r="GN17" s="11">
        <f t="shared" si="72"/>
        <v>164.48</v>
      </c>
      <c r="GO17" s="5">
        <f t="shared" si="73"/>
        <v>54.727912249304808</v>
      </c>
      <c r="GP17" s="8">
        <f t="shared" si="74"/>
        <v>2.827E-2</v>
      </c>
      <c r="GQ17" s="8">
        <f t="shared" si="75"/>
        <v>4.971644989046009E-3</v>
      </c>
      <c r="GR17" s="5"/>
      <c r="GS17" s="21">
        <f t="shared" si="76"/>
        <v>5847.1077526635399</v>
      </c>
      <c r="GT17" s="22">
        <f t="shared" si="77"/>
        <v>6085.7599999999993</v>
      </c>
      <c r="GV17" s="16" t="str" cm="1">
        <f t="array" ref="GV17">_xll.BDP(GW17&amp;" Equity","DS520")</f>
        <v>Coupang Inc</v>
      </c>
      <c r="GW17" s="32" t="s">
        <v>193</v>
      </c>
      <c r="GX17" s="32" t="s">
        <v>415</v>
      </c>
      <c r="GY17" s="32" t="str" cm="1">
        <f t="array" ref="GY17">_xll.BDP(GW17&amp;" Equity", "ID_ISIN")</f>
        <v>US22266T1097</v>
      </c>
      <c r="GZ17" s="32"/>
      <c r="HA17" s="30" t="str">
        <f>_xll.BDP(GW17&amp;" Equity", "DS197")</f>
        <v>New York</v>
      </c>
      <c r="HB17" s="30" t="s">
        <v>26</v>
      </c>
      <c r="HC17" s="30" t="s">
        <v>33</v>
      </c>
      <c r="HD17" s="30" t="s">
        <v>28</v>
      </c>
      <c r="HE17" s="30" t="str">
        <f>_xll.BDP(GW17&amp;" Equity", "DS004")</f>
        <v>USD</v>
      </c>
      <c r="HF17" s="17" cm="1">
        <f t="array" ref="HF17">_xll.BDP(GW17&amp;" Equity","PX_LAST")</f>
        <v>19.37</v>
      </c>
      <c r="HG17" s="33">
        <f t="shared" si="14"/>
        <v>1.7224174656967042E-2</v>
      </c>
      <c r="HH17" s="33">
        <f t="shared" si="78"/>
        <v>1.636166774536094E-2</v>
      </c>
      <c r="HJ17" s="1" cm="1">
        <f t="array" ref="HJ17">IF(HE17="USD",1,_xll.BDP(HE17&amp;"USD CURNCY","PX_LAST"))</f>
        <v>1</v>
      </c>
      <c r="HK17" s="18">
        <v>145024.083344338</v>
      </c>
      <c r="HL17" s="11">
        <f t="shared" si="79"/>
        <v>2809116.4943798273</v>
      </c>
      <c r="HM17" s="5"/>
      <c r="HN17" s="11" cm="1">
        <f t="array" ref="HN17">IF(HA17="Hong Kong",_xll.BDP(GW17&amp;" Equity","PR414"),_xll.BDP(GW17&amp;" Equity","PR090"))</f>
        <v>1</v>
      </c>
      <c r="HO17" s="11">
        <f t="shared" si="80"/>
        <v>19.37</v>
      </c>
      <c r="HP17" s="5">
        <f t="shared" si="81"/>
        <v>284.55012339852624</v>
      </c>
      <c r="HQ17" s="8">
        <f t="shared" si="82"/>
        <v>1.7251406250000004E-2</v>
      </c>
      <c r="HR17" s="8">
        <f t="shared" si="83"/>
        <v>1.5810100382340764E-3</v>
      </c>
      <c r="HS17" s="5"/>
      <c r="HT17" s="21">
        <f t="shared" si="84"/>
        <v>1124.582186709596</v>
      </c>
      <c r="HU17" s="22">
        <f t="shared" si="85"/>
        <v>716.68999999999994</v>
      </c>
      <c r="HW17" s="16" t="str" cm="1">
        <f t="array" ref="HW17">_xll.BDP(HX17&amp;" Equity","DS520")</f>
        <v>Shougang Fushan Resources Group Ltd</v>
      </c>
      <c r="HX17" s="45" t="s">
        <v>217</v>
      </c>
      <c r="HY17" s="32">
        <v>639</v>
      </c>
      <c r="HZ17" s="32" t="str" cm="1">
        <f t="array" ref="HZ17">_xll.BDP(HX17&amp;" Equity", "ID_ISIN")</f>
        <v>HK0639031506</v>
      </c>
      <c r="IA17" s="45"/>
      <c r="IB17" s="30" t="str">
        <f>_xll.BDP(HX17&amp;" Equity", "DS197")</f>
        <v>Hong Kong</v>
      </c>
      <c r="IC17" s="30" t="s">
        <v>26</v>
      </c>
      <c r="ID17" s="30" t="s">
        <v>27</v>
      </c>
      <c r="IE17" s="30" t="s">
        <v>28</v>
      </c>
      <c r="IF17" s="30" t="str">
        <f>_xll.BDP(HX17&amp;" Equity", "DS004")</f>
        <v>HKD</v>
      </c>
      <c r="IG17" s="17" cm="1">
        <f t="array" ref="IG17">_xll.BDP(HX17&amp;" Equity","PX_LAST")</f>
        <v>3.21</v>
      </c>
      <c r="IH17" s="33">
        <f t="shared" si="15"/>
        <v>4.4266894700257547E-2</v>
      </c>
      <c r="II17" s="33">
        <f t="shared" si="16"/>
        <v>4.2076201341591034E-2</v>
      </c>
      <c r="IK17" s="1">
        <v>1</v>
      </c>
      <c r="IL17" s="18">
        <v>2613823.4144164701</v>
      </c>
      <c r="IM17" s="11">
        <f t="shared" si="183"/>
        <v>8390373.1602768693</v>
      </c>
      <c r="IN17" s="5"/>
      <c r="IO17" s="11" cm="1">
        <f t="array" ref="IO17">IF(IB17="Hong Kong",_xll.BDP(HX17&amp;" Equity","PR414"),_xll.BDP(HX17&amp;" Equity","PR090"))</f>
        <v>2000</v>
      </c>
      <c r="IP17" s="11">
        <f t="shared" si="184"/>
        <v>6420</v>
      </c>
      <c r="IQ17" s="5">
        <f t="shared" si="185"/>
        <v>2.2064495800751427</v>
      </c>
      <c r="IR17" s="8">
        <f t="shared" si="186"/>
        <v>4.0125000000000001E-2</v>
      </c>
      <c r="IS17" s="8">
        <f t="shared" si="187"/>
        <v>-9.3566416354781023E-2</v>
      </c>
      <c r="IT17" s="5"/>
      <c r="IU17" s="21">
        <f t="shared" si="188"/>
        <v>145029.37338323504</v>
      </c>
      <c r="IV17" s="22">
        <f t="shared" si="189"/>
        <v>237540</v>
      </c>
      <c r="IX17" s="16" t="str" cm="1">
        <f t="array" ref="IX17">_xll.BDP(IY17&amp;" Equity","DS520")</f>
        <v>Intuitive Surgical Inc</v>
      </c>
      <c r="IY17" s="32" t="s">
        <v>230</v>
      </c>
      <c r="IZ17" s="32" t="s">
        <v>398</v>
      </c>
      <c r="JA17" s="32" t="str" cm="1">
        <f t="array" ref="JA17">_xll.BDP(IY17&amp;" Equity", "ID_ISIN")</f>
        <v>US46120E6023</v>
      </c>
      <c r="JB17" s="32"/>
      <c r="JC17" s="30" t="str">
        <f>_xll.BDP(IY17&amp;" Equity", "DS197")</f>
        <v>NASDAQ GS</v>
      </c>
      <c r="JD17" s="30" t="s">
        <v>26</v>
      </c>
      <c r="JE17" s="30" t="s">
        <v>33</v>
      </c>
      <c r="JF17" s="30" t="s">
        <v>28</v>
      </c>
      <c r="JG17" s="30" t="str">
        <f>_xll.BDP(IY17&amp;" Equity", "DS004")</f>
        <v>USD</v>
      </c>
      <c r="JH17" s="17" cm="1">
        <f t="array" ref="JH17">_xll.BDP(IY17&amp;" Equity","PX_LAST")</f>
        <v>496.7</v>
      </c>
      <c r="JI17" s="33">
        <f t="shared" si="93"/>
        <v>3.7551635758914279E-2</v>
      </c>
      <c r="JJ17" s="33">
        <f t="shared" si="17"/>
        <v>3.5672136366487216E-2</v>
      </c>
      <c r="JL17" s="1" cm="1">
        <f t="array" ref="JL17">IF(JG17="USD",1,_xll.BDP(JG17&amp;"USD CURNCY","PX_LAST"))</f>
        <v>1</v>
      </c>
      <c r="JM17" s="18">
        <v>9223.1048128562106</v>
      </c>
      <c r="JN17" s="11">
        <f t="shared" si="94"/>
        <v>4581116.1605456797</v>
      </c>
      <c r="JO17" s="5"/>
      <c r="JP17" s="11" cm="1">
        <f t="array" ref="JP17">IF(JC17="Hong Kong",_xll.BDP(IY17&amp;" Equity","PR414"),_xll.BDP(IY17&amp;" Equity","PR090"))</f>
        <v>1</v>
      </c>
      <c r="JQ17" s="11">
        <f t="shared" si="95"/>
        <v>496.7</v>
      </c>
      <c r="JR17" s="5">
        <f t="shared" si="96"/>
        <v>24.192718829983026</v>
      </c>
      <c r="JS17" s="8">
        <f t="shared" si="97"/>
        <v>3.7252500000000001E-2</v>
      </c>
      <c r="JT17" s="8">
        <f t="shared" si="98"/>
        <v>-7.965984779857882E-3</v>
      </c>
      <c r="JU17" s="5"/>
      <c r="JV17" s="21">
        <f t="shared" si="99"/>
        <v>13227.120202935228</v>
      </c>
      <c r="JW17" s="22">
        <f t="shared" si="100"/>
        <v>18377.899999999998</v>
      </c>
      <c r="JY17" s="16" t="str" cm="1">
        <f t="array" ref="JY17">_xll.BDP(JZ17&amp;" Equity","DS520")</f>
        <v>Cognizant Technology Solutions Corp</v>
      </c>
      <c r="JZ17" s="32" t="s">
        <v>178</v>
      </c>
      <c r="KA17" s="32" t="s">
        <v>392</v>
      </c>
      <c r="KB17" s="32" t="str" cm="1">
        <f t="array" ref="KB17">_xll.BDP(JZ17&amp;" Equity", "ID_ISIN")</f>
        <v>US1924461023</v>
      </c>
      <c r="KC17" s="32"/>
      <c r="KD17" s="30" t="str">
        <f>_xll.BDP(JZ17&amp;" Equity", "DS197")</f>
        <v>NASDAQ GS</v>
      </c>
      <c r="KE17" s="30" t="s">
        <v>26</v>
      </c>
      <c r="KF17" s="30" t="s">
        <v>33</v>
      </c>
      <c r="KG17" s="30" t="s">
        <v>28</v>
      </c>
      <c r="KH17" s="30" t="str">
        <f>_xll.BDP(JZ17&amp;" Equity", "DS004")</f>
        <v>USD</v>
      </c>
      <c r="KI17" s="17" cm="1">
        <f t="array" ref="KI17">_xll.BDP(JZ17&amp;" Equity","PX_LAST")</f>
        <v>65.78</v>
      </c>
      <c r="KJ17" s="33">
        <f t="shared" si="101"/>
        <v>2.6638179656208662E-2</v>
      </c>
      <c r="KK17" s="33">
        <f t="shared" si="102"/>
        <v>2.5310378662289894E-2</v>
      </c>
      <c r="KM17" s="1" cm="1">
        <f t="array" ref="KM17">IF(KH17="USD",1,_xll.BDP(KH17&amp;"USD CURNCY","PX_LAST"))</f>
        <v>1</v>
      </c>
      <c r="KN17" s="18">
        <v>40212.779025516997</v>
      </c>
      <c r="KO17" s="11">
        <f t="shared" si="103"/>
        <v>2645196.6042985083</v>
      </c>
      <c r="KP17" s="5"/>
      <c r="KQ17" s="11" cm="1">
        <f t="array" ref="KQ17">IF(KD17="Hong Kong",_xll.BDP(JZ17&amp;" Equity","PR414"),_xll.BDP(JZ17&amp;" Equity","PR090"))</f>
        <v>1</v>
      </c>
      <c r="KR17" s="11">
        <f t="shared" si="104"/>
        <v>65.78</v>
      </c>
      <c r="KS17" s="5">
        <f t="shared" si="105"/>
        <v>129.5867663421522</v>
      </c>
      <c r="KT17" s="8">
        <f t="shared" si="106"/>
        <v>2.6723125E-2</v>
      </c>
      <c r="KU17" s="8">
        <f t="shared" si="107"/>
        <v>3.1888569297016112E-3</v>
      </c>
      <c r="KV17" s="5"/>
      <c r="KW17" s="21">
        <f t="shared" si="108"/>
        <v>2469.3879555192657</v>
      </c>
      <c r="KX17" s="22">
        <f t="shared" si="109"/>
        <v>2433.86</v>
      </c>
      <c r="KZ17" s="16" t="str" cm="1">
        <f t="array" ref="KZ17">_xll.BDP(LA17&amp;" Equity","DS520")</f>
        <v>Sabra Health Care REIT Inc</v>
      </c>
      <c r="LA17" s="32" t="s">
        <v>747</v>
      </c>
      <c r="LB17" s="32" t="s">
        <v>750</v>
      </c>
      <c r="LC17" s="32" t="str" cm="1">
        <f t="array" ref="LC17">_xll.BDP(LA17&amp;" Equity", "ID_ISIN")</f>
        <v>US78573L1061</v>
      </c>
      <c r="LD17" s="32"/>
      <c r="LE17" s="30" t="str">
        <f>_xll.BDP(LA17&amp;" Equity", "DS197")</f>
        <v>NASDAQ GS</v>
      </c>
      <c r="LF17" s="30" t="s">
        <v>26</v>
      </c>
      <c r="LG17" s="30" t="s">
        <v>33</v>
      </c>
      <c r="LH17" s="30" t="s">
        <v>28</v>
      </c>
      <c r="LI17" s="30" t="str">
        <f>_xll.BDP(LA17&amp;" Equity", "DS004")</f>
        <v>USD</v>
      </c>
      <c r="LJ17" s="17" cm="1">
        <f t="array" ref="LJ17">_xll.BDP(LA17&amp;" Equity","PX_LAST")</f>
        <v>20.02</v>
      </c>
      <c r="LK17" s="33">
        <f t="shared" si="18"/>
        <v>6.7857142497335585E-2</v>
      </c>
      <c r="LL17" s="33">
        <f t="shared" si="19"/>
        <v>6.4435324282055464E-2</v>
      </c>
      <c r="LN17" s="1">
        <v>1</v>
      </c>
      <c r="LO17" s="18">
        <v>374562.91552229499</v>
      </c>
      <c r="LP17" s="11">
        <f t="shared" si="110"/>
        <v>7498749.5687563457</v>
      </c>
      <c r="LQ17" s="5"/>
      <c r="LR17" s="11" cm="1">
        <f t="array" ref="LR17">IF(LE17="Hong Kong",_xll.BDP(LA17&amp;" Equity","PR414"),_xll.BDP(LA17&amp;" Equity","PR090"))</f>
        <v>1</v>
      </c>
      <c r="LS17" s="11">
        <f t="shared" si="111"/>
        <v>20.02</v>
      </c>
      <c r="LT17" s="5">
        <f t="shared" si="112"/>
        <v>1084.6296503070623</v>
      </c>
      <c r="LU17" s="8">
        <f t="shared" si="113"/>
        <v>6.7880312499999998E-2</v>
      </c>
      <c r="LV17" s="8">
        <f t="shared" si="114"/>
        <v>3.4145267265461854E-4</v>
      </c>
      <c r="LW17" s="5"/>
      <c r="LX17" s="21">
        <f t="shared" si="115"/>
        <v>295.03158051175063</v>
      </c>
      <c r="LY17" s="22">
        <f t="shared" si="116"/>
        <v>740.7399999999999</v>
      </c>
      <c r="MA17" s="16" t="str" cm="1">
        <f t="array" ref="MA17">_xll.BDP(MB17&amp;" Equity","DS520")</f>
        <v>Eversource Energy</v>
      </c>
      <c r="MB17" s="32" t="s">
        <v>1408</v>
      </c>
      <c r="MC17" s="32" t="s">
        <v>1411</v>
      </c>
      <c r="MD17" s="32" t="str" cm="1">
        <f t="array" ref="MD17">_xll.BDP(MB17&amp;" Equity", "ID_ISIN")</f>
        <v>US30040W1080</v>
      </c>
      <c r="ME17" s="32"/>
      <c r="MF17" s="30" t="str">
        <f>_xll.BDP(MB17&amp;" Equity", "DS197")</f>
        <v>New York</v>
      </c>
      <c r="MG17" s="30" t="s">
        <v>26</v>
      </c>
      <c r="MH17" s="30" t="s">
        <v>33</v>
      </c>
      <c r="MI17" s="30" t="s">
        <v>28</v>
      </c>
      <c r="MJ17" s="30" t="str">
        <f>_xll.BDP(MB17&amp;" Equity", "DS004")</f>
        <v>USD</v>
      </c>
      <c r="MK17" s="17" cm="1">
        <f t="array" ref="MK17">_xll.BDP(MB17&amp;" Equity","PX_LAST")</f>
        <v>73.87</v>
      </c>
      <c r="ML17" s="33">
        <f t="shared" si="20"/>
        <v>2.9338207812652464E-2</v>
      </c>
      <c r="MM17" s="33">
        <f t="shared" si="21"/>
        <v>2.7853626464363446E-2</v>
      </c>
      <c r="MO17" s="1" cm="1">
        <f t="array" ref="MO17">IF(MJ17="USD",1,_xll.BDP(MJ17&amp;"USD CURNCY","PX_LAST"))</f>
        <v>1</v>
      </c>
      <c r="MP17" s="18">
        <v>71351.499702306304</v>
      </c>
      <c r="MQ17" s="11">
        <f t="shared" si="117"/>
        <v>5270735.2830093671</v>
      </c>
      <c r="MR17" s="5"/>
      <c r="MS17" s="11" cm="1">
        <f t="array" ref="MS17">IF(MF17="Hong Kong",_xll.BDP(MB17&amp;" Equity","PR414"),_xll.BDP(MB17&amp;" Equity","PR090"))</f>
        <v>1</v>
      </c>
      <c r="MT17" s="11">
        <f t="shared" si="118"/>
        <v>73.87</v>
      </c>
      <c r="MU17" s="5">
        <f t="shared" si="119"/>
        <v>127.09119399010136</v>
      </c>
      <c r="MV17" s="8">
        <f t="shared" si="120"/>
        <v>2.931715625E-2</v>
      </c>
      <c r="MW17" s="8">
        <f t="shared" si="121"/>
        <v>-7.1754766981324547E-4</v>
      </c>
      <c r="MX17" s="5"/>
      <c r="MY17" s="21">
        <f t="shared" si="122"/>
        <v>2517.8770452414155</v>
      </c>
      <c r="MZ17" s="22">
        <f t="shared" si="123"/>
        <v>2733.19</v>
      </c>
      <c r="NB17" s="16" t="str" cm="1">
        <f t="array" ref="NB17">_xll.BDP(NC17&amp;" Equity","DS520")</f>
        <v>GSK PLC</v>
      </c>
      <c r="NC17" s="32" t="s">
        <v>710</v>
      </c>
      <c r="ND17" s="32" t="s">
        <v>333</v>
      </c>
      <c r="NE17" s="32" t="str" cm="1">
        <f t="array" ref="NE17">_xll.BDP(NC17&amp;" Equity", "ID_ISIN")</f>
        <v>US37733W2044</v>
      </c>
      <c r="NF17" s="32"/>
      <c r="NG17" s="30" t="str">
        <f>_xll.BDP(NC17&amp;" Equity", "DS197")</f>
        <v>New York</v>
      </c>
      <c r="NH17" s="30" t="s">
        <v>26</v>
      </c>
      <c r="NI17" s="30" t="s">
        <v>33</v>
      </c>
      <c r="NJ17" s="30" t="s">
        <v>28</v>
      </c>
      <c r="NK17" s="30" t="str">
        <f>_xll.BDP(NC17&amp;" Equity", "DS004")</f>
        <v>USD</v>
      </c>
      <c r="NL17" s="17" cm="1">
        <f t="array" ref="NL17">_xll.BDP(NC17&amp;" Equity","PX_LAST")</f>
        <v>55.27</v>
      </c>
      <c r="NM17" s="33">
        <f t="shared" si="22"/>
        <v>3.5912040844638705E-2</v>
      </c>
      <c r="NN17" s="33">
        <f t="shared" si="23"/>
        <v>3.4090432731520778E-2</v>
      </c>
      <c r="NP17" s="1" cm="1">
        <f t="array" ref="NP17">IF(NK17="USD",1,_xll.BDP(NK17&amp;"USD CURNCY","PX_LAST"))</f>
        <v>1</v>
      </c>
      <c r="NQ17" s="18">
        <v>111079.329607605</v>
      </c>
      <c r="NR17" s="11">
        <f t="shared" si="124"/>
        <v>6139354.5474123284</v>
      </c>
      <c r="NS17" s="5"/>
      <c r="NT17" s="11" cm="1">
        <f t="array" ref="NT17">IF(NG17="Hong Kong",_xll.BDP(NC17&amp;" Equity","PR414"),_xll.BDP(NC17&amp;" Equity","PR090"))</f>
        <v>1</v>
      </c>
      <c r="NU17" s="11">
        <f t="shared" si="125"/>
        <v>55.27</v>
      </c>
      <c r="NV17" s="5">
        <f t="shared" si="126"/>
        <v>207.92207472922715</v>
      </c>
      <c r="NW17" s="8">
        <f t="shared" si="127"/>
        <v>3.5925499999999999E-2</v>
      </c>
      <c r="NX17" s="8">
        <f t="shared" si="128"/>
        <v>3.7478113314470818E-4</v>
      </c>
      <c r="NY17" s="5"/>
      <c r="NZ17" s="21">
        <f t="shared" si="129"/>
        <v>1539.0381248202227</v>
      </c>
      <c r="OA17" s="22">
        <f t="shared" si="130"/>
        <v>2044.99</v>
      </c>
      <c r="OC17" s="16" t="str" cm="1">
        <f t="array" ref="OC17">_xll.BDP(OD17&amp;" Equity","DS520")</f>
        <v>GSK PLC</v>
      </c>
      <c r="OD17" s="32" t="s">
        <v>96</v>
      </c>
      <c r="OE17" s="32" t="s">
        <v>333</v>
      </c>
      <c r="OF17" s="32" t="str" cm="1">
        <f t="array" ref="OF17">_xll.BDP(OD17&amp;" Equity", "ID_ISIN")</f>
        <v>GB00BN7SWP63</v>
      </c>
      <c r="OG17" s="32"/>
      <c r="OH17" s="30" t="str">
        <f>_xll.BDP(OD17&amp;" Equity", "DS197")</f>
        <v>London</v>
      </c>
      <c r="OI17" s="30" t="s">
        <v>26</v>
      </c>
      <c r="OJ17" s="30" t="s">
        <v>129</v>
      </c>
      <c r="OK17" s="30" t="s">
        <v>28</v>
      </c>
      <c r="OL17" s="43" t="str">
        <f>_xll.BDP(OD17&amp;" Equity", "DS004")</f>
        <v>GBp</v>
      </c>
      <c r="OM17" s="17" cm="1">
        <f t="array" ref="OM17">_xll.BDP(OD17&amp;" Equity","PX_LAST")/100</f>
        <v>20.76</v>
      </c>
      <c r="ON17" s="33">
        <f t="shared" si="24"/>
        <v>4.2893706290036686E-2</v>
      </c>
      <c r="OO17" s="33">
        <f t="shared" si="131"/>
        <v>4.0672114694057834E-2</v>
      </c>
      <c r="OQ17" s="1" cm="1">
        <f t="array" ref="OQ17">IF(OL17="EUR",1,_xll.BDP(OL17&amp;"EUR CURNCY","PX_LAST"))</f>
        <v>1.1509</v>
      </c>
      <c r="OR17" s="18">
        <v>330628.11550359399</v>
      </c>
      <c r="OS17" s="11">
        <f t="shared" si="132"/>
        <v>7899593.0852428731</v>
      </c>
      <c r="OT17" s="5"/>
      <c r="OU17" s="11" cm="1">
        <f t="array" ref="OU17">IF(OH17="Hong Kong",_xll.BDP(OD17&amp;" Equity","PR414"),_xll.BDP(OD17&amp;" Equity","PR090"))</f>
        <v>1</v>
      </c>
      <c r="OV17" s="11">
        <f t="shared" si="133"/>
        <v>23.892684000000003</v>
      </c>
      <c r="OW17" s="5">
        <f t="shared" si="134"/>
        <v>574.48489306650265</v>
      </c>
      <c r="OX17" s="8">
        <f t="shared" si="135"/>
        <v>4.2857501924999999E-2</v>
      </c>
      <c r="OY17" s="8">
        <f t="shared" si="136"/>
        <v>-8.4404842034124794E-4</v>
      </c>
      <c r="OZ17" s="5"/>
      <c r="PA17" s="21">
        <f t="shared" si="137"/>
        <v>557.02073955660421</v>
      </c>
      <c r="PB17" s="22">
        <f t="shared" si="138"/>
        <v>884.02930800000001</v>
      </c>
      <c r="PD17" s="16" t="str" cm="1">
        <f t="array" ref="PD17">_xll.BDP(PE17&amp;" Equity","DS520")</f>
        <v>Isuzu Motors Ltd</v>
      </c>
      <c r="PE17" s="45" t="s">
        <v>283</v>
      </c>
      <c r="PF17" s="45">
        <v>7202</v>
      </c>
      <c r="PG17" s="32" t="str" cm="1">
        <f t="array" ref="PG17">_xll.BDP(PE17&amp;" Equity", "ID_ISIN")</f>
        <v>JP3137200006</v>
      </c>
      <c r="PH17" s="45"/>
      <c r="PI17" s="30" t="str">
        <f>_xll.BDP(PE17&amp;" Equity", "DS197")</f>
        <v>Tokyo</v>
      </c>
      <c r="PJ17" s="30" t="s">
        <v>26</v>
      </c>
      <c r="PK17" s="71" t="s">
        <v>320</v>
      </c>
      <c r="PL17" s="30" t="s">
        <v>28</v>
      </c>
      <c r="PM17" s="30" t="str">
        <f>_xll.BDP(PE17&amp;" Equity", "DS004")</f>
        <v>JPY</v>
      </c>
      <c r="PN17" s="17" cm="1">
        <f t="array" ref="PN17">_xll.BDP(PE17&amp;" Equity","PX_LAST")</f>
        <v>2613</v>
      </c>
      <c r="PO17" s="33">
        <f t="shared" si="25"/>
        <v>4.3231582031217582E-2</v>
      </c>
      <c r="PP17" s="33">
        <f t="shared" si="26"/>
        <v>4.106777170479986E-2</v>
      </c>
      <c r="PR17" s="1">
        <v>1</v>
      </c>
      <c r="PS17" s="18">
        <v>3188.5051110937702</v>
      </c>
      <c r="PT17" s="11">
        <f t="shared" si="139"/>
        <v>8331563.8552880213</v>
      </c>
      <c r="PU17" s="5"/>
      <c r="PV17" s="11" cm="1">
        <f t="array" ref="PV17">IF(PI17="Hong Kong",_xll.BDP(PE17&amp;" Equity","PR414"),_xll.BDP(PE17&amp;" Equity","PR090"))</f>
        <v>100</v>
      </c>
      <c r="PW17" s="11">
        <f t="shared" si="140"/>
        <v>261300</v>
      </c>
      <c r="PX17" s="5">
        <f t="shared" si="141"/>
        <v>5.2943384041292105E-2</v>
      </c>
      <c r="PY17" s="8">
        <f t="shared" si="142"/>
        <v>0</v>
      </c>
      <c r="PZ17" s="8">
        <f t="shared" si="143"/>
        <v>-1</v>
      </c>
      <c r="QA17" s="5"/>
      <c r="QB17" s="21">
        <f t="shared" si="144"/>
        <v>6044192.4103382323</v>
      </c>
      <c r="QC17" s="22">
        <f t="shared" si="145"/>
        <v>9668100</v>
      </c>
      <c r="QE17" s="16" t="str" cm="1">
        <f t="array" ref="QE17">_xll.BDP(QF17&amp;" Equity","DS520")</f>
        <v>Leidos Holdings Inc</v>
      </c>
      <c r="QF17" s="34" t="s">
        <v>300</v>
      </c>
      <c r="QG17" s="34"/>
      <c r="QH17" s="32" t="str" cm="1">
        <f t="array" ref="QH17">_xll.BDP(QF17&amp;" Equity", "ID_ISIN")</f>
        <v>US5253271028</v>
      </c>
      <c r="QI17" s="34"/>
      <c r="QJ17" s="30" t="str">
        <f>_xll.BDP(QF17&amp;" Equity", "DS197")</f>
        <v>New York</v>
      </c>
      <c r="QK17" s="30" t="s">
        <v>26</v>
      </c>
      <c r="QL17" s="30"/>
      <c r="QM17" s="30" t="s">
        <v>28</v>
      </c>
      <c r="QN17" s="30" t="str">
        <f>_xll.BDP(QF17&amp;" Equity", "DS004")</f>
        <v>USD</v>
      </c>
      <c r="QO17" s="17" cm="1">
        <f t="array" ref="QO17">_xll.BDP(QF17&amp;" Equity","PX_LAST")</f>
        <v>175.66</v>
      </c>
      <c r="QP17" s="33">
        <f t="shared" si="27"/>
        <v>6.4388146725124565E-2</v>
      </c>
      <c r="QQ17" s="33">
        <f t="shared" si="28"/>
        <v>6.1184449604001767E-2</v>
      </c>
      <c r="QS17" s="1" cm="1">
        <f t="array" ref="QS17">IF(QN17="USD",1,_xll.BDP(QN17&amp;"USD CURNCY","PX_LAST"))</f>
        <v>1</v>
      </c>
      <c r="QT17" s="18">
        <v>41816.259898493998</v>
      </c>
      <c r="QU17" s="11">
        <f t="shared" si="146"/>
        <v>7345444.2137694554</v>
      </c>
      <c r="QV17" s="5"/>
      <c r="QW17" s="11" cm="1">
        <f t="array" ref="QW17">IF(QJ17="Hong Kong",_xll.BDP(QF17&amp;" Equity","PR414"),_xll.BDP(QF17&amp;" Equity","PR090"))</f>
        <v>1</v>
      </c>
      <c r="QX17" s="11">
        <f t="shared" si="147"/>
        <v>175.66</v>
      </c>
      <c r="QY17" s="5">
        <f t="shared" si="148"/>
        <v>117.29595213503281</v>
      </c>
      <c r="QZ17" s="8">
        <f t="shared" si="149"/>
        <v>6.4225687500000003E-2</v>
      </c>
      <c r="RA17" s="8">
        <f t="shared" si="150"/>
        <v>-2.523123173867825E-3</v>
      </c>
      <c r="RB17" s="5"/>
      <c r="RC17" s="21">
        <f t="shared" si="151"/>
        <v>2728.1418853364298</v>
      </c>
      <c r="RD17" s="22">
        <f t="shared" si="152"/>
        <v>6499.4199999999992</v>
      </c>
      <c r="RF17" s="16" t="str" cm="1">
        <f t="array" ref="RF17">_xll.BDP(RG17&amp;" Equity","DS520")</f>
        <v>Horizon Robotics</v>
      </c>
      <c r="RG17" s="34" t="s">
        <v>1305</v>
      </c>
      <c r="RH17" s="34"/>
      <c r="RI17" s="32" t="str" cm="1">
        <f t="array" ref="RI17">_xll.BDP(RG17&amp;" Equity", "ID_ISIN")</f>
        <v>KYG4602S1057</v>
      </c>
      <c r="RJ17" s="34"/>
      <c r="RK17" s="30" t="str">
        <f>_xll.BDP(RG17&amp;" Equity", "DS197")</f>
        <v>Hong Kong</v>
      </c>
      <c r="RL17" s="30" t="s">
        <v>26</v>
      </c>
      <c r="RM17" s="30"/>
      <c r="RN17" s="30" t="s">
        <v>28</v>
      </c>
      <c r="RO17" s="30" t="str">
        <f>_xll.BDP(RG17&amp;" Equity", "DS004")</f>
        <v>HKD</v>
      </c>
      <c r="RP17" s="17" cm="1">
        <f t="array" ref="RP17">_xll.BDP(RG17&amp;" Equity","PX_LAST")</f>
        <v>7.76</v>
      </c>
      <c r="RQ17" s="33">
        <f t="shared" si="153"/>
        <v>2.5129034973429311E-2</v>
      </c>
      <c r="RR17" s="33">
        <f t="shared" si="154"/>
        <v>2.3895496752920731E-2</v>
      </c>
      <c r="RT17" s="1" cm="1">
        <f t="array" ref="RT17">IF(RO17="USD",1,_xll.BDP(RO17&amp;"USD CURNCY","PX_LAST"))</f>
        <v>0.12784999999999999</v>
      </c>
      <c r="RU17" s="18">
        <v>2552393.7229089001</v>
      </c>
      <c r="RV17" s="11">
        <f t="shared" si="155"/>
        <v>2532270.6507974863</v>
      </c>
      <c r="RW17" s="5"/>
      <c r="RX17" s="11" cm="1">
        <f t="array" ref="RX17">IF(RK17="Hong Kong",_xll.BDP(RG17&amp;" Equity","PR414"),_xll.BDP(RG17&amp;" Equity","PR090"))</f>
        <v>600</v>
      </c>
      <c r="RY17" s="11">
        <f t="shared" si="156"/>
        <v>595.26959999999997</v>
      </c>
      <c r="RZ17" s="5">
        <f t="shared" si="157"/>
        <v>13.50865421566527</v>
      </c>
      <c r="SA17" s="8">
        <f t="shared" si="158"/>
        <v>2.6043045000000001E-2</v>
      </c>
      <c r="SB17" s="8">
        <f t="shared" si="159"/>
        <v>3.6372667216912014E-2</v>
      </c>
      <c r="SC17" s="5"/>
      <c r="SD17" s="21">
        <f t="shared" si="160"/>
        <v>23688.518107815133</v>
      </c>
      <c r="SE17" s="22">
        <f t="shared" si="161"/>
        <v>22024.975199999997</v>
      </c>
    </row>
    <row r="18" spans="15:499" x14ac:dyDescent="0.2">
      <c r="O18" s="16" t="str" cm="1">
        <f t="array" ref="O18">_xll.BDP(P18&amp;" Equity","DS520")</f>
        <v>Procter &amp; Gamble Co/The</v>
      </c>
      <c r="P18" s="32" t="s">
        <v>68</v>
      </c>
      <c r="Q18" s="32" t="s">
        <v>69</v>
      </c>
      <c r="R18" s="32" t="str" cm="1">
        <f t="array" ref="R18">_xll.BDP(P18&amp;" Equity", "ID_ISIN")</f>
        <v>US7427181091</v>
      </c>
      <c r="S18" s="32"/>
      <c r="T18" s="30" t="str">
        <f>_xll.BDP(P18&amp;" Equity", "DS197")</f>
        <v>New York</v>
      </c>
      <c r="U18" s="30" t="s">
        <v>26</v>
      </c>
      <c r="V18" s="30" t="s">
        <v>33</v>
      </c>
      <c r="W18" s="30" t="s">
        <v>28</v>
      </c>
      <c r="X18" s="30" t="str">
        <f>_xll.BDP(P18&amp;" Equity", "DS004")</f>
        <v>USD</v>
      </c>
      <c r="Y18" s="17" cm="1">
        <f t="array" ref="Y18">_xll.BDP(P18&amp;" Equity","PX_LAST")</f>
        <v>153.99</v>
      </c>
      <c r="Z18" s="33">
        <f t="shared" si="0"/>
        <v>2.7105676607428058E-2</v>
      </c>
      <c r="AA18" s="33">
        <f t="shared" si="1"/>
        <v>2.5751303736291684E-2</v>
      </c>
      <c r="AB18" s="4"/>
      <c r="AC18" s="1" cm="1">
        <f t="array" ref="AC18">IF(X18="USD",1,_xll.BDP(X18&amp;"USD CURNCY","PX_LAST"))</f>
        <v>1</v>
      </c>
      <c r="AD18" s="18">
        <v>36223.7953351916</v>
      </c>
      <c r="AE18" s="11">
        <f t="shared" si="169"/>
        <v>5578102.2436661553</v>
      </c>
      <c r="AF18" s="5"/>
      <c r="AG18" s="11" cm="1">
        <f t="array" ref="AG18">IF(T18="Hong Kong",_xll.BDP(P18&amp;" Equity","PR414"),_xll.BDP(P18&amp;" Equity","PR090"))</f>
        <v>1</v>
      </c>
      <c r="AH18" s="11">
        <f t="shared" si="170"/>
        <v>153.99</v>
      </c>
      <c r="AI18" s="5">
        <f t="shared" si="171"/>
        <v>56.327141466179476</v>
      </c>
      <c r="AJ18" s="8">
        <f t="shared" si="172"/>
        <v>2.694825E-2</v>
      </c>
      <c r="AK18" s="8">
        <f t="shared" si="173"/>
        <v>-5.8078833341100866E-3</v>
      </c>
      <c r="AL18" s="5"/>
      <c r="AM18" s="21">
        <f t="shared" si="174"/>
        <v>5681.0978095193714</v>
      </c>
      <c r="AN18" s="22">
        <f t="shared" si="175"/>
        <v>5697.63</v>
      </c>
      <c r="AP18" s="16" t="str" cm="1">
        <f t="array" ref="AP18">_xll.BDP(AQ18&amp;" Equity","DS520")</f>
        <v>Novartis AG</v>
      </c>
      <c r="AQ18" s="32" t="s">
        <v>62</v>
      </c>
      <c r="AR18" s="32" t="s">
        <v>63</v>
      </c>
      <c r="AS18" s="32" t="str" cm="1">
        <f t="array" ref="AS18">_xll.BDP(AQ18&amp;" Equity", "ID_ISIN")</f>
        <v>CH0012005267</v>
      </c>
      <c r="AT18" s="32"/>
      <c r="AU18" s="30" t="str">
        <f>_xll.BDP(AQ18&amp;" Equity", "DS197")</f>
        <v>SIX Swiss Ex</v>
      </c>
      <c r="AV18" s="30" t="s">
        <v>26</v>
      </c>
      <c r="AW18" s="30" t="s">
        <v>61</v>
      </c>
      <c r="AX18" s="30" t="s">
        <v>28</v>
      </c>
      <c r="AY18" s="30" t="str">
        <f>_xll.BDP(AQ18&amp;" Equity", "DS004")</f>
        <v>CHF</v>
      </c>
      <c r="AZ18" s="17" cm="1">
        <f t="array" ref="AZ18">_xll.BDP(AQ18&amp;" Equity","PX_LAST")</f>
        <v>124.82</v>
      </c>
      <c r="BA18" s="33">
        <f t="shared" si="4"/>
        <v>5.6509154929311502E-2</v>
      </c>
      <c r="BB18" s="33">
        <f t="shared" si="34"/>
        <v>5.3665467248103706E-2</v>
      </c>
      <c r="BD18" s="1" cm="1">
        <f t="array" ref="BD18">IF(AY18="USD",1,_xll.BDP(AY18&amp;"USD CURNCY","PX_LAST"))</f>
        <v>1.2806</v>
      </c>
      <c r="BE18" s="18">
        <v>58205.843383068699</v>
      </c>
      <c r="BF18" s="11">
        <f t="shared" si="35"/>
        <v>9303883.4669981766</v>
      </c>
      <c r="BG18" s="5"/>
      <c r="BH18" s="11" cm="1">
        <f t="array" ref="BH18">IF(AU18="Hong Kong",_xll.BDP(AQ18&amp;" Equity","PR414"),_xll.BDP(AQ18&amp;" Equity","PR090"))</f>
        <v>1</v>
      </c>
      <c r="BI18" s="11">
        <f t="shared" si="36"/>
        <v>159.84449199999997</v>
      </c>
      <c r="BJ18" s="5">
        <f t="shared" si="37"/>
        <v>113.12826204471082</v>
      </c>
      <c r="BK18" s="8">
        <f t="shared" si="38"/>
        <v>5.644508623749999E-2</v>
      </c>
      <c r="BL18" s="8">
        <f t="shared" si="39"/>
        <v>-1.1337754367705122E-3</v>
      </c>
      <c r="BM18" s="5"/>
      <c r="BN18" s="21">
        <f t="shared" si="40"/>
        <v>2828.6477155772873</v>
      </c>
      <c r="BO18" s="22">
        <f t="shared" si="41"/>
        <v>5914.2462039999991</v>
      </c>
      <c r="BQ18" s="16" t="str" cm="1">
        <f t="array" ref="BQ18">_xll.BDP(BR18&amp;" Equity","DS520")</f>
        <v>Sekisui House Reit Inc</v>
      </c>
      <c r="BR18" s="44" t="s">
        <v>307</v>
      </c>
      <c r="BS18" s="44">
        <v>3309</v>
      </c>
      <c r="BT18" s="32" t="str" cm="1">
        <f t="array" ref="BT18">_xll.BDP(BR18&amp;" Equity", "ID_ISIN")</f>
        <v>JP3047820000</v>
      </c>
      <c r="BU18" s="44"/>
      <c r="BV18" s="30" t="str">
        <f>_xll.BDP(BR18&amp;" Equity", "DS197")</f>
        <v>Tokyo</v>
      </c>
      <c r="BW18" s="30" t="s">
        <v>26</v>
      </c>
      <c r="BX18" s="71" t="s">
        <v>320</v>
      </c>
      <c r="BY18" s="30" t="s">
        <v>28</v>
      </c>
      <c r="BZ18" s="30" t="str">
        <f>_xll.BDP(BR18&amp;" Equity", "DS004")</f>
        <v>JPY</v>
      </c>
      <c r="CA18" s="17" cm="1">
        <f t="array" ref="CA18">_xll.BDP(BR18&amp;" Equity","PX_LAST")</f>
        <v>93000</v>
      </c>
      <c r="CB18" s="33">
        <f t="shared" si="5"/>
        <v>7.6398332454717319E-2</v>
      </c>
      <c r="CC18" s="33">
        <f t="shared" si="42"/>
        <v>7.2571876947249495E-2</v>
      </c>
      <c r="CE18" s="1">
        <v>1</v>
      </c>
      <c r="CF18" s="18">
        <v>515.37673494349099</v>
      </c>
      <c r="CG18" s="11">
        <f t="shared" si="43"/>
        <v>47930036.349744663</v>
      </c>
      <c r="CH18" s="5"/>
      <c r="CI18" s="11" cm="1">
        <f t="array" ref="CI18">IF(BV18="Hong Kong",_xll.BDP(BR18&amp;" Equity","PR414"),_xll.BDP(BR18&amp;" Equity","PR090"))</f>
        <v>1</v>
      </c>
      <c r="CJ18" s="11">
        <f t="shared" si="44"/>
        <v>93000</v>
      </c>
      <c r="CK18" s="5">
        <f t="shared" si="45"/>
        <v>0.26287598263988754</v>
      </c>
      <c r="CL18" s="8">
        <f t="shared" si="46"/>
        <v>0</v>
      </c>
      <c r="CM18" s="8">
        <f t="shared" si="47"/>
        <v>-1</v>
      </c>
      <c r="CN18" s="5"/>
      <c r="CO18" s="21">
        <f t="shared" si="48"/>
        <v>1217304.0564088593</v>
      </c>
      <c r="CP18" s="22">
        <f t="shared" si="49"/>
        <v>3441000</v>
      </c>
      <c r="CR18" s="16" t="str" cm="1">
        <f t="array" ref="CR18">_xll.BDP(CS18&amp;" Equity","DS520")</f>
        <v>Omega Healthcare Investors Inc</v>
      </c>
      <c r="CS18" s="32" t="s">
        <v>310</v>
      </c>
      <c r="CT18" s="32" t="s">
        <v>376</v>
      </c>
      <c r="CU18" s="32" t="str" cm="1">
        <f t="array" ref="CU18">_xll.BDP(CS18&amp;" Equity", "ID_ISIN")</f>
        <v>US6819361006</v>
      </c>
      <c r="CV18" s="32"/>
      <c r="CW18" s="30" t="str">
        <f>_xll.BDP(CS18&amp;" Equity", "DS197")</f>
        <v>New York</v>
      </c>
      <c r="CX18" s="30" t="s">
        <v>26</v>
      </c>
      <c r="CY18" s="30" t="s">
        <v>33</v>
      </c>
      <c r="CZ18" s="30" t="s">
        <v>28</v>
      </c>
      <c r="DA18" s="30" t="str">
        <f>_xll.BDP(CS18&amp;" Equity", "DS004")</f>
        <v>USD</v>
      </c>
      <c r="DB18" s="17" cm="1">
        <f t="array" ref="DB18">_xll.BDP(CS18&amp;" Equity","PX_LAST")</f>
        <v>47.07</v>
      </c>
      <c r="DC18" s="33">
        <f t="shared" si="6"/>
        <v>5.4744950631656408E-2</v>
      </c>
      <c r="DD18" s="33">
        <f t="shared" si="7"/>
        <v>5.1990315670399169E-2</v>
      </c>
      <c r="DF18" s="1" cm="1">
        <f t="array" ref="DF18">IF(DA18="USD",1,_xll.BDP(DA18&amp;"USD CURNCY","PX_LAST"))</f>
        <v>1</v>
      </c>
      <c r="DG18" s="18">
        <v>210927.418477064</v>
      </c>
      <c r="DH18" s="11">
        <f t="shared" si="8"/>
        <v>9928353.5877154022</v>
      </c>
      <c r="DI18" s="5"/>
      <c r="DJ18" s="11" cm="1">
        <f t="array" ref="DJ18">IF(CW18="Hong Kong",_xll.BDP(CS18&amp;" Equity","PR414"),_xll.BDP(CS18&amp;" Equity","PR090"))</f>
        <v>1</v>
      </c>
      <c r="DK18" s="11">
        <f t="shared" si="9"/>
        <v>47.07</v>
      </c>
      <c r="DL18" s="5">
        <f t="shared" si="50"/>
        <v>372.17727219311774</v>
      </c>
      <c r="DM18" s="8">
        <f t="shared" si="51"/>
        <v>5.4718875E-2</v>
      </c>
      <c r="DN18" s="8">
        <f t="shared" si="52"/>
        <v>-4.7631117309532289E-4</v>
      </c>
      <c r="DO18" s="5"/>
      <c r="DP18" s="21">
        <f t="shared" si="53"/>
        <v>859.80532372206858</v>
      </c>
      <c r="DQ18" s="22">
        <f t="shared" si="54"/>
        <v>1741.59</v>
      </c>
      <c r="DS18" s="16" t="str" cm="1">
        <f t="array" ref="DS18">_xll.BDP(DT18&amp;" Equity","DS520")</f>
        <v>Lloyds Banking Group PLC</v>
      </c>
      <c r="DT18" s="32" t="s">
        <v>145</v>
      </c>
      <c r="DU18" s="32" t="s">
        <v>146</v>
      </c>
      <c r="DV18" s="32" t="str" cm="1">
        <f t="array" ref="DV18">_xll.BDP(DT18&amp;" Equity", "ID_ISIN")</f>
        <v>GB0008706128</v>
      </c>
      <c r="DW18" s="32"/>
      <c r="DX18" s="30" t="str">
        <f>_xll.BDP(DT18&amp;" Equity", "DS197")</f>
        <v>London</v>
      </c>
      <c r="DY18" s="30" t="s">
        <v>26</v>
      </c>
      <c r="DZ18" s="30" t="s">
        <v>129</v>
      </c>
      <c r="EA18" s="30" t="s">
        <v>28</v>
      </c>
      <c r="EB18" s="43" t="str">
        <f>_xll.BDP(DT18&amp;" Equity", "DS004")</f>
        <v>GBp</v>
      </c>
      <c r="EC18" s="17" cm="1">
        <f t="array" ref="EC18">_xll.BDP(DT18&amp;" Equity","PX_LAST")/100</f>
        <v>0.96900000000000008</v>
      </c>
      <c r="ED18" s="33">
        <f t="shared" si="55"/>
        <v>5.1574187715369778E-2</v>
      </c>
      <c r="EE18" s="33">
        <f t="shared" si="56"/>
        <v>4.8923677334318766E-2</v>
      </c>
      <c r="EG18" s="1">
        <v>1</v>
      </c>
      <c r="EH18" s="18">
        <v>8783347.4478973206</v>
      </c>
      <c r="EI18" s="11">
        <f t="shared" si="57"/>
        <v>8511063.677012505</v>
      </c>
      <c r="EJ18" s="5"/>
      <c r="EK18" s="11" cm="1">
        <f t="array" ref="EK18">IF(DX18="Hong Kong",_xll.BDP(DT18&amp;" Equity","PR414"),_xll.BDP(DT18&amp;" Equity","PR090"))</f>
        <v>1</v>
      </c>
      <c r="EL18" s="11">
        <f t="shared" si="58"/>
        <v>0.96900000000000008</v>
      </c>
      <c r="EM18" s="5">
        <f t="shared" si="59"/>
        <v>17031.723497335737</v>
      </c>
      <c r="EN18" s="8">
        <f t="shared" si="60"/>
        <v>5.1575025000000004E-2</v>
      </c>
      <c r="EO18" s="8">
        <f t="shared" si="61"/>
        <v>1.623456747101848E-5</v>
      </c>
      <c r="EP18" s="5"/>
      <c r="EQ18" s="21">
        <f t="shared" si="62"/>
        <v>18.788468474729374</v>
      </c>
      <c r="ER18" s="22">
        <f t="shared" si="63"/>
        <v>35.853000000000002</v>
      </c>
      <c r="ET18" s="16" t="str" cm="1">
        <f t="array" ref="ET18">_xll.BDP(EU18&amp;" Equity","DS520")</f>
        <v>Allstate Corp/The</v>
      </c>
      <c r="EU18" s="32" t="s">
        <v>702</v>
      </c>
      <c r="EV18" s="32" t="s">
        <v>706</v>
      </c>
      <c r="EW18" s="32" t="str" cm="1">
        <f t="array" ref="EW18">_xll.BDP(EU18&amp;" Equity", "ID_ISIN")</f>
        <v>US0200021014</v>
      </c>
      <c r="EX18" s="32"/>
      <c r="EY18" s="30" t="str">
        <f>_xll.BDP(EU18&amp;" Equity", "DS197")</f>
        <v>New York</v>
      </c>
      <c r="EZ18" s="30" t="s">
        <v>26</v>
      </c>
      <c r="FA18" s="30" t="s">
        <v>33</v>
      </c>
      <c r="FB18" s="30" t="s">
        <v>28</v>
      </c>
      <c r="FC18" s="30" t="str">
        <f>_xll.BDP(EU18&amp;" Equity", "DS004")</f>
        <v>USD</v>
      </c>
      <c r="FD18" s="17" cm="1">
        <f t="array" ref="FD18">_xll.BDP(EU18&amp;" Equity","PX_LAST")</f>
        <v>211.62</v>
      </c>
      <c r="FE18" s="33">
        <f t="shared" si="10"/>
        <v>3.6102671989543485E-2</v>
      </c>
      <c r="FF18" s="33">
        <f t="shared" si="11"/>
        <v>3.4296583949614767E-2</v>
      </c>
      <c r="FH18" s="1" cm="1">
        <f t="array" ref="FH18">IF(FC18="USD",1,_xll.BDP(FC18&amp;"USD CURNCY","PX_LAST"))</f>
        <v>1</v>
      </c>
      <c r="FI18" s="18">
        <v>34959.875503342599</v>
      </c>
      <c r="FJ18" s="11">
        <f t="shared" si="64"/>
        <v>7398208.8540173611</v>
      </c>
      <c r="FK18" s="5"/>
      <c r="FL18" s="11" cm="1">
        <f t="array" ref="FL18">IF(EY18="Hong Kong",_xll.BDP(EU18&amp;" Equity","PR414"),_xll.BDP(EU18&amp;" Equity","PR090"))</f>
        <v>1</v>
      </c>
      <c r="FM18" s="11">
        <f t="shared" si="65"/>
        <v>211.62</v>
      </c>
      <c r="FN18" s="5">
        <f t="shared" si="66"/>
        <v>54.592453627511176</v>
      </c>
      <c r="FO18" s="8">
        <f t="shared" si="67"/>
        <v>3.63721875E-2</v>
      </c>
      <c r="FP18" s="8">
        <f t="shared" si="68"/>
        <v>7.4652510632613467E-3</v>
      </c>
      <c r="FQ18" s="5"/>
      <c r="FR18" s="21">
        <f t="shared" si="69"/>
        <v>5861.6160061862483</v>
      </c>
      <c r="FS18" s="22">
        <f t="shared" si="70"/>
        <v>7829.94</v>
      </c>
      <c r="FU18" s="16" t="str" cm="1">
        <f t="array" ref="FU18">_xll.BDP(FV18&amp;" Equity","DS520")</f>
        <v>Cisco Systems Inc</v>
      </c>
      <c r="FV18" s="32" t="s">
        <v>45</v>
      </c>
      <c r="FW18" s="32" t="s">
        <v>46</v>
      </c>
      <c r="FX18" s="32" t="str" cm="1">
        <f t="array" ref="FX18">_xll.BDP(FV18&amp;" Equity", "ID_ISIN")</f>
        <v>US17275R1023</v>
      </c>
      <c r="FY18" s="32"/>
      <c r="FZ18" s="30" t="str">
        <f>_xll.BDP(FV18&amp;" Equity", "DS197")</f>
        <v>NASDAQ GS</v>
      </c>
      <c r="GA18" s="30" t="s">
        <v>26</v>
      </c>
      <c r="GB18" s="30" t="s">
        <v>33</v>
      </c>
      <c r="GC18" s="30" t="s">
        <v>28</v>
      </c>
      <c r="GD18" s="30" t="str">
        <f>_xll.BDP(FV18&amp;" Equity", "DS004")</f>
        <v>USD</v>
      </c>
      <c r="GE18" s="17" cm="1">
        <f t="array" ref="GE18">_xll.BDP(FV18&amp;" Equity","PX_LAST")</f>
        <v>80.010000000000005</v>
      </c>
      <c r="GF18" s="33">
        <f t="shared" si="12"/>
        <v>3.3978013202867627E-2</v>
      </c>
      <c r="GG18" s="33">
        <f t="shared" si="13"/>
        <v>3.2277566591924385E-2</v>
      </c>
      <c r="GI18" s="1" cm="1">
        <f t="array" ref="GI18">IF(GD18="USD",1,_xll.BDP(GD18&amp;"USD CURNCY","PX_LAST"))</f>
        <v>1</v>
      </c>
      <c r="GJ18" s="18">
        <v>87905.899000401696</v>
      </c>
      <c r="GK18" s="11">
        <f t="shared" si="71"/>
        <v>7033350.9790221397</v>
      </c>
      <c r="GL18" s="5"/>
      <c r="GM18" s="11" cm="1">
        <f t="array" ref="GM18">IF(FZ18="Hong Kong",_xll.BDP(FV18&amp;" Equity","PR414"),_xll.BDP(FV18&amp;" Equity","PR090"))</f>
        <v>1</v>
      </c>
      <c r="GN18" s="11">
        <f t="shared" si="72"/>
        <v>80.010000000000005</v>
      </c>
      <c r="GO18" s="5">
        <f t="shared" si="73"/>
        <v>135.89506592822949</v>
      </c>
      <c r="GP18" s="8">
        <f t="shared" si="74"/>
        <v>3.400425E-2</v>
      </c>
      <c r="GQ18" s="8">
        <f t="shared" si="75"/>
        <v>7.7216984335493066E-4</v>
      </c>
      <c r="GR18" s="5"/>
      <c r="GS18" s="21">
        <f t="shared" si="76"/>
        <v>2354.7580466902473</v>
      </c>
      <c r="GT18" s="22">
        <f t="shared" si="77"/>
        <v>2960.37</v>
      </c>
      <c r="GV18" s="16" t="str" cm="1">
        <f t="array" ref="GV18">_xll.BDP(GW18&amp;" Equity","DS520")</f>
        <v>DBS Group Holdings Ltd</v>
      </c>
      <c r="GW18" s="32" t="s">
        <v>194</v>
      </c>
      <c r="GX18" s="32" t="s">
        <v>419</v>
      </c>
      <c r="GY18" s="32" t="str" cm="1">
        <f t="array" ref="GY18">_xll.BDP(GW18&amp;" Equity", "ID_ISIN")</f>
        <v>SG1L01001701</v>
      </c>
      <c r="GZ18" s="32"/>
      <c r="HA18" s="30" t="str">
        <f>_xll.BDP(GW18&amp;" Equity", "DS197")</f>
        <v>Singapore</v>
      </c>
      <c r="HB18" s="30" t="s">
        <v>26</v>
      </c>
      <c r="HC18" s="30" t="s">
        <v>384</v>
      </c>
      <c r="HD18" s="30" t="s">
        <v>28</v>
      </c>
      <c r="HE18" s="30" t="str">
        <f>_xll.BDP(GW18&amp;" Equity", "DS004")</f>
        <v>SGD</v>
      </c>
      <c r="HF18" s="17" cm="1">
        <f t="array" ref="HF18">_xll.BDP(GW18&amp;" Equity","PX_LAST")</f>
        <v>55.08</v>
      </c>
      <c r="HG18" s="33">
        <f t="shared" si="14"/>
        <v>3.0335413217116448E-2</v>
      </c>
      <c r="HH18" s="33">
        <f t="shared" si="78"/>
        <v>2.8816356188998891E-2</v>
      </c>
      <c r="HJ18" s="1" cm="1">
        <f t="array" ref="HJ18">IF(HE18="USD",1,_xll.BDP(HE18&amp;"USD CURNCY","PX_LAST"))</f>
        <v>0.7823</v>
      </c>
      <c r="HK18" s="18">
        <v>114819.058770117</v>
      </c>
      <c r="HL18" s="11">
        <f t="shared" si="79"/>
        <v>4947448.0681465082</v>
      </c>
      <c r="HM18" s="5"/>
      <c r="HN18" s="11" cm="1">
        <f t="array" ref="HN18">IF(HA18="Hong Kong",_xll.BDP(GW18&amp;" Equity","PR414"),_xll.BDP(GW18&amp;" Equity","PR090"))</f>
        <v>100</v>
      </c>
      <c r="HO18" s="11">
        <f t="shared" si="80"/>
        <v>4308.9084000000003</v>
      </c>
      <c r="HP18" s="5">
        <f t="shared" si="81"/>
        <v>2.2528518428187669</v>
      </c>
      <c r="HQ18" s="8">
        <f t="shared" si="82"/>
        <v>2.6930677500000003E-2</v>
      </c>
      <c r="HR18" s="8">
        <f t="shared" si="83"/>
        <v>-0.11223633885413364</v>
      </c>
      <c r="HS18" s="5"/>
      <c r="HT18" s="21">
        <f t="shared" si="84"/>
        <v>142042.18578333862</v>
      </c>
      <c r="HU18" s="22">
        <f t="shared" si="85"/>
        <v>159429.61079999999</v>
      </c>
      <c r="HW18" s="16" t="str" cm="1">
        <f t="array" ref="HW18">_xll.BDP(HX18&amp;" Equity","DS520")</f>
        <v>Xinhua Winshare Publishing and Media Co Ltd</v>
      </c>
      <c r="HX18" s="59" t="s">
        <v>221</v>
      </c>
      <c r="HY18" s="32">
        <v>811</v>
      </c>
      <c r="HZ18" s="32" t="str" cm="1">
        <f t="array" ref="HZ18">_xll.BDP(HX18&amp;" Equity", "ID_ISIN")</f>
        <v>CNE1000004B0</v>
      </c>
      <c r="IA18" s="59"/>
      <c r="IB18" s="30" t="str">
        <f>_xll.BDP(HX18&amp;" Equity", "DS197")</f>
        <v>Hong Kong</v>
      </c>
      <c r="IC18" s="30" t="s">
        <v>26</v>
      </c>
      <c r="ID18" s="30" t="s">
        <v>27</v>
      </c>
      <c r="IE18" s="30" t="s">
        <v>28</v>
      </c>
      <c r="IF18" s="30" t="str">
        <f>_xll.BDP(HX18&amp;" Equity", "DS004")</f>
        <v>HKD</v>
      </c>
      <c r="IG18" s="17" cm="1">
        <f t="array" ref="IG18">_xll.BDP(HX18&amp;" Equity","PX_LAST")</f>
        <v>10.34</v>
      </c>
      <c r="IH18" s="33">
        <f t="shared" si="15"/>
        <v>4.5472189500397019E-2</v>
      </c>
      <c r="II18" s="33">
        <f t="shared" si="16"/>
        <v>4.3221848151245065E-2</v>
      </c>
      <c r="IK18" s="1">
        <v>1</v>
      </c>
      <c r="IL18" s="18">
        <v>833542.11247139401</v>
      </c>
      <c r="IM18" s="11">
        <f t="shared" si="183"/>
        <v>8618825.4429542143</v>
      </c>
      <c r="IN18" s="5"/>
      <c r="IO18" s="11" cm="1">
        <f t="array" ref="IO18">IF(IB18="Hong Kong",_xll.BDP(HX18&amp;" Equity","PR414"),_xll.BDP(HX18&amp;" Equity","PR090"))</f>
        <v>1000</v>
      </c>
      <c r="IP18" s="11">
        <f t="shared" si="184"/>
        <v>10340</v>
      </c>
      <c r="IQ18" s="5">
        <f t="shared" si="185"/>
        <v>1.4072631180006814</v>
      </c>
      <c r="IR18" s="8">
        <f t="shared" si="186"/>
        <v>3.2312500000000001E-2</v>
      </c>
      <c r="IS18" s="8">
        <f t="shared" si="187"/>
        <v>-0.28940083257442706</v>
      </c>
      <c r="IT18" s="5"/>
      <c r="IU18" s="21">
        <f t="shared" si="188"/>
        <v>227391.73357618332</v>
      </c>
      <c r="IV18" s="22">
        <f t="shared" si="189"/>
        <v>382580</v>
      </c>
      <c r="IX18" s="16" t="str" cm="1">
        <f t="array" ref="IX18">_xll.BDP(IY18&amp;" Equity","DS520")</f>
        <v>Meta Platforms Inc</v>
      </c>
      <c r="IY18" s="32" t="s">
        <v>170</v>
      </c>
      <c r="IZ18" s="32" t="s">
        <v>358</v>
      </c>
      <c r="JA18" s="32" t="str" cm="1">
        <f t="array" ref="JA18">_xll.BDP(IY18&amp;" Equity", "ID_ISIN")</f>
        <v>US30303M1027</v>
      </c>
      <c r="JB18" s="32"/>
      <c r="JC18" s="30" t="str">
        <f>_xll.BDP(IY18&amp;" Equity", "DS197")</f>
        <v>NASDAQ GS</v>
      </c>
      <c r="JD18" s="30" t="s">
        <v>26</v>
      </c>
      <c r="JE18" s="30" t="s">
        <v>33</v>
      </c>
      <c r="JF18" s="30" t="s">
        <v>28</v>
      </c>
      <c r="JG18" s="30" t="str">
        <f>_xll.BDP(IY18&amp;" Equity", "DS004")</f>
        <v>USD</v>
      </c>
      <c r="JH18" s="17" cm="1">
        <f t="array" ref="JH18">_xll.BDP(IY18&amp;" Equity","PX_LAST")</f>
        <v>660.57</v>
      </c>
      <c r="JI18" s="33">
        <f t="shared" si="93"/>
        <v>3.0508136118839405E-2</v>
      </c>
      <c r="JJ18" s="33">
        <f t="shared" si="17"/>
        <v>2.8981171390390019E-2</v>
      </c>
      <c r="JL18" s="1" cm="1">
        <f t="array" ref="JL18">IF(JG18="USD",1,_xll.BDP(JG18&amp;"USD CURNCY","PX_LAST"))</f>
        <v>1</v>
      </c>
      <c r="JM18" s="18">
        <v>5634.2909985030801</v>
      </c>
      <c r="JN18" s="11">
        <f t="shared" si="94"/>
        <v>3721843.60488118</v>
      </c>
      <c r="JO18" s="5"/>
      <c r="JP18" s="11" cm="1">
        <f t="array" ref="JP18">IF(JC18="Hong Kong",_xll.BDP(IY18&amp;" Equity","PR414"),_xll.BDP(IY18&amp;" Equity","PR090"))</f>
        <v>1</v>
      </c>
      <c r="JQ18" s="11">
        <f t="shared" si="95"/>
        <v>660.57</v>
      </c>
      <c r="JR18" s="5">
        <f t="shared" si="96"/>
        <v>14.779059839273065</v>
      </c>
      <c r="JS18" s="8">
        <f t="shared" si="97"/>
        <v>3.0964218750000005E-2</v>
      </c>
      <c r="JT18" s="8">
        <f t="shared" si="98"/>
        <v>1.4949540980937259E-2</v>
      </c>
      <c r="JU18" s="5"/>
      <c r="JV18" s="21">
        <f t="shared" si="99"/>
        <v>21652.256874259991</v>
      </c>
      <c r="JW18" s="22">
        <f t="shared" si="100"/>
        <v>24441.09</v>
      </c>
      <c r="JY18" s="16" t="str" cm="1">
        <f t="array" ref="JY18">_xll.BDP(JZ18&amp;" Equity","DS520")</f>
        <v>Contemporary Amperex Technology Co Ltd</v>
      </c>
      <c r="JZ18" s="32" t="s">
        <v>1300</v>
      </c>
      <c r="KA18" s="32">
        <v>3750</v>
      </c>
      <c r="KB18" s="32" t="str" cm="1">
        <f t="array" ref="KB18">_xll.BDP(JZ18&amp;" Equity", "ID_ISIN")</f>
        <v>CNE100006WS8</v>
      </c>
      <c r="KC18" s="32"/>
      <c r="KD18" s="30" t="str">
        <f>_xll.BDP(JZ18&amp;" Equity", "DS197")</f>
        <v>Hong Kong</v>
      </c>
      <c r="KE18" s="30" t="s">
        <v>26</v>
      </c>
      <c r="KF18" s="30" t="s">
        <v>27</v>
      </c>
      <c r="KG18" s="30" t="s">
        <v>28</v>
      </c>
      <c r="KH18" s="30" t="str">
        <f>_xll.BDP(JZ18&amp;" Equity", "DS004")</f>
        <v>HKD</v>
      </c>
      <c r="KI18" s="17" cm="1">
        <f t="array" ref="KI18">_xll.BDP(JZ18&amp;" Equity","PX_LAST")</f>
        <v>503.5</v>
      </c>
      <c r="KJ18" s="33">
        <f t="shared" si="101"/>
        <v>2.959484122051502E-2</v>
      </c>
      <c r="KK18" s="33">
        <f t="shared" si="102"/>
        <v>2.811966310794797E-2</v>
      </c>
      <c r="KM18" s="1" cm="1">
        <f t="array" ref="KM18">IF(KH18="USD",1,_xll.BDP(KH18&amp;"USD CURNCY","PX_LAST"))</f>
        <v>0.12784999999999999</v>
      </c>
      <c r="KN18" s="18">
        <v>45652.989308220502</v>
      </c>
      <c r="KO18" s="11">
        <f t="shared" si="103"/>
        <v>2938795.9129186915</v>
      </c>
      <c r="KP18" s="5"/>
      <c r="KQ18" s="11" cm="1">
        <f t="array" ref="KQ18">IF(KD18="Hong Kong",_xll.BDP(JZ18&amp;" Equity","PR414"),_xll.BDP(JZ18&amp;" Equity","PR090"))</f>
        <v>100</v>
      </c>
      <c r="KR18" s="11">
        <f t="shared" si="104"/>
        <v>6437.2474999999995</v>
      </c>
      <c r="KS18" s="5">
        <f t="shared" si="105"/>
        <v>1.4711799088919304</v>
      </c>
      <c r="KT18" s="8">
        <f t="shared" si="106"/>
        <v>2.0116398437499999E-2</v>
      </c>
      <c r="KU18" s="8">
        <f t="shared" si="107"/>
        <v>-0.32027347984028398</v>
      </c>
      <c r="KV18" s="5"/>
      <c r="KW18" s="21">
        <f t="shared" si="108"/>
        <v>217512.48645110914</v>
      </c>
      <c r="KX18" s="22">
        <f t="shared" si="109"/>
        <v>238178.15749999997</v>
      </c>
      <c r="KZ18" s="16" t="str" cm="1">
        <f t="array" ref="KZ18">_xll.BDP(LA18&amp;" Equity","DS520")</f>
        <v>Simon Property Group Inc</v>
      </c>
      <c r="LA18" s="44" t="s">
        <v>124</v>
      </c>
      <c r="LB18" s="32" t="s">
        <v>378</v>
      </c>
      <c r="LC18" s="32" t="str" cm="1">
        <f t="array" ref="LC18">_xll.BDP(LA18&amp;" Equity", "ID_ISIN")</f>
        <v>US8288061091</v>
      </c>
      <c r="LD18" s="44"/>
      <c r="LE18" s="30" t="str">
        <f>_xll.BDP(LA18&amp;" Equity", "DS197")</f>
        <v>New York</v>
      </c>
      <c r="LF18" s="30" t="s">
        <v>26</v>
      </c>
      <c r="LG18" s="30" t="s">
        <v>33</v>
      </c>
      <c r="LH18" s="30" t="s">
        <v>28</v>
      </c>
      <c r="LI18" s="30" t="str">
        <f>_xll.BDP(LA18&amp;" Equity", "DS004")</f>
        <v>USD</v>
      </c>
      <c r="LJ18" s="17" cm="1">
        <f t="array" ref="LJ18">_xll.BDP(LA18&amp;" Equity","PX_LAST")</f>
        <v>201.03</v>
      </c>
      <c r="LK18" s="33">
        <f t="shared" si="18"/>
        <v>6.9084405173850172E-2</v>
      </c>
      <c r="LL18" s="33">
        <f t="shared" si="19"/>
        <v>6.5600700035147133E-2</v>
      </c>
      <c r="LN18" s="1">
        <v>1</v>
      </c>
      <c r="LO18" s="18">
        <v>37976.2810344065</v>
      </c>
      <c r="LP18" s="11">
        <f t="shared" si="110"/>
        <v>7634371.7763467385</v>
      </c>
      <c r="LQ18" s="5"/>
      <c r="LR18" s="11" cm="1">
        <f t="array" ref="LR18">IF(LE18="Hong Kong",_xll.BDP(LA18&amp;" Equity","PR414"),_xll.BDP(LA18&amp;" Equity","PR090"))</f>
        <v>1</v>
      </c>
      <c r="LS18" s="11">
        <f t="shared" si="111"/>
        <v>201.03</v>
      </c>
      <c r="LT18" s="5">
        <f t="shared" si="112"/>
        <v>109.96870942462347</v>
      </c>
      <c r="LU18" s="8">
        <f t="shared" si="113"/>
        <v>6.9104062499999994E-2</v>
      </c>
      <c r="LV18" s="8">
        <f t="shared" si="114"/>
        <v>2.8454071653882806E-4</v>
      </c>
      <c r="LW18" s="5"/>
      <c r="LX18" s="21">
        <f t="shared" si="115"/>
        <v>2909.9186639026584</v>
      </c>
      <c r="LY18" s="22">
        <f t="shared" si="116"/>
        <v>7438.11</v>
      </c>
      <c r="MA18" s="16" t="str" cm="1">
        <f t="array" ref="MA18">_xll.BDP(MB18&amp;" Equity","DS520")</f>
        <v>General Mills Inc</v>
      </c>
      <c r="MB18" s="32" t="s">
        <v>263</v>
      </c>
      <c r="MC18" s="32" t="s">
        <v>332</v>
      </c>
      <c r="MD18" s="32" t="str" cm="1">
        <f t="array" ref="MD18">_xll.BDP(MB18&amp;" Equity", "ID_ISIN")</f>
        <v>US3703341046</v>
      </c>
      <c r="ME18" s="32"/>
      <c r="MF18" s="30" t="str">
        <f>_xll.BDP(MB18&amp;" Equity", "DS197")</f>
        <v>New York</v>
      </c>
      <c r="MG18" s="30" t="s">
        <v>26</v>
      </c>
      <c r="MH18" s="30" t="s">
        <v>33</v>
      </c>
      <c r="MI18" s="30" t="s">
        <v>28</v>
      </c>
      <c r="MJ18" s="51" t="str">
        <f>_xll.BDP(MB18&amp;" Equity", "DS004")</f>
        <v>USD</v>
      </c>
      <c r="MK18" s="60" cm="1">
        <f t="array" ref="MK18">_xll.BDP(MB18&amp;" Equity","PX_LAST")</f>
        <v>43.57</v>
      </c>
      <c r="ML18" s="33">
        <f t="shared" si="20"/>
        <v>2.9156703154775115E-2</v>
      </c>
      <c r="MM18" s="33">
        <f t="shared" si="21"/>
        <v>2.7681306363069546E-2</v>
      </c>
      <c r="MO18" s="1" cm="1">
        <f t="array" ref="MO18">IF(MJ18="USD",1,_xll.BDP(MJ18&amp;"USD CURNCY","PX_LAST"))</f>
        <v>1</v>
      </c>
      <c r="MP18" s="18">
        <v>120223.254307158</v>
      </c>
      <c r="MQ18" s="11">
        <f t="shared" si="117"/>
        <v>5238127.1901628738</v>
      </c>
      <c r="MR18" s="5"/>
      <c r="MS18" s="11" cm="1">
        <f t="array" ref="MS18">IF(MF18="Hong Kong",_xll.BDP(MB18&amp;" Equity","PR414"),_xll.BDP(MB18&amp;" Equity","PR090"))</f>
        <v>1</v>
      </c>
      <c r="MT18" s="11">
        <f t="shared" si="118"/>
        <v>43.57</v>
      </c>
      <c r="MU18" s="5">
        <f t="shared" si="119"/>
        <v>214.14149666118971</v>
      </c>
      <c r="MV18" s="8">
        <f t="shared" si="120"/>
        <v>2.9137437499999998E-2</v>
      </c>
      <c r="MW18" s="8">
        <f t="shared" si="121"/>
        <v>-6.6076245564694602E-4</v>
      </c>
      <c r="MX18" s="5"/>
      <c r="MY18" s="21">
        <f t="shared" si="122"/>
        <v>1494.3390467952945</v>
      </c>
      <c r="MZ18" s="22">
        <f t="shared" si="123"/>
        <v>1612.09</v>
      </c>
      <c r="NB18" s="16" t="str" cm="1">
        <f t="array" ref="NB18">_xll.BDP(NC18&amp;" Equity","DS520")</f>
        <v>International Business Machines Corp</v>
      </c>
      <c r="NC18" s="32" t="s">
        <v>49</v>
      </c>
      <c r="ND18" s="32" t="s">
        <v>50</v>
      </c>
      <c r="NE18" s="32" t="str" cm="1">
        <f t="array" ref="NE18">_xll.BDP(NC18&amp;" Equity", "ID_ISIN")</f>
        <v>US4592001014</v>
      </c>
      <c r="NF18" s="32"/>
      <c r="NG18" s="30" t="str">
        <f>_xll.BDP(NC18&amp;" Equity", "DS197")</f>
        <v>New York</v>
      </c>
      <c r="NH18" s="30" t="s">
        <v>26</v>
      </c>
      <c r="NI18" s="30" t="s">
        <v>33</v>
      </c>
      <c r="NJ18" s="30" t="s">
        <v>28</v>
      </c>
      <c r="NK18" s="30" t="str">
        <f>_xll.BDP(NC18&amp;" Equity", "DS004")</f>
        <v>USD</v>
      </c>
      <c r="NL18" s="17" cm="1">
        <f t="array" ref="NL18">_xll.BDP(NC18&amp;" Equity","PX_LAST")</f>
        <v>256.55</v>
      </c>
      <c r="NM18" s="33">
        <f t="shared" si="22"/>
        <v>3.8581769865265375E-2</v>
      </c>
      <c r="NN18" s="33">
        <f t="shared" si="23"/>
        <v>3.6624741989599308E-2</v>
      </c>
      <c r="NP18" s="1" cm="1">
        <f t="array" ref="NP18">IF(NK18="USD",1,_xll.BDP(NK18&amp;"USD CURNCY","PX_LAST"))</f>
        <v>1</v>
      </c>
      <c r="NQ18" s="18">
        <v>25709.448196627101</v>
      </c>
      <c r="NR18" s="11">
        <f t="shared" si="124"/>
        <v>6595758.9348446829</v>
      </c>
      <c r="NS18" s="5"/>
      <c r="NT18" s="11" cm="1">
        <f t="array" ref="NT18">IF(NG18="Hong Kong",_xll.BDP(NC18&amp;" Equity","PR414"),_xll.BDP(NC18&amp;" Equity","PR090"))</f>
        <v>1</v>
      </c>
      <c r="NU18" s="11">
        <f t="shared" si="125"/>
        <v>256.55</v>
      </c>
      <c r="NV18" s="5">
        <f t="shared" si="126"/>
        <v>48.123821309237648</v>
      </c>
      <c r="NW18" s="8">
        <f t="shared" si="127"/>
        <v>3.8482500000000003E-2</v>
      </c>
      <c r="NX18" s="8">
        <f t="shared" si="128"/>
        <v>-2.5729733397934496E-3</v>
      </c>
      <c r="NY18" s="5"/>
      <c r="NZ18" s="21">
        <f t="shared" si="129"/>
        <v>6649.513511068044</v>
      </c>
      <c r="OA18" s="22">
        <f t="shared" si="130"/>
        <v>9492.35</v>
      </c>
      <c r="OC18" s="16" t="str" cm="1">
        <f t="array" ref="OC18">_xll.BDP(OD18&amp;" Equity","DS520")</f>
        <v>HSBC Holdings PLC</v>
      </c>
      <c r="OD18" s="32" t="s">
        <v>139</v>
      </c>
      <c r="OE18" s="32" t="s">
        <v>140</v>
      </c>
      <c r="OF18" s="32" t="str" cm="1">
        <f t="array" ref="OF18">_xll.BDP(OD18&amp;" Equity", "ID_ISIN")</f>
        <v>GB0005405286</v>
      </c>
      <c r="OG18" s="32"/>
      <c r="OH18" s="30" t="str">
        <f>_xll.BDP(OD18&amp;" Equity", "DS197")</f>
        <v>London</v>
      </c>
      <c r="OI18" s="30" t="s">
        <v>26</v>
      </c>
      <c r="OJ18" s="30" t="s">
        <v>129</v>
      </c>
      <c r="OK18" s="30" t="s">
        <v>28</v>
      </c>
      <c r="OL18" s="43" t="str">
        <f>_xll.BDP(OD18&amp;" Equity", "DS004")</f>
        <v>GBp</v>
      </c>
      <c r="OM18" s="17" cm="1">
        <f t="array" ref="OM18">_xll.BDP(OD18&amp;" Equity","PX_LAST")/100</f>
        <v>12.788</v>
      </c>
      <c r="ON18" s="33">
        <f t="shared" si="24"/>
        <v>3.870098182275785E-2</v>
      </c>
      <c r="OO18" s="33">
        <f t="shared" si="131"/>
        <v>3.669654379653068E-2</v>
      </c>
      <c r="OQ18" s="1" cm="1">
        <f t="array" ref="OQ18">IF(OL18="EUR",1,_xll.BDP(OL18&amp;"EUR CURNCY","PX_LAST"))</f>
        <v>1.1509</v>
      </c>
      <c r="OR18" s="18">
        <v>484275.96212284901</v>
      </c>
      <c r="OS18" s="11">
        <f t="shared" si="132"/>
        <v>7127432.7830743063</v>
      </c>
      <c r="OT18" s="5"/>
      <c r="OU18" s="11" cm="1">
        <f t="array" ref="OU18">IF(OH18="Hong Kong",_xll.BDP(OD18&amp;" Equity","PR414"),_xll.BDP(OD18&amp;" Equity","PR090"))</f>
        <v>1</v>
      </c>
      <c r="OV18" s="11">
        <f t="shared" si="133"/>
        <v>14.717709200000002</v>
      </c>
      <c r="OW18" s="5">
        <f t="shared" si="134"/>
        <v>841.45664348922662</v>
      </c>
      <c r="OX18" s="8">
        <f t="shared" si="135"/>
        <v>3.8679979491250002E-2</v>
      </c>
      <c r="OY18" s="8">
        <f t="shared" si="136"/>
        <v>-5.4268213669705911E-4</v>
      </c>
      <c r="OZ18" s="5"/>
      <c r="PA18" s="21">
        <f t="shared" si="137"/>
        <v>380.29291523930675</v>
      </c>
      <c r="PB18" s="22">
        <f t="shared" si="138"/>
        <v>544.5552404</v>
      </c>
      <c r="PD18" s="16" t="str" cm="1">
        <f t="array" ref="PD18">_xll.BDP(PE18&amp;" Equity","DS520")</f>
        <v>Subaru Corp</v>
      </c>
      <c r="PE18" s="32" t="s">
        <v>290</v>
      </c>
      <c r="PF18" s="32">
        <v>7270</v>
      </c>
      <c r="PG18" s="32" t="str" cm="1">
        <f t="array" ref="PG18">_xll.BDP(PE18&amp;" Equity", "ID_ISIN")</f>
        <v>JP3814800003</v>
      </c>
      <c r="PH18" s="32"/>
      <c r="PI18" s="30" t="str">
        <f>_xll.BDP(PE18&amp;" Equity", "DS197")</f>
        <v>Tokyo</v>
      </c>
      <c r="PJ18" s="30" t="s">
        <v>26</v>
      </c>
      <c r="PK18" s="71" t="s">
        <v>320</v>
      </c>
      <c r="PL18" s="30" t="s">
        <v>28</v>
      </c>
      <c r="PM18" s="30" t="str">
        <f>_xll.BDP(PE18&amp;" Equity", "DS004")</f>
        <v>JPY</v>
      </c>
      <c r="PN18" s="17" cm="1">
        <f t="array" ref="PN18">_xll.BDP(PE18&amp;" Equity","PX_LAST")</f>
        <v>2714</v>
      </c>
      <c r="PO18" s="33">
        <f t="shared" si="25"/>
        <v>4.348206459437997E-2</v>
      </c>
      <c r="PP18" s="33">
        <f t="shared" si="26"/>
        <v>4.1305717212150442E-2</v>
      </c>
      <c r="PR18" s="1">
        <v>1</v>
      </c>
      <c r="PS18" s="18">
        <v>3087.6332721243102</v>
      </c>
      <c r="PT18" s="11">
        <f t="shared" si="139"/>
        <v>8379836.700545378</v>
      </c>
      <c r="PU18" s="5"/>
      <c r="PV18" s="11" cm="1">
        <f t="array" ref="PV18">IF(PI18="Hong Kong",_xll.BDP(PE18&amp;" Equity","PR414"),_xll.BDP(PE18&amp;" Equity","PR090"))</f>
        <v>100</v>
      </c>
      <c r="PW18" s="11">
        <f t="shared" si="140"/>
        <v>271400</v>
      </c>
      <c r="PX18" s="5">
        <f t="shared" si="141"/>
        <v>5.1268462307301366E-2</v>
      </c>
      <c r="PY18" s="8">
        <f t="shared" si="142"/>
        <v>0</v>
      </c>
      <c r="PZ18" s="8">
        <f t="shared" si="143"/>
        <v>-1</v>
      </c>
      <c r="QA18" s="5"/>
      <c r="QB18" s="21">
        <f t="shared" si="144"/>
        <v>6241653.9447181234</v>
      </c>
      <c r="QC18" s="22">
        <f t="shared" si="145"/>
        <v>10041800</v>
      </c>
      <c r="QE18" s="16" t="str" cm="1">
        <f t="array" ref="QE18">_xll.BDP(QF18&amp;" Equity","DS520")</f>
        <v>NetScout Systems Inc</v>
      </c>
      <c r="QF18" s="34" t="s">
        <v>612</v>
      </c>
      <c r="QG18" s="34"/>
      <c r="QH18" s="32" t="str" cm="1">
        <f t="array" ref="QH18">_xll.BDP(QF18&amp;" Equity", "ID_ISIN")</f>
        <v>US64115T1043</v>
      </c>
      <c r="QI18" s="34"/>
      <c r="QJ18" s="30" t="str">
        <f>_xll.BDP(QF18&amp;" Equity", "DS197")</f>
        <v>NASDAQ GS</v>
      </c>
      <c r="QK18" s="30" t="s">
        <v>26</v>
      </c>
      <c r="QL18" s="30"/>
      <c r="QM18" s="30" t="s">
        <v>28</v>
      </c>
      <c r="QN18" s="30" t="str">
        <f>_xll.BDP(QF18&amp;" Equity", "DS004")</f>
        <v>USD</v>
      </c>
      <c r="QO18" s="17" cm="1">
        <f t="array" ref="QO18">_xll.BDP(QF18&amp;" Equity","PX_LAST")</f>
        <v>30.06</v>
      </c>
      <c r="QP18" s="33">
        <f t="shared" si="27"/>
        <v>6.7824747984989359E-2</v>
      </c>
      <c r="QQ18" s="33">
        <f t="shared" si="28"/>
        <v>6.4450059305285495E-2</v>
      </c>
      <c r="QS18" s="1" cm="1">
        <f t="array" ref="QS18">IF(QN18="USD",1,_xll.BDP(QN18&amp;"USD CURNCY","PX_LAST"))</f>
        <v>1</v>
      </c>
      <c r="QT18" s="18">
        <v>257401.66524126599</v>
      </c>
      <c r="QU18" s="11">
        <f t="shared" si="146"/>
        <v>7737494.0571524557</v>
      </c>
      <c r="QV18" s="5"/>
      <c r="QW18" s="11" cm="1">
        <f t="array" ref="QW18">IF(QJ18="Hong Kong",_xll.BDP(QF18&amp;" Equity","PR414"),_xll.BDP(QF18&amp;" Equity","PR090"))</f>
        <v>1</v>
      </c>
      <c r="QX18" s="11">
        <f t="shared" si="147"/>
        <v>30.06</v>
      </c>
      <c r="QY18" s="5">
        <f t="shared" si="148"/>
        <v>722.01993862929464</v>
      </c>
      <c r="QZ18" s="8">
        <f t="shared" si="149"/>
        <v>6.7822875000000005E-2</v>
      </c>
      <c r="RA18" s="8">
        <f t="shared" si="150"/>
        <v>-2.7615067434760832E-5</v>
      </c>
      <c r="RB18" s="5"/>
      <c r="RC18" s="21">
        <f t="shared" si="151"/>
        <v>443.20105703382387</v>
      </c>
      <c r="RD18" s="22">
        <f t="shared" si="152"/>
        <v>1112.2199999999998</v>
      </c>
      <c r="RF18" s="16" t="str" cm="1">
        <f t="array" ref="RF18">_xll.BDP(RG18&amp;" Equity","DS520")</f>
        <v>Insulet Corp</v>
      </c>
      <c r="RG18" s="34" t="s">
        <v>1306</v>
      </c>
      <c r="RH18" s="34"/>
      <c r="RI18" s="32" t="str" cm="1">
        <f t="array" ref="RI18">_xll.BDP(RG18&amp;" Equity", "ID_ISIN")</f>
        <v>US45784P1012</v>
      </c>
      <c r="RJ18" s="34"/>
      <c r="RK18" s="30" t="str">
        <f>_xll.BDP(RG18&amp;" Equity", "DS197")</f>
        <v>NASDAQ GS</v>
      </c>
      <c r="RL18" s="30" t="s">
        <v>26</v>
      </c>
      <c r="RM18" s="30"/>
      <c r="RN18" s="30" t="s">
        <v>28</v>
      </c>
      <c r="RO18" s="30" t="str">
        <f>_xll.BDP(RG18&amp;" Equity", "DS004")</f>
        <v>USD</v>
      </c>
      <c r="RP18" s="17" cm="1">
        <f t="array" ref="RP18">_xll.BDP(RG18&amp;" Equity","PX_LAST")</f>
        <v>240.94</v>
      </c>
      <c r="RQ18" s="33">
        <f t="shared" si="153"/>
        <v>2.3889537439950922E-2</v>
      </c>
      <c r="RR18" s="33">
        <f t="shared" si="154"/>
        <v>2.2716843879151256E-2</v>
      </c>
      <c r="RT18" s="1" cm="1">
        <f t="array" ref="RT18">IF(RO18="USD",1,_xll.BDP(RO18&amp;"USD CURNCY","PX_LAST"))</f>
        <v>1</v>
      </c>
      <c r="RU18" s="18">
        <v>9991.5564311848993</v>
      </c>
      <c r="RV18" s="11">
        <f t="shared" si="155"/>
        <v>2407365.6065296894</v>
      </c>
      <c r="RW18" s="5"/>
      <c r="RX18" s="11" cm="1">
        <f t="array" ref="RX18">IF(RK18="Hong Kong",_xll.BDP(RG18&amp;" Equity","PR414"),_xll.BDP(RG18&amp;" Equity","PR090"))</f>
        <v>1</v>
      </c>
      <c r="RY18" s="11">
        <f t="shared" si="156"/>
        <v>240.94</v>
      </c>
      <c r="RZ18" s="5">
        <f t="shared" si="157"/>
        <v>31.728446836491639</v>
      </c>
      <c r="SA18" s="8">
        <f t="shared" si="158"/>
        <v>2.4094000000000001E-2</v>
      </c>
      <c r="SB18" s="8">
        <f t="shared" si="159"/>
        <v>8.5586655063130124E-3</v>
      </c>
      <c r="SC18" s="5"/>
      <c r="SD18" s="21">
        <f t="shared" si="160"/>
        <v>10085.586655063129</v>
      </c>
      <c r="SE18" s="22">
        <f t="shared" si="161"/>
        <v>8914.7799999999988</v>
      </c>
    </row>
    <row r="19" spans="15:499" x14ac:dyDescent="0.2">
      <c r="O19" s="16" t="str" cm="1">
        <f t="array" ref="O19">_xll.BDP(P19&amp;" Equity","DS520")</f>
        <v>Tencent Holdings Ltd</v>
      </c>
      <c r="P19" s="32" t="s">
        <v>29</v>
      </c>
      <c r="Q19" s="32">
        <v>700</v>
      </c>
      <c r="R19" s="32" t="str" cm="1">
        <f t="array" ref="R19">_xll.BDP(P19&amp;" Equity", "ID_ISIN")</f>
        <v>KYG875721634</v>
      </c>
      <c r="S19" s="32"/>
      <c r="T19" s="30" t="str">
        <f>_xll.BDP(P19&amp;" Equity", "DS197")</f>
        <v>Hong Kong</v>
      </c>
      <c r="U19" s="30" t="s">
        <v>26</v>
      </c>
      <c r="V19" s="30" t="s">
        <v>27</v>
      </c>
      <c r="W19" s="30" t="s">
        <v>28</v>
      </c>
      <c r="X19" s="30" t="str">
        <f>_xll.BDP(P19&amp;" Equity", "DS004")</f>
        <v>HKD</v>
      </c>
      <c r="Y19" s="17" cm="1">
        <f t="array" ref="Y19">_xll.BDP(P19&amp;" Equity","PX_LAST")</f>
        <v>520</v>
      </c>
      <c r="Z19" s="33">
        <f t="shared" si="0"/>
        <v>2.6123262801019405E-2</v>
      </c>
      <c r="AA19" s="33">
        <f t="shared" si="1"/>
        <v>2.4817977603542693E-2</v>
      </c>
      <c r="AB19" s="4"/>
      <c r="AC19" s="1" cm="1">
        <f t="array" ref="AC19">IF(X19="USD",1,_xll.BDP(X19&amp;"USD CURNCY","PX_LAST"))</f>
        <v>0.12784999999999999</v>
      </c>
      <c r="AD19" s="18">
        <v>80862.946336896493</v>
      </c>
      <c r="AE19" s="11">
        <f t="shared" si="169"/>
        <v>5375930.3983695516</v>
      </c>
      <c r="AF19" s="5"/>
      <c r="AG19" s="11" cm="1">
        <f t="array" ref="AG19">IF(T19="Hong Kong",_xll.BDP(P19&amp;" Equity","PR414"),_xll.BDP(P19&amp;" Equity","PR090"))</f>
        <v>100</v>
      </c>
      <c r="AH19" s="11">
        <f t="shared" si="170"/>
        <v>6648.1999999999989</v>
      </c>
      <c r="AI19" s="5">
        <f t="shared" si="171"/>
        <v>1.2573996113724333</v>
      </c>
      <c r="AJ19" s="8">
        <f t="shared" si="172"/>
        <v>2.0775624999999995E-2</v>
      </c>
      <c r="AK19" s="8">
        <f t="shared" si="173"/>
        <v>-0.20470788208013313</v>
      </c>
      <c r="AL19" s="5"/>
      <c r="AM19" s="21">
        <f t="shared" si="174"/>
        <v>254493.47773435741</v>
      </c>
      <c r="AN19" s="22">
        <f t="shared" si="175"/>
        <v>245983.39999999994</v>
      </c>
      <c r="AP19" s="16" t="str" cm="1">
        <f t="array" ref="AP19">_xll.BDP(AQ19&amp;" Equity","DS520")</f>
        <v>Roche Holding AG</v>
      </c>
      <c r="AQ19" s="32" t="s">
        <v>70</v>
      </c>
      <c r="AR19" s="32" t="s">
        <v>71</v>
      </c>
      <c r="AS19" s="32" t="str" cm="1">
        <f t="array" ref="AS19">_xll.BDP(AQ19&amp;" Equity", "ID_ISIN")</f>
        <v>CH0012032048</v>
      </c>
      <c r="AT19" s="32"/>
      <c r="AU19" s="30" t="str">
        <f>_xll.BDP(AQ19&amp;" Equity", "DS197")</f>
        <v>SIX Swiss Ex</v>
      </c>
      <c r="AV19" s="30" t="s">
        <v>26</v>
      </c>
      <c r="AW19" s="30" t="s">
        <v>61</v>
      </c>
      <c r="AX19" s="30" t="s">
        <v>28</v>
      </c>
      <c r="AY19" s="30" t="str">
        <f>_xll.BDP(AQ19&amp;" Equity", "DS004")</f>
        <v>CHF</v>
      </c>
      <c r="AZ19" s="17" cm="1">
        <f t="array" ref="AZ19">_xll.BDP(AQ19&amp;" Equity","PX_LAST")</f>
        <v>351.5</v>
      </c>
      <c r="BA19" s="33">
        <f t="shared" si="4"/>
        <v>5.8198129223404137E-2</v>
      </c>
      <c r="BB19" s="33">
        <f t="shared" si="34"/>
        <v>5.5269447961952642E-2</v>
      </c>
      <c r="BD19" s="1" cm="1">
        <f t="array" ref="BD19">IF(AY19="USD",1,_xll.BDP(AY19&amp;"USD CURNCY","PX_LAST"))</f>
        <v>1.2806</v>
      </c>
      <c r="BE19" s="18">
        <v>21287.058179422998</v>
      </c>
      <c r="BF19" s="11">
        <f t="shared" si="35"/>
        <v>9581962.6566560362</v>
      </c>
      <c r="BG19" s="5"/>
      <c r="BH19" s="11" cm="1">
        <f t="array" ref="BH19">IF(AU19="Hong Kong",_xll.BDP(AQ19&amp;" Equity","PR414"),_xll.BDP(AQ19&amp;" Equity","PR090"))</f>
        <v>1</v>
      </c>
      <c r="BI19" s="11">
        <f t="shared" si="36"/>
        <v>450.1309</v>
      </c>
      <c r="BJ19" s="5">
        <f t="shared" si="37"/>
        <v>41.373301302997248</v>
      </c>
      <c r="BK19" s="8">
        <f t="shared" si="38"/>
        <v>5.7673021562500003E-2</v>
      </c>
      <c r="BL19" s="8">
        <f t="shared" si="39"/>
        <v>-9.0227584273098183E-3</v>
      </c>
      <c r="BM19" s="5"/>
      <c r="BN19" s="21">
        <f t="shared" si="40"/>
        <v>7734.4565195917285</v>
      </c>
      <c r="BO19" s="22">
        <f t="shared" si="41"/>
        <v>16654.8433</v>
      </c>
      <c r="BQ19" s="16" t="str" cm="1">
        <f t="array" ref="BQ19">_xll.BDP(BR19&amp;" Equity","DS520")</f>
        <v>Starts Corp Inc</v>
      </c>
      <c r="BR19" s="44" t="s">
        <v>114</v>
      </c>
      <c r="BS19" s="44">
        <v>8850</v>
      </c>
      <c r="BT19" s="32" t="str" cm="1">
        <f t="array" ref="BT19">_xll.BDP(BR19&amp;" Equity", "ID_ISIN")</f>
        <v>JP3399200009</v>
      </c>
      <c r="BU19" s="44"/>
      <c r="BV19" s="30" t="str">
        <f>_xll.BDP(BR19&amp;" Equity", "DS197")</f>
        <v>Tokyo</v>
      </c>
      <c r="BW19" s="30" t="s">
        <v>26</v>
      </c>
      <c r="BX19" s="71" t="s">
        <v>320</v>
      </c>
      <c r="BY19" s="30" t="s">
        <v>28</v>
      </c>
      <c r="BZ19" s="30" t="str">
        <f>_xll.BDP(BR19&amp;" Equity", "DS004")</f>
        <v>JPY</v>
      </c>
      <c r="CA19" s="17" cm="1">
        <f t="array" ref="CA19">_xll.BDP(BR19&amp;" Equity","PX_LAST")</f>
        <v>5080</v>
      </c>
      <c r="CB19" s="33">
        <f t="shared" si="5"/>
        <v>6.9160143907120511E-2</v>
      </c>
      <c r="CC19" s="33">
        <f t="shared" si="42"/>
        <v>6.5696217338991225E-2</v>
      </c>
      <c r="CE19" s="1">
        <v>1</v>
      </c>
      <c r="CF19" s="18">
        <v>8541.1442175587999</v>
      </c>
      <c r="CG19" s="11">
        <f t="shared" ref="CG19" si="190">CF19*CA19*CE19</f>
        <v>43389012.625198707</v>
      </c>
      <c r="CH19" s="5"/>
      <c r="CI19" s="11" cm="1">
        <f t="array" ref="CI19">IF(BV19="Hong Kong",_xll.BDP(BR19&amp;" Equity","PR414"),_xll.BDP(BR19&amp;" Equity","PR090"))</f>
        <v>100</v>
      </c>
      <c r="CJ19" s="11">
        <f t="shared" ref="CJ19" si="191">CI19*CE19*CA19</f>
        <v>508000</v>
      </c>
      <c r="CK19" s="5">
        <f t="shared" ref="CK19" si="192">($AJ$3*CB19)/CJ19</f>
        <v>4.3565444980863316E-2</v>
      </c>
      <c r="CL19" s="8">
        <f t="shared" ref="CL19" si="193">(ROUND(CK19,0)*CJ19)/$AJ$3</f>
        <v>0</v>
      </c>
      <c r="CM19" s="8">
        <f t="shared" ref="CM19" si="194">CL19/CB19-1</f>
        <v>-1</v>
      </c>
      <c r="CN19" s="5"/>
      <c r="CO19" s="21">
        <f t="shared" ref="CO19" si="195">IFERROR(CJ19/CB19,0)</f>
        <v>7345271.0087218015</v>
      </c>
      <c r="CP19" s="22">
        <f t="shared" ref="CP19" si="196">CJ19/(1/COUNTA($P$6:$P$77))</f>
        <v>18796000</v>
      </c>
      <c r="CR19" s="16" t="str" cm="1">
        <f t="array" ref="CR19">_xll.BDP(CS19&amp;" Equity","DS520")</f>
        <v>Public Storage</v>
      </c>
      <c r="CS19" s="32" t="s">
        <v>122</v>
      </c>
      <c r="CT19" s="32" t="s">
        <v>377</v>
      </c>
      <c r="CU19" s="32" t="str" cm="1">
        <f t="array" ref="CU19">_xll.BDP(CS19&amp;" Equity", "ID_ISIN")</f>
        <v>US74460D1090</v>
      </c>
      <c r="CV19" s="32"/>
      <c r="CW19" s="30" t="str">
        <f>_xll.BDP(CS19&amp;" Equity", "DS197")</f>
        <v>New York</v>
      </c>
      <c r="CX19" s="30" t="s">
        <v>26</v>
      </c>
      <c r="CY19" s="30" t="s">
        <v>33</v>
      </c>
      <c r="CZ19" s="30" t="s">
        <v>28</v>
      </c>
      <c r="DA19" s="30" t="str">
        <f>_xll.BDP(CS19&amp;" Equity", "DS004")</f>
        <v>USD</v>
      </c>
      <c r="DB19" s="17" cm="1">
        <f t="array" ref="DB19">_xll.BDP(CS19&amp;" Equity","PX_LAST")</f>
        <v>306.94</v>
      </c>
      <c r="DC19" s="33">
        <f t="shared" si="6"/>
        <v>5.3863428701289025E-2</v>
      </c>
      <c r="DD19" s="33">
        <f t="shared" si="7"/>
        <v>5.1153149814893252E-2</v>
      </c>
      <c r="DF19" s="1" cm="1">
        <f t="array" ref="DF19">IF(DA19="USD",1,_xll.BDP(DA19&amp;"USD CURNCY","PX_LAST"))</f>
        <v>1</v>
      </c>
      <c r="DG19" s="18">
        <v>31825.385549220999</v>
      </c>
      <c r="DH19" s="11">
        <f t="shared" si="8"/>
        <v>9768483.8404778931</v>
      </c>
      <c r="DI19" s="5"/>
      <c r="DJ19" s="11" cm="1">
        <f t="array" ref="DJ19">IF(CW19="Hong Kong",_xll.BDP(CS19&amp;" Equity","PR414"),_xll.BDP(CS19&amp;" Equity","PR090"))</f>
        <v>1</v>
      </c>
      <c r="DK19" s="11">
        <f t="shared" si="9"/>
        <v>306.94</v>
      </c>
      <c r="DL19" s="5">
        <f t="shared" si="50"/>
        <v>56.155265473423107</v>
      </c>
      <c r="DM19" s="8">
        <f t="shared" si="51"/>
        <v>5.3714499999999998E-2</v>
      </c>
      <c r="DN19" s="8">
        <f t="shared" si="52"/>
        <v>-2.7649316963266335E-3</v>
      </c>
      <c r="DO19" s="5"/>
      <c r="DP19" s="21">
        <f t="shared" si="53"/>
        <v>5698.486104592419</v>
      </c>
      <c r="DQ19" s="22">
        <f t="shared" si="54"/>
        <v>11356.779999999999</v>
      </c>
      <c r="DS19" s="16" t="str" cm="1">
        <f t="array" ref="DS19">_xll.BDP(DT19&amp;" Equity","DS520")</f>
        <v>NatWest Group PLC</v>
      </c>
      <c r="DT19" s="32" t="s">
        <v>147</v>
      </c>
      <c r="DU19" s="32" t="s">
        <v>148</v>
      </c>
      <c r="DV19" s="32" t="str" cm="1">
        <f t="array" ref="DV19">_xll.BDP(DT19&amp;" Equity", "ID_ISIN")</f>
        <v>GB00BM8PJY71</v>
      </c>
      <c r="DW19" s="32"/>
      <c r="DX19" s="30" t="str">
        <f>_xll.BDP(DT19&amp;" Equity", "DS197")</f>
        <v>London</v>
      </c>
      <c r="DY19" s="30" t="s">
        <v>26</v>
      </c>
      <c r="DZ19" s="30" t="s">
        <v>129</v>
      </c>
      <c r="EA19" s="30" t="s">
        <v>28</v>
      </c>
      <c r="EB19" s="43" t="str">
        <f>_xll.BDP(DT19&amp;" Equity", "DS004")</f>
        <v>GBp</v>
      </c>
      <c r="EC19" s="17" cm="1">
        <f t="array" ref="EC19">_xll.BDP(DT19&amp;" Equity","PX_LAST")/100</f>
        <v>5.86</v>
      </c>
      <c r="ED19" s="33">
        <f t="shared" si="55"/>
        <v>4.975872166844459E-2</v>
      </c>
      <c r="EE19" s="33">
        <f t="shared" si="56"/>
        <v>4.7201512060842055E-2</v>
      </c>
      <c r="EG19" s="1">
        <v>1</v>
      </c>
      <c r="EH19" s="18">
        <v>1401273.92810385</v>
      </c>
      <c r="EI19" s="11">
        <f t="shared" si="57"/>
        <v>8211465.2186885616</v>
      </c>
      <c r="EJ19" s="5"/>
      <c r="EK19" s="11" cm="1">
        <f t="array" ref="EK19">IF(DX19="Hong Kong",_xll.BDP(DT19&amp;" Equity","PR414"),_xll.BDP(DT19&amp;" Equity","PR090"))</f>
        <v>1</v>
      </c>
      <c r="EL19" s="11">
        <f t="shared" si="58"/>
        <v>5.86</v>
      </c>
      <c r="EM19" s="5">
        <f t="shared" si="59"/>
        <v>2717.1998180720593</v>
      </c>
      <c r="EN19" s="8">
        <f t="shared" si="60"/>
        <v>4.9755062500000002E-2</v>
      </c>
      <c r="EO19" s="8">
        <f t="shared" si="61"/>
        <v>-7.3538232532754932E-5</v>
      </c>
      <c r="EP19" s="5"/>
      <c r="EQ19" s="21">
        <f t="shared" si="62"/>
        <v>117.76829877276022</v>
      </c>
      <c r="ER19" s="22">
        <f t="shared" si="63"/>
        <v>216.82</v>
      </c>
      <c r="ET19" s="16" t="str" cm="1">
        <f t="array" ref="ET19">_xll.BDP(EU19&amp;" Equity","DS520")</f>
        <v>Walmart Inc</v>
      </c>
      <c r="EU19" s="32" t="s">
        <v>704</v>
      </c>
      <c r="EV19" s="32" t="s">
        <v>708</v>
      </c>
      <c r="EW19" s="32" t="str" cm="1">
        <f t="array" ref="EW19">_xll.BDP(EU19&amp;" Equity", "ID_ISIN")</f>
        <v>US9311421039</v>
      </c>
      <c r="EX19" s="32"/>
      <c r="EY19" s="30" t="str">
        <f>_xll.BDP(EU19&amp;" Equity", "DS197")</f>
        <v>NASDAQ GS</v>
      </c>
      <c r="EZ19" s="30" t="s">
        <v>26</v>
      </c>
      <c r="FA19" s="30" t="s">
        <v>33</v>
      </c>
      <c r="FB19" s="30" t="s">
        <v>28</v>
      </c>
      <c r="FC19" s="30" t="str">
        <f>_xll.BDP(EU19&amp;" Equity", "DS004")</f>
        <v>USD</v>
      </c>
      <c r="FD19" s="17" cm="1">
        <f t="array" ref="FD19">_xll.BDP(EU19&amp;" Equity","PX_LAST")</f>
        <v>123.31</v>
      </c>
      <c r="FE19" s="33">
        <f t="shared" si="10"/>
        <v>3.2600449146311411E-2</v>
      </c>
      <c r="FF19" s="33">
        <f t="shared" si="11"/>
        <v>3.0969564836238445E-2</v>
      </c>
      <c r="FH19" s="1" cm="1">
        <f t="array" ref="FH19">IF(FC19="USD",1,_xll.BDP(FC19&amp;"USD CURNCY","PX_LAST"))</f>
        <v>1</v>
      </c>
      <c r="FI19" s="18">
        <v>54176.697474332002</v>
      </c>
      <c r="FJ19" s="11">
        <f t="shared" si="64"/>
        <v>6680528.5655598789</v>
      </c>
      <c r="FK19" s="5"/>
      <c r="FL19" s="11" cm="1">
        <f t="array" ref="FL19">IF(EY19="Hong Kong",_xll.BDP(EU19&amp;" Equity","PR414"),_xll.BDP(EU19&amp;" Equity","PR090"))</f>
        <v>1</v>
      </c>
      <c r="FM19" s="11">
        <f t="shared" si="65"/>
        <v>123.31</v>
      </c>
      <c r="FN19" s="5">
        <f t="shared" si="66"/>
        <v>84.600954722404111</v>
      </c>
      <c r="FO19" s="8">
        <f t="shared" si="67"/>
        <v>3.2754218750000001E-2</v>
      </c>
      <c r="FP19" s="8">
        <f t="shared" si="68"/>
        <v>4.7167940232499816E-3</v>
      </c>
      <c r="FQ19" s="5"/>
      <c r="FR19" s="21">
        <f t="shared" si="69"/>
        <v>3782.4632245581179</v>
      </c>
      <c r="FS19" s="22">
        <f t="shared" si="70"/>
        <v>4562.47</v>
      </c>
      <c r="FU19" s="16" t="str" cm="1">
        <f t="array" ref="FU19">_xll.BDP(FV19&amp;" Equity","DS520")</f>
        <v>Cognizant Technology Solutions Corp</v>
      </c>
      <c r="FV19" s="32" t="s">
        <v>178</v>
      </c>
      <c r="FW19" s="32" t="s">
        <v>392</v>
      </c>
      <c r="FX19" s="32" t="str" cm="1">
        <f t="array" ref="FX19">_xll.BDP(FV19&amp;" Equity", "ID_ISIN")</f>
        <v>US1924461023</v>
      </c>
      <c r="FY19" s="32"/>
      <c r="FZ19" s="30" t="str">
        <f>_xll.BDP(FV19&amp;" Equity", "DS197")</f>
        <v>NASDAQ GS</v>
      </c>
      <c r="GA19" s="30" t="s">
        <v>26</v>
      </c>
      <c r="GB19" s="30" t="s">
        <v>33</v>
      </c>
      <c r="GC19" s="30" t="s">
        <v>28</v>
      </c>
      <c r="GD19" s="30" t="str">
        <f>_xll.BDP(FV19&amp;" Equity", "DS004")</f>
        <v>USD</v>
      </c>
      <c r="GE19" s="17" cm="1">
        <f t="array" ref="GE19">_xll.BDP(FV19&amp;" Equity","PX_LAST")</f>
        <v>65.78</v>
      </c>
      <c r="GF19" s="33">
        <f t="shared" si="12"/>
        <v>3.0496887894804155E-2</v>
      </c>
      <c r="GG19" s="33">
        <f t="shared" si="13"/>
        <v>2.8970655935465842E-2</v>
      </c>
      <c r="GI19" s="1" cm="1">
        <f t="array" ref="GI19">IF(GD19="USD",1,_xll.BDP(GD19&amp;"USD CURNCY","PX_LAST"))</f>
        <v>1</v>
      </c>
      <c r="GJ19" s="18">
        <v>95967.893818354598</v>
      </c>
      <c r="GK19" s="11">
        <f t="shared" si="71"/>
        <v>6312768.0553713655</v>
      </c>
      <c r="GL19" s="5"/>
      <c r="GM19" s="11" cm="1">
        <f t="array" ref="GM19">IF(FZ19="Hong Kong",_xll.BDP(FV19&amp;" Equity","PR414"),_xll.BDP(FV19&amp;" Equity","PR090"))</f>
        <v>1</v>
      </c>
      <c r="GN19" s="11">
        <f t="shared" si="72"/>
        <v>65.78</v>
      </c>
      <c r="GO19" s="5">
        <f t="shared" si="73"/>
        <v>148.35822630491532</v>
      </c>
      <c r="GP19" s="8">
        <f t="shared" si="74"/>
        <v>3.0423250000000002E-2</v>
      </c>
      <c r="GQ19" s="8">
        <f t="shared" si="75"/>
        <v>-2.4146035837544488E-3</v>
      </c>
      <c r="GR19" s="5"/>
      <c r="GS19" s="21">
        <f t="shared" si="76"/>
        <v>2156.9413976567471</v>
      </c>
      <c r="GT19" s="22">
        <f t="shared" si="77"/>
        <v>2433.86</v>
      </c>
      <c r="GV19" s="16" t="str" cm="1">
        <f t="array" ref="GV19">_xll.BDP(GW19&amp;" Equity","DS520")</f>
        <v>Industrial &amp; Commercial Bank of China Ltd</v>
      </c>
      <c r="GW19" s="32" t="s">
        <v>195</v>
      </c>
      <c r="GX19" s="32">
        <v>1398</v>
      </c>
      <c r="GY19" s="32" t="str" cm="1">
        <f t="array" ref="GY19">_xll.BDP(GW19&amp;" Equity", "ID_ISIN")</f>
        <v>CNE1000003G1</v>
      </c>
      <c r="GZ19" s="32"/>
      <c r="HA19" s="30" t="str">
        <f>_xll.BDP(GW19&amp;" Equity", "DS197")</f>
        <v>Hong Kong</v>
      </c>
      <c r="HB19" s="30" t="s">
        <v>26</v>
      </c>
      <c r="HC19" s="30" t="s">
        <v>27</v>
      </c>
      <c r="HD19" s="30" t="s">
        <v>28</v>
      </c>
      <c r="HE19" s="30" t="str">
        <f>_xll.BDP(GW19&amp;" Equity", "DS004")</f>
        <v>HKD</v>
      </c>
      <c r="HF19" s="17" cm="1">
        <f t="array" ref="HF19">_xll.BDP(GW19&amp;" Equity","PX_LAST")</f>
        <v>6.41</v>
      </c>
      <c r="HG19" s="33">
        <f t="shared" si="14"/>
        <v>3.2097664703242573E-2</v>
      </c>
      <c r="HH19" s="33">
        <f t="shared" si="78"/>
        <v>3.0490362280669665E-2</v>
      </c>
      <c r="HJ19" s="1" cm="1">
        <f t="array" ref="HJ19">IF(HE19="USD",1,_xll.BDP(HE19&amp;"USD CURNCY","PX_LAST"))</f>
        <v>0.12784999999999999</v>
      </c>
      <c r="HK19" s="18">
        <v>6387721.9461893104</v>
      </c>
      <c r="HL19" s="11">
        <f t="shared" si="79"/>
        <v>5234856.3077581441</v>
      </c>
      <c r="HM19" s="5"/>
      <c r="HN19" s="11" cm="1">
        <f t="array" ref="HN19">IF(HA19="Hong Kong",_xll.BDP(GW19&amp;" Equity","PR414"),_xll.BDP(GW19&amp;" Equity","PR090"))</f>
        <v>1000</v>
      </c>
      <c r="HO19" s="11">
        <f t="shared" si="80"/>
        <v>819.51850000000002</v>
      </c>
      <c r="HP19" s="5">
        <f t="shared" si="81"/>
        <v>12.533277412331293</v>
      </c>
      <c r="HQ19" s="8">
        <f t="shared" si="82"/>
        <v>3.3292939062499999E-2</v>
      </c>
      <c r="HR19" s="8">
        <f t="shared" si="83"/>
        <v>3.7238670486101633E-2</v>
      </c>
      <c r="HS19" s="5"/>
      <c r="HT19" s="21">
        <f t="shared" si="84"/>
        <v>25532.028811965582</v>
      </c>
      <c r="HU19" s="22">
        <f t="shared" si="85"/>
        <v>30322.184499999999</v>
      </c>
      <c r="HW19" s="16" t="str" cm="1">
        <f t="array" ref="HW19">_xll.BDP(HX19&amp;" Equity","DS520")</f>
        <v>Industrial &amp; Commercial Bank of China Ltd</v>
      </c>
      <c r="HX19" s="45" t="s">
        <v>195</v>
      </c>
      <c r="HY19" s="32">
        <v>1398</v>
      </c>
      <c r="HZ19" s="32" t="str" cm="1">
        <f t="array" ref="HZ19">_xll.BDP(HX19&amp;" Equity", "ID_ISIN")</f>
        <v>CNE1000003G1</v>
      </c>
      <c r="IA19" s="45"/>
      <c r="IB19" s="30" t="str">
        <f>_xll.BDP(HX19&amp;" Equity", "DS197")</f>
        <v>Hong Kong</v>
      </c>
      <c r="IC19" s="30" t="s">
        <v>26</v>
      </c>
      <c r="ID19" s="30" t="s">
        <v>27</v>
      </c>
      <c r="IE19" s="30" t="s">
        <v>28</v>
      </c>
      <c r="IF19" s="30" t="str">
        <f>_xll.BDP(HX19&amp;" Equity", "DS004")</f>
        <v>HKD</v>
      </c>
      <c r="IG19" s="17" cm="1">
        <f t="array" ref="IG19">_xll.BDP(HX19&amp;" Equity","PX_LAST")</f>
        <v>6.41</v>
      </c>
      <c r="IH19" s="33">
        <f t="shared" si="15"/>
        <v>4.5173922968092181E-2</v>
      </c>
      <c r="II19" s="33">
        <f t="shared" si="16"/>
        <v>4.2938342322528245E-2</v>
      </c>
      <c r="IK19" s="1">
        <v>1</v>
      </c>
      <c r="IL19" s="18">
        <v>1335770.95626331</v>
      </c>
      <c r="IM19" s="11">
        <f t="shared" si="183"/>
        <v>8562291.8296478167</v>
      </c>
      <c r="IN19" s="5"/>
      <c r="IO19" s="11" cm="1">
        <f t="array" ref="IO19">IF(IB19="Hong Kong",_xll.BDP(HX19&amp;" Equity","PR414"),_xll.BDP(HX19&amp;" Equity","PR090"))</f>
        <v>1000</v>
      </c>
      <c r="IP19" s="11">
        <f t="shared" si="184"/>
        <v>6410</v>
      </c>
      <c r="IQ19" s="5">
        <f t="shared" si="185"/>
        <v>2.2551724414648202</v>
      </c>
      <c r="IR19" s="8">
        <f t="shared" si="186"/>
        <v>4.0062500000000001E-2</v>
      </c>
      <c r="IS19" s="8">
        <f t="shared" si="187"/>
        <v>-0.11314985797674793</v>
      </c>
      <c r="IT19" s="5"/>
      <c r="IU19" s="21">
        <f t="shared" si="188"/>
        <v>141896.02272372032</v>
      </c>
      <c r="IV19" s="22">
        <f t="shared" si="189"/>
        <v>237170</v>
      </c>
      <c r="IX19" s="16" t="str" cm="1">
        <f t="array" ref="IX19">_xll.BDP(IY19&amp;" Equity","DS520")</f>
        <v>NEC Corp</v>
      </c>
      <c r="IY19" s="32" t="s">
        <v>690</v>
      </c>
      <c r="IZ19" s="32">
        <v>6701</v>
      </c>
      <c r="JA19" s="32" t="str" cm="1">
        <f t="array" ref="JA19">_xll.BDP(IY19&amp;" Equity", "ID_ISIN")</f>
        <v>JP3733000008</v>
      </c>
      <c r="JB19" s="32"/>
      <c r="JC19" s="30" t="str">
        <f>_xll.BDP(IY19&amp;" Equity", "DS197")</f>
        <v>Tokyo</v>
      </c>
      <c r="JD19" s="30" t="s">
        <v>26</v>
      </c>
      <c r="JE19" s="30" t="s">
        <v>320</v>
      </c>
      <c r="JF19" s="30" t="s">
        <v>28</v>
      </c>
      <c r="JG19" s="30" t="str">
        <f>_xll.BDP(IY19&amp;" Equity", "DS004")</f>
        <v>JPY</v>
      </c>
      <c r="JH19" s="17" cm="1">
        <f t="array" ref="JH19">_xll.BDP(IY19&amp;" Equity","PX_LAST")</f>
        <v>4431</v>
      </c>
      <c r="JI19" s="33">
        <f t="shared" si="93"/>
        <v>3.3070017530862514E-2</v>
      </c>
      <c r="JJ19" s="33">
        <f t="shared" si="17"/>
        <v>3.1414827907277246E-2</v>
      </c>
      <c r="JL19" s="1" cm="1">
        <f t="array" ref="JL19">IF(JG19="USD",1,_xll.BDP(JG19&amp;"USD CURNCY","PX_LAST"))</f>
        <v>6.3369999999999998E-3</v>
      </c>
      <c r="JM19" s="18">
        <v>143678.376593547</v>
      </c>
      <c r="JN19" s="11">
        <f t="shared" si="94"/>
        <v>4034380.6249292246</v>
      </c>
      <c r="JO19" s="5"/>
      <c r="JP19" s="11" cm="1">
        <f t="array" ref="JP19">IF(JC19="Hong Kong",_xll.BDP(IY19&amp;" Equity","PR414"),_xll.BDP(IY19&amp;" Equity","PR090"))</f>
        <v>100</v>
      </c>
      <c r="JQ19" s="11">
        <f t="shared" si="95"/>
        <v>2807.9246999999996</v>
      </c>
      <c r="JR19" s="5">
        <f t="shared" si="96"/>
        <v>3.7687640305582293</v>
      </c>
      <c r="JS19" s="8">
        <f t="shared" si="97"/>
        <v>3.5099058749999995E-2</v>
      </c>
      <c r="JT19" s="8">
        <f t="shared" si="98"/>
        <v>6.1355916042193925E-2</v>
      </c>
      <c r="JU19" s="5"/>
      <c r="JV19" s="21">
        <f t="shared" si="99"/>
        <v>84908.473283375512</v>
      </c>
      <c r="JW19" s="22">
        <f t="shared" si="100"/>
        <v>103893.21389999997</v>
      </c>
      <c r="JY19" s="16" t="str" cm="1">
        <f t="array" ref="JY19">_xll.BDP(JZ19&amp;" Equity","DS520")</f>
        <v>Corteva Inc</v>
      </c>
      <c r="JZ19" s="32" t="s">
        <v>241</v>
      </c>
      <c r="KA19" s="32" t="s">
        <v>393</v>
      </c>
      <c r="KB19" s="32" t="str" cm="1">
        <f t="array" ref="KB19">_xll.BDP(JZ19&amp;" Equity", "ID_ISIN")</f>
        <v>US22052L1044</v>
      </c>
      <c r="KC19" s="32"/>
      <c r="KD19" s="30" t="str">
        <f>_xll.BDP(JZ19&amp;" Equity", "DS197")</f>
        <v>New York</v>
      </c>
      <c r="KE19" s="30" t="s">
        <v>26</v>
      </c>
      <c r="KF19" s="30" t="s">
        <v>33</v>
      </c>
      <c r="KG19" s="30" t="s">
        <v>28</v>
      </c>
      <c r="KH19" s="30" t="str">
        <f>_xll.BDP(JZ19&amp;" Equity", "DS004")</f>
        <v>USD</v>
      </c>
      <c r="KI19" s="17" cm="1">
        <f t="array" ref="KI19">_xll.BDP(JZ19&amp;" Equity","PX_LAST")</f>
        <v>76.59</v>
      </c>
      <c r="KJ19" s="33">
        <f t="shared" si="101"/>
        <v>3.1428652301822235E-2</v>
      </c>
      <c r="KK19" s="33">
        <f t="shared" si="102"/>
        <v>2.986206643512768E-2</v>
      </c>
      <c r="KM19" s="1" cm="1">
        <f t="array" ref="KM19">IF(KH19="USD",1,_xll.BDP(KH19&amp;"USD CURNCY","PX_LAST"))</f>
        <v>1</v>
      </c>
      <c r="KN19" s="18">
        <v>40748.075459162799</v>
      </c>
      <c r="KO19" s="11">
        <f t="shared" si="103"/>
        <v>3120895.099417279</v>
      </c>
      <c r="KP19" s="5"/>
      <c r="KQ19" s="11" cm="1">
        <f t="array" ref="KQ19">IF(KD19="Hong Kong",_xll.BDP(JZ19&amp;" Equity","PR414"),_xll.BDP(JZ19&amp;" Equity","PR090"))</f>
        <v>1</v>
      </c>
      <c r="KR19" s="11">
        <f t="shared" si="104"/>
        <v>76.59</v>
      </c>
      <c r="KS19" s="5">
        <f t="shared" si="105"/>
        <v>131.31177355507396</v>
      </c>
      <c r="KT19" s="8">
        <f t="shared" si="106"/>
        <v>3.1354031250000004E-2</v>
      </c>
      <c r="KU19" s="8">
        <f t="shared" si="107"/>
        <v>-2.3743000847001872E-3</v>
      </c>
      <c r="KV19" s="5"/>
      <c r="KW19" s="21">
        <f t="shared" si="108"/>
        <v>2436.9482746022586</v>
      </c>
      <c r="KX19" s="22">
        <f t="shared" si="109"/>
        <v>2833.83</v>
      </c>
      <c r="KZ19" s="16" t="str" cm="1">
        <f t="array" ref="KZ19">_xll.BDP(LA19&amp;" Equity","DS520")</f>
        <v>VICI Properties Inc</v>
      </c>
      <c r="LA19" s="32" t="s">
        <v>256</v>
      </c>
      <c r="LB19" s="32" t="s">
        <v>379</v>
      </c>
      <c r="LC19" s="32" t="str" cm="1">
        <f t="array" ref="LC19">_xll.BDP(LA19&amp;" Equity", "ID_ISIN")</f>
        <v>US9256521090</v>
      </c>
      <c r="LD19" s="32"/>
      <c r="LE19" s="30" t="str">
        <f>_xll.BDP(LA19&amp;" Equity", "DS197")</f>
        <v>New York</v>
      </c>
      <c r="LF19" s="30" t="s">
        <v>26</v>
      </c>
      <c r="LG19" s="30" t="s">
        <v>33</v>
      </c>
      <c r="LH19" s="30" t="s">
        <v>28</v>
      </c>
      <c r="LI19" s="30" t="str">
        <f>_xll.BDP(LA19&amp;" Equity", "DS004")</f>
        <v>USD</v>
      </c>
      <c r="LJ19" s="17" cm="1">
        <f t="array" ref="LJ19">_xll.BDP(LA19&amp;" Equity","PX_LAST")</f>
        <v>29.69</v>
      </c>
      <c r="LK19" s="33">
        <f t="shared" si="18"/>
        <v>5.9796109113447064E-2</v>
      </c>
      <c r="LL19" s="33">
        <f t="shared" si="19"/>
        <v>5.6780782976256647E-2</v>
      </c>
      <c r="LN19" s="1">
        <v>1</v>
      </c>
      <c r="LO19" s="18">
        <v>222564.56000691201</v>
      </c>
      <c r="LP19" s="11">
        <f t="shared" si="110"/>
        <v>6607941.7866052175</v>
      </c>
      <c r="LQ19" s="5"/>
      <c r="LR19" s="11" cm="1">
        <f t="array" ref="LR19">IF(LE19="Hong Kong",_xll.BDP(LA19&amp;" Equity","PR414"),_xll.BDP(LA19&amp;" Equity","PR090"))</f>
        <v>1</v>
      </c>
      <c r="LS19" s="11">
        <f t="shared" si="111"/>
        <v>29.69</v>
      </c>
      <c r="LT19" s="5">
        <f t="shared" si="112"/>
        <v>644.48484056258201</v>
      </c>
      <c r="LU19" s="8">
        <f t="shared" si="113"/>
        <v>5.9751125000000002E-2</v>
      </c>
      <c r="LV19" s="8">
        <f t="shared" si="114"/>
        <v>-7.5229164763412903E-4</v>
      </c>
      <c r="LW19" s="5"/>
      <c r="LX19" s="21">
        <f t="shared" si="115"/>
        <v>496.52060042353588</v>
      </c>
      <c r="LY19" s="22">
        <f t="shared" si="116"/>
        <v>1098.53</v>
      </c>
      <c r="MA19" s="16" t="str" cm="1">
        <f t="array" ref="MA19">_xll.BDP(MB19&amp;" Equity","DS520")</f>
        <v>GSK PLC</v>
      </c>
      <c r="MB19" s="32" t="s">
        <v>96</v>
      </c>
      <c r="MC19" s="32" t="s">
        <v>333</v>
      </c>
      <c r="MD19" s="32" t="str" cm="1">
        <f t="array" ref="MD19">_xll.BDP(MB19&amp;" Equity", "ID_ISIN")</f>
        <v>GB00BN7SWP63</v>
      </c>
      <c r="ME19" s="32"/>
      <c r="MF19" s="30" t="str">
        <f>_xll.BDP(MB19&amp;" Equity", "DS197")</f>
        <v>London</v>
      </c>
      <c r="MG19" s="30" t="s">
        <v>26</v>
      </c>
      <c r="MH19" s="30" t="s">
        <v>129</v>
      </c>
      <c r="MI19" s="30" t="s">
        <v>28</v>
      </c>
      <c r="MJ19" s="43" t="str">
        <f>_xll.BDP(MB19&amp;" Equity", "DS004")</f>
        <v>GBp</v>
      </c>
      <c r="MK19" s="17" cm="1">
        <f t="array" ref="MK19">_xll.BDP(MB19&amp;" Equity","PX_LAST")/100</f>
        <v>20.76</v>
      </c>
      <c r="ML19" s="33">
        <f t="shared" si="20"/>
        <v>2.8395972791362606E-2</v>
      </c>
      <c r="MM19" s="33">
        <f t="shared" si="21"/>
        <v>2.6959070720118872E-2</v>
      </c>
      <c r="MO19" s="1" cm="1">
        <f t="array" ref="MO19">IF(MJ19="USD",1,_xll.BDP(MJ19&amp;"USD CURNCY","PX_LAST"))</f>
        <v>1.3359000000000001</v>
      </c>
      <c r="MP19" s="18">
        <v>183947.15558270901</v>
      </c>
      <c r="MQ19" s="11">
        <f t="shared" si="117"/>
        <v>5101458.7067674547</v>
      </c>
      <c r="MR19" s="5"/>
      <c r="MS19" s="11" cm="1">
        <f t="array" ref="MS19">IF(MF19="Hong Kong",_xll.BDP(MB19&amp;" Equity","PR414"),_xll.BDP(MB19&amp;" Equity","PR090"))</f>
        <v>1</v>
      </c>
      <c r="MT19" s="11">
        <f t="shared" si="118"/>
        <v>27.733284000000005</v>
      </c>
      <c r="MU19" s="5">
        <f t="shared" si="119"/>
        <v>327.64642273291662</v>
      </c>
      <c r="MV19" s="8">
        <f t="shared" si="120"/>
        <v>2.8426616100000007E-2</v>
      </c>
      <c r="MW19" s="8">
        <f t="shared" si="121"/>
        <v>1.0791427665659548E-3</v>
      </c>
      <c r="MX19" s="5"/>
      <c r="MY19" s="21">
        <f t="shared" si="122"/>
        <v>976.66257830884467</v>
      </c>
      <c r="MZ19" s="22">
        <f t="shared" si="123"/>
        <v>1026.1315080000002</v>
      </c>
      <c r="NB19" s="16" t="str" cm="1">
        <f t="array" ref="NB19">_xll.BDP(NC19&amp;" Equity","DS520")</f>
        <v>Kimberly-Clark Corp</v>
      </c>
      <c r="NC19" s="32" t="s">
        <v>51</v>
      </c>
      <c r="ND19" s="32" t="s">
        <v>52</v>
      </c>
      <c r="NE19" s="32" t="str" cm="1">
        <f t="array" ref="NE19">_xll.BDP(NC19&amp;" Equity", "ID_ISIN")</f>
        <v>US4943681035</v>
      </c>
      <c r="NF19" s="32"/>
      <c r="NG19" s="30" t="str">
        <f>_xll.BDP(NC19&amp;" Equity", "DS197")</f>
        <v>NASDAQ GS</v>
      </c>
      <c r="NH19" s="30" t="s">
        <v>26</v>
      </c>
      <c r="NI19" s="30" t="s">
        <v>33</v>
      </c>
      <c r="NJ19" s="30" t="s">
        <v>28</v>
      </c>
      <c r="NK19" s="30" t="str">
        <f>_xll.BDP(NC19&amp;" Equity", "DS004")</f>
        <v>USD</v>
      </c>
      <c r="NL19" s="17" cm="1">
        <f t="array" ref="NL19">_xll.BDP(NC19&amp;" Equity","PX_LAST")</f>
        <v>104.91</v>
      </c>
      <c r="NM19" s="33">
        <f t="shared" si="22"/>
        <v>3.7215533883056547E-2</v>
      </c>
      <c r="NN19" s="33">
        <f t="shared" si="23"/>
        <v>3.5327807180230868E-2</v>
      </c>
      <c r="NP19" s="1" cm="1">
        <f t="array" ref="NP19">IF(NK19="USD",1,_xll.BDP(NK19&amp;"USD CURNCY","PX_LAST"))</f>
        <v>1</v>
      </c>
      <c r="NQ19" s="18">
        <v>60644.301029578302</v>
      </c>
      <c r="NR19" s="11">
        <f t="shared" si="124"/>
        <v>6362193.6210130593</v>
      </c>
      <c r="NS19" s="5"/>
      <c r="NT19" s="11" cm="1">
        <f t="array" ref="NT19">IF(NG19="Hong Kong",_xll.BDP(NC19&amp;" Equity","PR414"),_xll.BDP(NC19&amp;" Equity","PR090"))</f>
        <v>1</v>
      </c>
      <c r="NU19" s="11">
        <f t="shared" si="125"/>
        <v>104.91</v>
      </c>
      <c r="NV19" s="5">
        <f t="shared" si="126"/>
        <v>113.51606941738724</v>
      </c>
      <c r="NW19" s="8">
        <f t="shared" si="127"/>
        <v>3.7374187499999996E-2</v>
      </c>
      <c r="NX19" s="8">
        <f t="shared" si="128"/>
        <v>4.2631020004171294E-3</v>
      </c>
      <c r="NY19" s="5"/>
      <c r="NZ19" s="21">
        <f t="shared" si="129"/>
        <v>2818.9841459660834</v>
      </c>
      <c r="OA19" s="22">
        <f t="shared" si="130"/>
        <v>3881.6699999999996</v>
      </c>
      <c r="OC19" s="16" t="str" cm="1">
        <f t="array" ref="OC19">_xll.BDP(OD19&amp;" Equity","DS520")</f>
        <v>Koninklijke Ahold Delhaize NV</v>
      </c>
      <c r="OD19" s="59" t="s">
        <v>278</v>
      </c>
      <c r="OE19" s="32" t="s">
        <v>355</v>
      </c>
      <c r="OF19" s="32" t="str" cm="1">
        <f t="array" ref="OF19">_xll.BDP(OD19&amp;" Equity", "ID_ISIN")</f>
        <v>NL0011794037</v>
      </c>
      <c r="OG19" s="59"/>
      <c r="OH19" s="30" t="str">
        <f>_xll.BDP(OD19&amp;" Equity", "DS197")</f>
        <v>EN Amsterdam</v>
      </c>
      <c r="OI19" s="30" t="s">
        <v>26</v>
      </c>
      <c r="OJ19" s="30" t="s">
        <v>39</v>
      </c>
      <c r="OK19" s="30" t="s">
        <v>28</v>
      </c>
      <c r="OL19" s="51" t="str">
        <f>_xll.BDP(OD19&amp;" Equity", "DS004")</f>
        <v>EUR</v>
      </c>
      <c r="OM19" s="17" cm="1">
        <f t="array" ref="OM19">_xll.BDP(OD19&amp;" Equity","PX_LAST")</f>
        <v>40.770000000000003</v>
      </c>
      <c r="ON19" s="33">
        <f t="shared" si="24"/>
        <v>3.7727001750523251E-2</v>
      </c>
      <c r="OO19" s="33">
        <f t="shared" si="131"/>
        <v>3.5773009025723203E-2</v>
      </c>
      <c r="OQ19" s="1" cm="1">
        <f t="array" ref="OQ19">IF(OL19="EUR",1,_xll.BDP(OL19&amp;"EUR CURNCY","PX_LAST"))</f>
        <v>1</v>
      </c>
      <c r="OR19" s="18">
        <v>170420.85038857599</v>
      </c>
      <c r="OS19" s="11">
        <f t="shared" si="132"/>
        <v>6948058.0703422436</v>
      </c>
      <c r="OT19" s="5"/>
      <c r="OU19" s="11" cm="1">
        <f t="array" ref="OU19">IF(OH19="Hong Kong",_xll.BDP(OD19&amp;" Equity","PR414"),_xll.BDP(OD19&amp;" Equity","PR090"))</f>
        <v>1</v>
      </c>
      <c r="OV19" s="11">
        <f t="shared" si="133"/>
        <v>40.770000000000003</v>
      </c>
      <c r="OW19" s="5">
        <f t="shared" si="134"/>
        <v>296.11578514023643</v>
      </c>
      <c r="OX19" s="8">
        <f t="shared" si="135"/>
        <v>3.7712250000000003E-2</v>
      </c>
      <c r="OY19" s="8">
        <f t="shared" si="136"/>
        <v>-3.9101306329081265E-4</v>
      </c>
      <c r="OZ19" s="5"/>
      <c r="PA19" s="21">
        <f t="shared" si="137"/>
        <v>1080.6583642559019</v>
      </c>
      <c r="PB19" s="22">
        <f t="shared" si="138"/>
        <v>1508.49</v>
      </c>
      <c r="PD19" s="16" t="str" cm="1">
        <f t="array" ref="PD19">_xll.BDP(PE19&amp;" Equity","DS520")</f>
        <v>Canon Inc</v>
      </c>
      <c r="PE19" s="32" t="s">
        <v>191</v>
      </c>
      <c r="PF19" s="32">
        <v>7751</v>
      </c>
      <c r="PG19" s="32" t="str" cm="1">
        <f t="array" ref="PG19">_xll.BDP(PE19&amp;" Equity", "ID_ISIN")</f>
        <v>JP3242800005</v>
      </c>
      <c r="PH19" s="32"/>
      <c r="PI19" s="30" t="str">
        <f>_xll.BDP(PE19&amp;" Equity", "DS197")</f>
        <v>Tokyo</v>
      </c>
      <c r="PJ19" s="30" t="s">
        <v>26</v>
      </c>
      <c r="PK19" s="71" t="s">
        <v>320</v>
      </c>
      <c r="PL19" s="30" t="s">
        <v>28</v>
      </c>
      <c r="PM19" s="30" t="str">
        <f>_xll.BDP(PE19&amp;" Equity", "DS004")</f>
        <v>JPY</v>
      </c>
      <c r="PN19" s="17" cm="1">
        <f t="array" ref="PN19">_xll.BDP(PE19&amp;" Equity","PX_LAST")</f>
        <v>4526</v>
      </c>
      <c r="PO19" s="33">
        <f t="shared" si="25"/>
        <v>4.3088269767519539E-2</v>
      </c>
      <c r="PP19" s="33">
        <f t="shared" si="26"/>
        <v>4.0931632450774892E-2</v>
      </c>
      <c r="PR19" s="1">
        <v>1</v>
      </c>
      <c r="PS19" s="18">
        <v>1834.72046047698</v>
      </c>
      <c r="PT19" s="11">
        <f t="shared" si="139"/>
        <v>8303944.8041188112</v>
      </c>
      <c r="PU19" s="5"/>
      <c r="PV19" s="11" cm="1">
        <f t="array" ref="PV19">IF(PI19="Hong Kong",_xll.BDP(PE19&amp;" Equity","PR414"),_xll.BDP(PE19&amp;" Equity","PR090"))</f>
        <v>100</v>
      </c>
      <c r="PW19" s="11">
        <f t="shared" si="140"/>
        <v>452600</v>
      </c>
      <c r="PX19" s="5">
        <f t="shared" si="141"/>
        <v>3.0464530105183945E-2</v>
      </c>
      <c r="PY19" s="8">
        <f t="shared" si="142"/>
        <v>0</v>
      </c>
      <c r="PZ19" s="8">
        <f t="shared" si="143"/>
        <v>-1</v>
      </c>
      <c r="QA19" s="5"/>
      <c r="QB19" s="21">
        <f t="shared" si="144"/>
        <v>10504018.899853235</v>
      </c>
      <c r="QC19" s="22">
        <f t="shared" si="145"/>
        <v>16746200</v>
      </c>
      <c r="QE19" s="16" t="str" cm="1">
        <f t="array" ref="QE19">_xll.BDP(QF19&amp;" Equity","DS520")</f>
        <v>OneSpan Inc</v>
      </c>
      <c r="QF19" s="34" t="s">
        <v>613</v>
      </c>
      <c r="QG19" s="34"/>
      <c r="QH19" s="32" t="str" cm="1">
        <f t="array" ref="QH19">_xll.BDP(QF19&amp;" Equity", "ID_ISIN")</f>
        <v>US68287N1000</v>
      </c>
      <c r="QI19" s="34"/>
      <c r="QJ19" s="30" t="str">
        <f>_xll.BDP(QF19&amp;" Equity", "DS197")</f>
        <v>NASDAQ CM</v>
      </c>
      <c r="QK19" s="30" t="s">
        <v>26</v>
      </c>
      <c r="QL19" s="30"/>
      <c r="QM19" s="30" t="s">
        <v>28</v>
      </c>
      <c r="QN19" s="30" t="str">
        <f>_xll.BDP(QF19&amp;" Equity", "DS004")</f>
        <v>USD</v>
      </c>
      <c r="QO19" s="17" cm="1">
        <f t="array" ref="QO19">_xll.BDP(QF19&amp;" Equity","PX_LAST")</f>
        <v>10.97</v>
      </c>
      <c r="QP19" s="33">
        <f t="shared" si="27"/>
        <v>3.6237546863655476E-2</v>
      </c>
      <c r="QQ19" s="33">
        <f t="shared" si="28"/>
        <v>3.4434511204634949E-2</v>
      </c>
      <c r="QS19" s="1" cm="1">
        <f t="array" ref="QS19">IF(QN19="USD",1,_xll.BDP(QN19&amp;"USD CURNCY","PX_LAST"))</f>
        <v>1</v>
      </c>
      <c r="QT19" s="18">
        <v>376846.340415682</v>
      </c>
      <c r="QU19" s="11">
        <f t="shared" si="146"/>
        <v>4134004.3543600319</v>
      </c>
      <c r="QV19" s="5"/>
      <c r="QW19" s="11" cm="1">
        <f t="array" ref="QW19">IF(QJ19="Hong Kong",_xll.BDP(QF19&amp;" Equity","PR414"),_xll.BDP(QF19&amp;" Equity","PR090"))</f>
        <v>1</v>
      </c>
      <c r="QX19" s="11">
        <f t="shared" si="147"/>
        <v>10.97</v>
      </c>
      <c r="QY19" s="5">
        <f t="shared" si="148"/>
        <v>1057.0660890036238</v>
      </c>
      <c r="QZ19" s="8">
        <f t="shared" si="149"/>
        <v>3.6235281250000001E-2</v>
      </c>
      <c r="RA19" s="8">
        <f t="shared" si="150"/>
        <v>-6.2521165243301091E-5</v>
      </c>
      <c r="RB19" s="5"/>
      <c r="RC19" s="21">
        <f t="shared" si="151"/>
        <v>302.72468611837479</v>
      </c>
      <c r="RD19" s="22">
        <f t="shared" si="152"/>
        <v>405.89</v>
      </c>
      <c r="RF19" s="16" t="str" cm="1">
        <f t="array" ref="RF19">_xll.BDP(RG19&amp;" Equity","DS520")</f>
        <v>Intuitive Surgical Inc</v>
      </c>
      <c r="RG19" s="34" t="s">
        <v>230</v>
      </c>
      <c r="RH19" s="34"/>
      <c r="RI19" s="32" t="str" cm="1">
        <f t="array" ref="RI19">_xll.BDP(RG19&amp;" Equity", "ID_ISIN")</f>
        <v>US46120E6023</v>
      </c>
      <c r="RJ19" s="34"/>
      <c r="RK19" s="30" t="str">
        <f>_xll.BDP(RG19&amp;" Equity", "DS197")</f>
        <v>NASDAQ GS</v>
      </c>
      <c r="RL19" s="30" t="s">
        <v>26</v>
      </c>
      <c r="RM19" s="30"/>
      <c r="RN19" s="30" t="s">
        <v>28</v>
      </c>
      <c r="RO19" s="30" t="str">
        <f>_xll.BDP(RG19&amp;" Equity", "DS004")</f>
        <v>USD</v>
      </c>
      <c r="RP19" s="17" cm="1">
        <f t="array" ref="RP19">_xll.BDP(RG19&amp;" Equity","PX_LAST")</f>
        <v>496.7</v>
      </c>
      <c r="RQ19" s="33">
        <f t="shared" si="153"/>
        <v>2.4716422831200215E-2</v>
      </c>
      <c r="RR19" s="33">
        <f t="shared" si="154"/>
        <v>2.3503138983699736E-2</v>
      </c>
      <c r="RT19" s="1" cm="1">
        <f t="array" ref="RT19">IF(RO19="USD",1,_xll.BDP(RO19&amp;"USD CURNCY","PX_LAST"))</f>
        <v>1</v>
      </c>
      <c r="RU19" s="18">
        <v>5014.4784236174801</v>
      </c>
      <c r="RV19" s="11">
        <f t="shared" si="155"/>
        <v>2490691.4330108021</v>
      </c>
      <c r="RW19" s="5"/>
      <c r="RX19" s="11" cm="1">
        <f t="array" ref="RX19">IF(RK19="Hong Kong",_xll.BDP(RG19&amp;" Equity","PR414"),_xll.BDP(RG19&amp;" Equity","PR090"))</f>
        <v>1</v>
      </c>
      <c r="RY19" s="11">
        <f t="shared" si="156"/>
        <v>496.7</v>
      </c>
      <c r="RZ19" s="5">
        <f t="shared" si="157"/>
        <v>15.923606414302533</v>
      </c>
      <c r="SA19" s="8">
        <f t="shared" si="158"/>
        <v>2.4834999999999999E-2</v>
      </c>
      <c r="SB19" s="8">
        <f t="shared" si="159"/>
        <v>4.7975052704674059E-3</v>
      </c>
      <c r="SC19" s="5"/>
      <c r="SD19" s="21">
        <f t="shared" si="160"/>
        <v>20095.950105409349</v>
      </c>
      <c r="SE19" s="22">
        <f t="shared" si="161"/>
        <v>18377.899999999998</v>
      </c>
    </row>
    <row r="20" spans="15:499" x14ac:dyDescent="0.2">
      <c r="O20" s="16" t="str" cm="1">
        <f t="array" ref="O20">_xll.BDP(P20&amp;" Equity","DS520")</f>
        <v>Novartis AG</v>
      </c>
      <c r="P20" s="32" t="s">
        <v>62</v>
      </c>
      <c r="Q20" s="32" t="s">
        <v>63</v>
      </c>
      <c r="R20" s="32" t="str" cm="1">
        <f t="array" ref="R20">_xll.BDP(P20&amp;" Equity", "ID_ISIN")</f>
        <v>CH0012005267</v>
      </c>
      <c r="S20" s="32"/>
      <c r="T20" s="30" t="str">
        <f>_xll.BDP(P20&amp;" Equity", "DS197")</f>
        <v>SIX Swiss Ex</v>
      </c>
      <c r="U20" s="30" t="s">
        <v>26</v>
      </c>
      <c r="V20" s="30" t="s">
        <v>61</v>
      </c>
      <c r="W20" s="30" t="s">
        <v>28</v>
      </c>
      <c r="X20" s="30" t="str">
        <f>_xll.BDP(P20&amp;" Equity", "DS004")</f>
        <v>CHF</v>
      </c>
      <c r="Y20" s="17" cm="1">
        <f t="array" ref="Y20">_xll.BDP(P20&amp;" Equity","PX_LAST")</f>
        <v>124.82</v>
      </c>
      <c r="Z20" s="33">
        <f t="shared" si="0"/>
        <v>2.797946853614907E-2</v>
      </c>
      <c r="AA20" s="33">
        <f t="shared" si="1"/>
        <v>2.6581435434706792E-2</v>
      </c>
      <c r="AB20" s="4"/>
      <c r="AC20" s="1" cm="1">
        <f t="array" ref="AC20">IF(X20="USD",1,_xll.BDP(X20&amp;"USD CURNCY","PX_LAST"))</f>
        <v>1.2806</v>
      </c>
      <c r="AD20" s="18">
        <v>36022.015024145003</v>
      </c>
      <c r="AE20" s="11">
        <f t="shared" si="169"/>
        <v>5757920.6923508253</v>
      </c>
      <c r="AF20" s="5"/>
      <c r="AG20" s="11" cm="1">
        <f t="array" ref="AG20">IF(T20="Hong Kong",_xll.BDP(P20&amp;" Equity","PR414"),_xll.BDP(P20&amp;" Equity","PR090"))</f>
        <v>1</v>
      </c>
      <c r="AH20" s="11">
        <f t="shared" si="170"/>
        <v>159.84449199999997</v>
      </c>
      <c r="AI20" s="5">
        <f t="shared" si="171"/>
        <v>56.013377874588905</v>
      </c>
      <c r="AJ20" s="8">
        <f t="shared" si="172"/>
        <v>2.7972786099999997E-2</v>
      </c>
      <c r="AK20" s="8">
        <f t="shared" si="173"/>
        <v>-2.3883356256171329E-4</v>
      </c>
      <c r="AL20" s="5"/>
      <c r="AM20" s="21">
        <f t="shared" si="174"/>
        <v>5712.9209510710753</v>
      </c>
      <c r="AN20" s="22">
        <f t="shared" si="175"/>
        <v>5914.2462039999991</v>
      </c>
      <c r="AP20" s="16" t="str" cm="1">
        <f t="array" ref="AP20">_xll.BDP(AQ20&amp;" Equity","DS520")</f>
        <v>Sanofi SA</v>
      </c>
      <c r="AQ20" s="32" t="s">
        <v>103</v>
      </c>
      <c r="AR20" s="32" t="s">
        <v>338</v>
      </c>
      <c r="AS20" s="32" t="str" cm="1">
        <f t="array" ref="AS20">_xll.BDP(AQ20&amp;" Equity", "ID_ISIN")</f>
        <v>FR0000120578</v>
      </c>
      <c r="AT20" s="32"/>
      <c r="AU20" s="30" t="str">
        <f>_xll.BDP(AQ20&amp;" Equity", "DS197")</f>
        <v>EN Paris</v>
      </c>
      <c r="AV20" s="30" t="s">
        <v>26</v>
      </c>
      <c r="AW20" s="30" t="s">
        <v>39</v>
      </c>
      <c r="AX20" s="30" t="s">
        <v>28</v>
      </c>
      <c r="AY20" s="30" t="str">
        <f>_xll.BDP(AQ20&amp;" Equity", "DS004")</f>
        <v>EUR</v>
      </c>
      <c r="AZ20" s="17" cm="1">
        <f t="array" ref="AZ20">_xll.BDP(AQ20&amp;" Equity","PX_LAST")</f>
        <v>77.73</v>
      </c>
      <c r="BA20" s="33">
        <f t="shared" si="4"/>
        <v>4.1515591400854021E-2</v>
      </c>
      <c r="BB20" s="33">
        <f t="shared" si="34"/>
        <v>3.942641884125115E-2</v>
      </c>
      <c r="BD20" s="1" cm="1">
        <f t="array" ref="BD20">IF(AY20="USD",1,_xll.BDP(AY20&amp;"USD CURNCY","PX_LAST"))</f>
        <v>1.1607000000000001</v>
      </c>
      <c r="BE20" s="18">
        <v>75761.406079074397</v>
      </c>
      <c r="BF20" s="11">
        <f t="shared" si="35"/>
        <v>6835285.8035168545</v>
      </c>
      <c r="BG20" s="5"/>
      <c r="BH20" s="11" cm="1">
        <f t="array" ref="BH20">IF(AU20="Hong Kong",_xll.BDP(AQ20&amp;" Equity","PR414"),_xll.BDP(AQ20&amp;" Equity","PR090"))</f>
        <v>1</v>
      </c>
      <c r="BI20" s="11">
        <f t="shared" si="36"/>
        <v>90.221211000000011</v>
      </c>
      <c r="BJ20" s="5">
        <f t="shared" si="37"/>
        <v>147.24906816284349</v>
      </c>
      <c r="BK20" s="8">
        <f t="shared" si="38"/>
        <v>4.1445368803125007E-2</v>
      </c>
      <c r="BL20" s="8">
        <f t="shared" si="39"/>
        <v>-1.6914753074568356E-3</v>
      </c>
      <c r="BM20" s="5"/>
      <c r="BN20" s="21">
        <f t="shared" si="40"/>
        <v>2173.1886251810461</v>
      </c>
      <c r="BO20" s="22">
        <f t="shared" si="41"/>
        <v>3338.1848070000001</v>
      </c>
      <c r="BQ20" s="16" t="str" cm="1">
        <f t="array" ref="BQ20">_xll.BDP(BR20&amp;" Equity","DS520")</f>
        <v>Tokyu REIT Inc</v>
      </c>
      <c r="BR20" s="44" t="s">
        <v>115</v>
      </c>
      <c r="BS20" s="44">
        <v>8957</v>
      </c>
      <c r="BT20" s="32" t="str" cm="1">
        <f t="array" ref="BT20">_xll.BDP(BR20&amp;" Equity", "ID_ISIN")</f>
        <v>JP3044510000</v>
      </c>
      <c r="BU20" s="44"/>
      <c r="BV20" s="30" t="str">
        <f>_xll.BDP(BR20&amp;" Equity", "DS197")</f>
        <v>Tokyo</v>
      </c>
      <c r="BW20" s="30" t="s">
        <v>26</v>
      </c>
      <c r="BX20" s="71" t="s">
        <v>320</v>
      </c>
      <c r="BY20" s="30" t="s">
        <v>28</v>
      </c>
      <c r="BZ20" s="30" t="str">
        <f>_xll.BDP(BR20&amp;" Equity", "DS004")</f>
        <v>JPY</v>
      </c>
      <c r="CA20" s="17" cm="1">
        <f t="array" ref="CA20">_xll.BDP(BR20&amp;" Equity","PX_LAST")</f>
        <v>205900</v>
      </c>
      <c r="CB20" s="33">
        <f t="shared" si="5"/>
        <v>6.7811629023419084E-2</v>
      </c>
      <c r="CC20" s="33">
        <f t="shared" si="42"/>
        <v>6.4415243618006934E-2</v>
      </c>
      <c r="CE20" s="1">
        <v>1</v>
      </c>
      <c r="CF20" s="18">
        <v>206.619692017284</v>
      </c>
      <c r="CG20" s="11">
        <f t="shared" ref="CG20" si="197">CF20*CA20*CE20</f>
        <v>42542994.586358778</v>
      </c>
      <c r="CH20" s="5"/>
      <c r="CI20" s="11" cm="1">
        <f t="array" ref="CI20">IF(BV20="Hong Kong",_xll.BDP(BR20&amp;" Equity","PR414"),_xll.BDP(BR20&amp;" Equity","PR090"))</f>
        <v>1</v>
      </c>
      <c r="CJ20" s="11">
        <f t="shared" ref="CJ20" si="198">CI20*CE20*CA20</f>
        <v>205900</v>
      </c>
      <c r="CK20" s="5">
        <f t="shared" ref="CK20" si="199">($AJ$3*CB20)/CJ20</f>
        <v>0.10538961285815496</v>
      </c>
      <c r="CL20" s="8">
        <f t="shared" ref="CL20" si="200">(ROUND(CK20,0)*CJ20)/$AJ$3</f>
        <v>0</v>
      </c>
      <c r="CM20" s="8">
        <f t="shared" ref="CM20" si="201">CL20/CB20-1</f>
        <v>-1</v>
      </c>
      <c r="CN20" s="5"/>
      <c r="CO20" s="21">
        <f t="shared" ref="CO20" si="202">IFERROR(CJ20/CB20,0)</f>
        <v>3036352.3626440447</v>
      </c>
      <c r="CP20" s="22">
        <f t="shared" ref="CP20" si="203">CJ20/(1/COUNTA($P$6:$P$77))</f>
        <v>7618300</v>
      </c>
      <c r="CR20" s="16" t="str" cm="1">
        <f t="array" ref="CR20">_xll.BDP(CS20&amp;" Equity","DS520")</f>
        <v>Retail Estates NV</v>
      </c>
      <c r="CS20" s="32" t="s">
        <v>123</v>
      </c>
      <c r="CT20" s="32" t="s">
        <v>381</v>
      </c>
      <c r="CU20" s="32" t="str" cm="1">
        <f t="array" ref="CU20">_xll.BDP(CS20&amp;" Equity", "ID_ISIN")</f>
        <v>BE0003720340</v>
      </c>
      <c r="CV20" s="32"/>
      <c r="CW20" s="30" t="str">
        <f>_xll.BDP(CS20&amp;" Equity", "DS197")</f>
        <v>EN Brussels</v>
      </c>
      <c r="CX20" s="30" t="s">
        <v>26</v>
      </c>
      <c r="CY20" s="30" t="s">
        <v>39</v>
      </c>
      <c r="CZ20" s="30" t="s">
        <v>28</v>
      </c>
      <c r="DA20" s="30" t="str">
        <f>_xll.BDP(CS20&amp;" Equity", "DS004")</f>
        <v>EUR</v>
      </c>
      <c r="DB20" s="17" cm="1">
        <f t="array" ref="DB20">_xll.BDP(CS20&amp;" Equity","PX_LAST")</f>
        <v>66.400000000000006</v>
      </c>
      <c r="DC20" s="33">
        <f t="shared" si="6"/>
        <v>5.1898312586853713E-2</v>
      </c>
      <c r="DD20" s="33">
        <f t="shared" si="7"/>
        <v>4.9286913642613249E-2</v>
      </c>
      <c r="DF20" s="1" cm="1">
        <f t="array" ref="DF20">IF(DA20="USD",1,_xll.BDP(DA20&amp;"USD CURNCY","PX_LAST"))</f>
        <v>1.1607000000000001</v>
      </c>
      <c r="DG20" s="18">
        <v>122123.246485861</v>
      </c>
      <c r="DH20" s="11">
        <f t="shared" si="8"/>
        <v>9412097.2258236222</v>
      </c>
      <c r="DI20" s="5"/>
      <c r="DJ20" s="11" cm="1">
        <f t="array" ref="DJ20">IF(CW20="Hong Kong",_xll.BDP(CS20&amp;" Equity","PR414"),_xll.BDP(CS20&amp;" Equity","PR090"))</f>
        <v>1</v>
      </c>
      <c r="DK20" s="11">
        <f t="shared" si="9"/>
        <v>77.070480000000018</v>
      </c>
      <c r="DL20" s="5">
        <f t="shared" si="50"/>
        <v>215.48406118390835</v>
      </c>
      <c r="DM20" s="8">
        <f t="shared" si="51"/>
        <v>5.1781728750000013E-2</v>
      </c>
      <c r="DN20" s="8">
        <f t="shared" si="52"/>
        <v>-2.2463897387529075E-3</v>
      </c>
      <c r="DO20" s="5"/>
      <c r="DP20" s="21">
        <f t="shared" si="53"/>
        <v>1485.0286292260421</v>
      </c>
      <c r="DQ20" s="22">
        <f t="shared" si="54"/>
        <v>2851.6077600000003</v>
      </c>
      <c r="DS20" s="16" t="str" cm="1">
        <f t="array" ref="DS20">_xll.BDP(DT20&amp;" Equity","DS520")</f>
        <v>Rio Tinto PLC</v>
      </c>
      <c r="DT20" s="32" t="s">
        <v>149</v>
      </c>
      <c r="DU20" s="32" t="s">
        <v>150</v>
      </c>
      <c r="DV20" s="32" t="str" cm="1">
        <f t="array" ref="DV20">_xll.BDP(DT20&amp;" Equity", "ID_ISIN")</f>
        <v>GB0007188757</v>
      </c>
      <c r="DW20" s="32"/>
      <c r="DX20" s="30" t="str">
        <f>_xll.BDP(DT20&amp;" Equity", "DS197")</f>
        <v>London</v>
      </c>
      <c r="DY20" s="30" t="s">
        <v>26</v>
      </c>
      <c r="DZ20" s="30" t="s">
        <v>129</v>
      </c>
      <c r="EA20" s="30" t="s">
        <v>28</v>
      </c>
      <c r="EB20" s="43" t="str">
        <f>_xll.BDP(DT20&amp;" Equity", "DS004")</f>
        <v>GBp</v>
      </c>
      <c r="EC20" s="17" cm="1">
        <f t="array" ref="EC20">_xll.BDP(DT20&amp;" Equity","PX_LAST")/100</f>
        <v>67.87</v>
      </c>
      <c r="ED20" s="33">
        <f t="shared" si="55"/>
        <v>6.0854581960626764E-2</v>
      </c>
      <c r="EE20" s="33">
        <f t="shared" si="56"/>
        <v>5.7727131808404726E-2</v>
      </c>
      <c r="EG20" s="1">
        <v>1</v>
      </c>
      <c r="EH20" s="18">
        <v>147967.68437149501</v>
      </c>
      <c r="EI20" s="11">
        <f t="shared" si="57"/>
        <v>10042566.738293367</v>
      </c>
      <c r="EJ20" s="5"/>
      <c r="EK20" s="11" cm="1">
        <f t="array" ref="EK20">IF(DX20="Hong Kong",_xll.BDP(DT20&amp;" Equity","PR414"),_xll.BDP(DT20&amp;" Equity","PR090"))</f>
        <v>1</v>
      </c>
      <c r="EL20" s="11">
        <f t="shared" si="58"/>
        <v>67.87</v>
      </c>
      <c r="EM20" s="5">
        <f t="shared" si="59"/>
        <v>286.92303267129165</v>
      </c>
      <c r="EN20" s="8">
        <f t="shared" si="60"/>
        <v>6.0870906250000009E-2</v>
      </c>
      <c r="EO20" s="8">
        <f t="shared" si="61"/>
        <v>2.6825078485970266E-4</v>
      </c>
      <c r="EP20" s="5"/>
      <c r="EQ20" s="21">
        <f t="shared" si="62"/>
        <v>1115.2816733489724</v>
      </c>
      <c r="ER20" s="22">
        <f t="shared" si="63"/>
        <v>2511.19</v>
      </c>
      <c r="ET20" s="16" t="str" cm="1">
        <f t="array" ref="ET20">_xll.BDP(EU20&amp;" Equity","DS520")</f>
        <v>EOG Resources Inc</v>
      </c>
      <c r="EU20" s="32" t="s">
        <v>168</v>
      </c>
      <c r="EV20" s="32" t="s">
        <v>427</v>
      </c>
      <c r="EW20" s="32" t="str" cm="1">
        <f t="array" ref="EW20">_xll.BDP(EU20&amp;" Equity", "ID_ISIN")</f>
        <v>US26875P1012</v>
      </c>
      <c r="EX20" s="32"/>
      <c r="EY20" s="30" t="str">
        <f>_xll.BDP(EU20&amp;" Equity", "DS197")</f>
        <v>New York</v>
      </c>
      <c r="EZ20" s="30" t="s">
        <v>26</v>
      </c>
      <c r="FA20" s="30" t="s">
        <v>33</v>
      </c>
      <c r="FB20" s="30" t="s">
        <v>28</v>
      </c>
      <c r="FC20" s="30" t="str">
        <f>_xll.BDP(EU20&amp;" Equity", "DS004")</f>
        <v>USD</v>
      </c>
      <c r="FD20" s="17" cm="1">
        <f t="array" ref="FD20">_xll.BDP(EU20&amp;" Equity","PX_LAST")</f>
        <v>131.03</v>
      </c>
      <c r="FE20" s="33">
        <f t="shared" si="10"/>
        <v>3.9250368973682351E-2</v>
      </c>
      <c r="FF20" s="33">
        <f t="shared" si="11"/>
        <v>3.7286812869394871E-2</v>
      </c>
      <c r="FH20" s="1" cm="1">
        <f t="array" ref="FH20">IF(FC20="USD",1,_xll.BDP(FC20&amp;"USD CURNCY","PX_LAST"))</f>
        <v>1</v>
      </c>
      <c r="FI20" s="18">
        <v>61384.715097376902</v>
      </c>
      <c r="FJ20" s="11">
        <f t="shared" si="64"/>
        <v>8043239.2192092957</v>
      </c>
      <c r="FK20" s="5"/>
      <c r="FL20" s="11" cm="1">
        <f t="array" ref="FL20">IF(EY20="Hong Kong",_xll.BDP(EU20&amp;" Equity","PR414"),_xll.BDP(EU20&amp;" Equity","PR090"))</f>
        <v>1</v>
      </c>
      <c r="FM20" s="11">
        <f t="shared" si="65"/>
        <v>131.03</v>
      </c>
      <c r="FN20" s="5">
        <f t="shared" si="66"/>
        <v>95.856811963507226</v>
      </c>
      <c r="FO20" s="8">
        <f t="shared" si="67"/>
        <v>3.9309000000000004E-2</v>
      </c>
      <c r="FP20" s="8">
        <f t="shared" si="68"/>
        <v>1.4937700676640464E-3</v>
      </c>
      <c r="FQ20" s="5"/>
      <c r="FR20" s="21">
        <f t="shared" si="69"/>
        <v>3338.312566892213</v>
      </c>
      <c r="FS20" s="22">
        <f t="shared" si="70"/>
        <v>4848.1099999999997</v>
      </c>
      <c r="FU20" s="16" t="str" cm="1">
        <f t="array" ref="FU20">_xll.BDP(FV20&amp;" Equity","DS520")</f>
        <v>F5 Inc</v>
      </c>
      <c r="FV20" s="32" t="s">
        <v>179</v>
      </c>
      <c r="FW20" s="32" t="s">
        <v>395</v>
      </c>
      <c r="FX20" s="32" t="str" cm="1">
        <f t="array" ref="FX20">_xll.BDP(FV20&amp;" Equity", "ID_ISIN")</f>
        <v>US3156161024</v>
      </c>
      <c r="FY20" s="32"/>
      <c r="FZ20" s="30" t="str">
        <f>_xll.BDP(FV20&amp;" Equity", "DS197")</f>
        <v>NASDAQ GS</v>
      </c>
      <c r="GA20" s="30" t="s">
        <v>26</v>
      </c>
      <c r="GB20" s="30" t="s">
        <v>33</v>
      </c>
      <c r="GC20" s="30" t="s">
        <v>28</v>
      </c>
      <c r="GD20" s="30" t="str">
        <f>_xll.BDP(FV20&amp;" Equity", "DS004")</f>
        <v>USD</v>
      </c>
      <c r="GE20" s="17" cm="1">
        <f t="array" ref="GE20">_xll.BDP(FV20&amp;" Equity","PX_LAST")</f>
        <v>283.64</v>
      </c>
      <c r="GF20" s="33">
        <f t="shared" si="12"/>
        <v>4.0756936509611978E-2</v>
      </c>
      <c r="GG20" s="33">
        <f t="shared" si="13"/>
        <v>3.8717235302057278E-2</v>
      </c>
      <c r="GI20" s="1" cm="1">
        <f t="array" ref="GI20">IF(GD20="USD",1,_xll.BDP(GD20&amp;"USD CURNCY","PX_LAST"))</f>
        <v>1</v>
      </c>
      <c r="GJ20" s="18">
        <v>29743.931041848798</v>
      </c>
      <c r="GK20" s="11">
        <f t="shared" si="71"/>
        <v>8436568.6007099934</v>
      </c>
      <c r="GL20" s="5"/>
      <c r="GM20" s="11" cm="1">
        <f t="array" ref="GM20">IF(FZ20="Hong Kong",_xll.BDP(FV20&amp;" Equity","PR414"),_xll.BDP(FV20&amp;" Equity","PR090"))</f>
        <v>1</v>
      </c>
      <c r="GN20" s="11">
        <f t="shared" si="72"/>
        <v>283.64</v>
      </c>
      <c r="GO20" s="5">
        <f t="shared" si="73"/>
        <v>45.981595272443357</v>
      </c>
      <c r="GP20" s="8">
        <f t="shared" si="74"/>
        <v>4.0773249999999997E-2</v>
      </c>
      <c r="GQ20" s="8">
        <f t="shared" si="75"/>
        <v>4.002629192743079E-4</v>
      </c>
      <c r="GR20" s="5"/>
      <c r="GS20" s="21">
        <f t="shared" si="76"/>
        <v>6959.3061768297348</v>
      </c>
      <c r="GT20" s="22">
        <f t="shared" si="77"/>
        <v>10494.679999999998</v>
      </c>
      <c r="GV20" s="16" t="str" cm="1">
        <f t="array" ref="GV20">_xll.BDP(GW20&amp;" Equity","DS520")</f>
        <v>Jardine Matheson Holdings Ltd</v>
      </c>
      <c r="GW20" s="32" t="s">
        <v>314</v>
      </c>
      <c r="GX20" s="32" t="s">
        <v>418</v>
      </c>
      <c r="GY20" s="32" t="str" cm="1">
        <f t="array" ref="GY20">_xll.BDP(GW20&amp;" Equity", "ID_ISIN")</f>
        <v>BMG507361001</v>
      </c>
      <c r="GZ20" s="32"/>
      <c r="HA20" s="30" t="str">
        <f>_xll.BDP(GW20&amp;" Equity", "DS197")</f>
        <v>Singapore</v>
      </c>
      <c r="HB20" s="30" t="s">
        <v>26</v>
      </c>
      <c r="HC20" s="30" t="s">
        <v>384</v>
      </c>
      <c r="HD20" s="30" t="s">
        <v>28</v>
      </c>
      <c r="HE20" s="30" t="str">
        <f>_xll.BDP(GW20&amp;" Equity", "DS004")</f>
        <v>USD</v>
      </c>
      <c r="HF20" s="17" cm="1">
        <f t="array" ref="HF20">_xll.BDP(GW20&amp;" Equity","PX_LAST")</f>
        <v>75.209999999999994</v>
      </c>
      <c r="HG20" s="33">
        <f t="shared" si="14"/>
        <v>3.3625722351814151E-2</v>
      </c>
      <c r="HH20" s="33">
        <f t="shared" si="78"/>
        <v>3.1941901877754086E-2</v>
      </c>
      <c r="HJ20" s="1" cm="1">
        <f t="array" ref="HJ20">IF(HE20="USD",1,_xll.BDP(HE20&amp;"USD CURNCY","PX_LAST"))</f>
        <v>1</v>
      </c>
      <c r="HK20" s="18">
        <v>72916.760044292503</v>
      </c>
      <c r="HL20" s="11">
        <f t="shared" si="79"/>
        <v>5484069.5229312386</v>
      </c>
      <c r="HM20" s="5"/>
      <c r="HN20" s="11" cm="1">
        <f t="array" ref="HN20">IF(HA20="Hong Kong",_xll.BDP(GW20&amp;" Equity","PR414"),_xll.BDP(GW20&amp;" Equity","PR090"))</f>
        <v>100</v>
      </c>
      <c r="HO20" s="11">
        <f t="shared" si="80"/>
        <v>7520.9999999999991</v>
      </c>
      <c r="HP20" s="5">
        <f t="shared" si="81"/>
        <v>1.4306915506688644</v>
      </c>
      <c r="HQ20" s="8">
        <f t="shared" si="82"/>
        <v>2.3503124999999996E-2</v>
      </c>
      <c r="HR20" s="8">
        <f t="shared" si="83"/>
        <v>-0.30103732035567787</v>
      </c>
      <c r="HS20" s="5"/>
      <c r="HT20" s="21">
        <f t="shared" si="84"/>
        <v>223668.0574861831</v>
      </c>
      <c r="HU20" s="22">
        <f t="shared" si="85"/>
        <v>278276.99999999994</v>
      </c>
      <c r="HW20" s="16" t="str" cm="1">
        <f t="array" ref="HW20">_xll.BDP(HX20&amp;" Equity","DS520")</f>
        <v>VTech Holdings Ltd</v>
      </c>
      <c r="HX20" s="45" t="s">
        <v>219</v>
      </c>
      <c r="HY20" s="32">
        <v>303</v>
      </c>
      <c r="HZ20" s="32" t="str" cm="1">
        <f t="array" ref="HZ20">_xll.BDP(HX20&amp;" Equity", "ID_ISIN")</f>
        <v>BMG9400S1329</v>
      </c>
      <c r="IA20" s="45"/>
      <c r="IB20" s="30" t="str">
        <f>_xll.BDP(HX20&amp;" Equity", "DS197")</f>
        <v>Hong Kong</v>
      </c>
      <c r="IC20" s="30" t="s">
        <v>26</v>
      </c>
      <c r="ID20" s="30" t="s">
        <v>27</v>
      </c>
      <c r="IE20" s="30" t="s">
        <v>28</v>
      </c>
      <c r="IF20" s="30" t="str">
        <f>_xll.BDP(HX20&amp;" Equity", "DS004")</f>
        <v>HKD</v>
      </c>
      <c r="IG20" s="17" cm="1">
        <f t="array" ref="IG20">_xll.BDP(HX20&amp;" Equity","PX_LAST")</f>
        <v>62.9</v>
      </c>
      <c r="IH20" s="33">
        <f t="shared" si="15"/>
        <v>4.4858898505685849E-2</v>
      </c>
      <c r="II20" s="33">
        <f t="shared" si="16"/>
        <v>4.263890788517978E-2</v>
      </c>
      <c r="IK20" s="1">
        <v>1</v>
      </c>
      <c r="IL20" s="18">
        <v>135176.18296423601</v>
      </c>
      <c r="IM20" s="11">
        <f t="shared" si="183"/>
        <v>8502581.9084504452</v>
      </c>
      <c r="IN20" s="5"/>
      <c r="IO20" s="11" cm="1">
        <f t="array" ref="IO20">IF(IB20="Hong Kong",_xll.BDP(HX20&amp;" Equity","PR414"),_xll.BDP(HX20&amp;" Equity","PR090"))</f>
        <v>100</v>
      </c>
      <c r="IP20" s="11">
        <f t="shared" si="184"/>
        <v>6290</v>
      </c>
      <c r="IQ20" s="5">
        <f t="shared" si="185"/>
        <v>2.282169717300393</v>
      </c>
      <c r="IR20" s="8">
        <f t="shared" si="186"/>
        <v>3.93125E-2</v>
      </c>
      <c r="IS20" s="8">
        <f t="shared" si="187"/>
        <v>-0.12364098741708618</v>
      </c>
      <c r="IT20" s="5"/>
      <c r="IU20" s="21">
        <f t="shared" si="188"/>
        <v>140217.44201326621</v>
      </c>
      <c r="IV20" s="22">
        <f t="shared" si="189"/>
        <v>232730</v>
      </c>
      <c r="IX20" s="16" t="str" cm="1">
        <f t="array" ref="IX20">_xll.BDP(IY20&amp;" Equity","DS520")</f>
        <v>Nutanix Inc</v>
      </c>
      <c r="IY20" s="32" t="s">
        <v>231</v>
      </c>
      <c r="IZ20" s="32" t="s">
        <v>421</v>
      </c>
      <c r="JA20" s="32" t="str" cm="1">
        <f t="array" ref="JA20">_xll.BDP(IY20&amp;" Equity", "ID_ISIN")</f>
        <v>US67059N1081</v>
      </c>
      <c r="JB20" s="32"/>
      <c r="JC20" s="30" t="str">
        <f>_xll.BDP(IY20&amp;" Equity", "DS197")</f>
        <v>NASDAQ GS</v>
      </c>
      <c r="JD20" s="30" t="s">
        <v>26</v>
      </c>
      <c r="JE20" s="30" t="s">
        <v>33</v>
      </c>
      <c r="JF20" s="30" t="s">
        <v>28</v>
      </c>
      <c r="JG20" s="30" t="str">
        <f>_xll.BDP(IY20&amp;" Equity", "DS004")</f>
        <v>USD</v>
      </c>
      <c r="JH20" s="17" cm="1">
        <f t="array" ref="JH20">_xll.BDP(IY20&amp;" Equity","PX_LAST")</f>
        <v>40.39</v>
      </c>
      <c r="JI20" s="33">
        <f t="shared" si="93"/>
        <v>2.1233048128602841E-2</v>
      </c>
      <c r="JJ20" s="33">
        <f t="shared" si="17"/>
        <v>2.0170311439493094E-2</v>
      </c>
      <c r="JL20" s="1" cm="1">
        <f t="array" ref="JL20">IF(JG20="USD",1,_xll.BDP(JG20&amp;"USD CURNCY","PX_LAST"))</f>
        <v>1</v>
      </c>
      <c r="JM20" s="18">
        <v>64132.9083824142</v>
      </c>
      <c r="JN20" s="11">
        <f t="shared" si="94"/>
        <v>2590328.1695657098</v>
      </c>
      <c r="JO20" s="5"/>
      <c r="JP20" s="11" cm="1">
        <f t="array" ref="JP20">IF(JC20="Hong Kong",_xll.BDP(IY20&amp;" Equity","PR414"),_xll.BDP(IY20&amp;" Equity","PR090"))</f>
        <v>1</v>
      </c>
      <c r="JQ20" s="11">
        <f t="shared" si="95"/>
        <v>40.39</v>
      </c>
      <c r="JR20" s="5">
        <f t="shared" si="96"/>
        <v>168.22419908771747</v>
      </c>
      <c r="JS20" s="8">
        <f t="shared" si="97"/>
        <v>2.1204750000000001E-2</v>
      </c>
      <c r="JT20" s="8">
        <f t="shared" si="98"/>
        <v>-1.3327398134947988E-3</v>
      </c>
      <c r="JU20" s="5"/>
      <c r="JV20" s="21">
        <f t="shared" si="99"/>
        <v>1902.2233527362002</v>
      </c>
      <c r="JW20" s="22">
        <f t="shared" si="100"/>
        <v>1494.4299999999998</v>
      </c>
      <c r="JY20" s="16" t="str" cm="1">
        <f t="array" ref="JY20">_xll.BDP(JZ20&amp;" Equity","DS520")</f>
        <v>Danone SA</v>
      </c>
      <c r="JZ20" s="32" t="s">
        <v>242</v>
      </c>
      <c r="KA20" s="32" t="s">
        <v>351</v>
      </c>
      <c r="KB20" s="32" t="str" cm="1">
        <f t="array" ref="KB20">_xll.BDP(JZ20&amp;" Equity", "ID_ISIN")</f>
        <v>FR0000120644</v>
      </c>
      <c r="KC20" s="32"/>
      <c r="KD20" s="30" t="str">
        <f>_xll.BDP(JZ20&amp;" Equity", "DS197")</f>
        <v>EN Paris</v>
      </c>
      <c r="KE20" s="30" t="s">
        <v>26</v>
      </c>
      <c r="KF20" s="30" t="s">
        <v>1376</v>
      </c>
      <c r="KG20" s="30" t="s">
        <v>28</v>
      </c>
      <c r="KH20" s="30" t="str">
        <f>_xll.BDP(JZ20&amp;" Equity", "DS004")</f>
        <v>EUR</v>
      </c>
      <c r="KI20" s="17" cm="1">
        <f t="array" ref="KI20">_xll.BDP(JZ20&amp;" Equity","PX_LAST")</f>
        <v>70.040000000000006</v>
      </c>
      <c r="KJ20" s="33">
        <f t="shared" si="101"/>
        <v>2.9531639256847261E-2</v>
      </c>
      <c r="KK20" s="33">
        <f t="shared" si="102"/>
        <v>2.8059611495815439E-2</v>
      </c>
      <c r="KM20" s="1" cm="1">
        <f t="array" ref="KM20">IF(KH20="USD",1,_xll.BDP(KH20&amp;"USD CURNCY","PX_LAST"))</f>
        <v>1.1607000000000001</v>
      </c>
      <c r="KN20" s="18">
        <v>36072.384018282202</v>
      </c>
      <c r="KO20" s="11">
        <f t="shared" si="103"/>
        <v>2932519.8977466119</v>
      </c>
      <c r="KP20" s="5"/>
      <c r="KQ20" s="11" cm="1">
        <f t="array" ref="KQ20">IF(KD20="Hong Kong",_xll.BDP(JZ20&amp;" Equity","PR414"),_xll.BDP(JZ20&amp;" Equity","PR090"))</f>
        <v>1</v>
      </c>
      <c r="KR20" s="11">
        <f t="shared" si="104"/>
        <v>81.295428000000015</v>
      </c>
      <c r="KS20" s="5">
        <f t="shared" si="105"/>
        <v>116.24423162137879</v>
      </c>
      <c r="KT20" s="8">
        <f t="shared" si="106"/>
        <v>2.9469592650000005E-2</v>
      </c>
      <c r="KU20" s="8">
        <f t="shared" si="107"/>
        <v>-2.1010214268031291E-3</v>
      </c>
      <c r="KV20" s="5"/>
      <c r="KW20" s="21">
        <f t="shared" si="108"/>
        <v>2752.8247684777848</v>
      </c>
      <c r="KX20" s="22">
        <f t="shared" si="109"/>
        <v>3007.9308360000005</v>
      </c>
      <c r="KZ20" s="16" t="str" cm="1">
        <f t="array" ref="KZ20">_xll.BDP(LA20&amp;" Equity","DS520")</f>
        <v>WP Carey Inc</v>
      </c>
      <c r="LA20" s="32" t="s">
        <v>742</v>
      </c>
      <c r="LB20" s="32" t="s">
        <v>744</v>
      </c>
      <c r="LC20" s="32" t="str" cm="1">
        <f t="array" ref="LC20">_xll.BDP(LA20&amp;" Equity", "ID_ISIN")</f>
        <v>US92936U1097</v>
      </c>
      <c r="LD20" s="32"/>
      <c r="LE20" s="30" t="str">
        <f>_xll.BDP(LA20&amp;" Equity", "DS197")</f>
        <v>New York</v>
      </c>
      <c r="LF20" s="30" t="s">
        <v>26</v>
      </c>
      <c r="LG20" s="30" t="s">
        <v>33</v>
      </c>
      <c r="LH20" s="30" t="s">
        <v>28</v>
      </c>
      <c r="LI20" s="30" t="str">
        <f>_xll.BDP(LA20&amp;" Equity", "DS004")</f>
        <v>USD</v>
      </c>
      <c r="LJ20" s="17" cm="1">
        <f t="array" ref="LJ20">_xll.BDP(LA20&amp;" Equity","PX_LAST")</f>
        <v>72.58</v>
      </c>
      <c r="LK20" s="33">
        <f t="shared" si="18"/>
        <v>6.6422041891273292E-2</v>
      </c>
      <c r="LL20" s="33">
        <f t="shared" si="19"/>
        <v>6.3072591200086542E-2</v>
      </c>
      <c r="LN20" s="1">
        <v>1</v>
      </c>
      <c r="LO20" s="18">
        <v>101131.98719102</v>
      </c>
      <c r="LP20" s="11">
        <f t="shared" si="110"/>
        <v>7340159.6303242315</v>
      </c>
      <c r="LQ20" s="5"/>
      <c r="LR20" s="11" cm="1">
        <f t="array" ref="LR20">IF(LE20="Hong Kong",_xll.BDP(LA20&amp;" Equity","PR414"),_xll.BDP(LA20&amp;" Equity","PR090"))</f>
        <v>1</v>
      </c>
      <c r="LS20" s="11">
        <f t="shared" si="111"/>
        <v>72.58</v>
      </c>
      <c r="LT20" s="5">
        <f t="shared" si="112"/>
        <v>292.8500055829079</v>
      </c>
      <c r="LU20" s="8">
        <f t="shared" si="113"/>
        <v>6.6456062499999996E-2</v>
      </c>
      <c r="LV20" s="8">
        <f t="shared" si="114"/>
        <v>5.1218854100265609E-4</v>
      </c>
      <c r="LW20" s="5"/>
      <c r="LX20" s="21">
        <f t="shared" si="115"/>
        <v>1092.7095574509244</v>
      </c>
      <c r="LY20" s="22">
        <f t="shared" si="116"/>
        <v>2685.4599999999996</v>
      </c>
      <c r="MA20" s="16" t="str" cm="1">
        <f t="array" ref="MA20">_xll.BDP(MB20&amp;" Equity","DS520")</f>
        <v>HKT Trust &amp; HKT Ltd</v>
      </c>
      <c r="MB20" s="32" t="s">
        <v>213</v>
      </c>
      <c r="MC20" s="32">
        <v>6823</v>
      </c>
      <c r="MD20" s="32" t="str" cm="1">
        <f t="array" ref="MD20">_xll.BDP(MB20&amp;" Equity", "ID_ISIN")</f>
        <v>HK0000093390</v>
      </c>
      <c r="ME20" s="32"/>
      <c r="MF20" s="30" t="str">
        <f>_xll.BDP(MB20&amp;" Equity", "DS197")</f>
        <v>Hong Kong</v>
      </c>
      <c r="MG20" s="30" t="s">
        <v>26</v>
      </c>
      <c r="MH20" s="30" t="s">
        <v>27</v>
      </c>
      <c r="MI20" s="30" t="s">
        <v>28</v>
      </c>
      <c r="MJ20" s="30" t="str">
        <f>_xll.BDP(MB20&amp;" Equity", "DS004")</f>
        <v>HKD</v>
      </c>
      <c r="MK20" s="17" cm="1">
        <f t="array" ref="MK20">_xll.BDP(MB20&amp;" Equity","PX_LAST")</f>
        <v>12.21</v>
      </c>
      <c r="ML20" s="33">
        <f t="shared" si="20"/>
        <v>2.9986864158242126E-2</v>
      </c>
      <c r="MM20" s="33">
        <f t="shared" si="21"/>
        <v>2.8469459294683835E-2</v>
      </c>
      <c r="MO20" s="1" cm="1">
        <f t="array" ref="MO20">IF(MJ20="USD",1,_xll.BDP(MJ20&amp;"USD CURNCY","PX_LAST"))</f>
        <v>0.12784999999999999</v>
      </c>
      <c r="MP20" s="18">
        <v>3451058.1745673302</v>
      </c>
      <c r="MQ20" s="11">
        <f t="shared" si="117"/>
        <v>5387269.1868210686</v>
      </c>
      <c r="MR20" s="5"/>
      <c r="MS20" s="11" cm="1">
        <f t="array" ref="MS20">IF(MF20="Hong Kong",_xll.BDP(MB20&amp;" Equity","PR414"),_xll.BDP(MB20&amp;" Equity","PR090"))</f>
        <v>1000</v>
      </c>
      <c r="MT20" s="11">
        <f t="shared" si="118"/>
        <v>1561.0485000000001</v>
      </c>
      <c r="MU20" s="5">
        <f t="shared" si="119"/>
        <v>6.1470201154144029</v>
      </c>
      <c r="MV20" s="8">
        <f t="shared" si="120"/>
        <v>2.9269659375000003E-2</v>
      </c>
      <c r="MW20" s="8">
        <f t="shared" si="121"/>
        <v>-2.3917298569713696E-2</v>
      </c>
      <c r="MX20" s="5"/>
      <c r="MY20" s="21">
        <f t="shared" si="122"/>
        <v>52057.744076281931</v>
      </c>
      <c r="MZ20" s="22">
        <f t="shared" si="123"/>
        <v>57758.794500000004</v>
      </c>
      <c r="NB20" s="16" t="str" cm="1">
        <f t="array" ref="NB20">_xll.BDP(NC20&amp;" Equity","DS520")</f>
        <v>Merck &amp; Co Inc</v>
      </c>
      <c r="NC20" s="32" t="s">
        <v>57</v>
      </c>
      <c r="ND20" s="32" t="s">
        <v>58</v>
      </c>
      <c r="NE20" s="32" t="str" cm="1">
        <f t="array" ref="NE20">_xll.BDP(NC20&amp;" Equity", "ID_ISIN")</f>
        <v>US58933Y1055</v>
      </c>
      <c r="NF20" s="32"/>
      <c r="NG20" s="30" t="str">
        <f>_xll.BDP(NC20&amp;" Equity", "DS197")</f>
        <v>New York</v>
      </c>
      <c r="NH20" s="30" t="s">
        <v>26</v>
      </c>
      <c r="NI20" s="30" t="s">
        <v>33</v>
      </c>
      <c r="NJ20" s="30" t="s">
        <v>28</v>
      </c>
      <c r="NK20" s="30" t="str">
        <f>_xll.BDP(NC20&amp;" Equity", "DS004")</f>
        <v>USD</v>
      </c>
      <c r="NL20" s="17" cm="1">
        <f t="array" ref="NL20">_xll.BDP(NC20&amp;" Equity","PX_LAST")</f>
        <v>116.07</v>
      </c>
      <c r="NM20" s="33">
        <f t="shared" si="22"/>
        <v>3.6715473824396938E-2</v>
      </c>
      <c r="NN20" s="33">
        <f t="shared" si="23"/>
        <v>3.4853112248099186E-2</v>
      </c>
      <c r="NP20" s="1" cm="1">
        <f t="array" ref="NP20">IF(NK20="USD",1,_xll.BDP(NK20&amp;"USD CURNCY","PX_LAST"))</f>
        <v>1</v>
      </c>
      <c r="NQ20" s="18">
        <v>54076.899216789097</v>
      </c>
      <c r="NR20" s="11">
        <f t="shared" si="124"/>
        <v>6276705.6920927102</v>
      </c>
      <c r="NS20" s="5"/>
      <c r="NT20" s="11" cm="1">
        <f t="array" ref="NT20">IF(NG20="Hong Kong",_xll.BDP(NC20&amp;" Equity","PR414"),_xll.BDP(NC20&amp;" Equity","PR090"))</f>
        <v>1</v>
      </c>
      <c r="NU20" s="11">
        <f t="shared" si="125"/>
        <v>116.07</v>
      </c>
      <c r="NV20" s="5">
        <f t="shared" si="126"/>
        <v>101.22298288797296</v>
      </c>
      <c r="NW20" s="8">
        <f t="shared" si="127"/>
        <v>3.663459375E-2</v>
      </c>
      <c r="NX20" s="8">
        <f t="shared" si="128"/>
        <v>-2.2028879372161247E-3</v>
      </c>
      <c r="NY20" s="5"/>
      <c r="NZ20" s="21">
        <f t="shared" si="129"/>
        <v>3161.3373847533744</v>
      </c>
      <c r="OA20" s="22">
        <f t="shared" si="130"/>
        <v>4294.5899999999992</v>
      </c>
      <c r="OC20" s="16" t="str" cm="1">
        <f t="array" ref="OC20">_xll.BDP(OD20&amp;" Equity","DS520")</f>
        <v>Koninklijke KPN NV</v>
      </c>
      <c r="OD20" s="45" t="s">
        <v>312</v>
      </c>
      <c r="OE20" s="32" t="s">
        <v>356</v>
      </c>
      <c r="OF20" s="32" t="str" cm="1">
        <f t="array" ref="OF20">_xll.BDP(OD20&amp;" Equity", "ID_ISIN")</f>
        <v>NL0000009082</v>
      </c>
      <c r="OG20" s="45"/>
      <c r="OH20" s="30" t="str">
        <f>_xll.BDP(OD20&amp;" Equity", "DS197")</f>
        <v>EN Amsterdam</v>
      </c>
      <c r="OI20" s="30" t="s">
        <v>26</v>
      </c>
      <c r="OJ20" s="30" t="s">
        <v>39</v>
      </c>
      <c r="OK20" s="30" t="s">
        <v>28</v>
      </c>
      <c r="OL20" s="30" t="str">
        <f>_xll.BDP(OD20&amp;" Equity", "DS004")</f>
        <v>EUR</v>
      </c>
      <c r="OM20" s="17" cm="1">
        <f t="array" ref="OM20">_xll.BDP(OD20&amp;" Equity","PX_LAST")</f>
        <v>4.7039999999999997</v>
      </c>
      <c r="ON20" s="33">
        <f t="shared" si="24"/>
        <v>3.5674478814162719E-2</v>
      </c>
      <c r="OO20" s="33">
        <f t="shared" si="131"/>
        <v>3.3826792307695489E-2</v>
      </c>
      <c r="OQ20" s="1" cm="1">
        <f t="array" ref="OQ20">IF(OL20="EUR",1,_xll.BDP(OL20&amp;"EUR CURNCY","PX_LAST"))</f>
        <v>1</v>
      </c>
      <c r="OR20" s="18">
        <v>1396694.6553426101</v>
      </c>
      <c r="OS20" s="11">
        <f t="shared" si="132"/>
        <v>6570051.6587316375</v>
      </c>
      <c r="OT20" s="5"/>
      <c r="OU20" s="11" cm="1">
        <f t="array" ref="OU20">IF(OH20="Hong Kong",_xll.BDP(OD20&amp;" Equity","PR414"),_xll.BDP(OD20&amp;" Equity","PR090"))</f>
        <v>1</v>
      </c>
      <c r="OV20" s="11">
        <f t="shared" si="133"/>
        <v>4.7039999999999997</v>
      </c>
      <c r="OW20" s="5">
        <f t="shared" si="134"/>
        <v>2426.835293480457</v>
      </c>
      <c r="OX20" s="8">
        <f t="shared" si="135"/>
        <v>3.5676899999999998E-2</v>
      </c>
      <c r="OY20" s="8">
        <f t="shared" si="136"/>
        <v>6.7868849602303882E-5</v>
      </c>
      <c r="OZ20" s="5"/>
      <c r="PA20" s="21">
        <f t="shared" si="137"/>
        <v>131.85896911078399</v>
      </c>
      <c r="PB20" s="22">
        <f t="shared" si="138"/>
        <v>174.04799999999997</v>
      </c>
      <c r="PD20" s="16" t="str" cm="1">
        <f t="array" ref="PD20">_xll.BDP(PE20&amp;" Equity","DS520")</f>
        <v>Nippon Gas Co Ltd</v>
      </c>
      <c r="PE20" s="45" t="s">
        <v>721</v>
      </c>
      <c r="PF20" s="45">
        <v>8174</v>
      </c>
      <c r="PG20" s="32" t="str" cm="1">
        <f t="array" ref="PG20">_xll.BDP(PE20&amp;" Equity", "ID_ISIN")</f>
        <v>JP3695600001</v>
      </c>
      <c r="PH20" s="45"/>
      <c r="PI20" s="30" t="str">
        <f>_xll.BDP(PE20&amp;" Equity", "DS197")</f>
        <v>Tokyo</v>
      </c>
      <c r="PJ20" s="30" t="s">
        <v>26</v>
      </c>
      <c r="PK20" s="71" t="s">
        <v>320</v>
      </c>
      <c r="PL20" s="30" t="s">
        <v>28</v>
      </c>
      <c r="PM20" s="30" t="str">
        <f>_xll.BDP(PE20&amp;" Equity", "DS004")</f>
        <v>JPY</v>
      </c>
      <c r="PN20" s="17" cm="1">
        <f t="array" ref="PN20">_xll.BDP(PE20&amp;" Equity","PX_LAST")</f>
        <v>3078</v>
      </c>
      <c r="PO20" s="33">
        <f t="shared" si="25"/>
        <v>4.2544347279613273E-2</v>
      </c>
      <c r="PP20" s="33">
        <f t="shared" si="26"/>
        <v>4.0414934159643395E-2</v>
      </c>
      <c r="PR20" s="1">
        <v>1</v>
      </c>
      <c r="PS20" s="18">
        <v>2663.7818055051798</v>
      </c>
      <c r="PT20" s="11">
        <f t="shared" si="139"/>
        <v>8199120.3973449431</v>
      </c>
      <c r="PU20" s="5"/>
      <c r="PV20" s="11" cm="1">
        <f t="array" ref="PV20">IF(PI20="Hong Kong",_xll.BDP(PE20&amp;" Equity","PR414"),_xll.BDP(PE20&amp;" Equity","PR090"))</f>
        <v>100</v>
      </c>
      <c r="PW20" s="11">
        <f t="shared" si="140"/>
        <v>307800</v>
      </c>
      <c r="PX20" s="5">
        <f t="shared" si="141"/>
        <v>4.4230640446641475E-2</v>
      </c>
      <c r="PY20" s="8">
        <f t="shared" si="142"/>
        <v>0</v>
      </c>
      <c r="PZ20" s="8">
        <f t="shared" si="143"/>
        <v>-1</v>
      </c>
      <c r="QA20" s="5"/>
      <c r="QB20" s="21">
        <f t="shared" si="144"/>
        <v>7234803.6738477349</v>
      </c>
      <c r="QC20" s="22">
        <f t="shared" si="145"/>
        <v>11388600</v>
      </c>
      <c r="QE20" s="16" t="str" cm="1">
        <f t="array" ref="QE20">_xll.BDP(QF20&amp;" Equity","DS520")</f>
        <v>Palo Alto Networks Inc</v>
      </c>
      <c r="QF20" s="34" t="s">
        <v>614</v>
      </c>
      <c r="QG20" s="34"/>
      <c r="QH20" s="32" t="str" cm="1">
        <f t="array" ref="QH20">_xll.BDP(QF20&amp;" Equity", "ID_ISIN")</f>
        <v>US6974351057</v>
      </c>
      <c r="QI20" s="34"/>
      <c r="QJ20" s="30" t="str">
        <f>_xll.BDP(QF20&amp;" Equity", "DS197")</f>
        <v>NASDAQ GS</v>
      </c>
      <c r="QK20" s="30" t="s">
        <v>26</v>
      </c>
      <c r="QL20" s="30"/>
      <c r="QM20" s="30" t="s">
        <v>28</v>
      </c>
      <c r="QN20" s="30" t="str">
        <f>_xll.BDP(QF20&amp;" Equity", "DS004")</f>
        <v>USD</v>
      </c>
      <c r="QO20" s="17" cm="1">
        <f t="array" ref="QO20">_xll.BDP(QF20&amp;" Equity","PX_LAST")</f>
        <v>163.16</v>
      </c>
      <c r="QP20" s="33">
        <f t="shared" si="27"/>
        <v>4.3720350235748363E-2</v>
      </c>
      <c r="QQ20" s="33">
        <f t="shared" si="28"/>
        <v>4.1545000154891126E-2</v>
      </c>
      <c r="QS20" s="1" cm="1">
        <f t="array" ref="QS20">IF(QN20="USD",1,_xll.BDP(QN20&amp;"USD CURNCY","PX_LAST"))</f>
        <v>1</v>
      </c>
      <c r="QT20" s="18">
        <v>30569.059371535099</v>
      </c>
      <c r="QU20" s="11">
        <f t="shared" si="146"/>
        <v>4987647.727059667</v>
      </c>
      <c r="QV20" s="5"/>
      <c r="QW20" s="11" cm="1">
        <f t="array" ref="QW20">IF(QJ20="Hong Kong",_xll.BDP(QF20&amp;" Equity","PR414"),_xll.BDP(QF20&amp;" Equity","PR090"))</f>
        <v>1</v>
      </c>
      <c r="QX20" s="11">
        <f t="shared" si="147"/>
        <v>163.16</v>
      </c>
      <c r="QY20" s="5">
        <f t="shared" si="148"/>
        <v>85.747193401810961</v>
      </c>
      <c r="QZ20" s="8">
        <f t="shared" si="149"/>
        <v>4.3849249999999999E-2</v>
      </c>
      <c r="RA20" s="8">
        <f t="shared" si="150"/>
        <v>2.9482784002548001E-3</v>
      </c>
      <c r="RB20" s="5"/>
      <c r="RC20" s="21">
        <f t="shared" si="151"/>
        <v>3731.9005707916463</v>
      </c>
      <c r="RD20" s="22">
        <f t="shared" si="152"/>
        <v>6036.9199999999992</v>
      </c>
      <c r="RF20" s="16" t="str" cm="1">
        <f t="array" ref="RF20">_xll.BDP(RG20&amp;" Equity","DS520")</f>
        <v>MasTec Inc</v>
      </c>
      <c r="RG20" s="34" t="s">
        <v>1307</v>
      </c>
      <c r="RH20" s="34"/>
      <c r="RI20" s="32" t="str" cm="1">
        <f t="array" ref="RI20">_xll.BDP(RG20&amp;" Equity", "ID_ISIN")</f>
        <v>US5763231090</v>
      </c>
      <c r="RJ20" s="34"/>
      <c r="RK20" s="30" t="str">
        <f>_xll.BDP(RG20&amp;" Equity", "DS197")</f>
        <v>New York</v>
      </c>
      <c r="RL20" s="30" t="s">
        <v>26</v>
      </c>
      <c r="RM20" s="30"/>
      <c r="RN20" s="30" t="s">
        <v>28</v>
      </c>
      <c r="RO20" s="30" t="str">
        <f>_xll.BDP(RG20&amp;" Equity", "DS004")</f>
        <v>USD</v>
      </c>
      <c r="RP20" s="17" cm="1">
        <f t="array" ref="RP20">_xll.BDP(RG20&amp;" Equity","PX_LAST")</f>
        <v>295.3</v>
      </c>
      <c r="RQ20" s="33">
        <f t="shared" si="153"/>
        <v>3.8286694318959716E-2</v>
      </c>
      <c r="RR20" s="33">
        <f t="shared" si="154"/>
        <v>3.6407270742634439E-2</v>
      </c>
      <c r="RT20" s="1" cm="1">
        <f t="array" ref="RT20">IF(RO20="USD",1,_xll.BDP(RO20&amp;"USD CURNCY","PX_LAST"))</f>
        <v>1</v>
      </c>
      <c r="RU20" s="18">
        <v>13065.2803974789</v>
      </c>
      <c r="RV20" s="11">
        <f t="shared" si="155"/>
        <v>3858177.3013755195</v>
      </c>
      <c r="RW20" s="5"/>
      <c r="RX20" s="11" cm="1">
        <f t="array" ref="RX20">IF(RK20="Hong Kong",_xll.BDP(RG20&amp;" Equity","PR414"),_xll.BDP(RG20&amp;" Equity","PR090"))</f>
        <v>1</v>
      </c>
      <c r="RY20" s="11">
        <f t="shared" si="156"/>
        <v>295.3</v>
      </c>
      <c r="RZ20" s="5">
        <f t="shared" si="157"/>
        <v>41.489137087934672</v>
      </c>
      <c r="SA20" s="8">
        <f t="shared" si="158"/>
        <v>3.7835312500000003E-2</v>
      </c>
      <c r="SB20" s="8">
        <f t="shared" si="159"/>
        <v>-1.1789521842740736E-2</v>
      </c>
      <c r="SC20" s="5"/>
      <c r="SD20" s="21">
        <f t="shared" si="160"/>
        <v>7712.8622685444625</v>
      </c>
      <c r="SE20" s="22">
        <f t="shared" si="161"/>
        <v>10926.1</v>
      </c>
    </row>
    <row r="21" spans="15:499" x14ac:dyDescent="0.2">
      <c r="O21" s="16" t="str" cm="1">
        <f t="array" ref="O21">_xll.BDP(P21&amp;" Equity","DS520")</f>
        <v>Exxon Mobil Corp</v>
      </c>
      <c r="P21" s="32" t="s">
        <v>76</v>
      </c>
      <c r="Q21" s="32" t="s">
        <v>77</v>
      </c>
      <c r="R21" s="32" t="str" cm="1">
        <f t="array" ref="R21">_xll.BDP(P21&amp;" Equity", "ID_ISIN")</f>
        <v>US30231G1022</v>
      </c>
      <c r="S21" s="32"/>
      <c r="T21" s="30" t="str">
        <f>_xll.BDP(P21&amp;" Equity", "DS197")</f>
        <v>New York</v>
      </c>
      <c r="U21" s="30" t="s">
        <v>26</v>
      </c>
      <c r="V21" s="30" t="s">
        <v>33</v>
      </c>
      <c r="W21" s="30" t="s">
        <v>28</v>
      </c>
      <c r="X21" s="30" t="str">
        <f>_xll.BDP(P21&amp;" Equity", "DS004")</f>
        <v>USD</v>
      </c>
      <c r="Y21" s="17" cm="1">
        <f t="array" ref="Y21">_xll.BDP(P21&amp;" Equity","PX_LAST")</f>
        <v>150.76</v>
      </c>
      <c r="Z21" s="33">
        <f t="shared" si="0"/>
        <v>2.7611175195050072E-2</v>
      </c>
      <c r="AA21" s="33">
        <f t="shared" si="1"/>
        <v>2.6231544383173516E-2</v>
      </c>
      <c r="AB21" s="4"/>
      <c r="AC21" s="1" cm="1">
        <f t="array" ref="AC21">IF(X21="USD",1,_xll.BDP(X21&amp;"USD CURNCY","PX_LAST"))</f>
        <v>1</v>
      </c>
      <c r="AD21" s="18">
        <v>37689.899610380897</v>
      </c>
      <c r="AE21" s="11">
        <f t="shared" si="169"/>
        <v>5682129.2652610233</v>
      </c>
      <c r="AF21" s="5"/>
      <c r="AG21" s="11" cm="1">
        <f t="array" ref="AG21">IF(T21="Hong Kong",_xll.BDP(P21&amp;" Equity","PR414"),_xll.BDP(P21&amp;" Equity","PR090"))</f>
        <v>1</v>
      </c>
      <c r="AH21" s="11">
        <f t="shared" si="170"/>
        <v>150.76</v>
      </c>
      <c r="AI21" s="5">
        <f t="shared" si="171"/>
        <v>58.60689879554274</v>
      </c>
      <c r="AJ21" s="8">
        <f t="shared" si="172"/>
        <v>2.7796375000000002E-2</v>
      </c>
      <c r="AK21" s="8">
        <f t="shared" si="173"/>
        <v>6.7074220362461912E-3</v>
      </c>
      <c r="AL21" s="5"/>
      <c r="AM21" s="21">
        <f t="shared" si="174"/>
        <v>5460.1080517220116</v>
      </c>
      <c r="AN21" s="22">
        <f t="shared" si="175"/>
        <v>5578.119999999999</v>
      </c>
      <c r="AP21" s="16" t="str" cm="1">
        <f t="array" ref="AP21">_xll.BDP(AQ21&amp;" Equity","DS520")</f>
        <v>Shionogi &amp; Co Ltd</v>
      </c>
      <c r="AQ21" s="32" t="s">
        <v>289</v>
      </c>
      <c r="AR21" s="32" t="s">
        <v>364</v>
      </c>
      <c r="AS21" s="32" t="str" cm="1">
        <f t="array" ref="AS21">_xll.BDP(AQ21&amp;" Equity", "ID_ISIN")</f>
        <v>JP3347200002</v>
      </c>
      <c r="AT21" s="32"/>
      <c r="AU21" s="30" t="str">
        <f>_xll.BDP(AQ21&amp;" Equity", "DS197")</f>
        <v>Tokyo</v>
      </c>
      <c r="AV21" s="30" t="s">
        <v>26</v>
      </c>
      <c r="AW21" s="30" t="s">
        <v>320</v>
      </c>
      <c r="AX21" s="30" t="s">
        <v>28</v>
      </c>
      <c r="AY21" s="30" t="str">
        <f>_xll.BDP(AQ21&amp;" Equity", "DS004")</f>
        <v>JPY</v>
      </c>
      <c r="AZ21" s="17" cm="1">
        <f t="array" ref="AZ21">_xll.BDP(AQ21&amp;" Equity","PX_LAST")</f>
        <v>3450</v>
      </c>
      <c r="BA21" s="33">
        <f t="shared" si="4"/>
        <v>6.3291473859316716E-2</v>
      </c>
      <c r="BB21" s="33">
        <f t="shared" si="34"/>
        <v>6.010648224575664E-2</v>
      </c>
      <c r="BD21" s="1" cm="1">
        <f t="array" ref="BD21">IF(AY21="USD",1,_xll.BDP(AY21&amp;"USD CURNCY","PX_LAST"))</f>
        <v>6.3369999999999998E-3</v>
      </c>
      <c r="BE21" s="18">
        <v>476637.11417579802</v>
      </c>
      <c r="BF21" s="11">
        <f t="shared" si="35"/>
        <v>10420550.40423551</v>
      </c>
      <c r="BG21" s="5"/>
      <c r="BH21" s="11" cm="1">
        <f t="array" ref="BH21">IF(AU21="Hong Kong",_xll.BDP(AQ21&amp;" Equity","PR414"),_xll.BDP(AQ21&amp;" Equity","PR090"))</f>
        <v>100</v>
      </c>
      <c r="BI21" s="11">
        <f t="shared" si="36"/>
        <v>2186.2649999999999</v>
      </c>
      <c r="BJ21" s="5">
        <f t="shared" si="37"/>
        <v>9.2638685772225013</v>
      </c>
      <c r="BK21" s="8">
        <f t="shared" si="38"/>
        <v>6.1488703124999995E-2</v>
      </c>
      <c r="BL21" s="8">
        <f t="shared" si="39"/>
        <v>-2.8483627009917467E-2</v>
      </c>
      <c r="BM21" s="5"/>
      <c r="BN21" s="21">
        <f t="shared" si="40"/>
        <v>34542.80437298071</v>
      </c>
      <c r="BO21" s="22">
        <f t="shared" si="41"/>
        <v>80891.804999999993</v>
      </c>
      <c r="BQ21" s="16" t="s">
        <v>94</v>
      </c>
      <c r="BR21" s="45" t="s">
        <v>94</v>
      </c>
      <c r="BS21" s="45"/>
      <c r="BT21" s="45"/>
      <c r="BU21" s="45"/>
      <c r="BV21" s="30"/>
      <c r="BW21" s="30"/>
      <c r="BX21" s="30"/>
      <c r="BY21" s="30" t="s">
        <v>80</v>
      </c>
      <c r="BZ21" s="30" t="str">
        <f>_xll.BDP(BR21&amp;" Curncy", "DS004")</f>
        <v>JPY</v>
      </c>
      <c r="CA21" s="17">
        <v>1</v>
      </c>
      <c r="CB21" s="33">
        <f t="shared" si="5"/>
        <v>4.9103483252468331E-3</v>
      </c>
      <c r="CC21" s="33">
        <f>CC28</f>
        <v>5.475E-2</v>
      </c>
      <c r="CE21" s="1">
        <v>1</v>
      </c>
      <c r="CF21" s="18">
        <v>3080606.1619013301</v>
      </c>
      <c r="CG21" s="11">
        <f>CF21*CA21*CE21</f>
        <v>3080606.1619013301</v>
      </c>
      <c r="CH21" s="5"/>
      <c r="CI21" s="11">
        <v>1</v>
      </c>
      <c r="CJ21" s="11">
        <f>CI21*CE21*CA21</f>
        <v>1</v>
      </c>
      <c r="CK21" s="5">
        <f>($AJ$3*CB21)/CJ21</f>
        <v>1571.3114640789865</v>
      </c>
      <c r="CL21" s="8">
        <f>(ROUND(CK21,0)*CJ21)/$AJ$3</f>
        <v>4.9093749999999997E-3</v>
      </c>
      <c r="CM21" s="8">
        <f>CL21/CB21-1</f>
        <v>-1.9821918576101716E-4</v>
      </c>
      <c r="CN21" s="5"/>
      <c r="CO21" s="21">
        <f>IFERROR(CJ21/CB21,0)</f>
        <v>203.6515403313536</v>
      </c>
      <c r="CP21" s="22">
        <f>CJ21/(1/COUNTA($P$6:$P$77))</f>
        <v>37</v>
      </c>
      <c r="CR21" s="16" t="str" cm="1">
        <f t="array" ref="CR21">_xll.BDP(CS21&amp;" Equity","DS520")</f>
        <v>Simon Property Group Inc</v>
      </c>
      <c r="CS21" s="32" t="s">
        <v>124</v>
      </c>
      <c r="CT21" s="32" t="s">
        <v>378</v>
      </c>
      <c r="CU21" s="32" t="str" cm="1">
        <f t="array" ref="CU21">_xll.BDP(CS21&amp;" Equity", "ID_ISIN")</f>
        <v>US8288061091</v>
      </c>
      <c r="CV21" s="32"/>
      <c r="CW21" s="30" t="str">
        <f>_xll.BDP(CS21&amp;" Equity", "DS197")</f>
        <v>New York</v>
      </c>
      <c r="CX21" s="30" t="s">
        <v>26</v>
      </c>
      <c r="CY21" s="30" t="s">
        <v>33</v>
      </c>
      <c r="CZ21" s="30" t="s">
        <v>28</v>
      </c>
      <c r="DA21" s="30" t="str">
        <f>_xll.BDP(CS21&amp;" Equity", "DS004")</f>
        <v>USD</v>
      </c>
      <c r="DB21" s="17" cm="1">
        <f t="array" ref="DB21">_xll.BDP(CS21&amp;" Equity","PX_LAST")</f>
        <v>201.03</v>
      </c>
      <c r="DC21" s="33">
        <f t="shared" si="6"/>
        <v>5.5911364202750502E-2</v>
      </c>
      <c r="DD21" s="33">
        <f t="shared" si="7"/>
        <v>5.3098038100755203E-2</v>
      </c>
      <c r="DF21" s="1" cm="1">
        <f t="array" ref="DF21">IF(DA21="USD",1,_xll.BDP(DA21&amp;"USD CURNCY","PX_LAST"))</f>
        <v>1</v>
      </c>
      <c r="DG21" s="18">
        <v>50439.6870652652</v>
      </c>
      <c r="DH21" s="11">
        <f t="shared" si="8"/>
        <v>10139890.290730264</v>
      </c>
      <c r="DI21" s="5"/>
      <c r="DJ21" s="11" cm="1">
        <f t="array" ref="DJ21">IF(CW21="Hong Kong",_xll.BDP(CS21&amp;" Equity","PR414"),_xll.BDP(CS21&amp;" Equity","PR090"))</f>
        <v>1</v>
      </c>
      <c r="DK21" s="11">
        <f t="shared" si="9"/>
        <v>201.03</v>
      </c>
      <c r="DL21" s="5">
        <f t="shared" si="50"/>
        <v>88.999833581456301</v>
      </c>
      <c r="DM21" s="8">
        <f t="shared" si="51"/>
        <v>5.5911468750000005E-2</v>
      </c>
      <c r="DN21" s="8">
        <f t="shared" si="52"/>
        <v>1.8698747739076538E-6</v>
      </c>
      <c r="DO21" s="5"/>
      <c r="DP21" s="21">
        <f t="shared" si="53"/>
        <v>3595.5123411227828</v>
      </c>
      <c r="DQ21" s="22">
        <f t="shared" si="54"/>
        <v>7438.11</v>
      </c>
      <c r="DS21" s="16" t="str" cm="1">
        <f t="array" ref="DS21">_xll.BDP(DT21&amp;" Equity","DS520")</f>
        <v>J Sainsbury PLC</v>
      </c>
      <c r="DT21" s="44" t="s">
        <v>151</v>
      </c>
      <c r="DU21" s="44" t="s">
        <v>152</v>
      </c>
      <c r="DV21" s="32" t="str" cm="1">
        <f t="array" ref="DV21">_xll.BDP(DT21&amp;" Equity", "ID_ISIN")</f>
        <v>GB00B019KW72</v>
      </c>
      <c r="DW21" s="44"/>
      <c r="DX21" s="30" t="str">
        <f>_xll.BDP(DT21&amp;" Equity", "DS197")</f>
        <v>London</v>
      </c>
      <c r="DY21" s="30" t="s">
        <v>26</v>
      </c>
      <c r="DZ21" s="30" t="s">
        <v>129</v>
      </c>
      <c r="EA21" s="30" t="s">
        <v>28</v>
      </c>
      <c r="EB21" s="43" t="str">
        <f>_xll.BDP(DT21&amp;" Equity", "DS004")</f>
        <v>GBp</v>
      </c>
      <c r="EC21" s="17" cm="1">
        <f t="array" ref="EC21">_xll.BDP(DT21&amp;" Equity","PX_LAST")/100</f>
        <v>3.4780000000000002</v>
      </c>
      <c r="ED21" s="33">
        <f t="shared" si="55"/>
        <v>4.6446671231109349E-2</v>
      </c>
      <c r="EE21" s="33">
        <f t="shared" si="56"/>
        <v>4.405967514417667E-2</v>
      </c>
      <c r="EG21" s="1">
        <v>1</v>
      </c>
      <c r="EH21" s="18">
        <v>2203821.7232905999</v>
      </c>
      <c r="EI21" s="11">
        <f t="shared" si="57"/>
        <v>7664891.9536047066</v>
      </c>
      <c r="EJ21" s="5"/>
      <c r="EK21" s="11" cm="1">
        <f t="array" ref="EK21">IF(DX21="Hong Kong",_xll.BDP(DT21&amp;" Equity","PR414"),_xll.BDP(DT21&amp;" Equity","PR090"))</f>
        <v>1</v>
      </c>
      <c r="EL21" s="11">
        <f t="shared" si="58"/>
        <v>3.4780000000000002</v>
      </c>
      <c r="EM21" s="5">
        <f t="shared" si="59"/>
        <v>4273.41425933151</v>
      </c>
      <c r="EN21" s="8">
        <f t="shared" si="60"/>
        <v>4.6442168749999999E-2</v>
      </c>
      <c r="EO21" s="8">
        <f t="shared" si="61"/>
        <v>-9.6938725424378092E-5</v>
      </c>
      <c r="EP21" s="5"/>
      <c r="EQ21" s="21">
        <f t="shared" si="62"/>
        <v>74.881577254356245</v>
      </c>
      <c r="ER21" s="22">
        <f t="shared" si="63"/>
        <v>128.68600000000001</v>
      </c>
      <c r="ET21" s="16" t="str" cm="1">
        <f t="array" ref="ET21">_xll.BDP(EU21&amp;" Equity","DS520")</f>
        <v>TE Connectivity PLC</v>
      </c>
      <c r="EU21" s="32" t="s">
        <v>183</v>
      </c>
      <c r="EV21" s="32" t="s">
        <v>340</v>
      </c>
      <c r="EW21" s="32" t="str" cm="1">
        <f t="array" ref="EW21">_xll.BDP(EU21&amp;" Equity", "ID_ISIN")</f>
        <v>IE000IVNQZ81</v>
      </c>
      <c r="EX21" s="32"/>
      <c r="EY21" s="30" t="str">
        <f>_xll.BDP(EU21&amp;" Equity", "DS197")</f>
        <v>New York</v>
      </c>
      <c r="EZ21" s="30" t="s">
        <v>26</v>
      </c>
      <c r="FA21" s="30" t="s">
        <v>33</v>
      </c>
      <c r="FB21" s="30" t="s">
        <v>28</v>
      </c>
      <c r="FC21" s="30" t="str">
        <f>_xll.BDP(EU21&amp;" Equity", "DS004")</f>
        <v>USD</v>
      </c>
      <c r="FD21" s="17" cm="1">
        <f t="array" ref="FD21">_xll.BDP(EU21&amp;" Equity","PX_LAST")</f>
        <v>210.56</v>
      </c>
      <c r="FE21" s="33">
        <f t="shared" si="10"/>
        <v>3.1715144340330535E-2</v>
      </c>
      <c r="FF21" s="33">
        <f t="shared" si="11"/>
        <v>3.0128548675215385E-2</v>
      </c>
      <c r="FH21" s="1" cm="1">
        <f t="array" ref="FH21">IF(FC21="USD",1,_xll.BDP(FC21&amp;"USD CURNCY","PX_LAST"))</f>
        <v>1</v>
      </c>
      <c r="FI21" s="18">
        <v>30865.837269885698</v>
      </c>
      <c r="FJ21" s="11">
        <f t="shared" si="64"/>
        <v>6499110.6955471328</v>
      </c>
      <c r="FK21" s="5"/>
      <c r="FL21" s="11" cm="1">
        <f t="array" ref="FL21">IF(EY21="Hong Kong",_xll.BDP(EU21&amp;" Equity","PR414"),_xll.BDP(EU21&amp;" Equity","PR090"))</f>
        <v>1</v>
      </c>
      <c r="FM21" s="11">
        <f t="shared" si="65"/>
        <v>210.56</v>
      </c>
      <c r="FN21" s="5">
        <f t="shared" si="66"/>
        <v>48.199307508101114</v>
      </c>
      <c r="FO21" s="8">
        <f t="shared" si="67"/>
        <v>3.1584000000000001E-2</v>
      </c>
      <c r="FP21" s="8">
        <f t="shared" si="68"/>
        <v>-4.1350699502812338E-3</v>
      </c>
      <c r="FQ21" s="5"/>
      <c r="FR21" s="21">
        <f t="shared" si="69"/>
        <v>6639.0995336647911</v>
      </c>
      <c r="FS21" s="22">
        <f t="shared" si="70"/>
        <v>7790.7199999999993</v>
      </c>
      <c r="FU21" s="16" t="str" cm="1">
        <f t="array" ref="FU21">_xll.BDP(FV21&amp;" Equity","DS520")</f>
        <v>International Business Machines Corp</v>
      </c>
      <c r="FV21" s="32" t="s">
        <v>49</v>
      </c>
      <c r="FW21" s="32" t="s">
        <v>50</v>
      </c>
      <c r="FX21" s="32" t="str" cm="1">
        <f t="array" ref="FX21">_xll.BDP(FV21&amp;" Equity", "ID_ISIN")</f>
        <v>US4592001014</v>
      </c>
      <c r="FY21" s="32"/>
      <c r="FZ21" s="30" t="str">
        <f>_xll.BDP(FV21&amp;" Equity", "DS197")</f>
        <v>New York</v>
      </c>
      <c r="GA21" s="30" t="s">
        <v>26</v>
      </c>
      <c r="GB21" s="30" t="s">
        <v>33</v>
      </c>
      <c r="GC21" s="30" t="s">
        <v>28</v>
      </c>
      <c r="GD21" s="30" t="str">
        <f>_xll.BDP(FV21&amp;" Equity", "DS004")</f>
        <v>USD</v>
      </c>
      <c r="GE21" s="17" cm="1">
        <f t="array" ref="GE21">_xll.BDP(FV21&amp;" Equity","PX_LAST")</f>
        <v>256.55</v>
      </c>
      <c r="GF21" s="33">
        <f t="shared" si="12"/>
        <v>2.8311770655732513E-2</v>
      </c>
      <c r="GG21" s="33">
        <f t="shared" si="13"/>
        <v>2.6894893978043788E-2</v>
      </c>
      <c r="GI21" s="1" cm="1">
        <f t="array" ref="GI21">IF(GD21="USD",1,_xll.BDP(GD21&amp;"USD CURNCY","PX_LAST"))</f>
        <v>1</v>
      </c>
      <c r="GJ21" s="18">
        <v>22843.325174103102</v>
      </c>
      <c r="GK21" s="11">
        <f t="shared" si="71"/>
        <v>5860455.0734161511</v>
      </c>
      <c r="GL21" s="5"/>
      <c r="GM21" s="11" cm="1">
        <f t="array" ref="GM21">IF(FZ21="Hong Kong",_xll.BDP(FV21&amp;" Equity","PR414"),_xll.BDP(FV21&amp;" Equity","PR090"))</f>
        <v>1</v>
      </c>
      <c r="GN21" s="11">
        <f t="shared" si="72"/>
        <v>256.55</v>
      </c>
      <c r="GO21" s="5">
        <f t="shared" si="73"/>
        <v>35.313843733519406</v>
      </c>
      <c r="GP21" s="8">
        <f t="shared" si="74"/>
        <v>2.8060156249999999E-2</v>
      </c>
      <c r="GQ21" s="8">
        <f t="shared" si="75"/>
        <v>-8.8872719686844404E-3</v>
      </c>
      <c r="GR21" s="5"/>
      <c r="GS21" s="21">
        <f t="shared" si="76"/>
        <v>9061.6020848577427</v>
      </c>
      <c r="GT21" s="22">
        <f t="shared" si="77"/>
        <v>9492.35</v>
      </c>
      <c r="GV21" s="16" t="str" cm="1">
        <f t="array" ref="GV21">_xll.BDP(GW21&amp;" Equity","DS520")</f>
        <v>Kao Corp</v>
      </c>
      <c r="GW21" s="32" t="s">
        <v>196</v>
      </c>
      <c r="GX21" s="32">
        <v>4452</v>
      </c>
      <c r="GY21" s="32" t="str" cm="1">
        <f t="array" ref="GY21">_xll.BDP(GW21&amp;" Equity", "ID_ISIN")</f>
        <v>JP3205800000</v>
      </c>
      <c r="GZ21" s="32"/>
      <c r="HA21" s="30" t="str">
        <f>_xll.BDP(GW21&amp;" Equity", "DS197")</f>
        <v>Tokyo</v>
      </c>
      <c r="HB21" s="30" t="s">
        <v>26</v>
      </c>
      <c r="HC21" s="30" t="s">
        <v>320</v>
      </c>
      <c r="HD21" s="30" t="s">
        <v>28</v>
      </c>
      <c r="HE21" s="30" t="str">
        <f>_xll.BDP(GW21&amp;" Equity", "DS004")</f>
        <v>JPY</v>
      </c>
      <c r="HF21" s="17" cm="1">
        <f t="array" ref="HF21">_xll.BDP(GW21&amp;" Equity","PX_LAST")</f>
        <v>6312</v>
      </c>
      <c r="HG21" s="33">
        <f t="shared" si="14"/>
        <v>2.6802721049876323E-2</v>
      </c>
      <c r="HH21" s="33">
        <f t="shared" si="78"/>
        <v>2.5460564887635023E-2</v>
      </c>
      <c r="HJ21" s="1" cm="1">
        <f t="array" ref="HJ21">IF(HE21="USD",1,_xll.BDP(HE21&amp;"USD CURNCY","PX_LAST"))</f>
        <v>6.3369999999999998E-3</v>
      </c>
      <c r="HK21" s="18">
        <v>109284.73871397199</v>
      </c>
      <c r="HL21" s="11">
        <f t="shared" si="79"/>
        <v>4371296.0008225404</v>
      </c>
      <c r="HM21" s="5"/>
      <c r="HN21" s="11" cm="1">
        <f t="array" ref="HN21">IF(HA21="Hong Kong",_xll.BDP(GW21&amp;" Equity","PR414"),_xll.BDP(GW21&amp;" Equity","PR090"))</f>
        <v>100</v>
      </c>
      <c r="HO21" s="11">
        <f t="shared" si="80"/>
        <v>3999.9143999999997</v>
      </c>
      <c r="HP21" s="5">
        <f t="shared" si="81"/>
        <v>2.1442635712305305</v>
      </c>
      <c r="HQ21" s="8">
        <f t="shared" si="82"/>
        <v>2.4999464999999998E-2</v>
      </c>
      <c r="HR21" s="8">
        <f t="shared" si="83"/>
        <v>-6.727884256679395E-2</v>
      </c>
      <c r="HS21" s="5"/>
      <c r="HT21" s="21">
        <f t="shared" si="84"/>
        <v>149235.38518931295</v>
      </c>
      <c r="HU21" s="22">
        <f t="shared" si="85"/>
        <v>147996.83279999997</v>
      </c>
      <c r="HW21" s="16" t="str" cm="1">
        <f t="array" ref="HW21">_xll.BDP(HX21&amp;" Equity","DS520")</f>
        <v>PCCW Ltd</v>
      </c>
      <c r="HX21" s="32" t="s">
        <v>214</v>
      </c>
      <c r="HY21" s="32">
        <v>8</v>
      </c>
      <c r="HZ21" s="32" t="str" cm="1">
        <f t="array" ref="HZ21">_xll.BDP(HX21&amp;" Equity", "ID_ISIN")</f>
        <v>HK0008011667</v>
      </c>
      <c r="IA21" s="32"/>
      <c r="IB21" s="30" t="str">
        <f>_xll.BDP(HX21&amp;" Equity", "DS197")</f>
        <v>Hong Kong</v>
      </c>
      <c r="IC21" s="30" t="s">
        <v>26</v>
      </c>
      <c r="ID21" s="30" t="s">
        <v>27</v>
      </c>
      <c r="IE21" s="30" t="s">
        <v>28</v>
      </c>
      <c r="IF21" s="30" t="str">
        <f>_xll.BDP(HX21&amp;" Equity", "DS004")</f>
        <v>HKD</v>
      </c>
      <c r="IG21" s="17" cm="1">
        <f t="array" ref="IG21">_xll.BDP(HX21&amp;" Equity","PX_LAST")</f>
        <v>6.02</v>
      </c>
      <c r="IH21" s="33">
        <f t="shared" si="15"/>
        <v>4.6375385527424304E-2</v>
      </c>
      <c r="II21" s="33">
        <f t="shared" si="16"/>
        <v>4.4080346542457134E-2</v>
      </c>
      <c r="IK21" s="1">
        <v>1</v>
      </c>
      <c r="IL21" s="18">
        <v>1460135.83839817</v>
      </c>
      <c r="IM21" s="11">
        <f t="shared" si="183"/>
        <v>8790017.7471569832</v>
      </c>
      <c r="IN21" s="5"/>
      <c r="IO21" s="11" cm="1">
        <f t="array" ref="IO21">IF(IB21="Hong Kong",_xll.BDP(HX21&amp;" Equity","PR414"),_xll.BDP(HX21&amp;" Equity","PR090"))</f>
        <v>1000</v>
      </c>
      <c r="IP21" s="11">
        <f t="shared" si="184"/>
        <v>6020</v>
      </c>
      <c r="IQ21" s="5">
        <f t="shared" si="185"/>
        <v>2.4651367722218898</v>
      </c>
      <c r="IR21" s="8">
        <f t="shared" si="186"/>
        <v>3.7624999999999999E-2</v>
      </c>
      <c r="IS21" s="8">
        <f t="shared" si="187"/>
        <v>-0.18868598994718266</v>
      </c>
      <c r="IT21" s="5"/>
      <c r="IU21" s="21">
        <f t="shared" si="188"/>
        <v>129810.24160845077</v>
      </c>
      <c r="IV21" s="22">
        <f t="shared" si="189"/>
        <v>222740</v>
      </c>
      <c r="IX21" s="16" t="str" cm="1">
        <f t="array" ref="IX21">_xll.BDP(IY21&amp;" Equity","DS520")</f>
        <v>Pegasystems Inc</v>
      </c>
      <c r="IY21" s="32" t="s">
        <v>691</v>
      </c>
      <c r="IZ21" s="32" t="s">
        <v>697</v>
      </c>
      <c r="JA21" s="32" t="str" cm="1">
        <f t="array" ref="JA21">_xll.BDP(IY21&amp;" Equity", "ID_ISIN")</f>
        <v>US7055731035</v>
      </c>
      <c r="JB21" s="32"/>
      <c r="JC21" s="30" t="str">
        <f>_xll.BDP(IY21&amp;" Equity", "DS197")</f>
        <v>NASDAQ GS</v>
      </c>
      <c r="JD21" s="30" t="s">
        <v>26</v>
      </c>
      <c r="JE21" s="30" t="s">
        <v>33</v>
      </c>
      <c r="JF21" s="30" t="s">
        <v>28</v>
      </c>
      <c r="JG21" s="30" t="str">
        <f>_xll.BDP(IY21&amp;" Equity", "DS004")</f>
        <v>USD</v>
      </c>
      <c r="JH21" s="17" cm="1">
        <f t="array" ref="JH21">_xll.BDP(IY21&amp;" Equity","PX_LAST")</f>
        <v>47.3</v>
      </c>
      <c r="JI21" s="33">
        <f t="shared" si="93"/>
        <v>3.2893722898179503E-2</v>
      </c>
      <c r="JJ21" s="33">
        <f t="shared" si="17"/>
        <v>3.124735700885559E-2</v>
      </c>
      <c r="JL21" s="1" cm="1">
        <f t="array" ref="JL21">IF(JG21="USD",1,_xll.BDP(JG21&amp;"USD CURNCY","PX_LAST"))</f>
        <v>1</v>
      </c>
      <c r="JM21" s="18">
        <v>84838.764075352898</v>
      </c>
      <c r="JN21" s="11">
        <f t="shared" si="94"/>
        <v>4012873.5407641917</v>
      </c>
      <c r="JO21" s="5"/>
      <c r="JP21" s="11" cm="1">
        <f t="array" ref="JP21">IF(JC21="Hong Kong",_xll.BDP(IY21&amp;" Equity","PR414"),_xll.BDP(IY21&amp;" Equity","PR090"))</f>
        <v>1</v>
      </c>
      <c r="JQ21" s="11">
        <f t="shared" si="95"/>
        <v>47.3</v>
      </c>
      <c r="JR21" s="5">
        <f t="shared" si="96"/>
        <v>222.53681453313831</v>
      </c>
      <c r="JS21" s="8">
        <f t="shared" si="97"/>
        <v>3.2962187499999997E-2</v>
      </c>
      <c r="JT21" s="8">
        <f t="shared" si="98"/>
        <v>2.0813880518304462E-3</v>
      </c>
      <c r="JU21" s="5"/>
      <c r="JV21" s="21">
        <f t="shared" si="99"/>
        <v>1437.9643236618197</v>
      </c>
      <c r="JW21" s="22">
        <f t="shared" si="100"/>
        <v>1750.1</v>
      </c>
      <c r="JY21" s="16" t="str" cm="1">
        <f t="array" ref="JY21">_xll.BDP(JZ21&amp;" Equity","DS520")</f>
        <v>Deere &amp; Co</v>
      </c>
      <c r="JZ21" s="32" t="s">
        <v>226</v>
      </c>
      <c r="KA21" s="32" t="s">
        <v>394</v>
      </c>
      <c r="KB21" s="32" t="str" cm="1">
        <f t="array" ref="KB21">_xll.BDP(JZ21&amp;" Equity", "ID_ISIN")</f>
        <v>US2441991054</v>
      </c>
      <c r="KC21" s="32"/>
      <c r="KD21" s="30" t="str">
        <f>_xll.BDP(JZ21&amp;" Equity", "DS197")</f>
        <v>New York</v>
      </c>
      <c r="KE21" s="30" t="s">
        <v>26</v>
      </c>
      <c r="KF21" s="30" t="s">
        <v>33</v>
      </c>
      <c r="KG21" s="30" t="s">
        <v>28</v>
      </c>
      <c r="KH21" s="30" t="str">
        <f>_xll.BDP(JZ21&amp;" Equity", "DS004")</f>
        <v>USD</v>
      </c>
      <c r="KI21" s="17" cm="1">
        <f t="array" ref="KI21">_xll.BDP(JZ21&amp;" Equity","PX_LAST")</f>
        <v>590.69000000000005</v>
      </c>
      <c r="KJ21" s="33">
        <f t="shared" si="101"/>
        <v>3.0468855557492815E-2</v>
      </c>
      <c r="KK21" s="33">
        <f t="shared" si="102"/>
        <v>2.8950111513607782E-2</v>
      </c>
      <c r="KM21" s="1" cm="1">
        <f t="array" ref="KM21">IF(KH21="USD",1,_xll.BDP(KH21&amp;"USD CURNCY","PX_LAST"))</f>
        <v>1</v>
      </c>
      <c r="KN21" s="18">
        <v>5122.1222109781402</v>
      </c>
      <c r="KO21" s="11">
        <f t="shared" si="103"/>
        <v>3025586.3688026778</v>
      </c>
      <c r="KP21" s="5"/>
      <c r="KQ21" s="11" cm="1">
        <f t="array" ref="KQ21">IF(KD21="Hong Kong",_xll.BDP(JZ21&amp;" Equity","PR414"),_xll.BDP(JZ21&amp;" Equity","PR090"))</f>
        <v>1</v>
      </c>
      <c r="KR21" s="11">
        <f t="shared" si="104"/>
        <v>590.69000000000005</v>
      </c>
      <c r="KS21" s="5">
        <f t="shared" si="105"/>
        <v>16.506177146045641</v>
      </c>
      <c r="KT21" s="8">
        <f t="shared" si="106"/>
        <v>3.1380406250000006E-2</v>
      </c>
      <c r="KU21" s="8">
        <f t="shared" si="107"/>
        <v>2.9917457542412595E-2</v>
      </c>
      <c r="KV21" s="5"/>
      <c r="KW21" s="21">
        <f t="shared" si="108"/>
        <v>19386.681553739527</v>
      </c>
      <c r="KX21" s="22">
        <f t="shared" si="109"/>
        <v>21855.530000000002</v>
      </c>
      <c r="KZ21" s="16" t="s">
        <v>34</v>
      </c>
      <c r="LA21" s="32" t="s">
        <v>34</v>
      </c>
      <c r="LB21" s="32"/>
      <c r="LC21" s="32"/>
      <c r="LD21" s="32"/>
      <c r="LE21" s="30"/>
      <c r="LF21" s="30"/>
      <c r="LG21" s="30"/>
      <c r="LH21" s="30" t="s">
        <v>80</v>
      </c>
      <c r="LI21" s="30" t="str">
        <f>_xll.BDP(LA21&amp;" Curncy", "DS004")</f>
        <v>USD</v>
      </c>
      <c r="LJ21" s="17">
        <v>1</v>
      </c>
      <c r="LK21" s="33">
        <f t="shared" si="18"/>
        <v>4.5527874611892959E-3</v>
      </c>
      <c r="LL21" s="33">
        <f>LL28</f>
        <v>5.475E-2</v>
      </c>
      <c r="LN21" s="1">
        <v>1</v>
      </c>
      <c r="LO21" s="18">
        <v>503118.93125433399</v>
      </c>
      <c r="LP21" s="11">
        <f>LO21*LJ21*LN21</f>
        <v>503118.93125433399</v>
      </c>
      <c r="LQ21" s="5"/>
      <c r="LR21" s="11">
        <v>1</v>
      </c>
      <c r="LS21" s="11">
        <f t="shared" ref="LS21" si="204">LR21*LN21*LJ21</f>
        <v>1</v>
      </c>
      <c r="LT21" s="5">
        <f t="shared" ref="LT21" si="205">($AJ$3*LK21)/LS21</f>
        <v>1456.8919875805748</v>
      </c>
      <c r="LU21" s="8">
        <f t="shared" ref="LU21" si="206">(ROUND(LT21,0)*LS21)/$AJ$3</f>
        <v>4.5531249999999999E-3</v>
      </c>
      <c r="LV21" s="8">
        <f t="shared" ref="LV21" si="207">LU21/LK21-1</f>
        <v>7.4138934352152575E-5</v>
      </c>
      <c r="LW21" s="5"/>
      <c r="LX21" s="21">
        <f t="shared" ref="LX21" si="208">IFERROR(LS21/LK21,0)</f>
        <v>219.64565851681033</v>
      </c>
      <c r="LY21" s="22">
        <f t="shared" ref="LY21" si="209">LS21/(1/COUNTA($P$6:$P$77))</f>
        <v>37</v>
      </c>
      <c r="MA21" s="16" t="str" cm="1">
        <f t="array" ref="MA21">_xll.BDP(MB21&amp;" Equity","DS520")</f>
        <v>Kimberly-Clark Corp</v>
      </c>
      <c r="MB21" s="32" t="s">
        <v>51</v>
      </c>
      <c r="MC21" s="32" t="s">
        <v>52</v>
      </c>
      <c r="MD21" s="32" t="str" cm="1">
        <f t="array" ref="MD21">_xll.BDP(MB21&amp;" Equity", "ID_ISIN")</f>
        <v>US4943681035</v>
      </c>
      <c r="ME21" s="32"/>
      <c r="MF21" s="30" t="str">
        <f>_xll.BDP(MB21&amp;" Equity", "DS197")</f>
        <v>NASDAQ GS</v>
      </c>
      <c r="MG21" s="30" t="s">
        <v>26</v>
      </c>
      <c r="MH21" s="30" t="s">
        <v>33</v>
      </c>
      <c r="MI21" s="30" t="s">
        <v>28</v>
      </c>
      <c r="MJ21" s="51" t="str">
        <f>_xll.BDP(MB21&amp;" Equity", "DS004")</f>
        <v>USD</v>
      </c>
      <c r="MK21" s="17" cm="1">
        <f t="array" ref="MK21">_xll.BDP(MB21&amp;" Equity","PX_LAST")</f>
        <v>104.91</v>
      </c>
      <c r="ML21" s="33">
        <f t="shared" si="20"/>
        <v>2.8493987321597723E-2</v>
      </c>
      <c r="MM21" s="33">
        <f t="shared" si="21"/>
        <v>2.7052125487836198E-2</v>
      </c>
      <c r="MO21" s="1" cm="1">
        <f t="array" ref="MO21">IF(MJ21="USD",1,_xll.BDP(MJ21&amp;"USD CURNCY","PX_LAST"))</f>
        <v>1</v>
      </c>
      <c r="MP21" s="18">
        <v>48794.847382562497</v>
      </c>
      <c r="MQ21" s="11">
        <f t="shared" si="117"/>
        <v>5119067.438904631</v>
      </c>
      <c r="MR21" s="5"/>
      <c r="MS21" s="11" cm="1">
        <f t="array" ref="MS21">IF(MF21="Hong Kong",_xll.BDP(MB21&amp;" Equity","PR414"),_xll.BDP(MB21&amp;" Equity","PR090"))</f>
        <v>1</v>
      </c>
      <c r="MT21" s="11">
        <f t="shared" si="118"/>
        <v>104.91</v>
      </c>
      <c r="MU21" s="5">
        <f t="shared" si="119"/>
        <v>86.913315631601108</v>
      </c>
      <c r="MV21" s="8">
        <f t="shared" si="120"/>
        <v>2.852240625E-2</v>
      </c>
      <c r="MW21" s="8">
        <f t="shared" si="121"/>
        <v>9.9736579796738667E-4</v>
      </c>
      <c r="MX21" s="5"/>
      <c r="MY21" s="21">
        <f t="shared" si="122"/>
        <v>3681.8293914407996</v>
      </c>
      <c r="MZ21" s="22">
        <f t="shared" si="123"/>
        <v>3881.6699999999996</v>
      </c>
      <c r="NB21" s="16" t="str" cm="1">
        <f t="array" ref="NB21">_xll.BDP(NC21&amp;" Equity","DS520")</f>
        <v>Novartis AG</v>
      </c>
      <c r="NC21" s="32" t="s">
        <v>269</v>
      </c>
      <c r="ND21" s="32" t="s">
        <v>346</v>
      </c>
      <c r="NE21" s="32" t="str" cm="1">
        <f t="array" ref="NE21">_xll.BDP(NC21&amp;" Equity", "ID_ISIN")</f>
        <v>US66987V1098</v>
      </c>
      <c r="NF21" s="32"/>
      <c r="NG21" s="30" t="str">
        <f>_xll.BDP(NC21&amp;" Equity", "DS197")</f>
        <v>New York</v>
      </c>
      <c r="NH21" s="30" t="s">
        <v>26</v>
      </c>
      <c r="NI21" s="30" t="s">
        <v>33</v>
      </c>
      <c r="NJ21" s="30" t="s">
        <v>28</v>
      </c>
      <c r="NK21" s="30" t="str">
        <f>_xll.BDP(NC21&amp;" Equity", "DS004")</f>
        <v>USD</v>
      </c>
      <c r="NL21" s="17" cm="1">
        <f t="array" ref="NL21">_xll.BDP(NC21&amp;" Equity","PX_LAST")</f>
        <v>161.01</v>
      </c>
      <c r="NM21" s="33">
        <f t="shared" si="22"/>
        <v>3.8278854029018344E-2</v>
      </c>
      <c r="NN21" s="33">
        <f t="shared" si="23"/>
        <v>3.6337191304758924E-2</v>
      </c>
      <c r="NP21" s="1" cm="1">
        <f t="array" ref="NP21">IF(NK21="USD",1,_xll.BDP(NK21&amp;"USD CURNCY","PX_LAST"))</f>
        <v>1</v>
      </c>
      <c r="NQ21" s="18">
        <v>40643.275946668902</v>
      </c>
      <c r="NR21" s="11">
        <f t="shared" si="124"/>
        <v>6543973.8601731593</v>
      </c>
      <c r="NS21" s="5"/>
      <c r="NT21" s="11" cm="1">
        <f t="array" ref="NT21">IF(NG21="Hong Kong",_xll.BDP(NC21&amp;" Equity","PR414"),_xll.BDP(NC21&amp;" Equity","PR090"))</f>
        <v>1</v>
      </c>
      <c r="NU21" s="11">
        <f t="shared" si="125"/>
        <v>161.01</v>
      </c>
      <c r="NV21" s="5">
        <f t="shared" si="126"/>
        <v>76.077469034754799</v>
      </c>
      <c r="NW21" s="8">
        <f t="shared" si="127"/>
        <v>3.8239874999999993E-2</v>
      </c>
      <c r="NX21" s="8">
        <f t="shared" si="128"/>
        <v>-1.0182914302712121E-3</v>
      </c>
      <c r="NY21" s="5"/>
      <c r="NZ21" s="21">
        <f t="shared" si="129"/>
        <v>4206.2387729251741</v>
      </c>
      <c r="OA21" s="22">
        <f t="shared" si="130"/>
        <v>5957.369999999999</v>
      </c>
      <c r="OC21" s="16" t="str" cm="1">
        <f t="array" ref="OC21">_xll.BDP(OD21&amp;" Equity","DS520")</f>
        <v>Muenchener Rueckversicherungs-Gesellschaft AG in Muenchen</v>
      </c>
      <c r="OD21" s="45" t="s">
        <v>714</v>
      </c>
      <c r="OE21" s="32" t="s">
        <v>716</v>
      </c>
      <c r="OF21" s="32" t="str" cm="1">
        <f t="array" ref="OF21">_xll.BDP(OD21&amp;" Equity", "ID_ISIN")</f>
        <v>DE0008430026</v>
      </c>
      <c r="OG21" s="45"/>
      <c r="OH21" s="30" t="str">
        <f>_xll.BDP(OD21&amp;" Equity", "DS197")</f>
        <v>Xetra</v>
      </c>
      <c r="OI21" s="30" t="s">
        <v>26</v>
      </c>
      <c r="OJ21" s="30" t="s">
        <v>39</v>
      </c>
      <c r="OK21" s="30" t="s">
        <v>28</v>
      </c>
      <c r="OL21" s="30" t="str">
        <f>_xll.BDP(OD21&amp;" Equity", "DS004")</f>
        <v>EUR</v>
      </c>
      <c r="OM21" s="17" cm="1">
        <f t="array" ref="OM21">_xll.BDP(OD21&amp;" Equity","PX_LAST")</f>
        <v>531.79999999999995</v>
      </c>
      <c r="ON21" s="33">
        <f t="shared" si="24"/>
        <v>3.1782725596944589E-2</v>
      </c>
      <c r="OO21" s="33">
        <f t="shared" si="131"/>
        <v>3.0136604471247535E-2</v>
      </c>
      <c r="OQ21" s="1" cm="1">
        <f t="array" ref="OQ21">IF(OL21="EUR",1,_xll.BDP(OL21&amp;"EUR CURNCY","PX_LAST"))</f>
        <v>1</v>
      </c>
      <c r="OR21" s="18">
        <v>11006.619488009301</v>
      </c>
      <c r="OS21" s="11">
        <f t="shared" si="132"/>
        <v>5853320.2437233459</v>
      </c>
      <c r="OT21" s="5"/>
      <c r="OU21" s="11" cm="1">
        <f t="array" ref="OU21">IF(OH21="Hong Kong",_xll.BDP(OD21&amp;" Equity","PR414"),_xll.BDP(OD21&amp;" Equity","PR090"))</f>
        <v>1</v>
      </c>
      <c r="OV21" s="11">
        <f t="shared" si="133"/>
        <v>531.79999999999995</v>
      </c>
      <c r="OW21" s="5">
        <f t="shared" si="134"/>
        <v>19.124618636747403</v>
      </c>
      <c r="OX21" s="8">
        <f t="shared" si="135"/>
        <v>3.1575624999999996E-2</v>
      </c>
      <c r="OY21" s="8">
        <f t="shared" si="136"/>
        <v>-6.5161370856281486E-3</v>
      </c>
      <c r="OZ21" s="5"/>
      <c r="PA21" s="21">
        <f t="shared" si="137"/>
        <v>16732.35979645258</v>
      </c>
      <c r="PB21" s="22">
        <f t="shared" si="138"/>
        <v>19676.599999999999</v>
      </c>
      <c r="PD21" s="16" t="str" cm="1">
        <f t="array" ref="PD21">_xll.BDP(PE21&amp;" Equity","DS520")</f>
        <v>Sumitomo Mitsui Trust Group Inc</v>
      </c>
      <c r="PE21" s="59" t="s">
        <v>1422</v>
      </c>
      <c r="PF21" s="45">
        <v>8309</v>
      </c>
      <c r="PG21" s="32" t="str" cm="1">
        <f t="array" ref="PG21">_xll.BDP(PE21&amp;" Equity", "ID_ISIN")</f>
        <v>JP3892100003</v>
      </c>
      <c r="PH21" s="59"/>
      <c r="PI21" s="30" t="str">
        <f>_xll.BDP(PE21&amp;" Equity", "DS197")</f>
        <v>Tokyo</v>
      </c>
      <c r="PJ21" s="30" t="s">
        <v>26</v>
      </c>
      <c r="PK21" s="71" t="s">
        <v>320</v>
      </c>
      <c r="PL21" s="30" t="s">
        <v>28</v>
      </c>
      <c r="PM21" s="30" t="str">
        <f>_xll.BDP(PE21&amp;" Equity", "DS004")</f>
        <v>JPY</v>
      </c>
      <c r="PN21" s="17" cm="1">
        <f t="array" ref="PN21">_xll.BDP(PE21&amp;" Equity","PX_LAST")</f>
        <v>5189</v>
      </c>
      <c r="PO21" s="33">
        <f t="shared" si="25"/>
        <v>4.4589081826526135E-2</v>
      </c>
      <c r="PP21" s="33">
        <f t="shared" si="26"/>
        <v>4.235732644843121E-2</v>
      </c>
      <c r="PR21" s="1">
        <v>1</v>
      </c>
      <c r="PS21" s="18">
        <v>1656.0378453502101</v>
      </c>
      <c r="PT21" s="11">
        <f t="shared" si="139"/>
        <v>8593180.3795222398</v>
      </c>
      <c r="PU21" s="5"/>
      <c r="PV21" s="11" cm="1">
        <f t="array" ref="PV21">IF(PI21="Hong Kong",_xll.BDP(PE21&amp;" Equity","PR414"),_xll.BDP(PE21&amp;" Equity","PR090"))</f>
        <v>100</v>
      </c>
      <c r="PW21" s="11">
        <f t="shared" si="140"/>
        <v>518900</v>
      </c>
      <c r="PX21" s="5">
        <f t="shared" si="141"/>
        <v>2.7497602976466303E-2</v>
      </c>
      <c r="PY21" s="8">
        <f t="shared" si="142"/>
        <v>0</v>
      </c>
      <c r="PZ21" s="8">
        <f t="shared" si="143"/>
        <v>-1</v>
      </c>
      <c r="QA21" s="5"/>
      <c r="QB21" s="21">
        <f t="shared" si="144"/>
        <v>11637378.002507003</v>
      </c>
      <c r="QC21" s="22">
        <f t="shared" si="145"/>
        <v>19199300</v>
      </c>
      <c r="QE21" s="16" t="str" cm="1">
        <f t="array" ref="QE21">_xll.BDP(QF21&amp;" Equity","DS520")</f>
        <v>Qualys Inc</v>
      </c>
      <c r="QF21" s="34" t="s">
        <v>301</v>
      </c>
      <c r="QG21" s="34"/>
      <c r="QH21" s="32" t="str" cm="1">
        <f t="array" ref="QH21">_xll.BDP(QF21&amp;" Equity", "ID_ISIN")</f>
        <v>US74758T3032</v>
      </c>
      <c r="QI21" s="34"/>
      <c r="QJ21" s="30" t="str">
        <f>_xll.BDP(QF21&amp;" Equity", "DS197")</f>
        <v>NASDAQ GS</v>
      </c>
      <c r="QK21" s="30" t="s">
        <v>26</v>
      </c>
      <c r="QL21" s="30"/>
      <c r="QM21" s="30" t="s">
        <v>28</v>
      </c>
      <c r="QN21" s="30" t="str">
        <f>_xll.BDP(QF21&amp;" Equity", "DS004")</f>
        <v>USD</v>
      </c>
      <c r="QO21" s="17" cm="1">
        <f t="array" ref="QO21">_xll.BDP(QF21&amp;" Equity","PX_LAST")</f>
        <v>99.45</v>
      </c>
      <c r="QP21" s="33">
        <f t="shared" si="27"/>
        <v>3.6847474497875565E-2</v>
      </c>
      <c r="QQ21" s="33">
        <f t="shared" si="28"/>
        <v>3.50140912748199E-2</v>
      </c>
      <c r="QS21" s="1" cm="1">
        <f t="array" ref="QS21">IF(QN21="USD",1,_xll.BDP(QN21&amp;"USD CURNCY","PX_LAST"))</f>
        <v>1</v>
      </c>
      <c r="QT21" s="18">
        <v>42268.3290074752</v>
      </c>
      <c r="QU21" s="11">
        <f t="shared" si="146"/>
        <v>4203585.3197934087</v>
      </c>
      <c r="QV21" s="5"/>
      <c r="QW21" s="11" cm="1">
        <f t="array" ref="QW21">IF(QJ21="Hong Kong",_xll.BDP(QF21&amp;" Equity","PR414"),_xll.BDP(QF21&amp;" Equity","PR090"))</f>
        <v>1</v>
      </c>
      <c r="QX21" s="11">
        <f t="shared" si="147"/>
        <v>99.45</v>
      </c>
      <c r="QY21" s="5">
        <f t="shared" si="148"/>
        <v>118.56402050598473</v>
      </c>
      <c r="QZ21" s="8">
        <f t="shared" si="149"/>
        <v>3.6982968750000005E-2</v>
      </c>
      <c r="RA21" s="8">
        <f t="shared" si="150"/>
        <v>3.677165232375712E-3</v>
      </c>
      <c r="RB21" s="5"/>
      <c r="RC21" s="21">
        <f t="shared" si="151"/>
        <v>2698.9638056668923</v>
      </c>
      <c r="RD21" s="22">
        <f t="shared" si="152"/>
        <v>3679.65</v>
      </c>
      <c r="RF21" s="16" t="str" cm="1">
        <f t="array" ref="RF21">_xll.BDP(RG21&amp;" Equity","DS520")</f>
        <v>Nebius Group NV</v>
      </c>
      <c r="RG21" s="34" t="s">
        <v>1308</v>
      </c>
      <c r="RH21" s="34"/>
      <c r="RI21" s="32" t="str" cm="1">
        <f t="array" ref="RI21">_xll.BDP(RG21&amp;" Equity", "ID_ISIN")</f>
        <v>NL0009805522</v>
      </c>
      <c r="RJ21" s="34"/>
      <c r="RK21" s="30" t="str">
        <f>_xll.BDP(RG21&amp;" Equity", "DS197")</f>
        <v>NASDAQ GS</v>
      </c>
      <c r="RL21" s="30" t="s">
        <v>26</v>
      </c>
      <c r="RM21" s="30"/>
      <c r="RN21" s="30" t="s">
        <v>28</v>
      </c>
      <c r="RO21" s="30" t="str">
        <f>_xll.BDP(RG21&amp;" Equity", "DS004")</f>
        <v>USD</v>
      </c>
      <c r="RP21" s="17" cm="1">
        <f t="array" ref="RP21">_xll.BDP(RG21&amp;" Equity","PX_LAST")</f>
        <v>95.65</v>
      </c>
      <c r="RQ21" s="33">
        <f t="shared" si="153"/>
        <v>3.2204577278841628E-2</v>
      </c>
      <c r="RR21" s="33">
        <f t="shared" si="154"/>
        <v>3.0623713668648161E-2</v>
      </c>
      <c r="RT21" s="1" cm="1">
        <f t="array" ref="RT21">IF(RO21="USD",1,_xll.BDP(RO21&amp;"USD CURNCY","PX_LAST"))</f>
        <v>1</v>
      </c>
      <c r="RU21" s="18">
        <v>33928.678095693198</v>
      </c>
      <c r="RV21" s="11">
        <f t="shared" si="155"/>
        <v>3245278.0598530546</v>
      </c>
      <c r="RW21" s="5"/>
      <c r="RX21" s="11" cm="1">
        <f t="array" ref="RX21">IF(RK21="Hong Kong",_xll.BDP(RG21&amp;" Equity","PR414"),_xll.BDP(RG21&amp;" Equity","PR090"))</f>
        <v>1</v>
      </c>
      <c r="RY21" s="11">
        <f t="shared" si="156"/>
        <v>95.65</v>
      </c>
      <c r="RZ21" s="5">
        <f t="shared" si="157"/>
        <v>107.74139811008176</v>
      </c>
      <c r="SA21" s="8">
        <f t="shared" si="158"/>
        <v>3.2281875000000002E-2</v>
      </c>
      <c r="SB21" s="8">
        <f t="shared" si="159"/>
        <v>2.4002091531614145E-3</v>
      </c>
      <c r="SC21" s="5"/>
      <c r="SD21" s="21">
        <f t="shared" si="160"/>
        <v>2970.0746937871454</v>
      </c>
      <c r="SE21" s="22">
        <f t="shared" si="161"/>
        <v>3539.05</v>
      </c>
    </row>
    <row r="22" spans="15:499" ht="15" thickBot="1" x14ac:dyDescent="0.25">
      <c r="O22" s="16" t="str" cm="1">
        <f t="array" ref="O22">_xll.BDP(P22&amp;" Equity","DS520")</f>
        <v>Allstate Corp/The</v>
      </c>
      <c r="P22" s="32" t="s">
        <v>702</v>
      </c>
      <c r="Q22" s="32" t="s">
        <v>706</v>
      </c>
      <c r="R22" s="32" t="str" cm="1">
        <f t="array" ref="R22">_xll.BDP(P22&amp;" Equity", "ID_ISIN")</f>
        <v>US0200021014</v>
      </c>
      <c r="S22" s="32"/>
      <c r="T22" s="30" t="str">
        <f>_xll.BDP(P22&amp;" Equity", "DS197")</f>
        <v>New York</v>
      </c>
      <c r="U22" s="30" t="s">
        <v>26</v>
      </c>
      <c r="V22" s="30" t="s">
        <v>33</v>
      </c>
      <c r="W22" s="30" t="s">
        <v>28</v>
      </c>
      <c r="X22" s="30" t="str">
        <f>_xll.BDP(P22&amp;" Equity", "DS004")</f>
        <v>USD</v>
      </c>
      <c r="Y22" s="17" cm="1">
        <f t="array" ref="Y22">_xll.BDP(P22&amp;" Equity","PX_LAST")</f>
        <v>211.62</v>
      </c>
      <c r="Z22" s="33">
        <f t="shared" si="0"/>
        <v>2.931138220675391E-2</v>
      </c>
      <c r="AA22" s="33">
        <f t="shared" si="1"/>
        <v>2.7846798184326005E-2</v>
      </c>
      <c r="AB22" s="4"/>
      <c r="AC22" s="1" cm="1">
        <f t="array" ref="AC22">IF(X22="USD",1,_xll.BDP(X22&amp;"USD CURNCY","PX_LAST"))</f>
        <v>1</v>
      </c>
      <c r="AD22" s="18">
        <v>28503.999800368601</v>
      </c>
      <c r="AE22" s="11">
        <f t="shared" si="169"/>
        <v>6032016.4377540033</v>
      </c>
      <c r="AF22" s="5"/>
      <c r="AG22" s="11" cm="1">
        <f t="array" ref="AG22">IF(T22="Hong Kong",_xll.BDP(P22&amp;" Equity","PR414"),_xll.BDP(P22&amp;" Equity","PR090"))</f>
        <v>1</v>
      </c>
      <c r="AH22" s="11">
        <f t="shared" si="170"/>
        <v>211.62</v>
      </c>
      <c r="AI22" s="5">
        <f t="shared" si="171"/>
        <v>44.323042747194272</v>
      </c>
      <c r="AJ22" s="8">
        <f t="shared" si="172"/>
        <v>2.9097750000000002E-2</v>
      </c>
      <c r="AK22" s="8">
        <f t="shared" si="173"/>
        <v>-7.288370273602518E-3</v>
      </c>
      <c r="AL22" s="5"/>
      <c r="AM22" s="21">
        <f t="shared" si="174"/>
        <v>7219.7209434647084</v>
      </c>
      <c r="AN22" s="22">
        <f t="shared" si="175"/>
        <v>7829.94</v>
      </c>
      <c r="AP22" s="16" t="str" cm="1">
        <f t="array" ref="AP22">_xll.BDP(AQ22&amp;" Equity","DS520")</f>
        <v>Siemens Healthineers AG</v>
      </c>
      <c r="AQ22" s="32" t="s">
        <v>104</v>
      </c>
      <c r="AR22" s="32" t="s">
        <v>365</v>
      </c>
      <c r="AS22" s="32" t="str" cm="1">
        <f t="array" ref="AS22">_xll.BDP(AQ22&amp;" Equity", "ID_ISIN")</f>
        <v>DE000SHL1006</v>
      </c>
      <c r="AT22" s="32"/>
      <c r="AU22" s="30" t="str">
        <f>_xll.BDP(AQ22&amp;" Equity", "DS197")</f>
        <v>Xetra</v>
      </c>
      <c r="AV22" s="30" t="s">
        <v>26</v>
      </c>
      <c r="AW22" s="30" t="s">
        <v>39</v>
      </c>
      <c r="AX22" s="30" t="s">
        <v>28</v>
      </c>
      <c r="AY22" s="30" t="str">
        <f>_xll.BDP(AQ22&amp;" Equity", "DS004")</f>
        <v>EUR</v>
      </c>
      <c r="AZ22" s="17" cm="1">
        <f t="array" ref="AZ22">_xll.BDP(AQ22&amp;" Equity","PX_LAST")</f>
        <v>40.42</v>
      </c>
      <c r="BA22" s="33">
        <f t="shared" si="4"/>
        <v>3.9145552750914955E-2</v>
      </c>
      <c r="BB22" s="33">
        <f t="shared" si="34"/>
        <v>3.71756467016899E-2</v>
      </c>
      <c r="BD22" s="1" cm="1">
        <f t="array" ref="BD22">IF(AY22="USD",1,_xll.BDP(AY22&amp;"USD CURNCY","PX_LAST"))</f>
        <v>1.1607000000000001</v>
      </c>
      <c r="BE22" s="18">
        <v>137376.22740614301</v>
      </c>
      <c r="BF22" s="11">
        <f t="shared" si="35"/>
        <v>6445073.5726155387</v>
      </c>
      <c r="BG22" s="5"/>
      <c r="BH22" s="11" cm="1">
        <f t="array" ref="BH22">IF(AU22="Hong Kong",_xll.BDP(AQ22&amp;" Equity","PR414"),_xll.BDP(AQ22&amp;" Equity","PR090"))</f>
        <v>1</v>
      </c>
      <c r="BI22" s="11">
        <f t="shared" si="36"/>
        <v>46.915494000000002</v>
      </c>
      <c r="BJ22" s="5">
        <f t="shared" si="37"/>
        <v>267.00298371136802</v>
      </c>
      <c r="BK22" s="8">
        <f t="shared" si="38"/>
        <v>3.9145115306249999E-2</v>
      </c>
      <c r="BL22" s="8">
        <f t="shared" si="39"/>
        <v>-1.1174824065984801E-5</v>
      </c>
      <c r="BM22" s="5"/>
      <c r="BN22" s="21">
        <f t="shared" si="40"/>
        <v>1198.4884796116064</v>
      </c>
      <c r="BO22" s="22">
        <f t="shared" si="41"/>
        <v>1735.873278</v>
      </c>
      <c r="BQ22" s="35" t="s">
        <v>81</v>
      </c>
      <c r="BR22" s="36"/>
      <c r="BS22" s="36"/>
      <c r="BT22" s="36"/>
      <c r="BU22" s="36"/>
      <c r="BV22" s="36"/>
      <c r="BW22" s="36"/>
      <c r="BX22" s="36"/>
      <c r="BY22" s="36"/>
      <c r="BZ22" s="36"/>
      <c r="CA22" s="25" t="s">
        <v>81</v>
      </c>
      <c r="CB22" s="37">
        <f>SUM(CB6:CB21)</f>
        <v>0.99999999999999989</v>
      </c>
      <c r="CC22" s="37">
        <f>SUM(CC6:CC21)</f>
        <v>0.99999999999999989</v>
      </c>
      <c r="CE22" s="1"/>
      <c r="CF22" s="5"/>
      <c r="CG22" s="24">
        <f>SUM(CG6:CG21)</f>
        <v>627370190.02546513</v>
      </c>
      <c r="CH22" s="5"/>
      <c r="CI22" s="11"/>
      <c r="CJ22" s="11"/>
      <c r="CK22" s="5"/>
      <c r="CL22" s="19"/>
      <c r="CM22" s="20"/>
      <c r="CN22" s="5"/>
      <c r="CO22" s="21"/>
      <c r="CP22" s="21"/>
      <c r="CR22" s="16" t="str" cm="1">
        <f t="array" ref="CR22">_xll.BDP(CS22&amp;" Equity","DS520")</f>
        <v>Starts Corp Inc</v>
      </c>
      <c r="CS22" s="32" t="s">
        <v>114</v>
      </c>
      <c r="CT22" s="32">
        <v>8850</v>
      </c>
      <c r="CU22" s="32" t="str" cm="1">
        <f t="array" ref="CU22">_xll.BDP(CS22&amp;" Equity", "ID_ISIN")</f>
        <v>JP3399200009</v>
      </c>
      <c r="CV22" s="32"/>
      <c r="CW22" s="30" t="str">
        <f>_xll.BDP(CS22&amp;" Equity", "DS197")</f>
        <v>Tokyo</v>
      </c>
      <c r="CX22" s="30" t="s">
        <v>26</v>
      </c>
      <c r="CY22" s="30" t="s">
        <v>320</v>
      </c>
      <c r="CZ22" s="30" t="s">
        <v>28</v>
      </c>
      <c r="DA22" s="30" t="str">
        <f>_xll.BDP(CS22&amp;" Equity", "DS004")</f>
        <v>JPY</v>
      </c>
      <c r="DB22" s="17" cm="1">
        <f t="array" ref="DB22">_xll.BDP(CS22&amp;" Equity","PX_LAST")</f>
        <v>5080</v>
      </c>
      <c r="DC22" s="33">
        <f t="shared" si="6"/>
        <v>5.0659190690653444E-2</v>
      </c>
      <c r="DD22" s="33">
        <f t="shared" si="7"/>
        <v>4.8110141396145958E-2</v>
      </c>
      <c r="DF22" s="1" cm="1">
        <f t="array" ref="DF22">IF(DA22="USD",1,_xll.BDP(DA22&amp;"USD CURNCY","PX_LAST"))</f>
        <v>6.3369999999999998E-3</v>
      </c>
      <c r="DG22" s="18">
        <v>285393.44588483998</v>
      </c>
      <c r="DH22" s="11">
        <f t="shared" si="8"/>
        <v>9187374.3941869326</v>
      </c>
      <c r="DI22" s="5"/>
      <c r="DJ22" s="11" cm="1">
        <f t="array" ref="DJ22">IF(CW22="Hong Kong",_xll.BDP(CS22&amp;" Equity","PR414"),_xll.BDP(CS22&amp;" Equity","PR090"))</f>
        <v>100</v>
      </c>
      <c r="DK22" s="11">
        <f t="shared" si="9"/>
        <v>3219.1959999999995</v>
      </c>
      <c r="DL22" s="5">
        <f t="shared" si="50"/>
        <v>5.0357110971214878</v>
      </c>
      <c r="DM22" s="8">
        <f t="shared" si="51"/>
        <v>5.0299937499999996E-2</v>
      </c>
      <c r="DN22" s="8">
        <f t="shared" si="52"/>
        <v>-7.0915698761790935E-3</v>
      </c>
      <c r="DO22" s="5"/>
      <c r="DP22" s="21">
        <f t="shared" si="53"/>
        <v>63546.139527924533</v>
      </c>
      <c r="DQ22" s="22">
        <f t="shared" si="54"/>
        <v>119110.25199999998</v>
      </c>
      <c r="DS22" s="16" t="str" cm="1">
        <f t="array" ref="DS22">_xll.BDP(DT22&amp;" Equity","DS520")</f>
        <v>Shell PLC</v>
      </c>
      <c r="DT22" s="32" t="s">
        <v>153</v>
      </c>
      <c r="DU22" s="32" t="s">
        <v>154</v>
      </c>
      <c r="DV22" s="32" t="str" cm="1">
        <f t="array" ref="DV22">_xll.BDP(DT22&amp;" Equity", "ID_ISIN")</f>
        <v>GB00BP6MXD84</v>
      </c>
      <c r="DW22" s="32"/>
      <c r="DX22" s="30" t="str">
        <f>_xll.BDP(DT22&amp;" Equity", "DS197")</f>
        <v>London</v>
      </c>
      <c r="DY22" s="30" t="s">
        <v>26</v>
      </c>
      <c r="DZ22" s="30" t="s">
        <v>129</v>
      </c>
      <c r="EA22" s="30" t="s">
        <v>28</v>
      </c>
      <c r="EB22" s="43" t="str">
        <f>_xll.BDP(DT22&amp;" Equity", "DS004")</f>
        <v>GBp</v>
      </c>
      <c r="EC22" s="17" cm="1">
        <f t="array" ref="EC22">_xll.BDP(DT22&amp;" Equity","PX_LAST")/100</f>
        <v>31.08</v>
      </c>
      <c r="ED22" s="33">
        <f t="shared" si="55"/>
        <v>5.0804253998293449E-2</v>
      </c>
      <c r="EE22" s="33">
        <f t="shared" si="56"/>
        <v>4.819331219602635E-2</v>
      </c>
      <c r="EG22" s="1">
        <v>1</v>
      </c>
      <c r="EH22" s="18">
        <v>269755.62636717298</v>
      </c>
      <c r="EI22" s="11">
        <f t="shared" si="57"/>
        <v>8384004.8674917361</v>
      </c>
      <c r="EJ22" s="5"/>
      <c r="EK22" s="11" cm="1">
        <f t="array" ref="EK22">IF(DX22="Hong Kong",_xll.BDP(DT22&amp;" Equity","PR414"),_xll.BDP(DT22&amp;" Equity","PR090"))</f>
        <v>1</v>
      </c>
      <c r="EL22" s="11">
        <f t="shared" si="58"/>
        <v>31.08</v>
      </c>
      <c r="EM22" s="5">
        <f t="shared" si="59"/>
        <v>523.08112224755166</v>
      </c>
      <c r="EN22" s="8">
        <f t="shared" si="60"/>
        <v>5.0796374999999998E-2</v>
      </c>
      <c r="EO22" s="8">
        <f t="shared" si="61"/>
        <v>-1.5508540473230248E-4</v>
      </c>
      <c r="EP22" s="5"/>
      <c r="EQ22" s="21">
        <f t="shared" si="62"/>
        <v>611.7597947810433</v>
      </c>
      <c r="ER22" s="22">
        <f t="shared" si="63"/>
        <v>1149.9599999999998</v>
      </c>
      <c r="ET22" s="16" t="str" cm="1">
        <f t="array" ref="ET22">_xll.BDP(EU22&amp;" Equity","DS520")</f>
        <v>Duke Energy Corp</v>
      </c>
      <c r="EU22" s="32" t="s">
        <v>167</v>
      </c>
      <c r="EV22" s="32" t="s">
        <v>344</v>
      </c>
      <c r="EW22" s="32" t="str" cm="1">
        <f t="array" ref="EW22">_xll.BDP(EU22&amp;" Equity", "ID_ISIN")</f>
        <v>US26441C2044</v>
      </c>
      <c r="EX22" s="32"/>
      <c r="EY22" s="30" t="str">
        <f>_xll.BDP(EU22&amp;" Equity", "DS197")</f>
        <v>New York</v>
      </c>
      <c r="EZ22" s="30" t="s">
        <v>26</v>
      </c>
      <c r="FA22" s="30" t="s">
        <v>33</v>
      </c>
      <c r="FB22" s="30" t="s">
        <v>28</v>
      </c>
      <c r="FC22" s="30" t="str">
        <f>_xll.BDP(EU22&amp;" Equity", "DS004")</f>
        <v>USD</v>
      </c>
      <c r="FD22" s="17" cm="1">
        <f t="array" ref="FD22">_xll.BDP(EU22&amp;" Equity","PX_LAST")</f>
        <v>131.61000000000001</v>
      </c>
      <c r="FE22" s="33">
        <f t="shared" si="10"/>
        <v>3.6881558844428668E-2</v>
      </c>
      <c r="FF22" s="33">
        <f t="shared" si="11"/>
        <v>3.5036505870450936E-2</v>
      </c>
      <c r="FH22" s="1" cm="1">
        <f t="array" ref="FH22">IF(FC22="USD",1,_xll.BDP(FC22&amp;"USD CURNCY","PX_LAST"))</f>
        <v>1</v>
      </c>
      <c r="FI22" s="18">
        <v>57425.875025783098</v>
      </c>
      <c r="FJ22" s="11">
        <f t="shared" si="64"/>
        <v>7557819.4121433143</v>
      </c>
      <c r="FK22" s="5"/>
      <c r="FL22" s="11" cm="1">
        <f t="array" ref="FL22">IF(EY22="Hong Kong",_xll.BDP(EU22&amp;" Equity","PR414"),_xll.BDP(EU22&amp;" Equity","PR090"))</f>
        <v>1</v>
      </c>
      <c r="FM22" s="11">
        <f t="shared" si="65"/>
        <v>131.61000000000001</v>
      </c>
      <c r="FN22" s="5">
        <f t="shared" si="66"/>
        <v>89.674787859715622</v>
      </c>
      <c r="FO22" s="8">
        <f t="shared" si="67"/>
        <v>3.7015312500000001E-2</v>
      </c>
      <c r="FP22" s="8">
        <f t="shared" si="68"/>
        <v>3.6265727307114304E-3</v>
      </c>
      <c r="FQ22" s="5"/>
      <c r="FR22" s="21">
        <f t="shared" si="69"/>
        <v>3568.450036375863</v>
      </c>
      <c r="FS22" s="22">
        <f t="shared" si="70"/>
        <v>4869.5700000000006</v>
      </c>
      <c r="FU22" s="16" t="str" cm="1">
        <f t="array" ref="FU22">_xll.BDP(FV22&amp;" Equity","DS520")</f>
        <v>Meta Platforms Inc</v>
      </c>
      <c r="FV22" s="32" t="s">
        <v>170</v>
      </c>
      <c r="FW22" s="32" t="s">
        <v>358</v>
      </c>
      <c r="FX22" s="32" t="str" cm="1">
        <f t="array" ref="FX22">_xll.BDP(FV22&amp;" Equity", "ID_ISIN")</f>
        <v>US30303M1027</v>
      </c>
      <c r="FY22" s="32"/>
      <c r="FZ22" s="30" t="str">
        <f>_xll.BDP(FV22&amp;" Equity", "DS197")</f>
        <v>NASDAQ GS</v>
      </c>
      <c r="GA22" s="30" t="s">
        <v>26</v>
      </c>
      <c r="GB22" s="30" t="s">
        <v>33</v>
      </c>
      <c r="GC22" s="30" t="s">
        <v>28</v>
      </c>
      <c r="GD22" s="30" t="str">
        <f>_xll.BDP(FV22&amp;" Equity", "DS004")</f>
        <v>USD</v>
      </c>
      <c r="GE22" s="17" cm="1">
        <f t="array" ref="GE22">_xll.BDP(FV22&amp;" Equity","PX_LAST")</f>
        <v>660.57</v>
      </c>
      <c r="GF22" s="33">
        <f t="shared" si="12"/>
        <v>3.6078908553744661E-2</v>
      </c>
      <c r="GG22" s="33">
        <f t="shared" si="13"/>
        <v>3.4273321587536508E-2</v>
      </c>
      <c r="GI22" s="1" cm="1">
        <f t="array" ref="GI22">IF(GD22="USD",1,_xll.BDP(GD22&amp;"USD CURNCY","PX_LAST"))</f>
        <v>1</v>
      </c>
      <c r="GJ22" s="18">
        <v>11305.7363677211</v>
      </c>
      <c r="GK22" s="11">
        <f t="shared" si="71"/>
        <v>7468230.2724255277</v>
      </c>
      <c r="GL22" s="5"/>
      <c r="GM22" s="11" cm="1">
        <f t="array" ref="GM22">IF(FZ22="Hong Kong",_xll.BDP(FV22&amp;" Equity","PR414"),_xll.BDP(FV22&amp;" Equity","PR090"))</f>
        <v>1</v>
      </c>
      <c r="GN22" s="11">
        <f t="shared" si="72"/>
        <v>660.57</v>
      </c>
      <c r="GO22" s="5">
        <f t="shared" si="73"/>
        <v>17.477709761566967</v>
      </c>
      <c r="GP22" s="8">
        <f t="shared" si="74"/>
        <v>3.5092781250000003E-2</v>
      </c>
      <c r="GQ22" s="8">
        <f t="shared" si="75"/>
        <v>-2.7332514847994371E-2</v>
      </c>
      <c r="GR22" s="5"/>
      <c r="GS22" s="21">
        <f t="shared" si="76"/>
        <v>18309.035014625988</v>
      </c>
      <c r="GT22" s="22">
        <f t="shared" si="77"/>
        <v>24441.09</v>
      </c>
      <c r="GV22" s="16" t="str" cm="1">
        <f t="array" ref="GV22">_xll.BDP(GW22&amp;" Equity","DS520")</f>
        <v>Lenovo Group Ltd</v>
      </c>
      <c r="GW22" s="32" t="s">
        <v>197</v>
      </c>
      <c r="GX22" s="32">
        <v>992</v>
      </c>
      <c r="GY22" s="32" t="str" cm="1">
        <f t="array" ref="GY22">_xll.BDP(GW22&amp;" Equity", "ID_ISIN")</f>
        <v>HK0992009065</v>
      </c>
      <c r="GZ22" s="32"/>
      <c r="HA22" s="30" t="str">
        <f>_xll.BDP(GW22&amp;" Equity", "DS197")</f>
        <v>Hong Kong</v>
      </c>
      <c r="HB22" s="30" t="s">
        <v>26</v>
      </c>
      <c r="HC22" s="30" t="s">
        <v>27</v>
      </c>
      <c r="HD22" s="30" t="s">
        <v>28</v>
      </c>
      <c r="HE22" s="30" t="str">
        <f>_xll.BDP(GW22&amp;" Equity", "DS004")</f>
        <v>HKD</v>
      </c>
      <c r="HF22" s="17" cm="1">
        <f t="array" ref="HF22">_xll.BDP(GW22&amp;" Equity","PX_LAST")</f>
        <v>9.4700000000000006</v>
      </c>
      <c r="HG22" s="33">
        <f t="shared" si="14"/>
        <v>2.3027030571278834E-2</v>
      </c>
      <c r="HH22" s="33">
        <f t="shared" si="78"/>
        <v>2.1873943505161593E-2</v>
      </c>
      <c r="HJ22" s="1" cm="1">
        <f t="array" ref="HJ22">IF(HE22="USD",1,_xll.BDP(HE22&amp;"USD CURNCY","PX_LAST"))</f>
        <v>0.12784999999999999</v>
      </c>
      <c r="HK22" s="18">
        <v>3101834.0231024199</v>
      </c>
      <c r="HL22" s="11">
        <f t="shared" si="79"/>
        <v>3755512.9742140123</v>
      </c>
      <c r="HM22" s="5"/>
      <c r="HN22" s="11" cm="1">
        <f t="array" ref="HN22">IF(HA22="Hong Kong",_xll.BDP(GW22&amp;" Equity","PR414"),_xll.BDP(GW22&amp;" Equity","PR090"))</f>
        <v>2000</v>
      </c>
      <c r="HO22" s="11">
        <f t="shared" si="80"/>
        <v>2421.4790000000003</v>
      </c>
      <c r="HP22" s="5">
        <f t="shared" si="81"/>
        <v>3.0430368311305718</v>
      </c>
      <c r="HQ22" s="8">
        <f t="shared" si="82"/>
        <v>2.2701365625000001E-2</v>
      </c>
      <c r="HR22" s="8">
        <f t="shared" si="83"/>
        <v>-1.4142724363471748E-2</v>
      </c>
      <c r="HS22" s="5"/>
      <c r="HT22" s="21">
        <f t="shared" si="84"/>
        <v>105158.1094012297</v>
      </c>
      <c r="HU22" s="22">
        <f t="shared" si="85"/>
        <v>89594.722999999998</v>
      </c>
      <c r="HW22" s="16" t="str" cm="1">
        <f t="array" ref="HW22">_xll.BDP(HX22&amp;" Equity","DS520")</f>
        <v>PICC Property &amp; Casualty Co Ltd</v>
      </c>
      <c r="HX22" s="45" t="s">
        <v>315</v>
      </c>
      <c r="HY22" s="32">
        <v>2328</v>
      </c>
      <c r="HZ22" s="32" t="str" cm="1">
        <f t="array" ref="HZ22">_xll.BDP(HX22&amp;" Equity", "ID_ISIN")</f>
        <v>CNE100000593</v>
      </c>
      <c r="IA22" s="45"/>
      <c r="IB22" s="30" t="str">
        <f>_xll.BDP(HX22&amp;" Equity", "DS197")</f>
        <v>Hong Kong</v>
      </c>
      <c r="IC22" s="30" t="s">
        <v>26</v>
      </c>
      <c r="ID22" s="30" t="s">
        <v>27</v>
      </c>
      <c r="IE22" s="30" t="s">
        <v>28</v>
      </c>
      <c r="IF22" s="30" t="str">
        <f>_xll.BDP(HX22&amp;" Equity", "DS004")</f>
        <v>HKD</v>
      </c>
      <c r="IG22" s="17" cm="1">
        <f t="array" ref="IG22">_xll.BDP(HX22&amp;" Equity","PX_LAST")</f>
        <v>15.72</v>
      </c>
      <c r="IH22" s="33">
        <f t="shared" si="15"/>
        <v>4.5227243710580844E-2</v>
      </c>
      <c r="II22" s="33">
        <f t="shared" si="16"/>
        <v>4.2989024312124036E-2</v>
      </c>
      <c r="IK22" s="1">
        <v>1</v>
      </c>
      <c r="IL22" s="18">
        <v>545317.95638823998</v>
      </c>
      <c r="IM22" s="11">
        <f t="shared" si="183"/>
        <v>8572398.2744231336</v>
      </c>
      <c r="IN22" s="5"/>
      <c r="IO22" s="11" cm="1">
        <f t="array" ref="IO22">IF(IB22="Hong Kong",_xll.BDP(HX22&amp;" Equity","PR414"),_xll.BDP(HX22&amp;" Equity","PR090"))</f>
        <v>2000</v>
      </c>
      <c r="IP22" s="11">
        <f t="shared" si="184"/>
        <v>31440</v>
      </c>
      <c r="IQ22" s="5">
        <f t="shared" si="185"/>
        <v>0.46032818026036482</v>
      </c>
      <c r="IR22" s="8">
        <f t="shared" si="186"/>
        <v>0</v>
      </c>
      <c r="IS22" s="8">
        <f t="shared" si="187"/>
        <v>-1</v>
      </c>
      <c r="IT22" s="5"/>
      <c r="IU22" s="21">
        <f t="shared" si="188"/>
        <v>695156.22488939471</v>
      </c>
      <c r="IV22" s="22">
        <f t="shared" si="189"/>
        <v>1163280</v>
      </c>
      <c r="IX22" s="16" t="str" cm="1">
        <f t="array" ref="IX22">_xll.BDP(IY22&amp;" Equity","DS520")</f>
        <v>PTC Inc</v>
      </c>
      <c r="IY22" s="32" t="s">
        <v>232</v>
      </c>
      <c r="IZ22" s="32" t="s">
        <v>422</v>
      </c>
      <c r="JA22" s="32" t="str" cm="1">
        <f t="array" ref="JA22">_xll.BDP(IY22&amp;" Equity", "ID_ISIN")</f>
        <v>US69370C1009</v>
      </c>
      <c r="JB22" s="32"/>
      <c r="JC22" s="30" t="str">
        <f>_xll.BDP(IY22&amp;" Equity", "DS197")</f>
        <v>NASDAQ GS</v>
      </c>
      <c r="JD22" s="30" t="s">
        <v>26</v>
      </c>
      <c r="JE22" s="30" t="s">
        <v>33</v>
      </c>
      <c r="JF22" s="30" t="s">
        <v>28</v>
      </c>
      <c r="JG22" s="30" t="str">
        <f>_xll.BDP(IY22&amp;" Equity", "DS004")</f>
        <v>USD</v>
      </c>
      <c r="JH22" s="17" cm="1">
        <f t="array" ref="JH22">_xll.BDP(IY22&amp;" Equity","PX_LAST")</f>
        <v>164.25</v>
      </c>
      <c r="JI22" s="33">
        <f t="shared" si="93"/>
        <v>2.848046492172571E-2</v>
      </c>
      <c r="JJ22" s="33">
        <f t="shared" si="17"/>
        <v>2.7054987297792467E-2</v>
      </c>
      <c r="JL22" s="1" cm="1">
        <f t="array" ref="JL22">IF(JG22="USD",1,_xll.BDP(JG22&amp;"USD CURNCY","PX_LAST"))</f>
        <v>1</v>
      </c>
      <c r="JM22" s="18">
        <v>21153.592827832501</v>
      </c>
      <c r="JN22" s="11">
        <f t="shared" si="94"/>
        <v>3474477.6219714885</v>
      </c>
      <c r="JO22" s="5"/>
      <c r="JP22" s="11" cm="1">
        <f t="array" ref="JP22">IF(JC22="Hong Kong",_xll.BDP(IY22&amp;" Equity","PR414"),_xll.BDP(IY22&amp;" Equity","PR090"))</f>
        <v>1</v>
      </c>
      <c r="JQ22" s="11">
        <f t="shared" si="95"/>
        <v>164.25</v>
      </c>
      <c r="JR22" s="5">
        <f t="shared" si="96"/>
        <v>55.4870549464367</v>
      </c>
      <c r="JS22" s="8">
        <f t="shared" si="97"/>
        <v>2.8230468750000001E-2</v>
      </c>
      <c r="JT22" s="8">
        <f t="shared" si="98"/>
        <v>-8.7778121745127891E-3</v>
      </c>
      <c r="JU22" s="5"/>
      <c r="JV22" s="21">
        <f t="shared" si="99"/>
        <v>5767.1109109846529</v>
      </c>
      <c r="JW22" s="22">
        <f t="shared" si="100"/>
        <v>6077.25</v>
      </c>
      <c r="JY22" s="16" t="str" cm="1">
        <f t="array" ref="JY22">_xll.BDP(JZ22&amp;" Equity","DS520")</f>
        <v>Fortum Oyj</v>
      </c>
      <c r="JZ22" s="32" t="s">
        <v>243</v>
      </c>
      <c r="KA22" s="32" t="s">
        <v>396</v>
      </c>
      <c r="KB22" s="32" t="str" cm="1">
        <f t="array" ref="KB22">_xll.BDP(JZ22&amp;" Equity", "ID_ISIN")</f>
        <v>FI0009007132</v>
      </c>
      <c r="KC22" s="32"/>
      <c r="KD22" s="30" t="str">
        <f>_xll.BDP(JZ22&amp;" Equity", "DS197")</f>
        <v>Helsinki</v>
      </c>
      <c r="KE22" s="30" t="s">
        <v>26</v>
      </c>
      <c r="KF22" s="30" t="s">
        <v>1377</v>
      </c>
      <c r="KG22" s="30" t="s">
        <v>28</v>
      </c>
      <c r="KH22" s="30" t="str">
        <f>_xll.BDP(JZ22&amp;" Equity", "DS004")</f>
        <v>EUR</v>
      </c>
      <c r="KI22" s="17" cm="1">
        <f t="array" ref="KI22">_xll.BDP(JZ22&amp;" Equity","PX_LAST")</f>
        <v>19.53</v>
      </c>
      <c r="KJ22" s="33">
        <f t="shared" si="101"/>
        <v>2.9386215071722382E-2</v>
      </c>
      <c r="KK22" s="33">
        <f t="shared" si="102"/>
        <v>2.7921436093454273E-2</v>
      </c>
      <c r="KM22" s="1" cm="1">
        <f t="array" ref="KM22">IF(KH22="USD",1,_xll.BDP(KH22&amp;"USD CURNCY","PX_LAST"))</f>
        <v>1.1607000000000001</v>
      </c>
      <c r="KN22" s="18">
        <v>128728.538316201</v>
      </c>
      <c r="KO22" s="11">
        <f t="shared" si="103"/>
        <v>2918079.1376931914</v>
      </c>
      <c r="KP22" s="5"/>
      <c r="KQ22" s="11" cm="1">
        <f t="array" ref="KQ22">IF(KD22="Hong Kong",_xll.BDP(JZ22&amp;" Equity","PR414"),_xll.BDP(JZ22&amp;" Equity","PR090"))</f>
        <v>1</v>
      </c>
      <c r="KR22" s="11">
        <f t="shared" si="104"/>
        <v>22.668471000000004</v>
      </c>
      <c r="KS22" s="5">
        <f t="shared" si="105"/>
        <v>414.8311909943622</v>
      </c>
      <c r="KT22" s="8">
        <f t="shared" si="106"/>
        <v>2.9398173328125006E-2</v>
      </c>
      <c r="KU22" s="8">
        <f t="shared" si="107"/>
        <v>4.069342163812717E-4</v>
      </c>
      <c r="KV22" s="5"/>
      <c r="KW22" s="21">
        <f t="shared" si="108"/>
        <v>771.3981179499807</v>
      </c>
      <c r="KX22" s="22">
        <f t="shared" si="109"/>
        <v>838.73342700000012</v>
      </c>
      <c r="KZ22" s="35" t="s">
        <v>81</v>
      </c>
      <c r="LA22" s="36"/>
      <c r="LB22" s="36"/>
      <c r="LC22" s="36"/>
      <c r="LD22" s="36"/>
      <c r="LE22" s="36"/>
      <c r="LF22" s="36"/>
      <c r="LG22" s="36"/>
      <c r="LH22" s="36"/>
      <c r="LI22" s="36"/>
      <c r="LJ22" s="25" t="s">
        <v>81</v>
      </c>
      <c r="LK22" s="37">
        <f>SUM(LK6:LK21)</f>
        <v>0.99999999999999978</v>
      </c>
      <c r="LL22" s="37">
        <f>SUM(LL6:LL21)</f>
        <v>1</v>
      </c>
      <c r="LN22" s="1"/>
      <c r="LO22" s="26"/>
      <c r="LP22" s="11">
        <f>SUM(LP6:LP21)</f>
        <v>110507888.96763203</v>
      </c>
      <c r="LQ22" s="5"/>
      <c r="LR22" s="11"/>
      <c r="LS22" s="11"/>
      <c r="LT22" s="5"/>
      <c r="LU22" s="8"/>
      <c r="LV22" s="8"/>
      <c r="LW22" s="5"/>
      <c r="LX22" s="21"/>
      <c r="LY22" s="22"/>
      <c r="MA22" s="16" t="str" cm="1">
        <f t="array" ref="MA22">_xll.BDP(MB22&amp;" Equity","DS520")</f>
        <v>Naturgy Energy Group SA</v>
      </c>
      <c r="MB22" s="32" t="s">
        <v>1417</v>
      </c>
      <c r="MC22" s="32" t="s">
        <v>1418</v>
      </c>
      <c r="MD22" s="32" t="str" cm="1">
        <f t="array" ref="MD22">_xll.BDP(MB22&amp;" Equity", "ID_ISIN")</f>
        <v>ES0116870314</v>
      </c>
      <c r="ME22" s="32"/>
      <c r="MF22" s="30" t="str">
        <f>_xll.BDP(MB22&amp;" Equity", "DS197")</f>
        <v>Soc.Bol SIBE</v>
      </c>
      <c r="MG22" s="30" t="s">
        <v>26</v>
      </c>
      <c r="MH22" s="30" t="s">
        <v>326</v>
      </c>
      <c r="MI22" s="30" t="s">
        <v>28</v>
      </c>
      <c r="MJ22" s="30" t="str">
        <f>_xll.BDP(MB22&amp;" Equity", "DS004")</f>
        <v>EUR</v>
      </c>
      <c r="MK22" s="17" cm="1">
        <f t="array" ref="MK22">_xll.BDP(MB22&amp;" Equity","PX_LAST")</f>
        <v>24.52</v>
      </c>
      <c r="ML22" s="33">
        <f t="shared" si="20"/>
        <v>2.7698902370309777E-2</v>
      </c>
      <c r="MM22" s="33">
        <f t="shared" si="21"/>
        <v>2.629727367882214E-2</v>
      </c>
      <c r="MO22" s="1" cm="1">
        <f t="array" ref="MO22">IF(MJ22="USD",1,_xll.BDP(MJ22&amp;"USD CURNCY","PX_LAST"))</f>
        <v>1.1607000000000001</v>
      </c>
      <c r="MP22" s="18">
        <v>174847.623381107</v>
      </c>
      <c r="MQ22" s="11">
        <f t="shared" si="117"/>
        <v>4976227.0059612161</v>
      </c>
      <c r="MR22" s="5"/>
      <c r="MS22" s="11" cm="1">
        <f t="array" ref="MS22">IF(MF22="Hong Kong",_xll.BDP(MB22&amp;" Equity","PR414"),_xll.BDP(MB22&amp;" Equity","PR090"))</f>
        <v>1</v>
      </c>
      <c r="MT22" s="11">
        <f t="shared" si="118"/>
        <v>28.460364000000002</v>
      </c>
      <c r="MU22" s="5">
        <f t="shared" si="119"/>
        <v>311.43834838159933</v>
      </c>
      <c r="MV22" s="8">
        <f t="shared" si="120"/>
        <v>2.7659916262500001E-2</v>
      </c>
      <c r="MW22" s="8">
        <f t="shared" si="121"/>
        <v>-1.4074964880761431E-3</v>
      </c>
      <c r="MX22" s="5"/>
      <c r="MY22" s="21">
        <f t="shared" si="122"/>
        <v>1027.4906788547125</v>
      </c>
      <c r="MZ22" s="22">
        <f t="shared" si="123"/>
        <v>1053.0334680000001</v>
      </c>
      <c r="NB22" s="16" t="str" cm="1">
        <f t="array" ref="NB22">_xll.BDP(NC22&amp;" Equity","DS520")</f>
        <v>Pfizer Inc</v>
      </c>
      <c r="NC22" s="32" t="s">
        <v>311</v>
      </c>
      <c r="ND22" s="32" t="s">
        <v>337</v>
      </c>
      <c r="NE22" s="32" t="str" cm="1">
        <f t="array" ref="NE22">_xll.BDP(NC22&amp;" Equity", "ID_ISIN")</f>
        <v>US7170811035</v>
      </c>
      <c r="NF22" s="32"/>
      <c r="NG22" s="30" t="str">
        <f>_xll.BDP(NC22&amp;" Equity", "DS197")</f>
        <v>New York</v>
      </c>
      <c r="NH22" s="30" t="s">
        <v>26</v>
      </c>
      <c r="NI22" s="30" t="s">
        <v>33</v>
      </c>
      <c r="NJ22" s="30" t="s">
        <v>28</v>
      </c>
      <c r="NK22" s="30" t="str">
        <f>_xll.BDP(NC22&amp;" Equity", "DS004")</f>
        <v>USD</v>
      </c>
      <c r="NL22" s="17" cm="1">
        <f t="array" ref="NL22">_xll.BDP(NC22&amp;" Equity","PX_LAST")</f>
        <v>26.61</v>
      </c>
      <c r="NM22" s="33">
        <f t="shared" si="22"/>
        <v>3.8615459361700452E-2</v>
      </c>
      <c r="NN22" s="33">
        <f t="shared" si="23"/>
        <v>3.6656722614619962E-2</v>
      </c>
      <c r="NP22" s="1" cm="1">
        <f t="array" ref="NP22">IF(NK22="USD",1,_xll.BDP(NK22&amp;"USD CURNCY","PX_LAST"))</f>
        <v>1</v>
      </c>
      <c r="NQ22" s="18">
        <v>248084.11625683401</v>
      </c>
      <c r="NR22" s="11">
        <f t="shared" si="124"/>
        <v>6601518.3335943529</v>
      </c>
      <c r="NS22" s="5"/>
      <c r="NT22" s="11" cm="1">
        <f t="array" ref="NT22">IF(NG22="Hong Kong",_xll.BDP(NC22&amp;" Equity","PR414"),_xll.BDP(NC22&amp;" Equity","PR090"))</f>
        <v>1</v>
      </c>
      <c r="NU22" s="11">
        <f t="shared" si="125"/>
        <v>26.61</v>
      </c>
      <c r="NV22" s="5">
        <f t="shared" si="126"/>
        <v>464.37230348531176</v>
      </c>
      <c r="NW22" s="8">
        <f t="shared" si="127"/>
        <v>3.8584499999999994E-2</v>
      </c>
      <c r="NX22" s="8">
        <f t="shared" si="128"/>
        <v>-8.0173490649093626E-4</v>
      </c>
      <c r="NY22" s="5"/>
      <c r="NZ22" s="21">
        <f t="shared" si="129"/>
        <v>689.10225178862697</v>
      </c>
      <c r="OA22" s="22">
        <f t="shared" si="130"/>
        <v>984.56999999999994</v>
      </c>
      <c r="OC22" s="16" t="str" cm="1">
        <f t="array" ref="OC22">_xll.BDP(OD22&amp;" Equity","DS520")</f>
        <v>Novartis AG</v>
      </c>
      <c r="OD22" s="45" t="s">
        <v>62</v>
      </c>
      <c r="OE22" s="32" t="s">
        <v>63</v>
      </c>
      <c r="OF22" s="32" t="str" cm="1">
        <f t="array" ref="OF22">_xll.BDP(OD22&amp;" Equity", "ID_ISIN")</f>
        <v>CH0012005267</v>
      </c>
      <c r="OG22" s="45"/>
      <c r="OH22" s="30" t="str">
        <f>_xll.BDP(OD22&amp;" Equity", "DS197")</f>
        <v>SIX Swiss Ex</v>
      </c>
      <c r="OI22" s="30" t="s">
        <v>26</v>
      </c>
      <c r="OJ22" s="30" t="s">
        <v>61</v>
      </c>
      <c r="OK22" s="30" t="s">
        <v>28</v>
      </c>
      <c r="OL22" s="30" t="str">
        <f>_xll.BDP(OD22&amp;" Equity", "DS004")</f>
        <v>CHF</v>
      </c>
      <c r="OM22" s="17" cm="1">
        <f t="array" ref="OM22">_xll.BDP(OD22&amp;" Equity","PX_LAST")</f>
        <v>124.82</v>
      </c>
      <c r="ON22" s="33">
        <f t="shared" si="24"/>
        <v>4.0705799058097208E-2</v>
      </c>
      <c r="OO22" s="33">
        <f t="shared" si="131"/>
        <v>3.8597525632536919E-2</v>
      </c>
      <c r="OQ22" s="1" cm="1">
        <f t="array" ref="OQ22">IF(OL22="EUR",1,_xll.BDP(OL22&amp;"EUR CURNCY","PX_LAST"))</f>
        <v>1.1032999999999999</v>
      </c>
      <c r="OR22" s="18">
        <v>54436.4299152608</v>
      </c>
      <c r="OS22" s="11">
        <f t="shared" si="132"/>
        <v>7496653.392325813</v>
      </c>
      <c r="OT22" s="5"/>
      <c r="OU22" s="11" cm="1">
        <f t="array" ref="OU22">IF(OH22="Hong Kong",_xll.BDP(OD22&amp;" Equity","PR414"),_xll.BDP(OD22&amp;" Equity","PR090"))</f>
        <v>1</v>
      </c>
      <c r="OV22" s="11">
        <f t="shared" si="133"/>
        <v>137.71390599999998</v>
      </c>
      <c r="OW22" s="5">
        <f t="shared" si="134"/>
        <v>94.586349896945833</v>
      </c>
      <c r="OX22" s="8">
        <f t="shared" si="135"/>
        <v>4.0883815843749997E-2</v>
      </c>
      <c r="OY22" s="8">
        <f t="shared" si="136"/>
        <v>4.3732536830616286E-3</v>
      </c>
      <c r="OZ22" s="5"/>
      <c r="PA22" s="21">
        <f t="shared" si="137"/>
        <v>3383.1520124061021</v>
      </c>
      <c r="PB22" s="22">
        <f t="shared" si="138"/>
        <v>5095.4145219999991</v>
      </c>
      <c r="PD22" s="16" t="str" cm="1">
        <f t="array" ref="PD22">_xll.BDP(PE22&amp;" Equity","DS520")</f>
        <v>MS&amp;AD Insurance Group Holdings Inc</v>
      </c>
      <c r="PE22" s="45" t="s">
        <v>720</v>
      </c>
      <c r="PF22" s="45">
        <v>8725</v>
      </c>
      <c r="PG22" s="32" t="str" cm="1">
        <f t="array" ref="PG22">_xll.BDP(PE22&amp;" Equity", "ID_ISIN")</f>
        <v>JP3890310000</v>
      </c>
      <c r="PH22" s="45"/>
      <c r="PI22" s="30" t="str">
        <f>_xll.BDP(PE22&amp;" Equity", "DS197")</f>
        <v>Tokyo</v>
      </c>
      <c r="PJ22" s="30" t="s">
        <v>26</v>
      </c>
      <c r="PK22" s="71" t="s">
        <v>320</v>
      </c>
      <c r="PL22" s="30" t="s">
        <v>28</v>
      </c>
      <c r="PM22" s="30" t="str">
        <f>_xll.BDP(PE22&amp;" Equity", "DS004")</f>
        <v>JPY</v>
      </c>
      <c r="PN22" s="17" cm="1">
        <f t="array" ref="PN22">_xll.BDP(PE22&amp;" Equity","PX_LAST")</f>
        <v>4116</v>
      </c>
      <c r="PO22" s="33">
        <f t="shared" si="25"/>
        <v>4.3760641815112869E-2</v>
      </c>
      <c r="PP22" s="33">
        <f t="shared" si="26"/>
        <v>4.1570351194199842E-2</v>
      </c>
      <c r="PR22" s="1">
        <v>1</v>
      </c>
      <c r="PS22" s="18">
        <v>2048.9611105202598</v>
      </c>
      <c r="PT22" s="11">
        <f t="shared" si="139"/>
        <v>8433523.9309013896</v>
      </c>
      <c r="PU22" s="5"/>
      <c r="PV22" s="11" cm="1">
        <f t="array" ref="PV22">IF(PI22="Hong Kong",_xll.BDP(PE22&amp;" Equity","PR414"),_xll.BDP(PE22&amp;" Equity","PR090"))</f>
        <v>100</v>
      </c>
      <c r="PW22" s="11">
        <f t="shared" si="140"/>
        <v>411600</v>
      </c>
      <c r="PX22" s="5">
        <f t="shared" si="141"/>
        <v>3.4021878962186877E-2</v>
      </c>
      <c r="PY22" s="8">
        <f t="shared" si="142"/>
        <v>0</v>
      </c>
      <c r="PZ22" s="8">
        <f t="shared" si="143"/>
        <v>-1</v>
      </c>
      <c r="QA22" s="5"/>
      <c r="QB22" s="21">
        <f t="shared" si="144"/>
        <v>9405712.1405804586</v>
      </c>
      <c r="QC22" s="22">
        <f t="shared" si="145"/>
        <v>15229200</v>
      </c>
      <c r="QE22" s="16" t="str" cm="1">
        <f t="array" ref="QE22">_xll.BDP(QF22&amp;" Equity","DS520")</f>
        <v>Radware Ltd</v>
      </c>
      <c r="QF22" s="34" t="s">
        <v>302</v>
      </c>
      <c r="QG22" s="34"/>
      <c r="QH22" s="32" t="str" cm="1">
        <f t="array" ref="QH22">_xll.BDP(QF22&amp;" Equity", "ID_ISIN")</f>
        <v>IL0010834765</v>
      </c>
      <c r="QI22" s="34"/>
      <c r="QJ22" s="30" t="str">
        <f>_xll.BDP(QF22&amp;" Equity", "DS197")</f>
        <v>NASDAQ GS</v>
      </c>
      <c r="QK22" s="30" t="s">
        <v>26</v>
      </c>
      <c r="QL22" s="30"/>
      <c r="QM22" s="30" t="s">
        <v>28</v>
      </c>
      <c r="QN22" s="30" t="str">
        <f>_xll.BDP(QF22&amp;" Equity", "DS004")</f>
        <v>USD</v>
      </c>
      <c r="QO22" s="17" cm="1">
        <f t="array" ref="QO22">_xll.BDP(QF22&amp;" Equity","PX_LAST")</f>
        <v>24.91</v>
      </c>
      <c r="QP22" s="33">
        <f t="shared" si="27"/>
        <v>5.468632393979253E-2</v>
      </c>
      <c r="QQ22" s="33">
        <f t="shared" si="28"/>
        <v>5.1965350787410443E-2</v>
      </c>
      <c r="QS22" s="1" cm="1">
        <f t="array" ref="QS22">IF(QN22="USD",1,_xll.BDP(QN22&amp;"USD CURNCY","PX_LAST"))</f>
        <v>1</v>
      </c>
      <c r="QT22" s="18">
        <v>250447.754918669</v>
      </c>
      <c r="QU22" s="11">
        <f t="shared" si="146"/>
        <v>6238653.5750240451</v>
      </c>
      <c r="QV22" s="5"/>
      <c r="QW22" s="11" cm="1">
        <f t="array" ref="QW22">IF(QJ22="Hong Kong",_xll.BDP(QF22&amp;" Equity","PR414"),_xll.BDP(QF22&amp;" Equity","PR090"))</f>
        <v>1</v>
      </c>
      <c r="QX22" s="11">
        <f t="shared" si="147"/>
        <v>24.91</v>
      </c>
      <c r="QY22" s="5">
        <f t="shared" si="148"/>
        <v>702.51399681788882</v>
      </c>
      <c r="QZ22" s="8">
        <f t="shared" si="149"/>
        <v>5.4724156249999996E-2</v>
      </c>
      <c r="RA22" s="8">
        <f t="shared" si="150"/>
        <v>6.9180569257354385E-4</v>
      </c>
      <c r="RB22" s="5"/>
      <c r="RC22" s="21">
        <f t="shared" si="151"/>
        <v>455.50693857983435</v>
      </c>
      <c r="RD22" s="22">
        <f t="shared" si="152"/>
        <v>921.67</v>
      </c>
      <c r="RF22" s="16" t="str" cm="1">
        <f t="array" ref="RF22">_xll.BDP(RG22&amp;" Equity","DS520")</f>
        <v>Nextpower Inc</v>
      </c>
      <c r="RG22" s="34" t="s">
        <v>1309</v>
      </c>
      <c r="RH22" s="34"/>
      <c r="RI22" s="32" t="str" cm="1">
        <f t="array" ref="RI22">_xll.BDP(RG22&amp;" Equity", "ID_ISIN")</f>
        <v>US65290E1010</v>
      </c>
      <c r="RJ22" s="34"/>
      <c r="RK22" s="30" t="str">
        <f>_xll.BDP(RG22&amp;" Equity", "DS197")</f>
        <v>NASDAQ GS</v>
      </c>
      <c r="RL22" s="30" t="s">
        <v>26</v>
      </c>
      <c r="RM22" s="30"/>
      <c r="RN22" s="30" t="s">
        <v>28</v>
      </c>
      <c r="RO22" s="30" t="str">
        <f>_xll.BDP(RG22&amp;" Equity", "DS004")</f>
        <v>USD</v>
      </c>
      <c r="RP22" s="17" cm="1">
        <f t="array" ref="RP22">_xll.BDP(RG22&amp;" Equity","PX_LAST")</f>
        <v>103.405</v>
      </c>
      <c r="RQ22" s="33">
        <f t="shared" si="153"/>
        <v>3.3454731949080899E-2</v>
      </c>
      <c r="RR22" s="33">
        <f t="shared" si="154"/>
        <v>3.1812500539888461E-2</v>
      </c>
      <c r="RT22" s="1" cm="1">
        <f t="array" ref="RT22">IF(RO22="USD",1,_xll.BDP(RO22&amp;"USD CURNCY","PX_LAST"))</f>
        <v>1</v>
      </c>
      <c r="RU22" s="18">
        <v>32602.456663988101</v>
      </c>
      <c r="RV22" s="11">
        <f t="shared" si="155"/>
        <v>3371257.0313396896</v>
      </c>
      <c r="RW22" s="5"/>
      <c r="RX22" s="11" cm="1">
        <f t="array" ref="RX22">IF(RK22="Hong Kong",_xll.BDP(RG22&amp;" Equity","PR414"),_xll.BDP(RG22&amp;" Equity","PR090"))</f>
        <v>1</v>
      </c>
      <c r="RY22" s="11">
        <f t="shared" si="156"/>
        <v>103.405</v>
      </c>
      <c r="RZ22" s="5">
        <f t="shared" si="157"/>
        <v>103.52994752387107</v>
      </c>
      <c r="SA22" s="8">
        <f t="shared" si="158"/>
        <v>3.3606625000000001E-2</v>
      </c>
      <c r="SB22" s="8">
        <f t="shared" si="159"/>
        <v>4.5402561033902611E-3</v>
      </c>
      <c r="SC22" s="5"/>
      <c r="SD22" s="21">
        <f t="shared" si="160"/>
        <v>3090.8930957027396</v>
      </c>
      <c r="SE22" s="22">
        <f t="shared" si="161"/>
        <v>3825.9849999999997</v>
      </c>
    </row>
    <row r="23" spans="15:499" ht="15" thickBot="1" x14ac:dyDescent="0.25">
      <c r="O23" s="16" t="str" cm="1">
        <f t="array" ref="O23">_xll.BDP(P23&amp;" Equity","DS520")</f>
        <v>Allianz SE</v>
      </c>
      <c r="P23" s="32" t="s">
        <v>654</v>
      </c>
      <c r="Q23" s="32" t="s">
        <v>40</v>
      </c>
      <c r="R23" s="32" t="str" cm="1">
        <f t="array" ref="R23">_xll.BDP(P23&amp;" Equity", "ID_ISIN")</f>
        <v>DE0008404005</v>
      </c>
      <c r="S23" s="32"/>
      <c r="T23" s="30" t="str">
        <f>_xll.BDP(P23&amp;" Equity", "DS197")</f>
        <v>Xetra</v>
      </c>
      <c r="U23" s="30" t="s">
        <v>26</v>
      </c>
      <c r="V23" s="30" t="s">
        <v>39</v>
      </c>
      <c r="W23" s="30" t="s">
        <v>28</v>
      </c>
      <c r="X23" s="30" t="str">
        <f>_xll.BDP(P23&amp;" Equity", "DS004")</f>
        <v>EUR</v>
      </c>
      <c r="Y23" s="17" cm="1">
        <f t="array" ref="Y23">_xll.BDP(P23&amp;" Equity","PX_LAST")</f>
        <v>353.6</v>
      </c>
      <c r="Z23" s="33">
        <f t="shared" si="0"/>
        <v>2.5276420662477584E-2</v>
      </c>
      <c r="AA23" s="33">
        <f t="shared" si="1"/>
        <v>2.4013449111518068E-2</v>
      </c>
      <c r="AB23" s="4"/>
      <c r="AC23" s="1" cm="1">
        <f t="array" ref="AC23">IF(X23="USD",1,_xll.BDP(X23&amp;"USD CURNCY","PX_LAST"))</f>
        <v>1.1607000000000001</v>
      </c>
      <c r="AD23" s="18">
        <v>12673.878855471999</v>
      </c>
      <c r="AE23" s="11">
        <f t="shared" si="169"/>
        <v>5201657.9719163906</v>
      </c>
      <c r="AF23" s="5"/>
      <c r="AG23" s="11" cm="1">
        <f t="array" ref="AG23">IF(T23="Hong Kong",_xll.BDP(P23&amp;" Equity","PR414"),_xll.BDP(P23&amp;" Equity","PR090"))</f>
        <v>1</v>
      </c>
      <c r="AH23" s="11">
        <f t="shared" si="170"/>
        <v>410.42352000000005</v>
      </c>
      <c r="AI23" s="5">
        <f t="shared" si="171"/>
        <v>19.707580627915345</v>
      </c>
      <c r="AJ23" s="8">
        <f t="shared" si="172"/>
        <v>2.5651470000000006E-2</v>
      </c>
      <c r="AK23" s="8">
        <f t="shared" si="173"/>
        <v>1.4837913268280767E-2</v>
      </c>
      <c r="AL23" s="5"/>
      <c r="AM23" s="21">
        <f t="shared" si="174"/>
        <v>16237.406612292491</v>
      </c>
      <c r="AN23" s="22">
        <f t="shared" si="175"/>
        <v>15185.670240000001</v>
      </c>
      <c r="AP23" s="16" t="str" cm="1">
        <f t="array" ref="AP23">_xll.BDP(AQ23&amp;" Equity","DS520")</f>
        <v>Smith &amp; Nephew PLC</v>
      </c>
      <c r="AQ23" s="32" t="s">
        <v>738</v>
      </c>
      <c r="AR23" s="32" t="s">
        <v>366</v>
      </c>
      <c r="AS23" s="32" t="str" cm="1">
        <f t="array" ref="AS23">_xll.BDP(AQ23&amp;" Equity", "ID_ISIN")</f>
        <v>GB0009223206</v>
      </c>
      <c r="AT23" s="32"/>
      <c r="AU23" s="30" t="str">
        <f>_xll.BDP(AQ23&amp;" Equity", "DS197")</f>
        <v>London</v>
      </c>
      <c r="AV23" s="30" t="s">
        <v>26</v>
      </c>
      <c r="AW23" s="30" t="s">
        <v>129</v>
      </c>
      <c r="AX23" s="30" t="s">
        <v>28</v>
      </c>
      <c r="AY23" s="43" t="str">
        <f>_xll.BDP(AQ23&amp;" Equity", "DS004")</f>
        <v>GBp</v>
      </c>
      <c r="AZ23" s="17" cm="1">
        <f t="array" ref="AZ23">_xll.BDP(AQ23&amp;" Equity","PX_LAST")/100</f>
        <v>13.06</v>
      </c>
      <c r="BA23" s="33">
        <f t="shared" si="4"/>
        <v>4.4944121057915482E-2</v>
      </c>
      <c r="BB23" s="33">
        <f t="shared" si="34"/>
        <v>4.2682415966855763E-2</v>
      </c>
      <c r="BD23" s="1" cm="1">
        <f t="array" ref="BD23">IF(AY23="USD",1,_xll.BDP(AY23&amp;"USD CURNCY","PX_LAST"))</f>
        <v>1.3359000000000001</v>
      </c>
      <c r="BE23" s="18">
        <v>424132.16981877701</v>
      </c>
      <c r="BF23" s="11">
        <f>BE23*AZ23*BD23</f>
        <v>7399772.0435314104</v>
      </c>
      <c r="BG23" s="5"/>
      <c r="BH23" s="11" cm="1">
        <f t="array" ref="BH23">IF(AU23="Hong Kong",_xll.BDP(AQ23&amp;" Equity","PR414"),_xll.BDP(AQ23&amp;" Equity","PR090"))</f>
        <v>1</v>
      </c>
      <c r="BI23" s="11">
        <f>BH23*BD23*AZ23</f>
        <v>17.446854000000002</v>
      </c>
      <c r="BJ23" s="5">
        <f>($AJ$3*BA23)/BI23</f>
        <v>824.33880277401033</v>
      </c>
      <c r="BK23" s="8">
        <f>(ROUND(BJ23,0)*BI23)/$AJ$3</f>
        <v>4.4925649050000002E-2</v>
      </c>
      <c r="BL23" s="8">
        <f>BK23/BA23-1</f>
        <v>-4.109994250789395E-4</v>
      </c>
      <c r="BM23" s="5"/>
      <c r="BN23" s="21">
        <f>IFERROR(BI23/BA23,0)</f>
        <v>388.18990313589171</v>
      </c>
      <c r="BO23" s="22">
        <f>BI23/(1/COUNTA($P$6:$P$77))</f>
        <v>645.53359799999998</v>
      </c>
      <c r="CR23" s="16" t="str" cm="1">
        <f t="array" ref="CR23">_xll.BDP(CS23&amp;" Equity","DS520")</f>
        <v>VICI Properties Inc</v>
      </c>
      <c r="CS23" s="45" t="s">
        <v>256</v>
      </c>
      <c r="CT23" s="32" t="s">
        <v>379</v>
      </c>
      <c r="CU23" s="32" t="str" cm="1">
        <f t="array" ref="CU23">_xll.BDP(CS23&amp;" Equity", "ID_ISIN")</f>
        <v>US9256521090</v>
      </c>
      <c r="CV23" s="45"/>
      <c r="CW23" s="30" t="str">
        <f>_xll.BDP(CS23&amp;" Equity", "DS197")</f>
        <v>New York</v>
      </c>
      <c r="CX23" s="30" t="s">
        <v>26</v>
      </c>
      <c r="CY23" s="30" t="s">
        <v>33</v>
      </c>
      <c r="CZ23" s="30" t="s">
        <v>28</v>
      </c>
      <c r="DA23" s="30" t="str">
        <f>_xll.BDP(CS23&amp;" Equity", "DS004")</f>
        <v>USD</v>
      </c>
      <c r="DB23" s="17" cm="1">
        <f t="array" ref="DB23">_xll.BDP(CS23&amp;" Equity","PX_LAST")</f>
        <v>29.69</v>
      </c>
      <c r="DC23" s="33">
        <f t="shared" si="6"/>
        <v>4.8394164010473938E-2</v>
      </c>
      <c r="DD23" s="33">
        <f t="shared" si="7"/>
        <v>4.5959085440378696E-2</v>
      </c>
      <c r="DF23" s="1" cm="1">
        <f t="array" ref="DF23">IF(DA23="USD",1,_xll.BDP(DA23&amp;"USD CURNCY","PX_LAST"))</f>
        <v>1</v>
      </c>
      <c r="DG23" s="18">
        <v>295607.84923611197</v>
      </c>
      <c r="DH23" s="11">
        <f t="shared" si="8"/>
        <v>8776597.0438201651</v>
      </c>
      <c r="DI23" s="5"/>
      <c r="DJ23" s="11" cm="1">
        <f t="array" ref="DJ23">IF(CW23="Hong Kong",_xll.BDP(CS23&amp;" Equity","PR414"),_xll.BDP(CS23&amp;" Equity","PR090"))</f>
        <v>1</v>
      </c>
      <c r="DK23" s="11">
        <f t="shared" si="9"/>
        <v>29.69</v>
      </c>
      <c r="DL23" s="5">
        <f t="shared" si="50"/>
        <v>521.59422308358569</v>
      </c>
      <c r="DM23" s="8">
        <f t="shared" si="51"/>
        <v>4.8431812500000004E-2</v>
      </c>
      <c r="DN23" s="8">
        <f t="shared" si="52"/>
        <v>7.7795515835177298E-4</v>
      </c>
      <c r="DO23" s="5"/>
      <c r="DP23" s="21">
        <f t="shared" si="53"/>
        <v>613.50372730013896</v>
      </c>
      <c r="DQ23" s="22">
        <f t="shared" si="54"/>
        <v>1098.53</v>
      </c>
      <c r="DS23" s="16" t="str" cm="1">
        <f t="array" ref="DS23">_xll.BDP(DT23&amp;" Equity","DS520")</f>
        <v>Tesco PLC</v>
      </c>
      <c r="DT23" s="32" t="s">
        <v>155</v>
      </c>
      <c r="DU23" s="32" t="s">
        <v>156</v>
      </c>
      <c r="DV23" s="32" t="str" cm="1">
        <f t="array" ref="DV23">_xll.BDP(DT23&amp;" Equity", "ID_ISIN")</f>
        <v>GB00BLGZ9862</v>
      </c>
      <c r="DW23" s="32"/>
      <c r="DX23" s="30" t="str">
        <f>_xll.BDP(DT23&amp;" Equity", "DS197")</f>
        <v>London</v>
      </c>
      <c r="DY23" s="30" t="s">
        <v>26</v>
      </c>
      <c r="DZ23" s="30" t="s">
        <v>129</v>
      </c>
      <c r="EA23" s="30" t="s">
        <v>28</v>
      </c>
      <c r="EB23" s="43" t="str">
        <f>_xll.BDP(DT23&amp;" Equity", "DS004")</f>
        <v>GBp</v>
      </c>
      <c r="EC23" s="17" cm="1">
        <f t="array" ref="EC23">_xll.BDP(DT23&amp;" Equity","PX_LAST")/100</f>
        <v>4.6930000000000005</v>
      </c>
      <c r="ED23" s="33">
        <f t="shared" si="55"/>
        <v>4.6929557587957541E-2</v>
      </c>
      <c r="EE23" s="33">
        <f t="shared" si="56"/>
        <v>4.4517744914309869E-2</v>
      </c>
      <c r="EG23" s="1">
        <v>1</v>
      </c>
      <c r="EH23" s="18">
        <v>1650240.90920331</v>
      </c>
      <c r="EI23" s="11">
        <f t="shared" si="57"/>
        <v>7744580.5868911352</v>
      </c>
      <c r="EJ23" s="5"/>
      <c r="EK23" s="11" cm="1">
        <f t="array" ref="EK23">IF(DX23="Hong Kong",_xll.BDP(DT23&amp;" Equity","PR414"),_xll.BDP(DT23&amp;" Equity","PR090"))</f>
        <v>1</v>
      </c>
      <c r="EL23" s="11">
        <f t="shared" si="58"/>
        <v>4.6930000000000005</v>
      </c>
      <c r="EM23" s="5">
        <f t="shared" si="59"/>
        <v>3199.969833400045</v>
      </c>
      <c r="EN23" s="8">
        <f t="shared" si="60"/>
        <v>4.6930000000000006E-2</v>
      </c>
      <c r="EO23" s="8">
        <f t="shared" si="61"/>
        <v>9.4271513562116382E-6</v>
      </c>
      <c r="EP23" s="5"/>
      <c r="EQ23" s="21">
        <f t="shared" si="62"/>
        <v>100.00094271513562</v>
      </c>
      <c r="ER23" s="22">
        <f t="shared" si="63"/>
        <v>173.64100000000002</v>
      </c>
      <c r="ET23" s="16" t="str" cm="1">
        <f t="array" ref="ET23">_xll.BDP(EU23&amp;" Equity","DS520")</f>
        <v>FirstEnergy Corp</v>
      </c>
      <c r="EU23" s="32" t="s">
        <v>318</v>
      </c>
      <c r="EV23" s="32" t="s">
        <v>331</v>
      </c>
      <c r="EW23" s="32" t="str" cm="1">
        <f t="array" ref="EW23">_xll.BDP(EU23&amp;" Equity", "ID_ISIN")</f>
        <v>US3379321074</v>
      </c>
      <c r="EX23" s="32"/>
      <c r="EY23" s="30" t="str">
        <f>_xll.BDP(EU23&amp;" Equity", "DS197")</f>
        <v>New York</v>
      </c>
      <c r="EZ23" s="30" t="s">
        <v>26</v>
      </c>
      <c r="FA23" s="30" t="s">
        <v>33</v>
      </c>
      <c r="FB23" s="30" t="s">
        <v>28</v>
      </c>
      <c r="FC23" s="30" t="str">
        <f>_xll.BDP(EU23&amp;" Equity", "DS004")</f>
        <v>USD</v>
      </c>
      <c r="FD23" s="17" cm="1">
        <f t="array" ref="FD23">_xll.BDP(EU23&amp;" Equity","PX_LAST")</f>
        <v>50.32</v>
      </c>
      <c r="FE23" s="33">
        <f t="shared" si="10"/>
        <v>3.6659922827536301E-2</v>
      </c>
      <c r="FF23" s="33">
        <f t="shared" si="11"/>
        <v>3.4825957513758422E-2</v>
      </c>
      <c r="FH23" s="1" cm="1">
        <f t="array" ref="FH23">IF(FC23="USD",1,_xll.BDP(FC23&amp;"USD CURNCY","PX_LAST"))</f>
        <v>1</v>
      </c>
      <c r="FI23" s="18">
        <v>149292.55677356501</v>
      </c>
      <c r="FJ23" s="11">
        <f t="shared" si="64"/>
        <v>7512401.4568457911</v>
      </c>
      <c r="FK23" s="5"/>
      <c r="FL23" s="11" cm="1">
        <f t="array" ref="FL23">IF(EY23="Hong Kong",_xll.BDP(EU23&amp;" Equity","PR414"),_xll.BDP(EU23&amp;" Equity","PR090"))</f>
        <v>1</v>
      </c>
      <c r="FM23" s="11">
        <f t="shared" si="65"/>
        <v>50.32</v>
      </c>
      <c r="FN23" s="5">
        <f t="shared" si="66"/>
        <v>233.13146472201146</v>
      </c>
      <c r="FO23" s="8">
        <f t="shared" si="67"/>
        <v>3.6639249999999998E-2</v>
      </c>
      <c r="FP23" s="8">
        <f t="shared" si="68"/>
        <v>-5.6390810295914306E-4</v>
      </c>
      <c r="FQ23" s="5"/>
      <c r="FR23" s="21">
        <f t="shared" si="69"/>
        <v>1372.6160918757644</v>
      </c>
      <c r="FS23" s="22">
        <f t="shared" si="70"/>
        <v>1861.84</v>
      </c>
      <c r="FU23" s="16" t="str" cm="1">
        <f t="array" ref="FU23">_xll.BDP(FV23&amp;" Equity","DS520")</f>
        <v>Microsoft Corp</v>
      </c>
      <c r="FV23" s="32" t="s">
        <v>59</v>
      </c>
      <c r="FW23" s="32" t="s">
        <v>60</v>
      </c>
      <c r="FX23" s="32" t="str" cm="1">
        <f t="array" ref="FX23">_xll.BDP(FV23&amp;" Equity", "ID_ISIN")</f>
        <v>US5949181045</v>
      </c>
      <c r="FY23" s="32"/>
      <c r="FZ23" s="30" t="str">
        <f>_xll.BDP(FV23&amp;" Equity", "DS197")</f>
        <v>NASDAQ GS</v>
      </c>
      <c r="GA23" s="30" t="s">
        <v>26</v>
      </c>
      <c r="GB23" s="30" t="s">
        <v>33</v>
      </c>
      <c r="GC23" s="30" t="s">
        <v>28</v>
      </c>
      <c r="GD23" s="30" t="str">
        <f>_xll.BDP(FV23&amp;" Equity", "DS004")</f>
        <v>USD</v>
      </c>
      <c r="GE23" s="17" cm="1">
        <f t="array" ref="GE23">_xll.BDP(FV23&amp;" Equity","PX_LAST")</f>
        <v>410.68</v>
      </c>
      <c r="GF23" s="33">
        <f t="shared" si="12"/>
        <v>2.6637140363700431E-2</v>
      </c>
      <c r="GG23" s="33">
        <f t="shared" si="13"/>
        <v>2.5304071393886414E-2</v>
      </c>
      <c r="GI23" s="1" cm="1">
        <f t="array" ref="GI23">IF(GD23="USD",1,_xll.BDP(GD23&amp;"USD CURNCY","PX_LAST"))</f>
        <v>1</v>
      </c>
      <c r="GJ23" s="18">
        <v>13426.052938635399</v>
      </c>
      <c r="GK23" s="11">
        <f t="shared" si="71"/>
        <v>5513811.4208387863</v>
      </c>
      <c r="GL23" s="5"/>
      <c r="GM23" s="11" cm="1">
        <f t="array" ref="GM23">IF(FZ23="Hong Kong",_xll.BDP(FV23&amp;" Equity","PR414"),_xll.BDP(FV23&amp;" Equity","PR090"))</f>
        <v>1</v>
      </c>
      <c r="GN23" s="11">
        <f t="shared" si="72"/>
        <v>410.68</v>
      </c>
      <c r="GO23" s="5">
        <f t="shared" si="73"/>
        <v>20.755539389266918</v>
      </c>
      <c r="GP23" s="8">
        <f t="shared" si="74"/>
        <v>2.6950875000000003E-2</v>
      </c>
      <c r="GQ23" s="8">
        <f t="shared" si="75"/>
        <v>1.1778089990737595E-2</v>
      </c>
      <c r="GR23" s="5"/>
      <c r="GS23" s="21">
        <f t="shared" si="76"/>
        <v>15417.570895096953</v>
      </c>
      <c r="GT23" s="22">
        <f t="shared" si="77"/>
        <v>15195.16</v>
      </c>
      <c r="GV23" s="16" t="str" cm="1">
        <f t="array" ref="GV23">_xll.BDP(GW23&amp;" Equity","DS520")</f>
        <v>MS&amp;AD Insurance Group Holdings Inc</v>
      </c>
      <c r="GW23" s="32" t="s">
        <v>720</v>
      </c>
      <c r="GX23" s="32">
        <v>8725</v>
      </c>
      <c r="GY23" s="32" t="str" cm="1">
        <f t="array" ref="GY23">_xll.BDP(GW23&amp;" Equity", "ID_ISIN")</f>
        <v>JP3890310000</v>
      </c>
      <c r="GZ23" s="32"/>
      <c r="HA23" s="30" t="str">
        <f>_xll.BDP(GW23&amp;" Equity", "DS197")</f>
        <v>Tokyo</v>
      </c>
      <c r="HB23" s="30" t="s">
        <v>26</v>
      </c>
      <c r="HC23" s="30" t="s">
        <v>320</v>
      </c>
      <c r="HD23" s="30" t="s">
        <v>28</v>
      </c>
      <c r="HE23" s="30" t="str">
        <f>_xll.BDP(GW23&amp;" Equity", "DS004")</f>
        <v>JPY</v>
      </c>
      <c r="HF23" s="17" cm="1">
        <f t="array" ref="HF23">_xll.BDP(GW23&amp;" Equity","PX_LAST")</f>
        <v>4116</v>
      </c>
      <c r="HG23" s="33">
        <f t="shared" si="14"/>
        <v>3.359896554669238E-2</v>
      </c>
      <c r="HH23" s="33">
        <f t="shared" si="78"/>
        <v>3.1916484929537491E-2</v>
      </c>
      <c r="HJ23" s="1" cm="1">
        <f t="array" ref="HJ23">IF(HE23="USD",1,_xll.BDP(HE23&amp;"USD CURNCY","PX_LAST"))</f>
        <v>6.3369999999999998E-3</v>
      </c>
      <c r="HK23" s="18">
        <v>210086.50797336601</v>
      </c>
      <c r="HL23" s="11">
        <f t="shared" si="79"/>
        <v>5479705.7154280394</v>
      </c>
      <c r="HM23" s="5"/>
      <c r="HN23" s="11" cm="1">
        <f t="array" ref="HN23">IF(HA23="Hong Kong",_xll.BDP(GW23&amp;" Equity","PR414"),_xll.BDP(GW23&amp;" Equity","PR090"))</f>
        <v>100</v>
      </c>
      <c r="HO23" s="11">
        <f t="shared" si="80"/>
        <v>2608.3091999999997</v>
      </c>
      <c r="HP23" s="5">
        <f t="shared" si="81"/>
        <v>4.1220837525480354</v>
      </c>
      <c r="HQ23" s="8">
        <f t="shared" si="82"/>
        <v>3.2603864999999996E-2</v>
      </c>
      <c r="HR23" s="8">
        <f t="shared" si="83"/>
        <v>-2.9616999526651977E-2</v>
      </c>
      <c r="HS23" s="5"/>
      <c r="HT23" s="21">
        <f t="shared" si="84"/>
        <v>77630.640037867837</v>
      </c>
      <c r="HU23" s="22">
        <f t="shared" si="85"/>
        <v>96507.440399999978</v>
      </c>
      <c r="HW23" s="16" t="str" cm="1">
        <f t="array" ref="HW23">_xll.BDP(HX23&amp;" Equity","DS520")</f>
        <v>China Construction Bank Corp</v>
      </c>
      <c r="HX23" s="32" t="s">
        <v>207</v>
      </c>
      <c r="HY23" s="32">
        <v>939</v>
      </c>
      <c r="HZ23" s="32" t="str" cm="1">
        <f t="array" ref="HZ23">_xll.BDP(HX23&amp;" Equity", "ID_ISIN")</f>
        <v>CNE1000002H1</v>
      </c>
      <c r="IA23" s="32"/>
      <c r="IB23" s="30" t="str">
        <f>_xll.BDP(HX23&amp;" Equity", "DS197")</f>
        <v>Hong Kong</v>
      </c>
      <c r="IC23" s="30" t="s">
        <v>26</v>
      </c>
      <c r="ID23" s="30" t="s">
        <v>27</v>
      </c>
      <c r="IE23" s="30" t="s">
        <v>28</v>
      </c>
      <c r="IF23" s="30" t="str">
        <f>_xll.BDP(HX23&amp;" Equity", "DS004")</f>
        <v>HKD</v>
      </c>
      <c r="IG23" s="17" cm="1">
        <f t="array" ref="IG23">_xll.BDP(HX23&amp;" Equity","PX_LAST")</f>
        <v>7.89</v>
      </c>
      <c r="IH23" s="33">
        <f t="shared" si="15"/>
        <v>4.5254167590828849E-2</v>
      </c>
      <c r="II23" s="33">
        <f t="shared" si="16"/>
        <v>4.3014615775313007E-2</v>
      </c>
      <c r="IK23" s="1">
        <v>1</v>
      </c>
      <c r="IL23" s="18">
        <v>1087135.7975236699</v>
      </c>
      <c r="IM23" s="11">
        <f t="shared" si="183"/>
        <v>8577501.4424617551</v>
      </c>
      <c r="IN23" s="5"/>
      <c r="IO23" s="11" cm="1">
        <f t="array" ref="IO23">IF(IB23="Hong Kong",_xll.BDP(HX23&amp;" Equity","PR414"),_xll.BDP(HX23&amp;" Equity","PR090"))</f>
        <v>1000</v>
      </c>
      <c r="IP23" s="11">
        <f t="shared" si="184"/>
        <v>7890</v>
      </c>
      <c r="IQ23" s="5">
        <f t="shared" si="185"/>
        <v>1.8354035017826655</v>
      </c>
      <c r="IR23" s="8">
        <f t="shared" si="186"/>
        <v>4.9312500000000002E-2</v>
      </c>
      <c r="IS23" s="8">
        <f t="shared" si="187"/>
        <v>8.9678644536456131E-2</v>
      </c>
      <c r="IT23" s="5"/>
      <c r="IU23" s="21">
        <f t="shared" si="188"/>
        <v>174348.58312583299</v>
      </c>
      <c r="IV23" s="22">
        <f t="shared" si="189"/>
        <v>291930</v>
      </c>
      <c r="IX23" s="16" t="str" cm="1">
        <f t="array" ref="IX23">_xll.BDP(IY23&amp;" Equity","DS520")</f>
        <v>QUALCOMM Inc</v>
      </c>
      <c r="IY23" s="32" t="s">
        <v>172</v>
      </c>
      <c r="IZ23" s="32" t="s">
        <v>423</v>
      </c>
      <c r="JA23" s="32" t="str" cm="1">
        <f t="array" ref="JA23">_xll.BDP(IY23&amp;" Equity", "ID_ISIN")</f>
        <v>US7475251036</v>
      </c>
      <c r="JB23" s="32"/>
      <c r="JC23" s="30" t="str">
        <f>_xll.BDP(IY23&amp;" Equity", "DS197")</f>
        <v>NASDAQ GS</v>
      </c>
      <c r="JD23" s="30" t="s">
        <v>26</v>
      </c>
      <c r="JE23" s="30" t="s">
        <v>33</v>
      </c>
      <c r="JF23" s="30" t="s">
        <v>28</v>
      </c>
      <c r="JG23" s="30" t="str">
        <f>_xll.BDP(IY23&amp;" Equity", "DS004")</f>
        <v>USD</v>
      </c>
      <c r="JH23" s="17" cm="1">
        <f t="array" ref="JH23">_xll.BDP(IY23&amp;" Equity","PX_LAST")</f>
        <v>137</v>
      </c>
      <c r="JI23" s="33">
        <f t="shared" si="93"/>
        <v>3.1591249396186842E-2</v>
      </c>
      <c r="JJ23" s="33">
        <f t="shared" si="17"/>
        <v>3.0010073693819469E-2</v>
      </c>
      <c r="JL23" s="1" cm="1">
        <f t="array" ref="JL23">IF(JG23="USD",1,_xll.BDP(JG23&amp;"USD CURNCY","PX_LAST"))</f>
        <v>1</v>
      </c>
      <c r="JM23" s="18">
        <v>28131.227261288801</v>
      </c>
      <c r="JN23" s="11">
        <f t="shared" si="94"/>
        <v>3853978.1347965659</v>
      </c>
      <c r="JO23" s="5"/>
      <c r="JP23" s="11" cm="1">
        <f t="array" ref="JP23">IF(JC23="Hong Kong",_xll.BDP(IY23&amp;" Equity","PR414"),_xll.BDP(IY23&amp;" Equity","PR090"))</f>
        <v>1</v>
      </c>
      <c r="JQ23" s="11">
        <f t="shared" si="95"/>
        <v>137</v>
      </c>
      <c r="JR23" s="5">
        <f t="shared" si="96"/>
        <v>73.789779611531301</v>
      </c>
      <c r="JS23" s="8">
        <f t="shared" si="97"/>
        <v>3.1681250000000001E-2</v>
      </c>
      <c r="JT23" s="8">
        <f t="shared" si="98"/>
        <v>2.8489092876466948E-3</v>
      </c>
      <c r="JU23" s="5"/>
      <c r="JV23" s="21">
        <f t="shared" si="99"/>
        <v>4336.6439320546879</v>
      </c>
      <c r="JW23" s="22">
        <f t="shared" si="100"/>
        <v>5069</v>
      </c>
      <c r="JY23" s="16" t="str" cm="1">
        <f t="array" ref="JY23">_xll.BDP(JZ23&amp;" Equity","DS520")</f>
        <v>Genmab A/S</v>
      </c>
      <c r="JZ23" s="32" t="s">
        <v>1371</v>
      </c>
      <c r="KA23" s="32" t="s">
        <v>1378</v>
      </c>
      <c r="KB23" s="32" t="str" cm="1">
        <f t="array" ref="KB23">_xll.BDP(JZ23&amp;" Equity", "ID_ISIN")</f>
        <v>DK0010272202</v>
      </c>
      <c r="KC23" s="32"/>
      <c r="KD23" s="30" t="str">
        <f>_xll.BDP(JZ23&amp;" Equity", "DS197")</f>
        <v>Copenhagen</v>
      </c>
      <c r="KE23" s="30" t="s">
        <v>26</v>
      </c>
      <c r="KF23" s="30" t="s">
        <v>1379</v>
      </c>
      <c r="KG23" s="30" t="s">
        <v>28</v>
      </c>
      <c r="KH23" s="30" t="str">
        <f>_xll.BDP(JZ23&amp;" Equity", "DS004")</f>
        <v>DKK</v>
      </c>
      <c r="KI23" s="17" cm="1">
        <f t="array" ref="KI23">_xll.BDP(JZ23&amp;" Equity","PX_LAST")</f>
        <v>1775</v>
      </c>
      <c r="KJ23" s="33">
        <f t="shared" si="101"/>
        <v>2.70593359929115E-2</v>
      </c>
      <c r="KK23" s="33">
        <f t="shared" si="102"/>
        <v>2.5710542130497727E-2</v>
      </c>
      <c r="KM23" s="1" cm="1">
        <f t="array" ref="KM23">IF(KH23="USD",1,_xll.BDP(KH23&amp;"USD CURNCY","PX_LAST"))</f>
        <v>0.15540000000000001</v>
      </c>
      <c r="KN23" s="18">
        <v>9741.3955065573391</v>
      </c>
      <c r="KO23" s="11">
        <f t="shared" si="103"/>
        <v>2687017.8295512442</v>
      </c>
      <c r="KP23" s="5"/>
      <c r="KQ23" s="11" cm="1">
        <f t="array" ref="KQ23">IF(KD23="Hong Kong",_xll.BDP(JZ23&amp;" Equity","PR414"),_xll.BDP(JZ23&amp;" Equity","PR090"))</f>
        <v>1</v>
      </c>
      <c r="KR23" s="11">
        <f t="shared" si="104"/>
        <v>275.83500000000004</v>
      </c>
      <c r="KS23" s="5">
        <f t="shared" si="105"/>
        <v>31.391910082954229</v>
      </c>
      <c r="KT23" s="8">
        <f t="shared" si="106"/>
        <v>2.6721515625000008E-2</v>
      </c>
      <c r="KU23" s="8">
        <f t="shared" si="107"/>
        <v>-1.2484429329677083E-2</v>
      </c>
      <c r="KV23" s="5"/>
      <c r="KW23" s="21">
        <f t="shared" si="108"/>
        <v>10193.70911659688</v>
      </c>
      <c r="KX23" s="22">
        <f t="shared" si="109"/>
        <v>10205.895</v>
      </c>
      <c r="LN23" s="1"/>
      <c r="LO23" s="26"/>
      <c r="LP23" s="11"/>
      <c r="LQ23" s="5"/>
      <c r="LR23" s="11"/>
      <c r="LS23" s="11"/>
      <c r="LT23" s="5"/>
      <c r="LU23" s="8"/>
      <c r="LV23" s="8"/>
      <c r="LW23" s="5"/>
      <c r="LX23" s="21"/>
      <c r="LY23" s="22"/>
      <c r="MA23" s="16" t="str" cm="1">
        <f t="array" ref="MA23">_xll.BDP(MB23&amp;" Equity","DS520")</f>
        <v>Novartis AG</v>
      </c>
      <c r="MB23" s="32" t="s">
        <v>62</v>
      </c>
      <c r="MC23" s="32" t="s">
        <v>63</v>
      </c>
      <c r="MD23" s="32" t="str" cm="1">
        <f t="array" ref="MD23">_xll.BDP(MB23&amp;" Equity", "ID_ISIN")</f>
        <v>CH0012005267</v>
      </c>
      <c r="ME23" s="32"/>
      <c r="MF23" s="30" t="str">
        <f>_xll.BDP(MB23&amp;" Equity", "DS197")</f>
        <v>SIX Swiss Ex</v>
      </c>
      <c r="MG23" s="30" t="s">
        <v>26</v>
      </c>
      <c r="MH23" s="30" t="s">
        <v>61</v>
      </c>
      <c r="MI23" s="30" t="s">
        <v>28</v>
      </c>
      <c r="MJ23" s="30" t="str">
        <f>_xll.BDP(MB23&amp;" Equity", "DS004")</f>
        <v>CHF</v>
      </c>
      <c r="MK23" s="17" cm="1">
        <f t="array" ref="MK23">_xll.BDP(MB23&amp;" Equity","PX_LAST")</f>
        <v>124.82</v>
      </c>
      <c r="ML23" s="33">
        <f t="shared" si="20"/>
        <v>2.8540259969728674E-2</v>
      </c>
      <c r="MM23" s="33">
        <f t="shared" si="21"/>
        <v>2.7096056632669136E-2</v>
      </c>
      <c r="MO23" s="1" cm="1">
        <f t="array" ref="MO23">IF(MJ23="USD",1,_xll.BDP(MJ23&amp;"USD CURNCY","PX_LAST"))</f>
        <v>1.2806</v>
      </c>
      <c r="MP23" s="18">
        <v>32077.304980041801</v>
      </c>
      <c r="MQ23" s="11">
        <f t="shared" si="117"/>
        <v>5127380.5192638515</v>
      </c>
      <c r="MR23" s="5"/>
      <c r="MS23" s="11" cm="1">
        <f t="array" ref="MS23">IF(MF23="Hong Kong",_xll.BDP(MB23&amp;" Equity","PR414"),_xll.BDP(MB23&amp;" Equity","PR090"))</f>
        <v>1</v>
      </c>
      <c r="MT23" s="11">
        <f t="shared" si="118"/>
        <v>159.84449199999997</v>
      </c>
      <c r="MU23" s="5">
        <f t="shared" si="119"/>
        <v>57.136051896697055</v>
      </c>
      <c r="MV23" s="8">
        <f t="shared" si="120"/>
        <v>2.8472300137499996E-2</v>
      </c>
      <c r="MW23" s="8">
        <f t="shared" si="121"/>
        <v>-2.381191772631297E-3</v>
      </c>
      <c r="MX23" s="5"/>
      <c r="MY23" s="21">
        <f t="shared" si="122"/>
        <v>5600.6669935571572</v>
      </c>
      <c r="MZ23" s="22">
        <f t="shared" si="123"/>
        <v>5914.2462039999991</v>
      </c>
      <c r="NB23" s="16" t="str" cm="1">
        <f t="array" ref="NB23">_xll.BDP(NC23&amp;" Equity","DS520")</f>
        <v>Progressive Corp/The</v>
      </c>
      <c r="NC23" s="32" t="s">
        <v>171</v>
      </c>
      <c r="ND23" s="32" t="s">
        <v>429</v>
      </c>
      <c r="NE23" s="32" t="str" cm="1">
        <f t="array" ref="NE23">_xll.BDP(NC23&amp;" Equity", "ID_ISIN")</f>
        <v>US7433151039</v>
      </c>
      <c r="NF23" s="32"/>
      <c r="NG23" s="30" t="str">
        <f>_xll.BDP(NC23&amp;" Equity", "DS197")</f>
        <v>New York</v>
      </c>
      <c r="NH23" s="30" t="s">
        <v>26</v>
      </c>
      <c r="NI23" s="30" t="s">
        <v>349</v>
      </c>
      <c r="NJ23" s="30" t="s">
        <v>28</v>
      </c>
      <c r="NK23" s="30" t="str">
        <f>_xll.BDP(NC23&amp;" Equity", "DS004")</f>
        <v>USD</v>
      </c>
      <c r="NL23" s="17" cm="1">
        <f t="array" ref="NL23">_xll.BDP(NC23&amp;" Equity","PX_LAST")</f>
        <v>210.58</v>
      </c>
      <c r="NM23" s="33">
        <f t="shared" si="22"/>
        <v>3.9905266916627664E-2</v>
      </c>
      <c r="NN23" s="33">
        <f t="shared" si="23"/>
        <v>3.7881105764496499E-2</v>
      </c>
      <c r="NP23" s="1" cm="1">
        <f t="array" ref="NP23">IF(NK23="USD",1,_xll.BDP(NK23&amp;"USD CURNCY","PX_LAST"))</f>
        <v>1</v>
      </c>
      <c r="NQ23" s="18">
        <v>32396.323491986601</v>
      </c>
      <c r="NR23" s="11">
        <f t="shared" si="124"/>
        <v>6822017.8009425392</v>
      </c>
      <c r="NS23" s="5"/>
      <c r="NT23" s="11" cm="1">
        <f t="array" ref="NT23">IF(NG23="Hong Kong",_xll.BDP(NC23&amp;" Equity","PR414"),_xll.BDP(NC23&amp;" Equity","PR090"))</f>
        <v>1</v>
      </c>
      <c r="NU23" s="11">
        <f t="shared" si="125"/>
        <v>210.58</v>
      </c>
      <c r="NV23" s="5">
        <f t="shared" si="126"/>
        <v>60.640542374968426</v>
      </c>
      <c r="NW23" s="8">
        <f t="shared" si="127"/>
        <v>4.0141812500000006E-2</v>
      </c>
      <c r="NX23" s="8">
        <f t="shared" si="128"/>
        <v>5.9276782652912807E-3</v>
      </c>
      <c r="NY23" s="5"/>
      <c r="NZ23" s="21">
        <f t="shared" si="129"/>
        <v>5276.9976564736589</v>
      </c>
      <c r="OA23" s="22">
        <f t="shared" si="130"/>
        <v>7791.46</v>
      </c>
      <c r="OC23" s="16" t="str" cm="1">
        <f t="array" ref="OC23">_xll.BDP(OD23&amp;" Equity","DS520")</f>
        <v>Orange SA</v>
      </c>
      <c r="OD23" s="45" t="s">
        <v>64</v>
      </c>
      <c r="OE23" s="32" t="s">
        <v>65</v>
      </c>
      <c r="OF23" s="32" t="str" cm="1">
        <f t="array" ref="OF23">_xll.BDP(OD23&amp;" Equity", "ID_ISIN")</f>
        <v>FR0000133308</v>
      </c>
      <c r="OG23" s="45"/>
      <c r="OH23" s="30" t="str">
        <f>_xll.BDP(OD23&amp;" Equity", "DS197")</f>
        <v>EN Paris</v>
      </c>
      <c r="OI23" s="30" t="s">
        <v>26</v>
      </c>
      <c r="OJ23" s="30" t="s">
        <v>39</v>
      </c>
      <c r="OK23" s="30" t="s">
        <v>28</v>
      </c>
      <c r="OL23" s="51" t="str">
        <f>_xll.BDP(OD23&amp;" Equity", "DS004")</f>
        <v>EUR</v>
      </c>
      <c r="OM23" s="17" cm="1">
        <f t="array" ref="OM23">_xll.BDP(OD23&amp;" Equity","PX_LAST")</f>
        <v>17.555</v>
      </c>
      <c r="ON23" s="33">
        <f t="shared" si="24"/>
        <v>3.9823870979093692E-2</v>
      </c>
      <c r="OO23" s="33">
        <f t="shared" si="131"/>
        <v>3.7761275210654567E-2</v>
      </c>
      <c r="OQ23" s="1" cm="1">
        <f t="array" ref="OQ23">IF(OL23="EUR",1,_xll.BDP(OL23&amp;"EUR CURNCY","PX_LAST"))</f>
        <v>1</v>
      </c>
      <c r="OR23" s="18">
        <v>417785.90675128001</v>
      </c>
      <c r="OS23" s="11">
        <f t="shared" si="132"/>
        <v>7334231.5930187209</v>
      </c>
      <c r="OT23" s="5"/>
      <c r="OU23" s="11" cm="1">
        <f t="array" ref="OU23">IF(OH23="Hong Kong",_xll.BDP(OD23&amp;" Equity","PR414"),_xll.BDP(OD23&amp;" Equity","PR090"))</f>
        <v>1</v>
      </c>
      <c r="OV23" s="11">
        <f t="shared" si="133"/>
        <v>17.555</v>
      </c>
      <c r="OW23" s="5">
        <f t="shared" si="134"/>
        <v>725.92644336713079</v>
      </c>
      <c r="OX23" s="8">
        <f t="shared" si="135"/>
        <v>3.9827906250000003E-2</v>
      </c>
      <c r="OY23" s="8">
        <f t="shared" si="136"/>
        <v>1.0132794243999932E-4</v>
      </c>
      <c r="OZ23" s="5"/>
      <c r="PA23" s="21">
        <f t="shared" si="137"/>
        <v>440.81601231622699</v>
      </c>
      <c r="PB23" s="22">
        <f t="shared" si="138"/>
        <v>649.53499999999997</v>
      </c>
      <c r="PD23" s="16" t="str" cm="1">
        <f t="array" ref="PD23">_xll.BDP(PE23&amp;" Equity","DS520")</f>
        <v>Nippon Yusen KK</v>
      </c>
      <c r="PE23" s="45" t="s">
        <v>286</v>
      </c>
      <c r="PF23" s="45">
        <v>9101</v>
      </c>
      <c r="PG23" s="32" t="str" cm="1">
        <f t="array" ref="PG23">_xll.BDP(PE23&amp;" Equity", "ID_ISIN")</f>
        <v>JP3753000003</v>
      </c>
      <c r="PH23" s="45"/>
      <c r="PI23" s="30" t="str">
        <f>_xll.BDP(PE23&amp;" Equity", "DS197")</f>
        <v>Tokyo</v>
      </c>
      <c r="PJ23" s="30" t="s">
        <v>26</v>
      </c>
      <c r="PK23" s="71" t="s">
        <v>320</v>
      </c>
      <c r="PL23" s="30" t="s">
        <v>28</v>
      </c>
      <c r="PM23" s="30" t="str">
        <f>_xll.BDP(PE23&amp;" Equity", "DS004")</f>
        <v>JPY</v>
      </c>
      <c r="PN23" s="17" cm="1">
        <f t="array" ref="PN23">_xll.BDP(PE23&amp;" Equity","PX_LAST")</f>
        <v>5526</v>
      </c>
      <c r="PO23" s="33">
        <f t="shared" si="25"/>
        <v>4.3832236744601787E-2</v>
      </c>
      <c r="PP23" s="33">
        <f t="shared" si="26"/>
        <v>4.1638362682128942E-2</v>
      </c>
      <c r="PR23" s="1">
        <v>1</v>
      </c>
      <c r="PS23" s="18">
        <v>1528.65031878481</v>
      </c>
      <c r="PT23" s="11">
        <f t="shared" si="139"/>
        <v>8447321.6616048608</v>
      </c>
      <c r="PU23" s="5"/>
      <c r="PV23" s="11" cm="1">
        <f t="array" ref="PV23">IF(PI23="Hong Kong",_xll.BDP(PE23&amp;" Equity","PR414"),_xll.BDP(PE23&amp;" Equity","PR090"))</f>
        <v>100</v>
      </c>
      <c r="PW23" s="11">
        <f t="shared" si="140"/>
        <v>552600</v>
      </c>
      <c r="PX23" s="5">
        <f t="shared" si="141"/>
        <v>2.538240274750737E-2</v>
      </c>
      <c r="PY23" s="8">
        <f t="shared" si="142"/>
        <v>0</v>
      </c>
      <c r="PZ23" s="8">
        <f t="shared" si="143"/>
        <v>-1</v>
      </c>
      <c r="QA23" s="5"/>
      <c r="QB23" s="21">
        <f t="shared" si="144"/>
        <v>12607159.502715912</v>
      </c>
      <c r="QC23" s="22">
        <f t="shared" si="145"/>
        <v>20446200</v>
      </c>
      <c r="QE23" s="16" t="str" cm="1">
        <f t="array" ref="QE23">_xll.BDP(QF23&amp;" Equity","DS520")</f>
        <v>Rubrik Inc</v>
      </c>
      <c r="QF23" s="34" t="s">
        <v>615</v>
      </c>
      <c r="QG23" s="34"/>
      <c r="QH23" s="32" t="str" cm="1">
        <f t="array" ref="QH23">_xll.BDP(QF23&amp;" Equity", "ID_ISIN")</f>
        <v>US7811541090</v>
      </c>
      <c r="QI23" s="34"/>
      <c r="QJ23" s="30" t="str">
        <f>_xll.BDP(QF23&amp;" Equity", "DS197")</f>
        <v>New York</v>
      </c>
      <c r="QK23" s="30" t="s">
        <v>26</v>
      </c>
      <c r="QL23" s="30"/>
      <c r="QM23" s="30" t="s">
        <v>28</v>
      </c>
      <c r="QN23" s="30" t="str">
        <f>_xll.BDP(QF23&amp;" Equity", "DS004")</f>
        <v>USD</v>
      </c>
      <c r="QO23" s="17" cm="1">
        <f t="array" ref="QO23">_xll.BDP(QF23&amp;" Equity","PX_LAST")</f>
        <v>55.88</v>
      </c>
      <c r="QP23" s="33">
        <f t="shared" si="27"/>
        <v>1.5063542265651202E-2</v>
      </c>
      <c r="QQ23" s="33">
        <f t="shared" si="28"/>
        <v>1.4314040541422393E-2</v>
      </c>
      <c r="QS23" s="1" cm="1">
        <f t="array" ref="QS23">IF(QN23="USD",1,_xll.BDP(QN23&amp;"USD CURNCY","PX_LAST"))</f>
        <v>1</v>
      </c>
      <c r="QT23" s="18">
        <v>30752.671747942601</v>
      </c>
      <c r="QU23" s="11">
        <f t="shared" si="146"/>
        <v>1718459.2972750326</v>
      </c>
      <c r="QV23" s="5"/>
      <c r="QW23" s="11" cm="1">
        <f t="array" ref="QW23">IF(QJ23="Hong Kong",_xll.BDP(QF23&amp;" Equity","PR414"),_xll.BDP(QF23&amp;" Equity","PR090"))</f>
        <v>1</v>
      </c>
      <c r="QX23" s="11">
        <f t="shared" si="147"/>
        <v>55.88</v>
      </c>
      <c r="QY23" s="5">
        <f t="shared" si="148"/>
        <v>86.262232015182249</v>
      </c>
      <c r="QZ23" s="8">
        <f t="shared" si="149"/>
        <v>1.5017750000000002E-2</v>
      </c>
      <c r="RA23" s="8">
        <f t="shared" si="150"/>
        <v>-3.039940064802571E-3</v>
      </c>
      <c r="RB23" s="5"/>
      <c r="RC23" s="21">
        <f t="shared" si="151"/>
        <v>3709.6188276658509</v>
      </c>
      <c r="RD23" s="22">
        <f t="shared" si="152"/>
        <v>2067.56</v>
      </c>
      <c r="RF23" s="16" t="str" cm="1">
        <f t="array" ref="RF23">_xll.BDP(RG23&amp;" Equity","DS520")</f>
        <v>Nordex SE</v>
      </c>
      <c r="RG23" s="34" t="s">
        <v>1310</v>
      </c>
      <c r="RH23" s="34"/>
      <c r="RI23" s="32" t="str" cm="1">
        <f t="array" ref="RI23">_xll.BDP(RG23&amp;" Equity", "ID_ISIN")</f>
        <v>DE000A0D6554</v>
      </c>
      <c r="RJ23" s="34"/>
      <c r="RK23" s="30" t="str">
        <f>_xll.BDP(RG23&amp;" Equity", "DS197")</f>
        <v>Xetra</v>
      </c>
      <c r="RL23" s="30" t="s">
        <v>26</v>
      </c>
      <c r="RM23" s="30"/>
      <c r="RN23" s="30" t="s">
        <v>28</v>
      </c>
      <c r="RO23" s="30" t="str">
        <f>_xll.BDP(RG23&amp;" Equity", "DS004")</f>
        <v>EUR</v>
      </c>
      <c r="RP23" s="17" cm="1">
        <f t="array" ref="RP23">_xll.BDP(RG23&amp;" Equity","PX_LAST")</f>
        <v>42.2</v>
      </c>
      <c r="RQ23" s="33">
        <f t="shared" si="153"/>
        <v>4.0361943762198101E-2</v>
      </c>
      <c r="RR23" s="33">
        <f t="shared" si="154"/>
        <v>3.8380649998337547E-2</v>
      </c>
      <c r="RT23" s="1" cm="1">
        <f t="array" ref="RT23">IF(RO23="USD",1,_xll.BDP(RO23&amp;"USD CURNCY","PX_LAST"))</f>
        <v>1.1607000000000001</v>
      </c>
      <c r="RU23" s="18">
        <v>83037.439359278404</v>
      </c>
      <c r="RV23" s="11">
        <f t="shared" si="155"/>
        <v>4067301.6574740703</v>
      </c>
      <c r="RW23" s="5"/>
      <c r="RX23" s="11" cm="1">
        <f t="array" ref="RX23">IF(RK23="Hong Kong",_xll.BDP(RG23&amp;" Equity","PR414"),_xll.BDP(RG23&amp;" Equity","PR090"))</f>
        <v>1</v>
      </c>
      <c r="RY23" s="11">
        <f t="shared" si="156"/>
        <v>48.981540000000003</v>
      </c>
      <c r="RZ23" s="5">
        <f t="shared" si="157"/>
        <v>263.68754440761541</v>
      </c>
      <c r="SA23" s="8">
        <f t="shared" si="158"/>
        <v>4.0409770500000004E-2</v>
      </c>
      <c r="SB23" s="8">
        <f t="shared" si="159"/>
        <v>1.1849463465805066E-3</v>
      </c>
      <c r="SC23" s="5"/>
      <c r="SD23" s="21">
        <f t="shared" si="160"/>
        <v>1213.5575107231277</v>
      </c>
      <c r="SE23" s="22">
        <f t="shared" si="161"/>
        <v>1812.3169800000001</v>
      </c>
    </row>
    <row r="24" spans="15:499" x14ac:dyDescent="0.2">
      <c r="O24" s="16" t="str" cm="1">
        <f t="array" ref="O24">_xll.BDP(P24&amp;" Equity","DS520")</f>
        <v>Walmart Inc</v>
      </c>
      <c r="P24" s="32" t="s">
        <v>704</v>
      </c>
      <c r="Q24" s="32" t="s">
        <v>708</v>
      </c>
      <c r="R24" s="32" t="str" cm="1">
        <f t="array" ref="R24">_xll.BDP(P24&amp;" Equity", "ID_ISIN")</f>
        <v>US9311421039</v>
      </c>
      <c r="S24" s="32"/>
      <c r="T24" s="30" t="str">
        <f>_xll.BDP(P24&amp;" Equity", "DS197")</f>
        <v>NASDAQ GS</v>
      </c>
      <c r="U24" s="30" t="s">
        <v>26</v>
      </c>
      <c r="V24" s="30" t="s">
        <v>33</v>
      </c>
      <c r="W24" s="30" t="s">
        <v>28</v>
      </c>
      <c r="X24" s="30" t="str">
        <f>_xll.BDP(P24&amp;" Equity", "DS004")</f>
        <v>USD</v>
      </c>
      <c r="Y24" s="17" cm="1">
        <f t="array" ref="Y24">_xll.BDP(P24&amp;" Equity","PX_LAST")</f>
        <v>123.31</v>
      </c>
      <c r="Z24" s="33">
        <f t="shared" si="0"/>
        <v>2.646796406969933E-2</v>
      </c>
      <c r="AA24" s="33">
        <f t="shared" si="1"/>
        <v>2.5145455393402745E-2</v>
      </c>
      <c r="AB24" s="4"/>
      <c r="AC24" s="1" cm="1">
        <f t="array" ref="AC24">IF(X24="USD",1,_xll.BDP(X24&amp;"USD CURNCY","PX_LAST"))</f>
        <v>1</v>
      </c>
      <c r="AD24" s="18">
        <v>44172.141684124101</v>
      </c>
      <c r="AE24" s="11">
        <f t="shared" si="169"/>
        <v>5446866.7910693428</v>
      </c>
      <c r="AF24" s="5"/>
      <c r="AG24" s="11" cm="1">
        <f t="array" ref="AG24">IF(T24="Hong Kong",_xll.BDP(P24&amp;" Equity","PR414"),_xll.BDP(P24&amp;" Equity","PR090"))</f>
        <v>1</v>
      </c>
      <c r="AH24" s="11">
        <f t="shared" si="170"/>
        <v>123.31</v>
      </c>
      <c r="AI24" s="5">
        <f t="shared" si="171"/>
        <v>68.686631273244558</v>
      </c>
      <c r="AJ24" s="8">
        <f t="shared" si="172"/>
        <v>2.6588718749999997E-2</v>
      </c>
      <c r="AK24" s="8">
        <f t="shared" si="173"/>
        <v>4.5622957618756121E-3</v>
      </c>
      <c r="AL24" s="5"/>
      <c r="AM24" s="21">
        <f t="shared" si="174"/>
        <v>4658.8396325188442</v>
      </c>
      <c r="AN24" s="22">
        <f t="shared" si="175"/>
        <v>4562.47</v>
      </c>
      <c r="AP24" s="16" t="str" cm="1">
        <f t="array" ref="AP24">_xll.BDP(AQ24&amp;" Equity","DS520")</f>
        <v>Cigna Group/The</v>
      </c>
      <c r="AQ24" s="32" t="s">
        <v>105</v>
      </c>
      <c r="AR24" s="32" t="s">
        <v>367</v>
      </c>
      <c r="AS24" s="32" t="str" cm="1">
        <f t="array" ref="AS24">_xll.BDP(AQ24&amp;" Equity", "ID_ISIN")</f>
        <v>US1255231003</v>
      </c>
      <c r="AT24" s="32"/>
      <c r="AU24" s="30" t="str">
        <f>_xll.BDP(AQ24&amp;" Equity", "DS197")</f>
        <v>New York</v>
      </c>
      <c r="AV24" s="30" t="s">
        <v>26</v>
      </c>
      <c r="AW24" s="30" t="s">
        <v>33</v>
      </c>
      <c r="AX24" s="30" t="s">
        <v>28</v>
      </c>
      <c r="AY24" s="30" t="str">
        <f>_xll.BDP(AQ24&amp;" Equity", "DS004")</f>
        <v>USD</v>
      </c>
      <c r="AZ24" s="17" cm="1">
        <f t="array" ref="AZ24">_xll.BDP(AQ24&amp;" Equity","PX_LAST")</f>
        <v>281.27</v>
      </c>
      <c r="BA24" s="33">
        <f t="shared" si="4"/>
        <v>4.4825130769822322E-2</v>
      </c>
      <c r="BB24" s="33">
        <f t="shared" si="34"/>
        <v>4.2569413579605524E-2</v>
      </c>
      <c r="BD24" s="1" cm="1">
        <f t="array" ref="BD24">IF(AY24="USD",1,_xll.BDP(AY24&amp;"USD CURNCY","PX_LAST"))</f>
        <v>1</v>
      </c>
      <c r="BE24" s="18">
        <v>26238.777783811202</v>
      </c>
      <c r="BF24" s="11">
        <f>BE24*AZ24*BD24</f>
        <v>7380181.0272525763</v>
      </c>
      <c r="BG24" s="5"/>
      <c r="BH24" s="11" cm="1">
        <f t="array" ref="BH24">IF(AU24="Hong Kong",_xll.BDP(AQ24&amp;" Equity","PR414"),_xll.BDP(AQ24&amp;" Equity","PR090"))</f>
        <v>1</v>
      </c>
      <c r="BI24" s="11">
        <f>BH24*BD24*AZ24</f>
        <v>281.27</v>
      </c>
      <c r="BJ24" s="5">
        <f>($AJ$3*BA24)/BI24</f>
        <v>50.997411193312992</v>
      </c>
      <c r="BK24" s="8">
        <f>(ROUND(BJ24,0)*BI24)/$AJ$3</f>
        <v>4.4827406249999993E-2</v>
      </c>
      <c r="BL24" s="8">
        <f>BK24/BA24-1</f>
        <v>5.0763492232874796E-5</v>
      </c>
      <c r="BM24" s="5"/>
      <c r="BN24" s="21">
        <f>IFERROR(BI24/BA24,0)</f>
        <v>6274.8283199512653</v>
      </c>
      <c r="BO24" s="22">
        <f>BI24/(1/COUNTA($P$6:$P$77))</f>
        <v>10406.989999999998</v>
      </c>
      <c r="CB24" s="62" t="s">
        <v>86</v>
      </c>
      <c r="CC24" s="63">
        <v>100000</v>
      </c>
      <c r="CR24" s="16" t="str" cm="1">
        <f t="array" ref="CR24">_xll.BDP(CS24&amp;" Equity","DS520")</f>
        <v>WP Carey Inc</v>
      </c>
      <c r="CS24" s="45" t="s">
        <v>742</v>
      </c>
      <c r="CT24" s="32" t="s">
        <v>744</v>
      </c>
      <c r="CU24" s="32" t="str" cm="1">
        <f t="array" ref="CU24">_xll.BDP(CS24&amp;" Equity", "ID_ISIN")</f>
        <v>US92936U1097</v>
      </c>
      <c r="CV24" s="45"/>
      <c r="CW24" s="30" t="str">
        <f>_xll.BDP(CS24&amp;" Equity", "DS197")</f>
        <v>New York</v>
      </c>
      <c r="CX24" s="30" t="s">
        <v>26</v>
      </c>
      <c r="CY24" s="30" t="s">
        <v>33</v>
      </c>
      <c r="CZ24" s="30" t="s">
        <v>28</v>
      </c>
      <c r="DA24" s="30" t="str">
        <f>_xll.BDP(CS24&amp;" Equity", "DS004")</f>
        <v>USD</v>
      </c>
      <c r="DB24" s="17" cm="1">
        <f t="array" ref="DB24">_xll.BDP(CS24&amp;" Equity","PX_LAST")</f>
        <v>72.58</v>
      </c>
      <c r="DC24" s="33">
        <f t="shared" si="6"/>
        <v>5.3756661375714415E-2</v>
      </c>
      <c r="DD24" s="33">
        <f t="shared" si="7"/>
        <v>5.1051754765745132E-2</v>
      </c>
      <c r="DF24" s="1" cm="1">
        <f t="array" ref="DF24">IF(DA24="USD",1,_xll.BDP(DA24&amp;"USD CURNCY","PX_LAST"))</f>
        <v>1</v>
      </c>
      <c r="DG24" s="18">
        <v>134322.41513016701</v>
      </c>
      <c r="DH24" s="11">
        <f t="shared" ref="DH24" si="210">DG24*DB24*DF24</f>
        <v>9749120.8901475202</v>
      </c>
      <c r="DI24" s="5"/>
      <c r="DJ24" s="11" cm="1">
        <f t="array" ref="DJ24">IF(CW24="Hong Kong",_xll.BDP(CS24&amp;" Equity","PR414"),_xll.BDP(CS24&amp;" Equity","PR090"))</f>
        <v>1</v>
      </c>
      <c r="DK24" s="11">
        <f t="shared" ref="DK24" si="211">DJ24*DF24*DB24</f>
        <v>72.58</v>
      </c>
      <c r="DL24" s="5">
        <f t="shared" ref="DL24" si="212">($AJ$3*DC24)/DK24</f>
        <v>237.0092537920724</v>
      </c>
      <c r="DM24" s="8">
        <f t="shared" ref="DM24" si="213">(ROUND(DL24,0)*DK24)/$AJ$3</f>
        <v>5.3754562499999999E-2</v>
      </c>
      <c r="DN24" s="8">
        <f t="shared" ref="DN24" si="214">DM24/DC24-1</f>
        <v>-3.9044011675981594E-5</v>
      </c>
      <c r="DO24" s="5"/>
      <c r="DP24" s="21">
        <f t="shared" ref="DP24" si="215">IFERROR(DK24/DC24,0)</f>
        <v>1350.1582528112392</v>
      </c>
      <c r="DQ24" s="22">
        <f t="shared" ref="DQ24" si="216">DK24/(1/COUNTA($P$6:$P$77))</f>
        <v>2685.4599999999996</v>
      </c>
      <c r="DS24" s="16" t="str" cm="1">
        <f t="array" ref="DS24">_xll.BDP(DT24&amp;" Equity","DS520")</f>
        <v>Unilever PLC</v>
      </c>
      <c r="DT24" s="32" t="s">
        <v>157</v>
      </c>
      <c r="DU24" s="32" t="s">
        <v>158</v>
      </c>
      <c r="DV24" s="32" t="str" cm="1">
        <f t="array" ref="DV24">_xll.BDP(DT24&amp;" Equity", "ID_ISIN")</f>
        <v>GB00BVZK7T90</v>
      </c>
      <c r="DW24" s="32"/>
      <c r="DX24" s="30" t="str">
        <f>_xll.BDP(DT24&amp;" Equity", "DS197")</f>
        <v>London</v>
      </c>
      <c r="DY24" s="30" t="s">
        <v>26</v>
      </c>
      <c r="DZ24" s="30" t="s">
        <v>129</v>
      </c>
      <c r="EA24" s="30" t="s">
        <v>28</v>
      </c>
      <c r="EB24" s="43" t="str">
        <f>_xll.BDP(DT24&amp;" Equity", "DS004")</f>
        <v>GBp</v>
      </c>
      <c r="EC24" s="17" cm="1">
        <f t="array" ref="EC24">_xll.BDP(DT24&amp;" Equity","PX_LAST")/100</f>
        <v>50.56</v>
      </c>
      <c r="ED24" s="33">
        <f t="shared" si="55"/>
        <v>5.0790020396978636E-2</v>
      </c>
      <c r="EE24" s="33">
        <f t="shared" si="56"/>
        <v>4.817981009063451E-2</v>
      </c>
      <c r="EG24" s="1">
        <v>1</v>
      </c>
      <c r="EH24" s="18">
        <v>165776.42322450399</v>
      </c>
      <c r="EI24" s="11">
        <f t="shared" si="57"/>
        <v>8381655.958230922</v>
      </c>
      <c r="EJ24" s="5"/>
      <c r="EK24" s="11" cm="1">
        <f t="array" ref="EK24">IF(DX24="Hong Kong",_xll.BDP(DT24&amp;" Equity","PR414"),_xll.BDP(DT24&amp;" Equity","PR090"))</f>
        <v>1</v>
      </c>
      <c r="EL24" s="11">
        <f t="shared" si="58"/>
        <v>50.56</v>
      </c>
      <c r="EM24" s="5">
        <f t="shared" si="59"/>
        <v>321.45582529733309</v>
      </c>
      <c r="EN24" s="8">
        <f t="shared" si="60"/>
        <v>5.0717999999999999E-2</v>
      </c>
      <c r="EO24" s="8">
        <f t="shared" si="61"/>
        <v>-1.4180029150553386E-3</v>
      </c>
      <c r="EP24" s="5"/>
      <c r="EQ24" s="21">
        <f t="shared" si="62"/>
        <v>995.47114974200099</v>
      </c>
      <c r="ER24" s="22">
        <f t="shared" si="63"/>
        <v>1870.72</v>
      </c>
      <c r="ET24" s="16" t="str" cm="1">
        <f t="array" ref="ET24">_xll.BDP(EU24&amp;" Equity","DS520")</f>
        <v>Micron Technology Inc</v>
      </c>
      <c r="EU24" s="32" t="s">
        <v>1389</v>
      </c>
      <c r="EV24" s="32" t="s">
        <v>1393</v>
      </c>
      <c r="EW24" s="32" t="str" cm="1">
        <f t="array" ref="EW24">_xll.BDP(EU24&amp;" Equity", "ID_ISIN")</f>
        <v>US5951121038</v>
      </c>
      <c r="EX24" s="32"/>
      <c r="EY24" s="30" t="str">
        <f>_xll.BDP(EU24&amp;" Equity", "DS197")</f>
        <v>NASDAQ GS</v>
      </c>
      <c r="EZ24" s="30" t="s">
        <v>26</v>
      </c>
      <c r="FA24" s="30" t="s">
        <v>33</v>
      </c>
      <c r="FB24" s="30" t="s">
        <v>28</v>
      </c>
      <c r="FC24" s="30" t="str">
        <f>_xll.BDP(EU24&amp;" Equity", "DS004")</f>
        <v>USD</v>
      </c>
      <c r="FD24" s="17" cm="1">
        <f t="array" ref="FD24">_xll.BDP(EU24&amp;" Equity","PX_LAST")</f>
        <v>397.05</v>
      </c>
      <c r="FE24" s="33">
        <f t="shared" si="10"/>
        <v>3.5315239460054486E-2</v>
      </c>
      <c r="FF24" s="33">
        <f t="shared" si="11"/>
        <v>3.3548543863825581E-2</v>
      </c>
      <c r="FH24" s="1" cm="1">
        <f t="array" ref="FH24">IF(FC24="USD",1,_xll.BDP(FC24&amp;"USD CURNCY","PX_LAST"))</f>
        <v>1</v>
      </c>
      <c r="FI24" s="18">
        <v>18226.538482759599</v>
      </c>
      <c r="FJ24" s="11">
        <f t="shared" si="64"/>
        <v>7236847.1045796992</v>
      </c>
      <c r="FK24" s="5"/>
      <c r="FL24" s="11" cm="1">
        <f t="array" ref="FL24">IF(EY24="Hong Kong",_xll.BDP(EU24&amp;" Equity","PR414"),_xll.BDP(EU24&amp;" Equity","PR090"))</f>
        <v>1</v>
      </c>
      <c r="FM24" s="11">
        <f t="shared" si="65"/>
        <v>397.05</v>
      </c>
      <c r="FN24" s="5">
        <f t="shared" si="66"/>
        <v>28.462099552241369</v>
      </c>
      <c r="FO24" s="8">
        <f t="shared" si="67"/>
        <v>3.4741874999999998E-2</v>
      </c>
      <c r="FP24" s="8">
        <f t="shared" si="68"/>
        <v>-1.6235610145105439E-2</v>
      </c>
      <c r="FQ24" s="5"/>
      <c r="FR24" s="21">
        <f t="shared" si="69"/>
        <v>11243.021598341653</v>
      </c>
      <c r="FS24" s="22">
        <f t="shared" si="70"/>
        <v>14690.85</v>
      </c>
      <c r="FU24" s="16" t="str" cm="1">
        <f t="array" ref="FU24">_xll.BDP(FV24&amp;" Equity","DS520")</f>
        <v>NetEase Inc</v>
      </c>
      <c r="FV24" s="32" t="s">
        <v>30</v>
      </c>
      <c r="FW24" s="32">
        <v>9999</v>
      </c>
      <c r="FX24" s="32" t="str" cm="1">
        <f t="array" ref="FX24">_xll.BDP(FV24&amp;" Equity", "ID_ISIN")</f>
        <v>KYG6427A1022</v>
      </c>
      <c r="FY24" s="32"/>
      <c r="FZ24" s="30" t="str">
        <f>_xll.BDP(FV24&amp;" Equity", "DS197")</f>
        <v>Hong Kong</v>
      </c>
      <c r="GA24" s="30" t="s">
        <v>26</v>
      </c>
      <c r="GB24" s="30" t="s">
        <v>27</v>
      </c>
      <c r="GC24" s="30" t="s">
        <v>28</v>
      </c>
      <c r="GD24" s="30" t="str">
        <f>_xll.BDP(FV24&amp;" Equity", "DS004")</f>
        <v>HKD</v>
      </c>
      <c r="GE24" s="17" cm="1">
        <f t="array" ref="GE24">_xll.BDP(FV24&amp;" Equity","PX_LAST")</f>
        <v>190</v>
      </c>
      <c r="GF24" s="33">
        <f t="shared" si="12"/>
        <v>2.8521668554995029E-2</v>
      </c>
      <c r="GG24" s="33">
        <f t="shared" si="13"/>
        <v>2.7094287432290226E-2</v>
      </c>
      <c r="GI24" s="1" cm="1">
        <f t="array" ref="GI24">IF(GD24="USD",1,_xll.BDP(GD24&amp;"USD CURNCY","PX_LAST"))</f>
        <v>0.12784999999999999</v>
      </c>
      <c r="GJ24" s="18">
        <v>243044.000357821</v>
      </c>
      <c r="GK24" s="11">
        <f t="shared" si="71"/>
        <v>5903903.3346920079</v>
      </c>
      <c r="GL24" s="5"/>
      <c r="GM24" s="11" cm="1">
        <f t="array" ref="GM24">IF(FZ24="Hong Kong",_xll.BDP(FV24&amp;" Equity","PR414"),_xll.BDP(FV24&amp;" Equity","PR090"))</f>
        <v>100</v>
      </c>
      <c r="GN24" s="11">
        <f t="shared" si="72"/>
        <v>2429.1499999999996</v>
      </c>
      <c r="GO24" s="5">
        <f t="shared" si="73"/>
        <v>3.7572541578734993</v>
      </c>
      <c r="GP24" s="8">
        <f t="shared" si="74"/>
        <v>3.0364374999999996E-2</v>
      </c>
      <c r="GQ24" s="8">
        <f t="shared" si="75"/>
        <v>6.4607245591255857E-2</v>
      </c>
      <c r="GR24" s="5"/>
      <c r="GS24" s="21">
        <f t="shared" si="76"/>
        <v>85168.579647300474</v>
      </c>
      <c r="GT24" s="22">
        <f t="shared" si="77"/>
        <v>89878.549999999988</v>
      </c>
      <c r="GV24" s="16" t="str" cm="1">
        <f t="array" ref="GV24">_xll.BDP(GW24&amp;" Equity","DS520")</f>
        <v>Nintendo Co Ltd</v>
      </c>
      <c r="GW24" s="32" t="s">
        <v>731</v>
      </c>
      <c r="GX24" s="32">
        <v>7974</v>
      </c>
      <c r="GY24" s="32" t="str" cm="1">
        <f t="array" ref="GY24">_xll.BDP(GW24&amp;" Equity", "ID_ISIN")</f>
        <v>JP3756600007</v>
      </c>
      <c r="GZ24" s="32"/>
      <c r="HA24" s="30" t="str">
        <f>_xll.BDP(GW24&amp;" Equity", "DS197")</f>
        <v>Tokyo</v>
      </c>
      <c r="HB24" s="30" t="s">
        <v>26</v>
      </c>
      <c r="HC24" s="30" t="s">
        <v>320</v>
      </c>
      <c r="HD24" s="30" t="s">
        <v>28</v>
      </c>
      <c r="HE24" s="30" t="str">
        <f>_xll.BDP(GW24&amp;" Equity", "DS004")</f>
        <v>JPY</v>
      </c>
      <c r="HF24" s="17" cm="1">
        <f t="array" ref="HF24">_xll.BDP(GW24&amp;" Equity","PX_LAST")</f>
        <v>8698</v>
      </c>
      <c r="HG24" s="33">
        <f t="shared" si="14"/>
        <v>1.8315545000563212E-2</v>
      </c>
      <c r="HH24" s="33">
        <f t="shared" si="78"/>
        <v>1.7398387315656173E-2</v>
      </c>
      <c r="HJ24" s="1" cm="1">
        <f t="array" ref="HJ24">IF(HE24="USD",1,_xll.BDP(HE24&amp;"USD CURNCY","PX_LAST"))</f>
        <v>6.3369999999999998E-3</v>
      </c>
      <c r="HK24" s="18">
        <v>54193.607900372102</v>
      </c>
      <c r="HL24" s="11">
        <f t="shared" si="79"/>
        <v>2987109.7216159953</v>
      </c>
      <c r="HM24" s="5"/>
      <c r="HN24" s="11" cm="1">
        <f t="array" ref="HN24">IF(HA24="Hong Kong",_xll.BDP(GW24&amp;" Equity","PR414"),_xll.BDP(GW24&amp;" Equity","PR090"))</f>
        <v>100</v>
      </c>
      <c r="HO24" s="11">
        <f t="shared" si="80"/>
        <v>5511.922599999999</v>
      </c>
      <c r="HP24" s="5">
        <f t="shared" si="81"/>
        <v>1.0633266875300877</v>
      </c>
      <c r="HQ24" s="8">
        <f t="shared" si="82"/>
        <v>1.7224758124999996E-2</v>
      </c>
      <c r="HR24" s="8">
        <f t="shared" si="83"/>
        <v>-5.9555250773573709E-2</v>
      </c>
      <c r="HS24" s="5"/>
      <c r="HT24" s="21">
        <f t="shared" si="84"/>
        <v>300942.31975245645</v>
      </c>
      <c r="HU24" s="22">
        <f t="shared" si="85"/>
        <v>203941.13619999995</v>
      </c>
      <c r="HW24" s="16" t="str" cm="1">
        <f t="array" ref="HW24">_xll.BDP(HX24&amp;" Equity","DS520")</f>
        <v>BOC Hong Kong Holdings Ltd</v>
      </c>
      <c r="HX24" s="32" t="s">
        <v>206</v>
      </c>
      <c r="HY24" s="32">
        <v>2388</v>
      </c>
      <c r="HZ24" s="32" t="str" cm="1">
        <f t="array" ref="HZ24">_xll.BDP(HX24&amp;" Equity", "ID_ISIN")</f>
        <v>HK2388011192</v>
      </c>
      <c r="IA24" s="32"/>
      <c r="IB24" s="30" t="str">
        <f>_xll.BDP(HX24&amp;" Equity", "DS197")</f>
        <v>Hong Kong</v>
      </c>
      <c r="IC24" s="30" t="s">
        <v>26</v>
      </c>
      <c r="ID24" s="30" t="s">
        <v>27</v>
      </c>
      <c r="IE24" s="30" t="s">
        <v>28</v>
      </c>
      <c r="IF24" s="30" t="str">
        <f>_xll.BDP(HX24&amp;" Equity", "DS004")</f>
        <v>HKD</v>
      </c>
      <c r="IG24" s="17" cm="1">
        <f t="array" ref="IG24">_xll.BDP(HX24&amp;" Equity","PX_LAST")</f>
        <v>42.3</v>
      </c>
      <c r="IH24" s="33">
        <f t="shared" si="15"/>
        <v>4.5519979505126866E-2</v>
      </c>
      <c r="II24" s="33">
        <f t="shared" si="16"/>
        <v>4.3267273109890668E-2</v>
      </c>
      <c r="IK24" s="1">
        <v>1</v>
      </c>
      <c r="IL24" s="18">
        <v>203968.87915966701</v>
      </c>
      <c r="IM24" s="11">
        <f t="shared" si="183"/>
        <v>8627883.5884539131</v>
      </c>
      <c r="IN24" s="5"/>
      <c r="IO24" s="11" cm="1">
        <f t="array" ref="IO24">IF(IB24="Hong Kong",_xll.BDP(HX24&amp;" Equity","PR414"),_xll.BDP(HX24&amp;" Equity","PR090"))</f>
        <v>500</v>
      </c>
      <c r="IP24" s="11">
        <f t="shared" si="184"/>
        <v>21150</v>
      </c>
      <c r="IQ24" s="5">
        <f t="shared" si="185"/>
        <v>0.68871836603501646</v>
      </c>
      <c r="IR24" s="8">
        <f t="shared" si="186"/>
        <v>6.6093750000000007E-2</v>
      </c>
      <c r="IS24" s="8">
        <f t="shared" si="187"/>
        <v>0.45197231454280296</v>
      </c>
      <c r="IT24" s="5"/>
      <c r="IU24" s="21">
        <f t="shared" si="188"/>
        <v>464631.1406536969</v>
      </c>
      <c r="IV24" s="22">
        <f t="shared" si="189"/>
        <v>782550</v>
      </c>
      <c r="IX24" s="16" t="str" cm="1">
        <f t="array" ref="IX24">_xll.BDP(IY24&amp;" Equity","DS520")</f>
        <v>ServiceNow Inc</v>
      </c>
      <c r="IY24" s="32" t="s">
        <v>233</v>
      </c>
      <c r="IZ24" s="32" t="s">
        <v>424</v>
      </c>
      <c r="JA24" s="32" t="str" cm="1">
        <f t="array" ref="JA24">_xll.BDP(IY24&amp;" Equity", "ID_ISIN")</f>
        <v>US81762P1021</v>
      </c>
      <c r="JB24" s="32"/>
      <c r="JC24" s="30" t="str">
        <f>_xll.BDP(IY24&amp;" Equity", "DS197")</f>
        <v>New York</v>
      </c>
      <c r="JD24" s="30" t="s">
        <v>26</v>
      </c>
      <c r="JE24" s="30" t="s">
        <v>33</v>
      </c>
      <c r="JF24" s="30" t="s">
        <v>28</v>
      </c>
      <c r="JG24" s="30" t="str">
        <f>_xll.BDP(IY24&amp;" Equity", "DS004")</f>
        <v>USD</v>
      </c>
      <c r="JH24" s="17" cm="1">
        <f t="array" ref="JH24">_xll.BDP(IY24&amp;" Equity","PX_LAST")</f>
        <v>120.38</v>
      </c>
      <c r="JI24" s="33">
        <f t="shared" si="93"/>
        <v>2.5514798696369839E-2</v>
      </c>
      <c r="JJ24" s="33">
        <f t="shared" si="17"/>
        <v>2.4237755827835356E-2</v>
      </c>
      <c r="JL24" s="1" cm="1">
        <f t="array" ref="JL24">IF(JG24="USD",1,_xll.BDP(JG24&amp;"USD CURNCY","PX_LAST"))</f>
        <v>1</v>
      </c>
      <c r="JM24" s="18">
        <v>25857.125990864701</v>
      </c>
      <c r="JN24" s="11">
        <f t="shared" si="94"/>
        <v>3112680.8267802927</v>
      </c>
      <c r="JO24" s="5"/>
      <c r="JP24" s="11" cm="1">
        <f t="array" ref="JP24">IF(JC24="Hong Kong",_xll.BDP(IY24&amp;" Equity","PR414"),_xll.BDP(IY24&amp;" Equity","PR090"))</f>
        <v>1</v>
      </c>
      <c r="JQ24" s="11">
        <f t="shared" si="95"/>
        <v>120.38</v>
      </c>
      <c r="JR24" s="5">
        <f t="shared" si="96"/>
        <v>67.824685021086125</v>
      </c>
      <c r="JS24" s="8">
        <f t="shared" si="97"/>
        <v>2.5580749999999999E-2</v>
      </c>
      <c r="JT24" s="8">
        <f t="shared" si="98"/>
        <v>2.5848255522213925E-3</v>
      </c>
      <c r="JU24" s="5"/>
      <c r="JV24" s="21">
        <f t="shared" si="99"/>
        <v>4718.0462378928059</v>
      </c>
      <c r="JW24" s="22">
        <f t="shared" si="100"/>
        <v>4454.0599999999995</v>
      </c>
      <c r="JY24" s="16" t="str" cm="1">
        <f t="array" ref="JY24">_xll.BDP(JZ24&amp;" Equity","DS520")</f>
        <v>Iberdrola SA</v>
      </c>
      <c r="JZ24" s="32" t="s">
        <v>244</v>
      </c>
      <c r="KA24" s="32" t="s">
        <v>354</v>
      </c>
      <c r="KB24" s="32" t="str" cm="1">
        <f t="array" ref="KB24">_xll.BDP(JZ24&amp;" Equity", "ID_ISIN")</f>
        <v>ES0144580Y14</v>
      </c>
      <c r="KC24" s="32"/>
      <c r="KD24" s="30" t="str">
        <f>_xll.BDP(JZ24&amp;" Equity", "DS197")</f>
        <v>Soc.Bol SIBE</v>
      </c>
      <c r="KE24" s="30" t="s">
        <v>26</v>
      </c>
      <c r="KF24" s="30" t="s">
        <v>326</v>
      </c>
      <c r="KG24" s="30" t="s">
        <v>28</v>
      </c>
      <c r="KH24" s="30" t="str">
        <f>_xll.BDP(JZ24&amp;" Equity", "DS004")</f>
        <v>EUR</v>
      </c>
      <c r="KI24" s="17" cm="1">
        <f t="array" ref="KI24">_xll.BDP(JZ24&amp;" Equity","PX_LAST")</f>
        <v>19.3</v>
      </c>
      <c r="KJ24" s="33">
        <f t="shared" si="101"/>
        <v>2.9047564203176824E-2</v>
      </c>
      <c r="KK24" s="33">
        <f t="shared" si="102"/>
        <v>2.7599665543520932E-2</v>
      </c>
      <c r="KM24" s="1" cm="1">
        <f t="array" ref="KM24">IF(KH24="USD",1,_xll.BDP(KH24&amp;"USD CURNCY","PX_LAST"))</f>
        <v>1.1607000000000001</v>
      </c>
      <c r="KN24" s="18">
        <v>128761.444384277</v>
      </c>
      <c r="KO24" s="11">
        <f t="shared" si="103"/>
        <v>2884450.783988825</v>
      </c>
      <c r="KP24" s="5"/>
      <c r="KQ24" s="11" cm="1">
        <f t="array" ref="KQ24">IF(KD24="Hong Kong",_xll.BDP(JZ24&amp;" Equity","PR414"),_xll.BDP(JZ24&amp;" Equity","PR090"))</f>
        <v>1</v>
      </c>
      <c r="KR24" s="11">
        <f t="shared" si="104"/>
        <v>22.401510000000002</v>
      </c>
      <c r="KS24" s="5">
        <f t="shared" si="105"/>
        <v>414.93723168735426</v>
      </c>
      <c r="KT24" s="8">
        <f t="shared" si="106"/>
        <v>2.9051958281250002E-2</v>
      </c>
      <c r="KU24" s="8">
        <f t="shared" si="107"/>
        <v>1.5127182583851706E-4</v>
      </c>
      <c r="KV24" s="5"/>
      <c r="KW24" s="21">
        <f t="shared" si="108"/>
        <v>771.20098068498396</v>
      </c>
      <c r="KX24" s="22">
        <f t="shared" si="109"/>
        <v>828.85586999999998</v>
      </c>
      <c r="LK24" s="62" t="s">
        <v>86</v>
      </c>
      <c r="LL24" s="63">
        <v>100000</v>
      </c>
      <c r="LN24" s="1"/>
      <c r="LO24" s="26"/>
      <c r="LP24" s="11"/>
      <c r="LQ24" s="5"/>
      <c r="LR24" s="11"/>
      <c r="LS24" s="11"/>
      <c r="LT24" s="5"/>
      <c r="LU24" s="8"/>
      <c r="LV24" s="8"/>
      <c r="LW24" s="5"/>
      <c r="LX24" s="21"/>
      <c r="LY24" s="22"/>
      <c r="MA24" s="16" t="str" cm="1">
        <f t="array" ref="MA24">_xll.BDP(MB24&amp;" Equity","DS520")</f>
        <v>PepsiCo Inc</v>
      </c>
      <c r="MB24" s="32" t="s">
        <v>66</v>
      </c>
      <c r="MC24" s="32" t="s">
        <v>67</v>
      </c>
      <c r="MD24" s="32" t="str" cm="1">
        <f t="array" ref="MD24">_xll.BDP(MB24&amp;" Equity", "ID_ISIN")</f>
        <v>US7134481081</v>
      </c>
      <c r="ME24" s="32"/>
      <c r="MF24" s="30" t="str">
        <f>_xll.BDP(MB24&amp;" Equity", "DS197")</f>
        <v>NASDAQ GS</v>
      </c>
      <c r="MG24" s="30" t="s">
        <v>26</v>
      </c>
      <c r="MH24" s="30" t="s">
        <v>33</v>
      </c>
      <c r="MI24" s="30" t="s">
        <v>28</v>
      </c>
      <c r="MJ24" s="30" t="str">
        <f>_xll.BDP(MB24&amp;" Equity", "DS004")</f>
        <v>USD</v>
      </c>
      <c r="MK24" s="17" cm="1">
        <f t="array" ref="MK24">_xll.BDP(MB24&amp;" Equity","PX_LAST")</f>
        <v>160.69999999999999</v>
      </c>
      <c r="ML24" s="33">
        <f t="shared" si="20"/>
        <v>2.865557464658245E-2</v>
      </c>
      <c r="MM24" s="33">
        <f t="shared" si="21"/>
        <v>2.7205536119468555E-2</v>
      </c>
      <c r="MO24" s="1" cm="1">
        <f t="array" ref="MO24">IF(MJ24="USD",1,_xll.BDP(MJ24&amp;"USD CURNCY","PX_LAST"))</f>
        <v>1</v>
      </c>
      <c r="MP24" s="18">
        <v>32035.453000546499</v>
      </c>
      <c r="MQ24" s="11">
        <f t="shared" si="117"/>
        <v>5148097.2971878219</v>
      </c>
      <c r="MR24" s="5"/>
      <c r="MS24" s="11" cm="1">
        <f t="array" ref="MS24">IF(MF24="Hong Kong",_xll.BDP(MB24&amp;" Equity","PR414"),_xll.BDP(MB24&amp;" Equity","PR090"))</f>
        <v>1</v>
      </c>
      <c r="MT24" s="11">
        <f t="shared" si="118"/>
        <v>160.69999999999999</v>
      </c>
      <c r="MU24" s="5">
        <f t="shared" si="119"/>
        <v>57.061505207880423</v>
      </c>
      <c r="MV24" s="8">
        <f t="shared" si="120"/>
        <v>2.8624687499999999E-2</v>
      </c>
      <c r="MW24" s="8">
        <f t="shared" si="121"/>
        <v>-1.0778756651503851E-3</v>
      </c>
      <c r="MX24" s="5"/>
      <c r="MY24" s="21">
        <f t="shared" si="122"/>
        <v>5607.9838559149448</v>
      </c>
      <c r="MZ24" s="22">
        <f t="shared" si="123"/>
        <v>5945.9</v>
      </c>
      <c r="NB24" s="16" t="str" cm="1">
        <f t="array" ref="NB24">_xll.BDP(NC24&amp;" Equity","DS520")</f>
        <v>Prudential Financial Inc</v>
      </c>
      <c r="NC24" s="32" t="s">
        <v>1409</v>
      </c>
      <c r="ND24" s="32" t="s">
        <v>1412</v>
      </c>
      <c r="NE24" s="32" t="str" cm="1">
        <f t="array" ref="NE24">_xll.BDP(NC24&amp;" Equity", "ID_ISIN")</f>
        <v>US7443201022</v>
      </c>
      <c r="NF24" s="32"/>
      <c r="NG24" s="30" t="str">
        <f>_xll.BDP(NC24&amp;" Equity", "DS197")</f>
        <v>New York</v>
      </c>
      <c r="NH24" s="30" t="s">
        <v>26</v>
      </c>
      <c r="NI24" s="30" t="s">
        <v>33</v>
      </c>
      <c r="NJ24" s="30" t="s">
        <v>28</v>
      </c>
      <c r="NK24" s="30" t="str">
        <f>_xll.BDP(NC24&amp;" Equity", "DS004")</f>
        <v>USD</v>
      </c>
      <c r="NL24" s="17" cm="1">
        <f t="array" ref="NL24">_xll.BDP(NC24&amp;" Equity","PX_LAST")</f>
        <v>99.14</v>
      </c>
      <c r="NM24" s="33">
        <f t="shared" si="22"/>
        <v>3.7065848558487331E-2</v>
      </c>
      <c r="NN24" s="33">
        <f t="shared" si="23"/>
        <v>3.5185714518045544E-2</v>
      </c>
      <c r="NP24" s="1" cm="1">
        <f t="array" ref="NP24">IF(NK24="USD",1,_xll.BDP(NK24&amp;"USD CURNCY","PX_LAST"))</f>
        <v>1</v>
      </c>
      <c r="NQ24" s="18">
        <v>63915.716340338702</v>
      </c>
      <c r="NR24" s="11">
        <f t="shared" si="124"/>
        <v>6336604.1179811787</v>
      </c>
      <c r="NS24" s="5"/>
      <c r="NT24" s="11" cm="1">
        <f t="array" ref="NT24">IF(NG24="Hong Kong",_xll.BDP(NC24&amp;" Equity","PR414"),_xll.BDP(NC24&amp;" Equity","PR090"))</f>
        <v>1</v>
      </c>
      <c r="NU24" s="11">
        <f t="shared" si="125"/>
        <v>99.14</v>
      </c>
      <c r="NV24" s="5">
        <f t="shared" si="126"/>
        <v>119.63961608549471</v>
      </c>
      <c r="NW24" s="8">
        <f t="shared" si="127"/>
        <v>3.7177499999999995E-2</v>
      </c>
      <c r="NX24" s="8">
        <f t="shared" si="128"/>
        <v>3.0122456615686577E-3</v>
      </c>
      <c r="NY24" s="5"/>
      <c r="NZ24" s="21">
        <f t="shared" si="129"/>
        <v>2674.6993217641834</v>
      </c>
      <c r="OA24" s="22">
        <f t="shared" si="130"/>
        <v>3668.18</v>
      </c>
      <c r="OC24" s="16" t="str" cm="1">
        <f t="array" ref="OC24">_xll.BDP(OD24&amp;" Equity","DS520")</f>
        <v>Publicis Groupe SA</v>
      </c>
      <c r="OD24" s="44" t="s">
        <v>715</v>
      </c>
      <c r="OE24" s="32" t="s">
        <v>717</v>
      </c>
      <c r="OF24" s="32" t="str" cm="1">
        <f t="array" ref="OF24">_xll.BDP(OD24&amp;" Equity", "ID_ISIN")</f>
        <v>FR0000130577</v>
      </c>
      <c r="OG24" s="44"/>
      <c r="OH24" s="30" t="str">
        <f>_xll.BDP(OD24&amp;" Equity", "DS197")</f>
        <v>EN Paris</v>
      </c>
      <c r="OI24" s="30" t="s">
        <v>26</v>
      </c>
      <c r="OJ24" s="30" t="s">
        <v>39</v>
      </c>
      <c r="OK24" s="30" t="s">
        <v>28</v>
      </c>
      <c r="OL24" s="51" t="str">
        <f>_xll.BDP(OD24&amp;" Equity", "DS004")</f>
        <v>EUR</v>
      </c>
      <c r="OM24" s="17" cm="1">
        <f t="array" ref="OM24">_xll.BDP(OD24&amp;" Equity","PX_LAST")</f>
        <v>75.8</v>
      </c>
      <c r="ON24" s="33">
        <f t="shared" si="24"/>
        <v>2.9564672161991417E-2</v>
      </c>
      <c r="OO24" s="33">
        <f t="shared" si="131"/>
        <v>2.8033430567505884E-2</v>
      </c>
      <c r="OQ24" s="1" cm="1">
        <f t="array" ref="OQ24">IF(OL24="EUR",1,_xll.BDP(OL24&amp;"EUR CURNCY","PX_LAST"))</f>
        <v>1</v>
      </c>
      <c r="OR24" s="18">
        <v>71831.512184098901</v>
      </c>
      <c r="OS24" s="11">
        <f t="shared" si="132"/>
        <v>5444828.6235546963</v>
      </c>
      <c r="OT24" s="5"/>
      <c r="OU24" s="11" cm="1">
        <f t="array" ref="OU24">IF(OH24="Hong Kong",_xll.BDP(OD24&amp;" Equity","PR414"),_xll.BDP(OD24&amp;" Equity","PR090"))</f>
        <v>1</v>
      </c>
      <c r="OV24" s="11">
        <f t="shared" si="133"/>
        <v>75.8</v>
      </c>
      <c r="OW24" s="5">
        <f t="shared" si="134"/>
        <v>124.81128089495057</v>
      </c>
      <c r="OX24" s="8">
        <f t="shared" si="135"/>
        <v>2.9609375E-2</v>
      </c>
      <c r="OY24" s="8">
        <f t="shared" si="136"/>
        <v>1.5120356404985102E-3</v>
      </c>
      <c r="OZ24" s="5"/>
      <c r="PA24" s="21">
        <f t="shared" si="137"/>
        <v>2563.8708112396757</v>
      </c>
      <c r="PB24" s="22">
        <f t="shared" si="138"/>
        <v>2804.6</v>
      </c>
      <c r="PD24" s="16" t="str" cm="1">
        <f t="array" ref="PD24">_xll.BDP(PE24&amp;" Equity","DS520")</f>
        <v>SG Holdings Co Ltd</v>
      </c>
      <c r="PE24" s="45" t="s">
        <v>722</v>
      </c>
      <c r="PF24" s="45">
        <v>9143</v>
      </c>
      <c r="PG24" s="32" t="str" cm="1">
        <f t="array" ref="PG24">_xll.BDP(PE24&amp;" Equity", "ID_ISIN")</f>
        <v>JP3162770006</v>
      </c>
      <c r="PH24" s="45"/>
      <c r="PI24" s="30" t="str">
        <f>_xll.BDP(PE24&amp;" Equity", "DS197")</f>
        <v>Tokyo</v>
      </c>
      <c r="PJ24" s="30" t="s">
        <v>26</v>
      </c>
      <c r="PK24" s="71" t="s">
        <v>320</v>
      </c>
      <c r="PL24" s="30" t="s">
        <v>28</v>
      </c>
      <c r="PM24" s="30" t="str">
        <f>_xll.BDP(PE24&amp;" Equity", "DS004")</f>
        <v>JPY</v>
      </c>
      <c r="PN24" s="17" cm="1">
        <f t="array" ref="PN24">_xll.BDP(PE24&amp;" Equity","PX_LAST")</f>
        <v>1462</v>
      </c>
      <c r="PO24" s="33">
        <f t="shared" si="25"/>
        <v>4.359831181335725E-2</v>
      </c>
      <c r="PP24" s="33">
        <f t="shared" si="26"/>
        <v>4.1416146070544509E-2</v>
      </c>
      <c r="PR24" s="1">
        <v>1</v>
      </c>
      <c r="PS24" s="18">
        <v>5747.0860417031599</v>
      </c>
      <c r="PT24" s="11">
        <f t="shared" si="139"/>
        <v>8402239.7929700203</v>
      </c>
      <c r="PU24" s="5"/>
      <c r="PV24" s="11" cm="1">
        <f t="array" ref="PV24">IF(PI24="Hong Kong",_xll.BDP(PE24&amp;" Equity","PR414"),_xll.BDP(PE24&amp;" Equity","PR090"))</f>
        <v>100</v>
      </c>
      <c r="PW24" s="11">
        <f t="shared" si="140"/>
        <v>146200</v>
      </c>
      <c r="PX24" s="5">
        <f t="shared" si="141"/>
        <v>9.5427221479304505E-2</v>
      </c>
      <c r="PY24" s="8">
        <f t="shared" si="142"/>
        <v>0</v>
      </c>
      <c r="PZ24" s="8">
        <f t="shared" si="143"/>
        <v>-1</v>
      </c>
      <c r="QA24" s="5"/>
      <c r="QB24" s="21">
        <f t="shared" si="144"/>
        <v>3353340.8501199945</v>
      </c>
      <c r="QC24" s="22">
        <f t="shared" si="145"/>
        <v>5409400</v>
      </c>
      <c r="QE24" s="16" t="str" cm="1">
        <f t="array" ref="QE24">_xll.BDP(QF24&amp;" Equity","DS520")</f>
        <v>Thales SA</v>
      </c>
      <c r="QF24" s="34" t="s">
        <v>616</v>
      </c>
      <c r="QG24" s="34"/>
      <c r="QH24" s="32" t="str" cm="1">
        <f t="array" ref="QH24">_xll.BDP(QF24&amp;" Equity", "ID_ISIN")</f>
        <v>FR0000121329</v>
      </c>
      <c r="QI24" s="34"/>
      <c r="QJ24" s="30" t="str">
        <f>_xll.BDP(QF24&amp;" Equity", "DS197")</f>
        <v>EN Paris</v>
      </c>
      <c r="QK24" s="30" t="s">
        <v>26</v>
      </c>
      <c r="QL24" s="30"/>
      <c r="QM24" s="30" t="s">
        <v>28</v>
      </c>
      <c r="QN24" s="30" t="str">
        <f>_xll.BDP(QF24&amp;" Equity", "DS004")</f>
        <v>EUR</v>
      </c>
      <c r="QO24" s="17" cm="1">
        <f t="array" ref="QO24">_xll.BDP(QF24&amp;" Equity","PX_LAST")</f>
        <v>236.4</v>
      </c>
      <c r="QP24" s="33">
        <f t="shared" si="27"/>
        <v>4.6760343110526736E-2</v>
      </c>
      <c r="QQ24" s="33">
        <f t="shared" si="28"/>
        <v>4.443373512093144E-2</v>
      </c>
      <c r="QS24" s="1" cm="1">
        <f t="array" ref="QS24">IF(QN24="USD",1,_xll.BDP(QN24&amp;"USD CURNCY","PX_LAST"))</f>
        <v>1.1607000000000001</v>
      </c>
      <c r="QT24" s="18">
        <v>19441.168852995899</v>
      </c>
      <c r="QU24" s="11">
        <f t="shared" si="146"/>
        <v>5334452.2121657412</v>
      </c>
      <c r="QV24" s="5"/>
      <c r="QW24" s="11" cm="1">
        <f t="array" ref="QW24">IF(QJ24="Hong Kong",_xll.BDP(QF24&amp;" Equity","PR414"),_xll.BDP(QF24&amp;" Equity","PR090"))</f>
        <v>1</v>
      </c>
      <c r="QX24" s="11">
        <f t="shared" si="147"/>
        <v>274.38948000000005</v>
      </c>
      <c r="QY24" s="5">
        <f t="shared" si="148"/>
        <v>54.533103074391022</v>
      </c>
      <c r="QZ24" s="8">
        <f t="shared" si="149"/>
        <v>4.7160691875000008E-2</v>
      </c>
      <c r="RA24" s="8">
        <f t="shared" si="150"/>
        <v>8.5617157155364332E-3</v>
      </c>
      <c r="RB24" s="5"/>
      <c r="RC24" s="21">
        <f t="shared" si="151"/>
        <v>5867.9954368903936</v>
      </c>
      <c r="RD24" s="22">
        <f t="shared" si="152"/>
        <v>10152.410760000001</v>
      </c>
      <c r="RF24" s="16" t="str" cm="1">
        <f t="array" ref="RF24">_xll.BDP(RG24&amp;" Equity","DS520")</f>
        <v>Nutanix Inc</v>
      </c>
      <c r="RG24" s="34" t="s">
        <v>231</v>
      </c>
      <c r="RH24" s="34"/>
      <c r="RI24" s="32" t="str" cm="1">
        <f t="array" ref="RI24">_xll.BDP(RG24&amp;" Equity", "ID_ISIN")</f>
        <v>US67059N1081</v>
      </c>
      <c r="RJ24" s="34"/>
      <c r="RK24" s="30" t="str">
        <f>_xll.BDP(RG24&amp;" Equity", "DS197")</f>
        <v>NASDAQ GS</v>
      </c>
      <c r="RL24" s="30" t="s">
        <v>26</v>
      </c>
      <c r="RM24" s="30"/>
      <c r="RN24" s="30" t="s">
        <v>28</v>
      </c>
      <c r="RO24" s="30" t="str">
        <f>_xll.BDP(RG24&amp;" Equity", "DS004")</f>
        <v>USD</v>
      </c>
      <c r="RP24" s="17" cm="1">
        <f t="array" ref="RP24">_xll.BDP(RG24&amp;" Equity","PX_LAST")</f>
        <v>40.39</v>
      </c>
      <c r="RQ24" s="33">
        <f t="shared" si="153"/>
        <v>2.2021725775440686E-2</v>
      </c>
      <c r="RR24" s="33">
        <f t="shared" si="154"/>
        <v>2.0940719662221927E-2</v>
      </c>
      <c r="RT24" s="1" cm="1">
        <f t="array" ref="RT24">IF(RO24="USD",1,_xll.BDP(RO24&amp;"USD CURNCY","PX_LAST"))</f>
        <v>1</v>
      </c>
      <c r="RU24" s="18">
        <v>54942.9289998065</v>
      </c>
      <c r="RV24" s="11">
        <f t="shared" ref="RV24:RV36" si="217">RU24*RP24*RT24</f>
        <v>2219144.9023021846</v>
      </c>
      <c r="RW24" s="5"/>
      <c r="RX24" s="11" cm="1">
        <f t="array" ref="RX24">IF(RK24="Hong Kong",_xll.BDP(RG24&amp;" Equity","PR414"),_xll.BDP(RG24&amp;" Equity","PR090"))</f>
        <v>1</v>
      </c>
      <c r="RY24" s="11">
        <f t="shared" ref="RY24:RY36" si="218">RX24*RT24*RP24</f>
        <v>40.39</v>
      </c>
      <c r="RZ24" s="5">
        <f t="shared" ref="RZ24:RZ36" si="219">($AJ$3*RQ24)/RY24</f>
        <v>174.47269740383805</v>
      </c>
      <c r="SA24" s="8">
        <f t="shared" ref="SA24:SA36" si="220">(ROUND(RZ24,0)*RY24)/$AJ$3</f>
        <v>2.1962062500000001E-2</v>
      </c>
      <c r="SB24" s="8">
        <f t="shared" ref="SB24:SB36" si="221">SA24/RQ24-1</f>
        <v>-2.7092915445902088E-3</v>
      </c>
      <c r="SC24" s="5"/>
      <c r="SD24" s="21">
        <f t="shared" ref="SD24:SD36" si="222">IFERROR(RY24/RQ24,0)</f>
        <v>1834.0978546306387</v>
      </c>
      <c r="SE24" s="22">
        <f t="shared" ref="SE24:SE36" si="223">RY24/(1/COUNTA($P$6:$P$77))</f>
        <v>1494.4299999999998</v>
      </c>
    </row>
    <row r="25" spans="15:499" x14ac:dyDescent="0.2">
      <c r="O25" s="16" t="str" cm="1">
        <f t="array" ref="O25">_xll.BDP(P25&amp;" Equity","DS520")</f>
        <v>TotalEnergies SE</v>
      </c>
      <c r="P25" s="32" t="s">
        <v>72</v>
      </c>
      <c r="Q25" s="32" t="s">
        <v>73</v>
      </c>
      <c r="R25" s="32" t="str" cm="1">
        <f t="array" ref="R25">_xll.BDP(P25&amp;" Equity", "ID_ISIN")</f>
        <v>FR0000120271</v>
      </c>
      <c r="S25" s="32"/>
      <c r="T25" s="30" t="str">
        <f>_xll.BDP(P25&amp;" Equity", "DS197")</f>
        <v>EN Paris</v>
      </c>
      <c r="U25" s="30" t="s">
        <v>26</v>
      </c>
      <c r="V25" s="30" t="s">
        <v>39</v>
      </c>
      <c r="W25" s="30" t="s">
        <v>28</v>
      </c>
      <c r="X25" s="30" t="str">
        <f>_xll.BDP(P25&amp;" Equity", "DS004")</f>
        <v>EUR</v>
      </c>
      <c r="Y25" s="17" cm="1">
        <f t="array" ref="Y25">_xll.BDP(P25&amp;" Equity","PX_LAST")</f>
        <v>66.77</v>
      </c>
      <c r="Z25" s="33">
        <f t="shared" si="0"/>
        <v>2.8816225318923239E-2</v>
      </c>
      <c r="AA25" s="33">
        <f t="shared" si="1"/>
        <v>2.7376382499806617E-2</v>
      </c>
      <c r="AB25" s="4"/>
      <c r="AC25" s="1" cm="1">
        <f t="array" ref="AC25">IF(X25="USD",1,_xll.BDP(X25&amp;"USD CURNCY","PX_LAST"))</f>
        <v>1.1607000000000001</v>
      </c>
      <c r="AD25" s="18">
        <v>76517.707247722501</v>
      </c>
      <c r="AE25" s="11">
        <f t="shared" si="169"/>
        <v>5930117.6441183519</v>
      </c>
      <c r="AF25" s="5"/>
      <c r="AG25" s="11" cm="1">
        <f t="array" ref="AG25">IF(T25="Hong Kong",_xll.BDP(P25&amp;" Equity","PR414"),_xll.BDP(P25&amp;" Equity","PR090"))</f>
        <v>1</v>
      </c>
      <c r="AH25" s="11">
        <f t="shared" si="170"/>
        <v>77.499938999999998</v>
      </c>
      <c r="AI25" s="5">
        <f t="shared" si="171"/>
        <v>118.98321754879622</v>
      </c>
      <c r="AJ25" s="8">
        <f t="shared" si="172"/>
        <v>2.8820289815625001E-2</v>
      </c>
      <c r="AK25" s="8">
        <f t="shared" si="173"/>
        <v>1.4104889369703777E-4</v>
      </c>
      <c r="AL25" s="5"/>
      <c r="AM25" s="21">
        <f t="shared" si="174"/>
        <v>2689.4549213948158</v>
      </c>
      <c r="AN25" s="22">
        <f t="shared" si="175"/>
        <v>2867.4977429999999</v>
      </c>
      <c r="AP25" s="16" t="str" cm="1">
        <f t="array" ref="AP25">_xll.BDP(AQ25&amp;" Equity","DS520")</f>
        <v>Veeva Systems Inc</v>
      </c>
      <c r="AQ25" s="32" t="s">
        <v>235</v>
      </c>
      <c r="AR25" s="32" t="s">
        <v>368</v>
      </c>
      <c r="AS25" s="32" t="str" cm="1">
        <f t="array" ref="AS25">_xll.BDP(AQ25&amp;" Equity", "ID_ISIN")</f>
        <v>US9224751084</v>
      </c>
      <c r="AT25" s="32"/>
      <c r="AU25" s="30" t="str">
        <f>_xll.BDP(AQ25&amp;" Equity", "DS197")</f>
        <v>New York</v>
      </c>
      <c r="AV25" s="30" t="s">
        <v>26</v>
      </c>
      <c r="AW25" s="30" t="s">
        <v>33</v>
      </c>
      <c r="AX25" s="30" t="s">
        <v>28</v>
      </c>
      <c r="AY25" s="30" t="str">
        <f>_xll.BDP(AQ25&amp;" Equity", "DS004")</f>
        <v>USD</v>
      </c>
      <c r="AZ25" s="17" cm="1">
        <f t="array" ref="AZ25">_xll.BDP(AQ25&amp;" Equity","PX_LAST")</f>
        <v>196.06</v>
      </c>
      <c r="BA25" s="33">
        <f t="shared" si="4"/>
        <v>3.1068290941011531E-2</v>
      </c>
      <c r="BB25" s="33">
        <f t="shared" si="34"/>
        <v>2.9504853718571179E-2</v>
      </c>
      <c r="BD25" s="1" cm="1">
        <f t="array" ref="BD25">IF(AY25="USD",1,_xll.BDP(AY25&amp;"USD CURNCY","PX_LAST"))</f>
        <v>1</v>
      </c>
      <c r="BE25" s="18">
        <v>26089.984113462699</v>
      </c>
      <c r="BF25" s="11">
        <f>BE25*AZ25*BD25</f>
        <v>5115202.2852854971</v>
      </c>
      <c r="BG25" s="5"/>
      <c r="BH25" s="11" cm="1">
        <f t="array" ref="BH25">IF(AU25="Hong Kong",_xll.BDP(AQ25&amp;" Equity","PR414"),_xll.BDP(AQ25&amp;" Equity","PR090"))</f>
        <v>1</v>
      </c>
      <c r="BI25" s="11">
        <f>BH25*BD25*AZ25</f>
        <v>196.06</v>
      </c>
      <c r="BJ25" s="5">
        <f>($AJ$3*BA25)/BI25</f>
        <v>50.708217388165309</v>
      </c>
      <c r="BK25" s="8">
        <f>(ROUND(BJ25,0)*BI25)/$AJ$3</f>
        <v>3.1247062499999999E-2</v>
      </c>
      <c r="BL25" s="8">
        <f>BK25/BA25-1</f>
        <v>5.7541484765897266E-3</v>
      </c>
      <c r="BM25" s="5"/>
      <c r="BN25" s="21">
        <f>IFERROR(BI25/BA25,0)</f>
        <v>6310.6142649511512</v>
      </c>
      <c r="BO25" s="22">
        <f>BI25/(1/COUNTA($P$6:$P$77))</f>
        <v>7254.2199999999993</v>
      </c>
      <c r="CB25" s="64" t="s">
        <v>85</v>
      </c>
      <c r="CC25" s="65">
        <v>5000</v>
      </c>
      <c r="CR25" s="16" t="s">
        <v>34</v>
      </c>
      <c r="CS25" s="32" t="s">
        <v>34</v>
      </c>
      <c r="CT25" s="32"/>
      <c r="CU25" s="72"/>
      <c r="CV25" s="32"/>
      <c r="CW25" s="30"/>
      <c r="CX25" s="30"/>
      <c r="CY25" s="30"/>
      <c r="CZ25" s="30" t="s">
        <v>80</v>
      </c>
      <c r="DA25" s="30" t="str">
        <f>_xll.BDP(CS25&amp;" Curncy", "DS004")</f>
        <v>USD</v>
      </c>
      <c r="DB25" s="17">
        <v>1</v>
      </c>
      <c r="DC25" s="33">
        <f t="shared" si="6"/>
        <v>4.6672362476942097E-3</v>
      </c>
      <c r="DD25" s="33">
        <f>DD32</f>
        <v>5.475E-2</v>
      </c>
      <c r="DF25" s="1" cm="1">
        <f t="array" ref="DF25">IF(DA25="USD",1,_xll.BDP(DA25&amp;"USD CURNCY","PX_LAST"))</f>
        <v>1</v>
      </c>
      <c r="DG25" s="18">
        <v>846433.71141730703</v>
      </c>
      <c r="DH25" s="11">
        <f>DG25*DB25*DF25</f>
        <v>846433.71141730703</v>
      </c>
      <c r="DI25" s="5"/>
      <c r="DJ25" s="11">
        <v>1</v>
      </c>
      <c r="DK25" s="11">
        <f>DJ25*DF25*DB25</f>
        <v>1</v>
      </c>
      <c r="DL25" s="5">
        <f>($AJ$3*DC25)/DK25</f>
        <v>1493.5155992621471</v>
      </c>
      <c r="DM25" s="8">
        <f>(ROUND(DL25,0)*DK25)/$AJ$3</f>
        <v>4.6687500000000002E-3</v>
      </c>
      <c r="DN25" s="8">
        <f>DM25/DC25-1</f>
        <v>3.2433590790237332E-4</v>
      </c>
      <c r="DO25" s="5"/>
      <c r="DP25" s="21">
        <f>IFERROR(DK25/DC25,0)</f>
        <v>214.25956324667251</v>
      </c>
      <c r="DQ25" s="22">
        <f>DK25/(1/COUNTA($P$6:$P$77))</f>
        <v>37</v>
      </c>
      <c r="DS25" s="16" t="str" cm="1">
        <f t="array" ref="DS25">_xll.BDP(DT25&amp;" Equity","DS520")</f>
        <v>Vodafone Group PLC</v>
      </c>
      <c r="DT25" s="45" t="s">
        <v>159</v>
      </c>
      <c r="DU25" s="45" t="s">
        <v>160</v>
      </c>
      <c r="DV25" s="32" t="str" cm="1">
        <f t="array" ref="DV25">_xll.BDP(DT25&amp;" Equity", "ID_ISIN")</f>
        <v>GB00BH4HKS39</v>
      </c>
      <c r="DW25" s="45"/>
      <c r="DX25" s="30" t="str">
        <f>_xll.BDP(DT25&amp;" Equity", "DS197")</f>
        <v>London</v>
      </c>
      <c r="DY25" s="30" t="s">
        <v>26</v>
      </c>
      <c r="DZ25" s="30" t="s">
        <v>129</v>
      </c>
      <c r="EA25" s="30" t="s">
        <v>28</v>
      </c>
      <c r="EB25" s="43" t="str">
        <f>_xll.BDP(DT25&amp;" Equity", "DS004")</f>
        <v>GBp</v>
      </c>
      <c r="EC25" s="17" cm="1">
        <f t="array" ref="EC25">_xll.BDP(DT25&amp;" Equity","PX_LAST")/100</f>
        <v>1.0979999999999999</v>
      </c>
      <c r="ED25" s="33">
        <f t="shared" si="55"/>
        <v>5.6488914120001253E-2</v>
      </c>
      <c r="EE25" s="33">
        <f t="shared" si="56"/>
        <v>5.3585825192732646E-2</v>
      </c>
      <c r="EG25" s="1">
        <v>1</v>
      </c>
      <c r="EH25" s="18">
        <v>8490090.6921071392</v>
      </c>
      <c r="EI25" s="11">
        <f t="shared" si="57"/>
        <v>9322119.5799336378</v>
      </c>
      <c r="EJ25" s="5"/>
      <c r="EK25" s="11" cm="1">
        <f t="array" ref="EK25">IF(DX25="Hong Kong",_xll.BDP(DT25&amp;" Equity","PR414"),_xll.BDP(DT25&amp;" Equity","PR090"))</f>
        <v>1</v>
      </c>
      <c r="EL25" s="11">
        <f t="shared" si="58"/>
        <v>1.0979999999999999</v>
      </c>
      <c r="EM25" s="5">
        <f t="shared" si="59"/>
        <v>16463.071510382881</v>
      </c>
      <c r="EN25" s="8">
        <f t="shared" si="60"/>
        <v>5.6488668749999985E-2</v>
      </c>
      <c r="EO25" s="8">
        <f t="shared" si="61"/>
        <v>-4.3436841562494166E-6</v>
      </c>
      <c r="EP25" s="5"/>
      <c r="EQ25" s="21">
        <f t="shared" si="62"/>
        <v>19.437442144267148</v>
      </c>
      <c r="ER25" s="22">
        <f t="shared" si="63"/>
        <v>40.625999999999991</v>
      </c>
      <c r="ET25" s="16" t="str" cm="1">
        <f t="array" ref="ET25">_xll.BDP(EU25&amp;" Equity","DS520")</f>
        <v>Cisco Systems Inc</v>
      </c>
      <c r="EU25" s="32" t="s">
        <v>45</v>
      </c>
      <c r="EV25" s="32" t="s">
        <v>46</v>
      </c>
      <c r="EW25" s="32" t="str" cm="1">
        <f t="array" ref="EW25">_xll.BDP(EU25&amp;" Equity", "ID_ISIN")</f>
        <v>US17275R1023</v>
      </c>
      <c r="EX25" s="32"/>
      <c r="EY25" s="30" t="str">
        <f>_xll.BDP(EU25&amp;" Equity", "DS197")</f>
        <v>NASDAQ GS</v>
      </c>
      <c r="EZ25" s="30" t="s">
        <v>26</v>
      </c>
      <c r="FA25" s="30" t="s">
        <v>33</v>
      </c>
      <c r="FB25" s="30" t="s">
        <v>28</v>
      </c>
      <c r="FC25" s="30" t="str">
        <f>_xll.BDP(EU25&amp;" Equity", "DS004")</f>
        <v>USD</v>
      </c>
      <c r="FD25" s="17" cm="1">
        <f t="array" ref="FD25">_xll.BDP(EU25&amp;" Equity","PX_LAST")</f>
        <v>80.010000000000005</v>
      </c>
      <c r="FE25" s="33">
        <f t="shared" si="10"/>
        <v>3.1449007778813862E-2</v>
      </c>
      <c r="FF25" s="33">
        <f t="shared" si="11"/>
        <v>2.9875725977583419E-2</v>
      </c>
      <c r="FH25" s="1" cm="1">
        <f t="array" ref="FH25">IF(FC25="USD",1,_xll.BDP(FC25&amp;"USD CURNCY","PX_LAST"))</f>
        <v>1</v>
      </c>
      <c r="FI25" s="18">
        <v>80547.101960570595</v>
      </c>
      <c r="FJ25" s="11">
        <f t="shared" si="64"/>
        <v>6444573.6278652539</v>
      </c>
      <c r="FK25" s="5"/>
      <c r="FL25" s="11" cm="1">
        <f t="array" ref="FL25">IF(EY25="Hong Kong",_xll.BDP(EU25&amp;" Equity","PR414"),_xll.BDP(EU25&amp;" Equity","PR090"))</f>
        <v>1</v>
      </c>
      <c r="FM25" s="11">
        <f t="shared" si="65"/>
        <v>80.010000000000005</v>
      </c>
      <c r="FN25" s="5">
        <f t="shared" si="66"/>
        <v>125.78030857668334</v>
      </c>
      <c r="FO25" s="8">
        <f t="shared" si="67"/>
        <v>3.1503937500000002E-2</v>
      </c>
      <c r="FP25" s="8">
        <f t="shared" si="68"/>
        <v>1.7466281153437624E-3</v>
      </c>
      <c r="FQ25" s="5"/>
      <c r="FR25" s="21">
        <f t="shared" si="69"/>
        <v>2544.1184206103967</v>
      </c>
      <c r="FS25" s="22">
        <f t="shared" si="70"/>
        <v>2960.37</v>
      </c>
      <c r="FU25" s="16" t="str" cm="1">
        <f t="array" ref="FU25">_xll.BDP(FV25&amp;" Equity","DS520")</f>
        <v>Nomura Research Institute Ltd</v>
      </c>
      <c r="FV25" s="32" t="s">
        <v>181</v>
      </c>
      <c r="FW25" s="32">
        <v>4307</v>
      </c>
      <c r="FX25" s="32" t="str" cm="1">
        <f t="array" ref="FX25">_xll.BDP(FV25&amp;" Equity", "ID_ISIN")</f>
        <v>JP3762800005</v>
      </c>
      <c r="FY25" s="32"/>
      <c r="FZ25" s="30" t="str">
        <f>_xll.BDP(FV25&amp;" Equity", "DS197")</f>
        <v>Tokyo</v>
      </c>
      <c r="GA25" s="30" t="s">
        <v>26</v>
      </c>
      <c r="GB25" s="30" t="s">
        <v>320</v>
      </c>
      <c r="GC25" s="30" t="s">
        <v>28</v>
      </c>
      <c r="GD25" s="30" t="str">
        <f>_xll.BDP(FV25&amp;" Equity", "DS004")</f>
        <v>JPY</v>
      </c>
      <c r="GE25" s="17" cm="1">
        <f t="array" ref="GE25">_xll.BDP(FV25&amp;" Equity","PX_LAST")</f>
        <v>4392</v>
      </c>
      <c r="GF25" s="33">
        <f t="shared" si="12"/>
        <v>2.2434178500305768E-2</v>
      </c>
      <c r="GG25" s="33">
        <f t="shared" si="13"/>
        <v>2.131144885238977E-2</v>
      </c>
      <c r="GI25" s="1" cm="1">
        <f t="array" ref="GI25">IF(GD25="USD",1,_xll.BDP(GD25&amp;"USD CURNCY","PX_LAST"))</f>
        <v>6.3369999999999998E-3</v>
      </c>
      <c r="GJ25" s="18">
        <v>166850.857087262</v>
      </c>
      <c r="GK25" s="11">
        <f t="shared" si="71"/>
        <v>4643810.4069418134</v>
      </c>
      <c r="GL25" s="5"/>
      <c r="GM25" s="11" cm="1">
        <f t="array" ref="GM25">IF(FZ25="Hong Kong",_xll.BDP(FV25&amp;" Equity","PR414"),_xll.BDP(FV25&amp;" Equity","PR090"))</f>
        <v>100</v>
      </c>
      <c r="GN25" s="11">
        <f t="shared" si="72"/>
        <v>2783.2103999999995</v>
      </c>
      <c r="GO25" s="5">
        <f t="shared" si="73"/>
        <v>2.5793727704157212</v>
      </c>
      <c r="GP25" s="8">
        <f t="shared" si="74"/>
        <v>2.6092597499999995E-2</v>
      </c>
      <c r="GQ25" s="8">
        <f t="shared" si="75"/>
        <v>0.16307345506965465</v>
      </c>
      <c r="GR25" s="5"/>
      <c r="GS25" s="21">
        <f t="shared" si="76"/>
        <v>124061.16854076317</v>
      </c>
      <c r="GT25" s="22">
        <f t="shared" si="77"/>
        <v>102978.78479999998</v>
      </c>
      <c r="GV25" s="16" t="str" cm="1">
        <f t="array" ref="GV25">_xll.BDP(GW25&amp;" Equity","DS520")</f>
        <v>NTT Inc</v>
      </c>
      <c r="GW25" s="32" t="s">
        <v>285</v>
      </c>
      <c r="GX25" s="32">
        <v>9432</v>
      </c>
      <c r="GY25" s="32" t="str" cm="1">
        <f t="array" ref="GY25">_xll.BDP(GW25&amp;" Equity", "ID_ISIN")</f>
        <v>JP3735400008</v>
      </c>
      <c r="GZ25" s="32"/>
      <c r="HA25" s="30" t="str">
        <f>_xll.BDP(GW25&amp;" Equity", "DS197")</f>
        <v>Tokyo</v>
      </c>
      <c r="HB25" s="30" t="s">
        <v>26</v>
      </c>
      <c r="HC25" s="30" t="s">
        <v>320</v>
      </c>
      <c r="HD25" s="30" t="s">
        <v>28</v>
      </c>
      <c r="HE25" s="30" t="str">
        <f>_xll.BDP(GW25&amp;" Equity", "DS004")</f>
        <v>JPY</v>
      </c>
      <c r="HF25" s="17" cm="1">
        <f t="array" ref="HF25">_xll.BDP(GW25&amp;" Equity","PX_LAST")</f>
        <v>151.6</v>
      </c>
      <c r="HG25" s="33">
        <f t="shared" si="14"/>
        <v>2.6692716213359901E-2</v>
      </c>
      <c r="HH25" s="33">
        <f t="shared" si="78"/>
        <v>2.5356068583962416E-2</v>
      </c>
      <c r="HJ25" s="1" cm="1">
        <f t="array" ref="HJ25">IF(HE25="USD",1,_xll.BDP(HE25&amp;"USD CURNCY","PX_LAST"))</f>
        <v>6.3369999999999998E-3</v>
      </c>
      <c r="HK25" s="18">
        <v>4531491.71130767</v>
      </c>
      <c r="HL25" s="11">
        <f t="shared" si="79"/>
        <v>4353355.1469427962</v>
      </c>
      <c r="HM25" s="5"/>
      <c r="HN25" s="11" cm="1">
        <f t="array" ref="HN25">IF(HA25="Hong Kong",_xll.BDP(GW25&amp;" Equity","PR414"),_xll.BDP(GW25&amp;" Equity","PR090"))</f>
        <v>100</v>
      </c>
      <c r="HO25" s="11">
        <f t="shared" si="80"/>
        <v>96.068919999999991</v>
      </c>
      <c r="HP25" s="5">
        <f t="shared" si="81"/>
        <v>88.911889383946118</v>
      </c>
      <c r="HQ25" s="8">
        <f t="shared" si="82"/>
        <v>2.6719168374999998E-2</v>
      </c>
      <c r="HR25" s="8">
        <f t="shared" si="83"/>
        <v>9.909880069400856E-4</v>
      </c>
      <c r="HS25" s="5"/>
      <c r="HT25" s="21">
        <f t="shared" si="84"/>
        <v>3599.0687209238299</v>
      </c>
      <c r="HU25" s="22">
        <f t="shared" si="85"/>
        <v>3554.5500399999996</v>
      </c>
      <c r="HW25" s="16" t="str" cm="1">
        <f t="array" ref="HW25">_xll.BDP(HX25&amp;" Equity","DS520")</f>
        <v>HKT Trust &amp; HKT Ltd</v>
      </c>
      <c r="HX25" s="44" t="s">
        <v>213</v>
      </c>
      <c r="HY25" s="32">
        <v>6823</v>
      </c>
      <c r="HZ25" s="32" t="str" cm="1">
        <f t="array" ref="HZ25">_xll.BDP(HX25&amp;" Equity", "ID_ISIN")</f>
        <v>HK0000093390</v>
      </c>
      <c r="IA25" s="44"/>
      <c r="IB25" s="30" t="str">
        <f>_xll.BDP(HX25&amp;" Equity", "DS197")</f>
        <v>Hong Kong</v>
      </c>
      <c r="IC25" s="30" t="s">
        <v>26</v>
      </c>
      <c r="ID25" s="30" t="s">
        <v>27</v>
      </c>
      <c r="IE25" s="30" t="s">
        <v>28</v>
      </c>
      <c r="IF25" s="30" t="str">
        <f>_xll.BDP(HX25&amp;" Equity", "DS004")</f>
        <v>HKD</v>
      </c>
      <c r="IG25" s="17" cm="1">
        <f t="array" ref="IG25">_xll.BDP(HX25&amp;" Equity","PX_LAST")</f>
        <v>12.21</v>
      </c>
      <c r="IH25" s="33">
        <f t="shared" si="15"/>
        <v>4.4498382936176931E-2</v>
      </c>
      <c r="II25" s="33">
        <f t="shared" si="16"/>
        <v>4.2296233618277855E-2</v>
      </c>
      <c r="IK25" s="1">
        <v>1</v>
      </c>
      <c r="IL25" s="18">
        <v>690765.73105296597</v>
      </c>
      <c r="IM25" s="11">
        <f t="shared" si="183"/>
        <v>8434249.5761567149</v>
      </c>
      <c r="IN25" s="5"/>
      <c r="IO25" s="11" cm="1">
        <f t="array" ref="IO25">IF(IB25="Hong Kong",_xll.BDP(HX25&amp;" Equity","PR414"),_xll.BDP(HX25&amp;" Equity","PR090"))</f>
        <v>1000</v>
      </c>
      <c r="IP25" s="11">
        <f t="shared" si="184"/>
        <v>12210</v>
      </c>
      <c r="IQ25" s="5">
        <f t="shared" si="185"/>
        <v>1.1662147862061112</v>
      </c>
      <c r="IR25" s="8">
        <f t="shared" si="186"/>
        <v>3.8156250000000003E-2</v>
      </c>
      <c r="IS25" s="8">
        <f t="shared" si="187"/>
        <v>-0.1425250204096925</v>
      </c>
      <c r="IT25" s="5"/>
      <c r="IU25" s="21">
        <f t="shared" si="188"/>
        <v>274391.99346889841</v>
      </c>
      <c r="IV25" s="22">
        <f t="shared" si="189"/>
        <v>451770</v>
      </c>
      <c r="IX25" s="16" t="str" cm="1">
        <f t="array" ref="IX25">_xll.BDP(IY25&amp;" Equity","DS520")</f>
        <v>Siemens AG</v>
      </c>
      <c r="IY25" s="32" t="s">
        <v>234</v>
      </c>
      <c r="IZ25" s="32" t="s">
        <v>425</v>
      </c>
      <c r="JA25" s="32" t="str" cm="1">
        <f t="array" ref="JA25">_xll.BDP(IY25&amp;" Equity", "ID_ISIN")</f>
        <v>DE0007236101</v>
      </c>
      <c r="JB25" s="32"/>
      <c r="JC25" s="30" t="str">
        <f>_xll.BDP(IY25&amp;" Equity", "DS197")</f>
        <v>Xetra</v>
      </c>
      <c r="JD25" s="30" t="s">
        <v>26</v>
      </c>
      <c r="JE25" s="30" t="s">
        <v>61</v>
      </c>
      <c r="JF25" s="30" t="s">
        <v>28</v>
      </c>
      <c r="JG25" s="30" t="str">
        <f>_xll.BDP(IY25&amp;" Equity", "DS004")</f>
        <v>EUR</v>
      </c>
      <c r="JH25" s="17" cm="1">
        <f t="array" ref="JH25">_xll.BDP(IY25&amp;" Equity","PX_LAST")</f>
        <v>227.05</v>
      </c>
      <c r="JI25" s="33">
        <f t="shared" si="93"/>
        <v>3.5697864884170614E-2</v>
      </c>
      <c r="JJ25" s="33">
        <f t="shared" si="17"/>
        <v>3.3911148699781367E-2</v>
      </c>
      <c r="JL25" s="1" cm="1">
        <f t="array" ref="JL25">IF(JG25="USD",1,_xll.BDP(JG25&amp;"USD CURNCY","PX_LAST"))</f>
        <v>1.1607000000000001</v>
      </c>
      <c r="JM25" s="18">
        <v>16525.065709049999</v>
      </c>
      <c r="JN25" s="11">
        <f t="shared" si="94"/>
        <v>4354965.1676366385</v>
      </c>
      <c r="JO25" s="5"/>
      <c r="JP25" s="11" cm="1">
        <f t="array" ref="JP25">IF(JC25="Hong Kong",_xll.BDP(IY25&amp;" Equity","PR414"),_xll.BDP(IY25&amp;" Equity","PR090"))</f>
        <v>1</v>
      </c>
      <c r="JQ25" s="11">
        <f t="shared" si="95"/>
        <v>263.53693500000003</v>
      </c>
      <c r="JR25" s="5">
        <f t="shared" si="96"/>
        <v>43.346169913278366</v>
      </c>
      <c r="JS25" s="8">
        <f t="shared" si="97"/>
        <v>3.5412775640625005E-2</v>
      </c>
      <c r="JT25" s="8">
        <f t="shared" si="98"/>
        <v>-7.9861707267547821E-3</v>
      </c>
      <c r="JU25" s="5"/>
      <c r="JV25" s="21">
        <f t="shared" si="99"/>
        <v>7382.428496917174</v>
      </c>
      <c r="JW25" s="22">
        <f t="shared" si="100"/>
        <v>9750.8665950000013</v>
      </c>
      <c r="JY25" s="16" t="str" cm="1">
        <f t="array" ref="JY25">_xll.BDP(JZ25&amp;" Equity","DS520")</f>
        <v>Ingredion Inc</v>
      </c>
      <c r="JZ25" s="32" t="s">
        <v>245</v>
      </c>
      <c r="KA25" s="32" t="s">
        <v>397</v>
      </c>
      <c r="KB25" s="32" t="str" cm="1">
        <f t="array" ref="KB25">_xll.BDP(JZ25&amp;" Equity", "ID_ISIN")</f>
        <v>US4571871023</v>
      </c>
      <c r="KC25" s="32"/>
      <c r="KD25" s="30" t="str">
        <f>_xll.BDP(JZ25&amp;" Equity", "DS197")</f>
        <v>New York</v>
      </c>
      <c r="KE25" s="30" t="s">
        <v>26</v>
      </c>
      <c r="KF25" s="30" t="s">
        <v>33</v>
      </c>
      <c r="KG25" s="30" t="s">
        <v>28</v>
      </c>
      <c r="KH25" s="30" t="str">
        <f>_xll.BDP(JZ25&amp;" Equity", "DS004")</f>
        <v>USD</v>
      </c>
      <c r="KI25" s="17" cm="1">
        <f t="array" ref="KI25">_xll.BDP(JZ25&amp;" Equity","PX_LAST")</f>
        <v>112.8</v>
      </c>
      <c r="KJ25" s="33">
        <f t="shared" si="101"/>
        <v>2.8566337506215175E-2</v>
      </c>
      <c r="KK25" s="33">
        <f t="shared" si="102"/>
        <v>2.7142425969357179E-2</v>
      </c>
      <c r="KM25" s="1" cm="1">
        <f t="array" ref="KM25">IF(KH25="USD",1,_xll.BDP(KH25&amp;"USD CURNCY","PX_LAST"))</f>
        <v>1</v>
      </c>
      <c r="KN25" s="18">
        <v>25147.735059967901</v>
      </c>
      <c r="KO25" s="11">
        <f t="shared" si="103"/>
        <v>2836664.5147643792</v>
      </c>
      <c r="KP25" s="5"/>
      <c r="KQ25" s="11" cm="1">
        <f t="array" ref="KQ25">IF(KD25="Hong Kong",_xll.BDP(JZ25&amp;" Equity","PR414"),_xll.BDP(JZ25&amp;" Equity","PR090"))</f>
        <v>1</v>
      </c>
      <c r="KR25" s="11">
        <f t="shared" si="104"/>
        <v>112.8</v>
      </c>
      <c r="KS25" s="5">
        <f t="shared" si="105"/>
        <v>81.039255336780641</v>
      </c>
      <c r="KT25" s="8">
        <f t="shared" si="106"/>
        <v>2.8552499999999998E-2</v>
      </c>
      <c r="KU25" s="8">
        <f t="shared" si="107"/>
        <v>-4.8439903127817097E-4</v>
      </c>
      <c r="KV25" s="5"/>
      <c r="KW25" s="21">
        <f t="shared" si="108"/>
        <v>3948.703608765321</v>
      </c>
      <c r="KX25" s="22">
        <f t="shared" si="109"/>
        <v>4173.5999999999995</v>
      </c>
      <c r="LK25" s="64" t="s">
        <v>85</v>
      </c>
      <c r="LL25" s="65">
        <v>5000</v>
      </c>
      <c r="LN25" s="1"/>
      <c r="LO25" s="26"/>
      <c r="LP25" s="11"/>
      <c r="LQ25" s="5"/>
      <c r="LR25" s="11"/>
      <c r="LS25" s="11"/>
      <c r="LT25" s="5"/>
      <c r="LU25" s="8"/>
      <c r="LV25" s="8"/>
      <c r="LW25" s="5"/>
      <c r="LX25" s="21"/>
      <c r="LY25" s="22"/>
      <c r="MA25" s="16" t="str" cm="1">
        <f t="array" ref="MA25">_xll.BDP(MB25&amp;" Equity","DS520")</f>
        <v>PetroChina Co Ltd</v>
      </c>
      <c r="MB25" s="32" t="s">
        <v>198</v>
      </c>
      <c r="MC25" s="32">
        <v>857</v>
      </c>
      <c r="MD25" s="32" t="str" cm="1">
        <f t="array" ref="MD25">_xll.BDP(MB25&amp;" Equity", "ID_ISIN")</f>
        <v>CNE1000003W8</v>
      </c>
      <c r="ME25" s="32"/>
      <c r="MF25" s="30" t="str">
        <f>_xll.BDP(MB25&amp;" Equity", "DS197")</f>
        <v>Hong Kong</v>
      </c>
      <c r="MG25" s="30" t="s">
        <v>26</v>
      </c>
      <c r="MH25" s="30" t="s">
        <v>27</v>
      </c>
      <c r="MI25" s="30" t="s">
        <v>28</v>
      </c>
      <c r="MJ25" s="30" t="str">
        <f>_xll.BDP(MB25&amp;" Equity", "DS004")</f>
        <v>HKD</v>
      </c>
      <c r="MK25" s="17" cm="1">
        <f t="array" ref="MK25">_xll.BDP(MB25&amp;" Equity","PX_LAST")</f>
        <v>10.29</v>
      </c>
      <c r="ML25" s="33">
        <f t="shared" si="20"/>
        <v>3.2688692373366184E-2</v>
      </c>
      <c r="MM25" s="33">
        <f t="shared" si="21"/>
        <v>3.1034568736798031E-2</v>
      </c>
      <c r="MO25" s="1" cm="1">
        <f t="array" ref="MO25">IF(MJ25="USD",1,_xll.BDP(MJ25&amp;"USD CURNCY","PX_LAST"))</f>
        <v>0.12784999999999999</v>
      </c>
      <c r="MP25" s="18">
        <v>4463947.3662642399</v>
      </c>
      <c r="MQ25" s="11">
        <f t="shared" si="117"/>
        <v>5872664.252294126</v>
      </c>
      <c r="MR25" s="5"/>
      <c r="MS25" s="11" cm="1">
        <f t="array" ref="MS25">IF(MF25="Hong Kong",_xll.BDP(MB25&amp;" Equity","PR414"),_xll.BDP(MB25&amp;" Equity","PR090"))</f>
        <v>2000</v>
      </c>
      <c r="MT25" s="11">
        <f t="shared" si="118"/>
        <v>2631.1529999999998</v>
      </c>
      <c r="MU25" s="5">
        <f t="shared" si="119"/>
        <v>3.9755884813529199</v>
      </c>
      <c r="MV25" s="8">
        <f t="shared" si="120"/>
        <v>3.28894125E-2</v>
      </c>
      <c r="MW25" s="8">
        <f t="shared" si="121"/>
        <v>6.140353500262874E-3</v>
      </c>
      <c r="MX25" s="5"/>
      <c r="MY25" s="21">
        <f t="shared" si="122"/>
        <v>80491.228280021023</v>
      </c>
      <c r="MZ25" s="22">
        <f t="shared" si="123"/>
        <v>97352.660999999993</v>
      </c>
      <c r="NB25" s="16" t="str" cm="1">
        <f t="array" ref="NB25">_xll.BDP(NC25&amp;" Equity","DS520")</f>
        <v>Roche Holding AG</v>
      </c>
      <c r="NC25" s="32" t="s">
        <v>270</v>
      </c>
      <c r="ND25" s="32" t="s">
        <v>347</v>
      </c>
      <c r="NE25" s="32" t="str" cm="1">
        <f t="array" ref="NE25">_xll.BDP(NC25&amp;" Equity", "ID_ISIN")</f>
        <v>US7711951043</v>
      </c>
      <c r="NF25" s="32"/>
      <c r="NG25" s="30" t="str">
        <f>_xll.BDP(NC25&amp;" Equity", "DS197")</f>
        <v>OTC US</v>
      </c>
      <c r="NH25" s="30" t="s">
        <v>26</v>
      </c>
      <c r="NI25" s="30" t="s">
        <v>349</v>
      </c>
      <c r="NJ25" s="30" t="s">
        <v>28</v>
      </c>
      <c r="NK25" s="30" t="str">
        <f>_xll.BDP(NC25&amp;" Equity", "DS004")</f>
        <v>USD</v>
      </c>
      <c r="NL25" s="17" cm="1">
        <f t="array" ref="NL25">_xll.BDP(NC25&amp;" Equity","PX_LAST")</f>
        <v>54.19</v>
      </c>
      <c r="NM25" s="33">
        <f t="shared" si="22"/>
        <v>3.5311158967165537E-2</v>
      </c>
      <c r="NN25" s="33">
        <f t="shared" si="23"/>
        <v>3.352003008266527E-2</v>
      </c>
      <c r="NP25" s="1" cm="1">
        <f t="array" ref="NP25">IF(NK25="USD",1,_xll.BDP(NK25&amp;"USD CURNCY","PX_LAST"))</f>
        <v>1</v>
      </c>
      <c r="NQ25" s="18">
        <v>111397.50123411301</v>
      </c>
      <c r="NR25" s="11">
        <f t="shared" si="124"/>
        <v>6036630.5918765832</v>
      </c>
      <c r="NS25" s="5"/>
      <c r="NT25" s="11" cm="1">
        <f t="array" ref="NT25">IF(NG25="Hong Kong",_xll.BDP(NC25&amp;" Equity","PR414"),_xll.BDP(NC25&amp;" Equity","PR090"))</f>
        <v>1</v>
      </c>
      <c r="NU25" s="11">
        <f t="shared" si="125"/>
        <v>54.19</v>
      </c>
      <c r="NV25" s="5">
        <f t="shared" si="126"/>
        <v>208.51763922297422</v>
      </c>
      <c r="NW25" s="8">
        <f t="shared" si="127"/>
        <v>3.539284375E-2</v>
      </c>
      <c r="NX25" s="8">
        <f t="shared" si="128"/>
        <v>2.3132852396721137E-3</v>
      </c>
      <c r="NY25" s="5"/>
      <c r="NZ25" s="21">
        <f t="shared" si="129"/>
        <v>1534.6423506061967</v>
      </c>
      <c r="OA25" s="22">
        <f t="shared" si="130"/>
        <v>2005.0299999999997</v>
      </c>
      <c r="OC25" s="16" t="str" cm="1">
        <f t="array" ref="OC25">_xll.BDP(OD25&amp;" Equity","DS520")</f>
        <v>Rio Tinto PLC</v>
      </c>
      <c r="OD25" s="32" t="s">
        <v>149</v>
      </c>
      <c r="OE25" s="32" t="s">
        <v>150</v>
      </c>
      <c r="OF25" s="32" t="str" cm="1">
        <f t="array" ref="OF25">_xll.BDP(OD25&amp;" Equity", "ID_ISIN")</f>
        <v>GB0007188757</v>
      </c>
      <c r="OG25" s="32"/>
      <c r="OH25" s="30" t="str">
        <f>_xll.BDP(OD25&amp;" Equity", "DS197")</f>
        <v>London</v>
      </c>
      <c r="OI25" s="30" t="s">
        <v>26</v>
      </c>
      <c r="OJ25" s="30" t="s">
        <v>129</v>
      </c>
      <c r="OK25" s="30" t="s">
        <v>28</v>
      </c>
      <c r="OL25" s="43" t="str">
        <f>_xll.BDP(OD25&amp;" Equity", "DS004")</f>
        <v>GBp</v>
      </c>
      <c r="OM25" s="17" cm="1">
        <f t="array" ref="OM25">_xll.BDP(OD25&amp;" Equity","PX_LAST")/100</f>
        <v>67.87</v>
      </c>
      <c r="ON25" s="33">
        <f t="shared" si="24"/>
        <v>4.5145213978769E-2</v>
      </c>
      <c r="OO25" s="33">
        <f t="shared" si="131"/>
        <v>4.2807010157076948E-2</v>
      </c>
      <c r="OQ25" s="1" cm="1">
        <f t="array" ref="OQ25">IF(OL25="EUR",1,_xll.BDP(OL25&amp;"EUR CURNCY","PX_LAST"))</f>
        <v>1.1509</v>
      </c>
      <c r="OR25" s="18">
        <v>106440.62693638699</v>
      </c>
      <c r="OS25" s="11">
        <f t="shared" si="132"/>
        <v>8314245.8655136293</v>
      </c>
      <c r="OT25" s="5"/>
      <c r="OU25" s="11" cm="1">
        <f t="array" ref="OU25">IF(OH25="Hong Kong",_xll.BDP(OD25&amp;" Equity","PR414"),_xll.BDP(OD25&amp;" Equity","PR090"))</f>
        <v>1</v>
      </c>
      <c r="OV25" s="11">
        <f t="shared" si="133"/>
        <v>78.11158300000001</v>
      </c>
      <c r="OW25" s="5">
        <f t="shared" si="134"/>
        <v>184.94655873516322</v>
      </c>
      <c r="OX25" s="8">
        <f t="shared" si="135"/>
        <v>4.5158258921875007E-2</v>
      </c>
      <c r="OY25" s="8">
        <f t="shared" si="136"/>
        <v>2.8895517279292626E-4</v>
      </c>
      <c r="OZ25" s="5"/>
      <c r="PA25" s="21">
        <f t="shared" si="137"/>
        <v>1730.2295440826688</v>
      </c>
      <c r="PB25" s="22">
        <f t="shared" si="138"/>
        <v>2890.1285710000002</v>
      </c>
      <c r="PD25" s="16" t="str" cm="1">
        <f t="array" ref="PD25">_xll.BDP(PE25&amp;" Equity","DS520")</f>
        <v>Japan Airlines Co Ltd</v>
      </c>
      <c r="PE25" s="44" t="s">
        <v>719</v>
      </c>
      <c r="PF25" s="44">
        <v>9201</v>
      </c>
      <c r="PG25" s="32" t="str" cm="1">
        <f t="array" ref="PG25">_xll.BDP(PE25&amp;" Equity", "ID_ISIN")</f>
        <v>JP3705200008</v>
      </c>
      <c r="PH25" s="44"/>
      <c r="PI25" s="30" t="str">
        <f>_xll.BDP(PE25&amp;" Equity", "DS197")</f>
        <v>Tokyo</v>
      </c>
      <c r="PJ25" s="30" t="s">
        <v>26</v>
      </c>
      <c r="PK25" s="71" t="s">
        <v>320</v>
      </c>
      <c r="PL25" s="30" t="s">
        <v>28</v>
      </c>
      <c r="PM25" s="30" t="str">
        <f>_xll.BDP(PE25&amp;" Equity", "DS004")</f>
        <v>JPY</v>
      </c>
      <c r="PN25" s="17" cm="1">
        <f t="array" ref="PN25">_xll.BDP(PE25&amp;" Equity","PX_LAST")</f>
        <v>2727</v>
      </c>
      <c r="PO25" s="33">
        <f t="shared" si="25"/>
        <v>4.2266173637018019E-2</v>
      </c>
      <c r="PP25" s="33">
        <f t="shared" si="26"/>
        <v>4.0150683555995693E-2</v>
      </c>
      <c r="PR25" s="1">
        <v>1</v>
      </c>
      <c r="PS25" s="18">
        <v>2986.9860448547802</v>
      </c>
      <c r="PT25" s="11">
        <f t="shared" si="139"/>
        <v>8145510.9443189856</v>
      </c>
      <c r="PU25" s="5"/>
      <c r="PV25" s="11" cm="1">
        <f t="array" ref="PV25">IF(PI25="Hong Kong",_xll.BDP(PE25&amp;" Equity","PR414"),_xll.BDP(PE25&amp;" Equity","PR090"))</f>
        <v>100</v>
      </c>
      <c r="PW25" s="11">
        <f t="shared" si="140"/>
        <v>272700</v>
      </c>
      <c r="PX25" s="5">
        <f t="shared" si="141"/>
        <v>4.9597270127780584E-2</v>
      </c>
      <c r="PY25" s="8">
        <f t="shared" si="142"/>
        <v>0</v>
      </c>
      <c r="PZ25" s="8">
        <f t="shared" si="143"/>
        <v>-1</v>
      </c>
      <c r="QA25" s="5"/>
      <c r="QB25" s="21">
        <f t="shared" si="144"/>
        <v>6451968.0050043827</v>
      </c>
      <c r="QC25" s="22">
        <f t="shared" si="145"/>
        <v>10089900</v>
      </c>
      <c r="QE25" s="16" t="str" cm="1">
        <f t="array" ref="QE25">_xll.BDP(QF25&amp;" Equity","DS520")</f>
        <v>Trend Micro Inc/Japan</v>
      </c>
      <c r="QF25" s="34" t="s">
        <v>617</v>
      </c>
      <c r="QG25" s="34"/>
      <c r="QH25" s="32" t="str" cm="1">
        <f t="array" ref="QH25">_xll.BDP(QF25&amp;" Equity", "ID_ISIN")</f>
        <v>JP3637300009</v>
      </c>
      <c r="QI25" s="34"/>
      <c r="QJ25" s="30" t="str">
        <f>_xll.BDP(QF25&amp;" Equity", "DS197")</f>
        <v>Tokyo</v>
      </c>
      <c r="QK25" s="30" t="s">
        <v>26</v>
      </c>
      <c r="QL25" s="30"/>
      <c r="QM25" s="30" t="s">
        <v>28</v>
      </c>
      <c r="QN25" s="30" t="str">
        <f>_xll.BDP(QF25&amp;" Equity", "DS004")</f>
        <v>JPY</v>
      </c>
      <c r="QO25" s="17" cm="1">
        <f t="array" ref="QO25">_xll.BDP(QF25&amp;" Equity","PX_LAST")</f>
        <v>5514</v>
      </c>
      <c r="QP25" s="33">
        <f t="shared" si="27"/>
        <v>2.4678585936680798E-2</v>
      </c>
      <c r="QQ25" s="33">
        <f t="shared" si="28"/>
        <v>2.3450678025986497E-2</v>
      </c>
      <c r="QS25" s="1" cm="1">
        <f t="array" ref="QS25">IF(QN25="USD",1,_xll.BDP(QN25&amp;"USD CURNCY","PX_LAST"))</f>
        <v>6.3369999999999998E-3</v>
      </c>
      <c r="QT25" s="18">
        <v>80571.591499230606</v>
      </c>
      <c r="QU25" s="11">
        <f t="shared" si="146"/>
        <v>2815350.1147730625</v>
      </c>
      <c r="QV25" s="5"/>
      <c r="QW25" s="11" cm="1">
        <f t="array" ref="QW25">IF(QJ25="Hong Kong",_xll.BDP(QF25&amp;" Equity","PR414"),_xll.BDP(QF25&amp;" Equity","PR090"))</f>
        <v>100</v>
      </c>
      <c r="QX25" s="11">
        <f t="shared" si="147"/>
        <v>3494.2217999999998</v>
      </c>
      <c r="QY25" s="5">
        <f t="shared" si="148"/>
        <v>2.2600590207919415</v>
      </c>
      <c r="QZ25" s="8">
        <f t="shared" si="149"/>
        <v>2.1838886249999998E-2</v>
      </c>
      <c r="RA25" s="8">
        <f t="shared" si="150"/>
        <v>-0.115067358152804</v>
      </c>
      <c r="RB25" s="5"/>
      <c r="RC25" s="21">
        <f t="shared" si="151"/>
        <v>141589.22269555138</v>
      </c>
      <c r="RD25" s="22">
        <f t="shared" si="152"/>
        <v>129286.20659999999</v>
      </c>
      <c r="RF25" s="16" t="str" cm="1">
        <f t="array" ref="RF25">_xll.BDP(RG25&amp;" Equity","DS520")</f>
        <v>Ouster Inc</v>
      </c>
      <c r="RG25" s="34" t="s">
        <v>1311</v>
      </c>
      <c r="RH25" s="34"/>
      <c r="RI25" s="32" t="str" cm="1">
        <f t="array" ref="RI25">_xll.BDP(RG25&amp;" Equity", "ID_ISIN")</f>
        <v>US68989M2026</v>
      </c>
      <c r="RJ25" s="34"/>
      <c r="RK25" s="30" t="str">
        <f>_xll.BDP(RG25&amp;" Equity", "DS197")</f>
        <v>NASDAQ GS</v>
      </c>
      <c r="RL25" s="30" t="s">
        <v>26</v>
      </c>
      <c r="RM25" s="30"/>
      <c r="RN25" s="30" t="s">
        <v>28</v>
      </c>
      <c r="RO25" s="30" t="str">
        <f>_xll.BDP(RG25&amp;" Equity", "DS004")</f>
        <v>USD</v>
      </c>
      <c r="RP25" s="17" cm="1">
        <f t="array" ref="RP25">_xll.BDP(RG25&amp;" Equity","PX_LAST")</f>
        <v>21.18</v>
      </c>
      <c r="RQ25" s="33">
        <f t="shared" si="153"/>
        <v>2.7583713201258787E-2</v>
      </c>
      <c r="RR25" s="33">
        <f t="shared" si="154"/>
        <v>2.6229679330349004E-2</v>
      </c>
      <c r="RT25" s="1" cm="1">
        <f t="array" ref="RT25">IF(RO25="USD",1,_xll.BDP(RO25&amp;"USD CURNCY","PX_LAST"))</f>
        <v>1</v>
      </c>
      <c r="RU25" s="18">
        <v>131238.447319778</v>
      </c>
      <c r="RV25" s="11">
        <f t="shared" si="217"/>
        <v>2779630.3142328979</v>
      </c>
      <c r="RW25" s="5"/>
      <c r="RX25" s="11" cm="1">
        <f t="array" ref="RX25">IF(RK25="Hong Kong",_xll.BDP(RG25&amp;" Equity","PR414"),_xll.BDP(RG25&amp;" Equity","PR090"))</f>
        <v>1</v>
      </c>
      <c r="RY25" s="11">
        <f t="shared" si="218"/>
        <v>21.18</v>
      </c>
      <c r="RZ25" s="5">
        <f t="shared" si="219"/>
        <v>416.75109652515636</v>
      </c>
      <c r="SA25" s="8">
        <f t="shared" si="220"/>
        <v>2.7600187499999998E-2</v>
      </c>
      <c r="SB25" s="8">
        <f t="shared" si="221"/>
        <v>5.9724731840882228E-4</v>
      </c>
      <c r="SC25" s="5"/>
      <c r="SD25" s="21">
        <f t="shared" si="222"/>
        <v>767.84441041220828</v>
      </c>
      <c r="SE25" s="22">
        <f t="shared" si="223"/>
        <v>783.66</v>
      </c>
    </row>
    <row r="26" spans="15:499" ht="15" thickBot="1" x14ac:dyDescent="0.25">
      <c r="O26" s="16" t="str" cm="1">
        <f t="array" ref="O26">_xll.BDP(P26&amp;" Equity","DS520")</f>
        <v>TE Connectivity PLC</v>
      </c>
      <c r="P26" s="32" t="s">
        <v>183</v>
      </c>
      <c r="Q26" s="32" t="s">
        <v>340</v>
      </c>
      <c r="R26" s="32" t="str" cm="1">
        <f t="array" ref="R26">_xll.BDP(P26&amp;" Equity", "ID_ISIN")</f>
        <v>IE000IVNQZ81</v>
      </c>
      <c r="S26" s="32"/>
      <c r="T26" s="30" t="str">
        <f>_xll.BDP(P26&amp;" Equity", "DS197")</f>
        <v>New York</v>
      </c>
      <c r="U26" s="30" t="s">
        <v>26</v>
      </c>
      <c r="V26" s="30" t="s">
        <v>33</v>
      </c>
      <c r="W26" s="30" t="s">
        <v>28</v>
      </c>
      <c r="X26" s="30" t="str">
        <f>_xll.BDP(P26&amp;" Equity", "DS004")</f>
        <v>USD</v>
      </c>
      <c r="Y26" s="17" cm="1">
        <f t="array" ref="Y26">_xll.BDP(P26&amp;" Equity","PX_LAST")</f>
        <v>210.56</v>
      </c>
      <c r="Z26" s="33">
        <f t="shared" si="0"/>
        <v>2.5749194346918212E-2</v>
      </c>
      <c r="AA26" s="33">
        <f t="shared" si="1"/>
        <v>2.4462600000569108E-2</v>
      </c>
      <c r="AB26" s="4"/>
      <c r="AC26" s="1" cm="1">
        <f t="array" ref="AC26">IF(X26="USD",1,_xll.BDP(X26&amp;"USD CURNCY","PX_LAST"))</f>
        <v>1</v>
      </c>
      <c r="AD26" s="18">
        <v>25165.9883426905</v>
      </c>
      <c r="AE26" s="11">
        <f t="shared" si="169"/>
        <v>5298950.5054369112</v>
      </c>
      <c r="AF26" s="5"/>
      <c r="AG26" s="11" cm="1">
        <f t="array" ref="AG26">IF(T26="Hong Kong",_xll.BDP(P26&amp;" Equity","PR414"),_xll.BDP(P26&amp;" Equity","PR090"))</f>
        <v>1</v>
      </c>
      <c r="AH26" s="11">
        <f t="shared" si="170"/>
        <v>210.56</v>
      </c>
      <c r="AI26" s="5">
        <f t="shared" si="171"/>
        <v>39.132514205042874</v>
      </c>
      <c r="AJ26" s="8">
        <f t="shared" si="172"/>
        <v>2.5662000000000001E-2</v>
      </c>
      <c r="AK26" s="8">
        <f t="shared" si="173"/>
        <v>-3.3862941785068879E-3</v>
      </c>
      <c r="AL26" s="5"/>
      <c r="AM26" s="21">
        <f t="shared" si="174"/>
        <v>8177.3432272532764</v>
      </c>
      <c r="AN26" s="22">
        <f t="shared" si="175"/>
        <v>7790.7199999999993</v>
      </c>
      <c r="AP26" s="16" t="s">
        <v>34</v>
      </c>
      <c r="AQ26" s="45" t="s">
        <v>34</v>
      </c>
      <c r="AR26" s="45"/>
      <c r="AS26" s="45"/>
      <c r="AT26" s="45"/>
      <c r="AU26" s="30"/>
      <c r="AV26" s="30"/>
      <c r="AW26" s="30"/>
      <c r="AX26" s="30" t="s">
        <v>80</v>
      </c>
      <c r="AY26" s="30" t="str">
        <f>_xll.BDP(AQ26&amp;" Curncy", "DS004")</f>
        <v>USD</v>
      </c>
      <c r="AZ26" s="17">
        <v>1</v>
      </c>
      <c r="BA26" s="33">
        <f t="shared" si="4"/>
        <v>4.6620026620721212E-3</v>
      </c>
      <c r="BB26" s="33">
        <f>BB33</f>
        <v>5.475E-2</v>
      </c>
      <c r="BD26" s="1" cm="1">
        <f t="array" ref="BD26">IF(AY26="USD",1,_xll.BDP(AY26&amp;"USD CURNCY","PX_LAST"))</f>
        <v>1</v>
      </c>
      <c r="BE26" s="18">
        <v>767569.95472702896</v>
      </c>
      <c r="BF26" s="11">
        <f>BE26*AZ26*BD26</f>
        <v>767569.95472702896</v>
      </c>
      <c r="BG26" s="5"/>
      <c r="BH26" s="11">
        <v>1</v>
      </c>
      <c r="BI26" s="11">
        <f>BH26*BD26*AZ26</f>
        <v>1</v>
      </c>
      <c r="BJ26" s="5">
        <f>($AJ$3*BA26)/BI26</f>
        <v>1491.8408518630788</v>
      </c>
      <c r="BK26" s="8">
        <f>(ROUND(BJ26,0)*BI26)/$AJ$3</f>
        <v>4.6625E-3</v>
      </c>
      <c r="BL26" s="8">
        <f>BK26/BA26-1</f>
        <v>1.066790312937993E-4</v>
      </c>
      <c r="BM26" s="5"/>
      <c r="BN26" s="21">
        <f>IFERROR(BI26/BA26,0)</f>
        <v>214.50009201743566</v>
      </c>
      <c r="BO26" s="22">
        <f>BI26/(1/COUNTA($P$6:$P$77))</f>
        <v>37</v>
      </c>
      <c r="CB26" s="64" t="s">
        <v>88</v>
      </c>
      <c r="CC26" s="66">
        <f>(CC24-CC25)*0.5%</f>
        <v>475</v>
      </c>
      <c r="CR26" s="35" t="s">
        <v>81</v>
      </c>
      <c r="CS26" s="36"/>
      <c r="CT26" s="36"/>
      <c r="CU26" s="36"/>
      <c r="CV26" s="36"/>
      <c r="CW26" s="36"/>
      <c r="CX26" s="36"/>
      <c r="CY26" s="36"/>
      <c r="CZ26" s="36"/>
      <c r="DA26" s="36"/>
      <c r="DB26" s="25" t="s">
        <v>81</v>
      </c>
      <c r="DC26" s="37">
        <f>SUM(DC6:DC25)</f>
        <v>1</v>
      </c>
      <c r="DD26" s="37">
        <f>SUM(DD6:DD25)</f>
        <v>0.99999999999999978</v>
      </c>
      <c r="DF26" s="1"/>
      <c r="DG26" s="26"/>
      <c r="DH26" s="46">
        <f>SUM(DH6:DH25)</f>
        <v>181356517.32553223</v>
      </c>
      <c r="DI26" s="26"/>
      <c r="DJ26" s="46"/>
      <c r="DK26" s="46"/>
      <c r="DL26" s="26"/>
      <c r="DM26" s="47"/>
      <c r="DN26" s="47"/>
      <c r="DO26" s="26"/>
      <c r="DP26" s="21"/>
      <c r="DQ26" s="22"/>
      <c r="DS26" s="16" t="s">
        <v>161</v>
      </c>
      <c r="DT26" s="32" t="s">
        <v>161</v>
      </c>
      <c r="DU26" s="32"/>
      <c r="DV26" s="32"/>
      <c r="DW26" s="32"/>
      <c r="DX26" s="30"/>
      <c r="DY26" s="30"/>
      <c r="DZ26" s="30"/>
      <c r="EA26" s="30"/>
      <c r="EB26" s="51" t="s">
        <v>161</v>
      </c>
      <c r="EC26" s="17">
        <v>1</v>
      </c>
      <c r="ED26" s="33">
        <f t="shared" si="55"/>
        <v>3.5397256666149526E-3</v>
      </c>
      <c r="EE26" s="33">
        <f>EE33</f>
        <v>5.475E-2</v>
      </c>
      <c r="EG26" s="1">
        <v>1</v>
      </c>
      <c r="EH26" s="18">
        <v>584145.51701678499</v>
      </c>
      <c r="EI26" s="11">
        <f t="shared" si="57"/>
        <v>584145.51701678499</v>
      </c>
      <c r="EJ26" s="5"/>
      <c r="EK26" s="11">
        <v>1</v>
      </c>
      <c r="EL26" s="11">
        <f t="shared" si="58"/>
        <v>1</v>
      </c>
      <c r="EM26" s="5">
        <f t="shared" si="59"/>
        <v>1132.7122133167848</v>
      </c>
      <c r="EN26" s="8">
        <f t="shared" si="60"/>
        <v>3.5406249999999999E-3</v>
      </c>
      <c r="EO26" s="8">
        <f t="shared" si="61"/>
        <v>2.5406866795618654E-4</v>
      </c>
      <c r="EP26" s="5"/>
      <c r="EQ26" s="21">
        <f t="shared" si="62"/>
        <v>282.50776873234423</v>
      </c>
      <c r="ER26" s="22">
        <f t="shared" si="63"/>
        <v>37</v>
      </c>
      <c r="ET26" s="16" t="str" cm="1">
        <f t="array" ref="ET26">_xll.BDP(EU26&amp;" Equity","DS520")</f>
        <v>Cognizant Technology Solutions Corp</v>
      </c>
      <c r="EU26" s="32" t="s">
        <v>178</v>
      </c>
      <c r="EV26" s="32" t="s">
        <v>392</v>
      </c>
      <c r="EW26" s="32" t="str" cm="1">
        <f t="array" ref="EW26">_xll.BDP(EU26&amp;" Equity", "ID_ISIN")</f>
        <v>US1924461023</v>
      </c>
      <c r="EX26" s="32"/>
      <c r="EY26" s="30" t="str">
        <f>_xll.BDP(EU26&amp;" Equity", "DS197")</f>
        <v>NASDAQ GS</v>
      </c>
      <c r="EZ26" s="30" t="s">
        <v>26</v>
      </c>
      <c r="FA26" s="30" t="s">
        <v>33</v>
      </c>
      <c r="FB26" s="30" t="s">
        <v>28</v>
      </c>
      <c r="FC26" s="30" t="str">
        <f>_xll.BDP(EU26&amp;" Equity", "DS004")</f>
        <v>USD</v>
      </c>
      <c r="FD26" s="17" cm="1">
        <f t="array" ref="FD26">_xll.BDP(EU26&amp;" Equity","PX_LAST")</f>
        <v>65.78</v>
      </c>
      <c r="FE26" s="33">
        <f t="shared" si="10"/>
        <v>3.0077197320189316E-2</v>
      </c>
      <c r="FF26" s="33">
        <f t="shared" si="11"/>
        <v>2.857254230821947E-2</v>
      </c>
      <c r="FH26" s="1" cm="1">
        <f t="array" ref="FH26">IF(FC26="USD",1,_xll.BDP(FC26&amp;"USD CURNCY","PX_LAST"))</f>
        <v>1</v>
      </c>
      <c r="FI26" s="18">
        <v>93698.089921425097</v>
      </c>
      <c r="FJ26" s="11">
        <f t="shared" si="64"/>
        <v>6163460.3550313432</v>
      </c>
      <c r="FK26" s="5"/>
      <c r="FL26" s="11" cm="1">
        <f t="array" ref="FL26">IF(EY26="Hong Kong",_xll.BDP(EU26&amp;" Equity","PR414"),_xll.BDP(EU26&amp;" Equity","PR090"))</f>
        <v>1</v>
      </c>
      <c r="FM26" s="11">
        <f t="shared" si="65"/>
        <v>65.78</v>
      </c>
      <c r="FN26" s="5">
        <f t="shared" si="66"/>
        <v>146.31655734965918</v>
      </c>
      <c r="FO26" s="8">
        <f t="shared" si="67"/>
        <v>3.0012125000000004E-2</v>
      </c>
      <c r="FP26" s="8">
        <f t="shared" si="68"/>
        <v>-2.1635101002457358E-3</v>
      </c>
      <c r="FQ26" s="5"/>
      <c r="FR26" s="21">
        <f t="shared" si="69"/>
        <v>2187.0388819720638</v>
      </c>
      <c r="FS26" s="22">
        <f t="shared" si="70"/>
        <v>2433.86</v>
      </c>
      <c r="FU26" s="16" t="str" cm="1">
        <f t="array" ref="FU26">_xll.BDP(FV26&amp;" Equity","DS520")</f>
        <v>REA Group Ltd</v>
      </c>
      <c r="FV26" s="32" t="s">
        <v>304</v>
      </c>
      <c r="FW26" s="32" t="s">
        <v>410</v>
      </c>
      <c r="FX26" s="32" t="str" cm="1">
        <f t="array" ref="FX26">_xll.BDP(FV26&amp;" Equity", "ID_ISIN")</f>
        <v>AU000000REA9</v>
      </c>
      <c r="FY26" s="32"/>
      <c r="FZ26" s="30" t="str">
        <f>_xll.BDP(FV26&amp;" Equity", "DS197")</f>
        <v>ASE</v>
      </c>
      <c r="GA26" s="30" t="s">
        <v>26</v>
      </c>
      <c r="GB26" s="30" t="s">
        <v>323</v>
      </c>
      <c r="GC26" s="30" t="s">
        <v>28</v>
      </c>
      <c r="GD26" s="30" t="str">
        <f>_xll.BDP(FV26&amp;" Equity", "DS004")</f>
        <v>AUD</v>
      </c>
      <c r="GE26" s="17" cm="1">
        <f t="array" ref="GE26">_xll.BDP(FV26&amp;" Equity","PX_LAST")</f>
        <v>174.01</v>
      </c>
      <c r="GF26" s="33">
        <f t="shared" si="12"/>
        <v>3.0934248058573654E-2</v>
      </c>
      <c r="GG26" s="33">
        <f t="shared" si="13"/>
        <v>2.9386128191787569E-2</v>
      </c>
      <c r="GI26" s="1" cm="1">
        <f t="array" ref="GI26">IF(GD26="USD",1,_xll.BDP(GD26&amp;"USD CURNCY","PX_LAST"))</f>
        <v>0.70340000000000003</v>
      </c>
      <c r="GJ26" s="18">
        <v>52315.129194958201</v>
      </c>
      <c r="GK26" s="11">
        <f t="shared" si="71"/>
        <v>6403300.350996404</v>
      </c>
      <c r="GL26" s="5"/>
      <c r="GM26" s="11" cm="1">
        <f t="array" ref="GM26">IF(FZ26="Hong Kong",_xll.BDP(FV26&amp;" Equity","PR414"),_xll.BDP(FV26&amp;" Equity","PR090"))</f>
        <v>1</v>
      </c>
      <c r="GN26" s="11">
        <f t="shared" si="72"/>
        <v>122.398634</v>
      </c>
      <c r="GO26" s="5">
        <f t="shared" si="73"/>
        <v>80.874753706349125</v>
      </c>
      <c r="GP26" s="8">
        <f t="shared" si="74"/>
        <v>3.0982154231250003E-2</v>
      </c>
      <c r="GQ26" s="8">
        <f t="shared" si="75"/>
        <v>1.5486451322701544E-3</v>
      </c>
      <c r="GR26" s="5"/>
      <c r="GS26" s="21">
        <f t="shared" si="76"/>
        <v>3956.7353881768695</v>
      </c>
      <c r="GT26" s="22">
        <f t="shared" si="77"/>
        <v>4528.7494580000002</v>
      </c>
      <c r="GV26" s="16" t="str" cm="1">
        <f t="array" ref="GV26">_xll.BDP(GW26&amp;" Equity","DS520")</f>
        <v>Pan Pacific International Holdings Corp</v>
      </c>
      <c r="GW26" s="32" t="s">
        <v>732</v>
      </c>
      <c r="GX26" s="32">
        <v>7532</v>
      </c>
      <c r="GY26" s="32" t="str" cm="1">
        <f t="array" ref="GY26">_xll.BDP(GW26&amp;" Equity", "ID_ISIN")</f>
        <v>JP3639650005</v>
      </c>
      <c r="GZ26" s="32"/>
      <c r="HA26" s="30" t="str">
        <f>_xll.BDP(GW26&amp;" Equity", "DS197")</f>
        <v>Tokyo</v>
      </c>
      <c r="HB26" s="30" t="s">
        <v>26</v>
      </c>
      <c r="HC26" s="30" t="s">
        <v>320</v>
      </c>
      <c r="HD26" s="30" t="s">
        <v>28</v>
      </c>
      <c r="HE26" s="30" t="str">
        <f>_xll.BDP(GW26&amp;" Equity", "DS004")</f>
        <v>JPY</v>
      </c>
      <c r="HF26" s="17" cm="1">
        <f t="array" ref="HF26">_xll.BDP(GW26&amp;" Equity","PX_LAST")</f>
        <v>1059.5</v>
      </c>
      <c r="HG26" s="33">
        <f t="shared" si="14"/>
        <v>3.0555389545595012E-2</v>
      </c>
      <c r="HH26" s="33">
        <f t="shared" si="78"/>
        <v>2.9025317121530701E-2</v>
      </c>
      <c r="HJ26" s="1" cm="1">
        <f t="array" ref="HJ26">IF(HE26="USD",1,_xll.BDP(HE26&amp;"USD CURNCY","PX_LAST"))</f>
        <v>6.3369999999999998E-3</v>
      </c>
      <c r="HK26" s="18">
        <v>742223.132737751</v>
      </c>
      <c r="HL26" s="11">
        <f t="shared" si="79"/>
        <v>4983324.337692596</v>
      </c>
      <c r="HM26" s="5"/>
      <c r="HN26" s="11" cm="1">
        <f t="array" ref="HN26">IF(HA26="Hong Kong",_xll.BDP(GW26&amp;" Equity","PR414"),_xll.BDP(GW26&amp;" Equity","PR090"))</f>
        <v>100</v>
      </c>
      <c r="HO26" s="11">
        <f t="shared" si="80"/>
        <v>671.40514999999994</v>
      </c>
      <c r="HP26" s="5">
        <f t="shared" si="81"/>
        <v>14.563076637988857</v>
      </c>
      <c r="HQ26" s="8">
        <f t="shared" si="82"/>
        <v>3.1472116406249993E-2</v>
      </c>
      <c r="HR26" s="8">
        <f t="shared" si="83"/>
        <v>3.0002132988258268E-2</v>
      </c>
      <c r="HS26" s="5"/>
      <c r="HT26" s="21">
        <f t="shared" si="84"/>
        <v>21973.378837082848</v>
      </c>
      <c r="HU26" s="22">
        <f t="shared" si="85"/>
        <v>24841.990549999995</v>
      </c>
      <c r="HW26" s="16" t="str" cm="1">
        <f t="array" ref="HW26">_xll.BDP(HX26&amp;" Equity","DS520")</f>
        <v>WH Group Ltd</v>
      </c>
      <c r="HX26" s="45" t="s">
        <v>220</v>
      </c>
      <c r="HY26" s="32">
        <v>288</v>
      </c>
      <c r="HZ26" s="32" t="str" cm="1">
        <f t="array" ref="HZ26">_xll.BDP(HX26&amp;" Equity", "ID_ISIN")</f>
        <v>KYG960071028</v>
      </c>
      <c r="IA26" s="45"/>
      <c r="IB26" s="30" t="str">
        <f>_xll.BDP(HX26&amp;" Equity", "DS197")</f>
        <v>Hong Kong</v>
      </c>
      <c r="IC26" s="30" t="s">
        <v>26</v>
      </c>
      <c r="ID26" s="30" t="s">
        <v>27</v>
      </c>
      <c r="IE26" s="30" t="s">
        <v>28</v>
      </c>
      <c r="IF26" s="30" t="str">
        <f>_xll.BDP(HX26&amp;" Equity", "DS004")</f>
        <v>HKD</v>
      </c>
      <c r="IG26" s="17" cm="1">
        <f t="array" ref="IG26">_xll.BDP(HX26&amp;" Equity","PX_LAST")</f>
        <v>9.81</v>
      </c>
      <c r="IH26" s="33">
        <f t="shared" si="15"/>
        <v>4.5563069148220142E-2</v>
      </c>
      <c r="II26" s="33">
        <f t="shared" si="16"/>
        <v>4.3308230319805817E-2</v>
      </c>
      <c r="IK26" s="1">
        <v>1</v>
      </c>
      <c r="IL26" s="18">
        <v>880331.37866001797</v>
      </c>
      <c r="IM26" s="11">
        <f t="shared" si="183"/>
        <v>8636050.8246547766</v>
      </c>
      <c r="IN26" s="5"/>
      <c r="IO26" s="11" cm="1">
        <f t="array" ref="IO26">IF(IB26="Hong Kong",_xll.BDP(HX26&amp;" Equity","PR414"),_xll.BDP(HX26&amp;" Equity","PR090"))</f>
        <v>500</v>
      </c>
      <c r="IP26" s="11">
        <f t="shared" si="184"/>
        <v>4905</v>
      </c>
      <c r="IQ26" s="5">
        <f t="shared" si="185"/>
        <v>2.97251419519479</v>
      </c>
      <c r="IR26" s="8">
        <f t="shared" si="186"/>
        <v>4.5984375000000001E-2</v>
      </c>
      <c r="IS26" s="8">
        <f t="shared" si="187"/>
        <v>9.2466521605321095E-3</v>
      </c>
      <c r="IT26" s="5"/>
      <c r="IU26" s="21">
        <f t="shared" si="188"/>
        <v>107652.97623045674</v>
      </c>
      <c r="IV26" s="22">
        <f t="shared" si="189"/>
        <v>181485</v>
      </c>
      <c r="IX26" s="16" t="str" cm="1">
        <f t="array" ref="IX26">_xll.BDP(IY26&amp;" Equity","DS520")</f>
        <v>Symbotic Inc</v>
      </c>
      <c r="IY26" s="32" t="s">
        <v>692</v>
      </c>
      <c r="IZ26" s="32" t="s">
        <v>698</v>
      </c>
      <c r="JA26" s="32" t="str" cm="1">
        <f t="array" ref="JA26">_xll.BDP(IY26&amp;" Equity", "ID_ISIN")</f>
        <v>US87151X1019</v>
      </c>
      <c r="JB26" s="32"/>
      <c r="JC26" s="30" t="str">
        <f>_xll.BDP(IY26&amp;" Equity", "DS197")</f>
        <v>NASDAQ GM</v>
      </c>
      <c r="JD26" s="30" t="s">
        <v>26</v>
      </c>
      <c r="JE26" s="30" t="s">
        <v>33</v>
      </c>
      <c r="JF26" s="30" t="s">
        <v>28</v>
      </c>
      <c r="JG26" s="30" t="str">
        <f>_xll.BDP(IY26&amp;" Equity", "DS004")</f>
        <v>USD</v>
      </c>
      <c r="JH26" s="17" cm="1">
        <f t="array" ref="JH26">_xll.BDP(IY26&amp;" Equity","PX_LAST")</f>
        <v>53.2</v>
      </c>
      <c r="JI26" s="33">
        <f t="shared" si="93"/>
        <v>3.6389808596181135E-2</v>
      </c>
      <c r="JJ26" s="33">
        <f t="shared" si="17"/>
        <v>3.4568459891529207E-2</v>
      </c>
      <c r="JL26" s="1" cm="1">
        <f t="array" ref="JL26">IF(JG26="USD",1,_xll.BDP(JG26&amp;"USD CURNCY","PX_LAST"))</f>
        <v>1</v>
      </c>
      <c r="JM26" s="18">
        <v>83446.972200217002</v>
      </c>
      <c r="JN26" s="11">
        <f t="shared" si="94"/>
        <v>4439378.9210515451</v>
      </c>
      <c r="JO26" s="5"/>
      <c r="JP26" s="11" cm="1">
        <f t="array" ref="JP26">IF(JC26="Hong Kong",_xll.BDP(IY26&amp;" Equity","PR414"),_xll.BDP(IY26&amp;" Equity","PR090"))</f>
        <v>1</v>
      </c>
      <c r="JQ26" s="11">
        <f t="shared" si="95"/>
        <v>53.2</v>
      </c>
      <c r="JR26" s="5">
        <f t="shared" si="96"/>
        <v>218.88606674394669</v>
      </c>
      <c r="JS26" s="8">
        <f t="shared" si="97"/>
        <v>3.6408750000000004E-2</v>
      </c>
      <c r="JT26" s="8">
        <f t="shared" si="98"/>
        <v>5.2051397216912321E-4</v>
      </c>
      <c r="JU26" s="5"/>
      <c r="JV26" s="21">
        <f t="shared" si="99"/>
        <v>1461.9477829730322</v>
      </c>
      <c r="JW26" s="22">
        <f t="shared" si="100"/>
        <v>1968.4</v>
      </c>
      <c r="JY26" s="16" t="str" cm="1">
        <f t="array" ref="JY26">_xll.BDP(JZ26&amp;" Equity","DS520")</f>
        <v>Intuitive Surgical Inc</v>
      </c>
      <c r="JZ26" s="32" t="s">
        <v>230</v>
      </c>
      <c r="KA26" s="32" t="s">
        <v>398</v>
      </c>
      <c r="KB26" s="32" t="str" cm="1">
        <f t="array" ref="KB26">_xll.BDP(JZ26&amp;" Equity", "ID_ISIN")</f>
        <v>US46120E6023</v>
      </c>
      <c r="KC26" s="32"/>
      <c r="KD26" s="30" t="str">
        <f>_xll.BDP(JZ26&amp;" Equity", "DS197")</f>
        <v>NASDAQ GS</v>
      </c>
      <c r="KE26" s="30" t="s">
        <v>26</v>
      </c>
      <c r="KF26" s="30" t="s">
        <v>33</v>
      </c>
      <c r="KG26" s="30" t="s">
        <v>28</v>
      </c>
      <c r="KH26" s="30" t="str">
        <f>_xll.BDP(JZ26&amp;" Equity", "DS004")</f>
        <v>USD</v>
      </c>
      <c r="KI26" s="17" cm="1">
        <f t="array" ref="KI26">_xll.BDP(JZ26&amp;" Equity","PX_LAST")</f>
        <v>496.7</v>
      </c>
      <c r="KJ26" s="33">
        <f t="shared" si="101"/>
        <v>3.0446523684310361E-2</v>
      </c>
      <c r="KK26" s="33">
        <f t="shared" si="102"/>
        <v>2.8928892790189707E-2</v>
      </c>
      <c r="KM26" s="1" cm="1">
        <f t="array" ref="KM26">IF(KH26="USD",1,_xll.BDP(KH26&amp;"USD CURNCY","PX_LAST"))</f>
        <v>1</v>
      </c>
      <c r="KN26" s="18">
        <v>6086.9111989764797</v>
      </c>
      <c r="KO26" s="11">
        <f t="shared" si="103"/>
        <v>3023368.7925316175</v>
      </c>
      <c r="KP26" s="5"/>
      <c r="KQ26" s="11" cm="1">
        <f t="array" ref="KQ26">IF(KD26="Hong Kong",_xll.BDP(JZ26&amp;" Equity","PR414"),_xll.BDP(JZ26&amp;" Equity","PR090"))</f>
        <v>1</v>
      </c>
      <c r="KR26" s="11">
        <f t="shared" si="104"/>
        <v>496.7</v>
      </c>
      <c r="KS26" s="5">
        <f t="shared" si="105"/>
        <v>19.615235713668849</v>
      </c>
      <c r="KT26" s="8">
        <f t="shared" si="106"/>
        <v>3.1043749999999998E-2</v>
      </c>
      <c r="KU26" s="8">
        <f t="shared" si="107"/>
        <v>1.9615583108340218E-2</v>
      </c>
      <c r="KV26" s="5"/>
      <c r="KW26" s="21">
        <f t="shared" si="108"/>
        <v>16313.849329733443</v>
      </c>
      <c r="KX26" s="22">
        <f t="shared" si="109"/>
        <v>18377.899999999998</v>
      </c>
      <c r="LK26" s="64" t="s">
        <v>88</v>
      </c>
      <c r="LL26" s="66">
        <f>(LL24-LL25)*0.5%</f>
        <v>475</v>
      </c>
      <c r="LN26" s="1"/>
      <c r="LO26" s="26"/>
      <c r="LP26" s="11"/>
      <c r="LQ26" s="5"/>
      <c r="LR26" s="11"/>
      <c r="LS26" s="11"/>
      <c r="LT26" s="5"/>
      <c r="LU26" s="8"/>
      <c r="LV26" s="8"/>
      <c r="LW26" s="5"/>
      <c r="LX26" s="21"/>
      <c r="LY26" s="22"/>
      <c r="MA26" s="16" t="str" cm="1">
        <f t="array" ref="MA26">_xll.BDP(MB26&amp;" Equity","DS520")</f>
        <v>Pfizer Inc</v>
      </c>
      <c r="MB26" s="32" t="s">
        <v>311</v>
      </c>
      <c r="MC26" s="32" t="s">
        <v>337</v>
      </c>
      <c r="MD26" s="32" t="str" cm="1">
        <f t="array" ref="MD26">_xll.BDP(MB26&amp;" Equity", "ID_ISIN")</f>
        <v>US7170811035</v>
      </c>
      <c r="ME26" s="32"/>
      <c r="MF26" s="30" t="str">
        <f>_xll.BDP(MB26&amp;" Equity", "DS197")</f>
        <v>New York</v>
      </c>
      <c r="MG26" s="30" t="s">
        <v>26</v>
      </c>
      <c r="MH26" s="30" t="s">
        <v>33</v>
      </c>
      <c r="MI26" s="30" t="s">
        <v>28</v>
      </c>
      <c r="MJ26" s="30" t="str">
        <f>_xll.BDP(MB26&amp;" Equity", "DS004")</f>
        <v>USD</v>
      </c>
      <c r="MK26" s="17" cm="1">
        <f t="array" ref="MK26">_xll.BDP(MB26&amp;" Equity","PX_LAST")</f>
        <v>26.61</v>
      </c>
      <c r="ML26" s="33">
        <f t="shared" si="20"/>
        <v>2.9129107750786292E-2</v>
      </c>
      <c r="MM26" s="33">
        <f t="shared" si="21"/>
        <v>2.7655107350514102E-2</v>
      </c>
      <c r="MO26" s="1" cm="1">
        <f t="array" ref="MO26">IF(MJ26="USD",1,_xll.BDP(MJ26&amp;"USD CURNCY","PX_LAST"))</f>
        <v>1</v>
      </c>
      <c r="MP26" s="18">
        <v>196661.76464060601</v>
      </c>
      <c r="MQ26" s="11">
        <f t="shared" si="117"/>
        <v>5233169.5570865255</v>
      </c>
      <c r="MR26" s="5"/>
      <c r="MS26" s="11" cm="1">
        <f t="array" ref="MS26">IF(MF26="Hong Kong",_xll.BDP(MB26&amp;" Equity","PR414"),_xll.BDP(MB26&amp;" Equity","PR090"))</f>
        <v>1</v>
      </c>
      <c r="MT26" s="11">
        <f t="shared" si="118"/>
        <v>26.61</v>
      </c>
      <c r="MU26" s="5">
        <f t="shared" si="119"/>
        <v>350.29366705192081</v>
      </c>
      <c r="MV26" s="8">
        <f t="shared" si="120"/>
        <v>2.91046875E-2</v>
      </c>
      <c r="MW26" s="8">
        <f t="shared" si="121"/>
        <v>-8.383453072170477E-4</v>
      </c>
      <c r="MX26" s="5"/>
      <c r="MY26" s="21">
        <f t="shared" si="122"/>
        <v>913.51922714768727</v>
      </c>
      <c r="MZ26" s="22">
        <f t="shared" si="123"/>
        <v>984.56999999999994</v>
      </c>
      <c r="NB26" s="16" t="str" cm="1">
        <f t="array" ref="NB26">_xll.BDP(NC26&amp;" Equity","DS520")</f>
        <v>Sanofi SA</v>
      </c>
      <c r="NC26" s="32" t="s">
        <v>271</v>
      </c>
      <c r="ND26" s="32" t="s">
        <v>348</v>
      </c>
      <c r="NE26" s="32" t="str" cm="1">
        <f t="array" ref="NE26">_xll.BDP(NC26&amp;" Equity", "ID_ISIN")</f>
        <v>US80105N1054</v>
      </c>
      <c r="NF26" s="32"/>
      <c r="NG26" s="30" t="str">
        <f>_xll.BDP(NC26&amp;" Equity", "DS197")</f>
        <v>NASDAQ GS</v>
      </c>
      <c r="NH26" s="30" t="s">
        <v>26</v>
      </c>
      <c r="NI26" s="30" t="s">
        <v>33</v>
      </c>
      <c r="NJ26" s="30" t="s">
        <v>28</v>
      </c>
      <c r="NK26" s="30" t="str">
        <f>_xll.BDP(NC26&amp;" Equity", "DS004")</f>
        <v>USD</v>
      </c>
      <c r="NL26" s="17" cm="1">
        <f t="array" ref="NL26">_xll.BDP(NC26&amp;" Equity","PX_LAST")</f>
        <v>45</v>
      </c>
      <c r="NM26" s="33">
        <f t="shared" si="22"/>
        <v>3.7217873513336677E-2</v>
      </c>
      <c r="NN26" s="33">
        <f t="shared" si="23"/>
        <v>3.5330028134729845E-2</v>
      </c>
      <c r="NP26" s="1" cm="1">
        <f t="array" ref="NP26">IF(NK26="USD",1,_xll.BDP(NK26&amp;"USD CURNCY","PX_LAST"))</f>
        <v>1</v>
      </c>
      <c r="NQ26" s="18">
        <v>141390.968739192</v>
      </c>
      <c r="NR26" s="11">
        <f t="shared" si="124"/>
        <v>6362593.5932636401</v>
      </c>
      <c r="NS26" s="5"/>
      <c r="NT26" s="11" cm="1">
        <f t="array" ref="NT26">IF(NG26="Hong Kong",_xll.BDP(NC26&amp;" Equity","PR414"),_xll.BDP(NC26&amp;" Equity","PR090"))</f>
        <v>1</v>
      </c>
      <c r="NU26" s="11">
        <f t="shared" si="125"/>
        <v>45</v>
      </c>
      <c r="NV26" s="5">
        <f t="shared" si="126"/>
        <v>264.66043387261641</v>
      </c>
      <c r="NW26" s="8">
        <f t="shared" si="127"/>
        <v>3.7265624999999997E-2</v>
      </c>
      <c r="NX26" s="8">
        <f t="shared" si="128"/>
        <v>1.2830256582554433E-3</v>
      </c>
      <c r="NY26" s="5"/>
      <c r="NZ26" s="21">
        <f t="shared" si="129"/>
        <v>1209.0964838137427</v>
      </c>
      <c r="OA26" s="22">
        <f t="shared" si="130"/>
        <v>1665</v>
      </c>
      <c r="OC26" s="16" t="str" cm="1">
        <f t="array" ref="OC26">_xll.BDP(OD26&amp;" Equity","DS520")</f>
        <v>Roche Holding AG</v>
      </c>
      <c r="OD26" s="45" t="s">
        <v>70</v>
      </c>
      <c r="OE26" s="32" t="s">
        <v>71</v>
      </c>
      <c r="OF26" s="32" t="str" cm="1">
        <f t="array" ref="OF26">_xll.BDP(OD26&amp;" Equity", "ID_ISIN")</f>
        <v>CH0012032048</v>
      </c>
      <c r="OG26" s="45"/>
      <c r="OH26" s="30" t="str">
        <f>_xll.BDP(OD26&amp;" Equity", "DS197")</f>
        <v>SIX Swiss Ex</v>
      </c>
      <c r="OI26" s="30" t="s">
        <v>26</v>
      </c>
      <c r="OJ26" s="30" t="s">
        <v>61</v>
      </c>
      <c r="OK26" s="30" t="s">
        <v>28</v>
      </c>
      <c r="OL26" s="51" t="str">
        <f>_xll.BDP(OD26&amp;" Equity", "DS004")</f>
        <v>CHF</v>
      </c>
      <c r="OM26" s="17" cm="1">
        <f t="array" ref="OM26">_xll.BDP(OD26&amp;" Equity","PX_LAST")</f>
        <v>351.5</v>
      </c>
      <c r="ON26" s="33">
        <f t="shared" si="24"/>
        <v>4.156439235361177E-2</v>
      </c>
      <c r="OO26" s="33">
        <f t="shared" si="131"/>
        <v>3.9411649848210696E-2</v>
      </c>
      <c r="OQ26" s="1" cm="1">
        <f t="array" ref="OQ26">IF(OL26="EUR",1,_xll.BDP(OL26&amp;"EUR CURNCY","PX_LAST"))</f>
        <v>1.1032999999999999</v>
      </c>
      <c r="OR26" s="18">
        <v>19738.476800701301</v>
      </c>
      <c r="OS26" s="11">
        <f t="shared" si="132"/>
        <v>7654777.701156131</v>
      </c>
      <c r="OT26" s="5"/>
      <c r="OU26" s="11" cm="1">
        <f t="array" ref="OU26">IF(OH26="Hong Kong",_xll.BDP(OD26&amp;" Equity","PR414"),_xll.BDP(OD26&amp;" Equity","PR090"))</f>
        <v>1</v>
      </c>
      <c r="OV26" s="11">
        <f t="shared" si="133"/>
        <v>387.80994999999996</v>
      </c>
      <c r="OW26" s="5">
        <f t="shared" si="134"/>
        <v>34.296710420028596</v>
      </c>
      <c r="OX26" s="8">
        <f t="shared" si="135"/>
        <v>4.1204807187499998E-2</v>
      </c>
      <c r="OY26" s="8">
        <f t="shared" si="136"/>
        <v>-8.6512792741579858E-3</v>
      </c>
      <c r="OZ26" s="5"/>
      <c r="PA26" s="21">
        <f t="shared" si="137"/>
        <v>9330.3409009491006</v>
      </c>
      <c r="PB26" s="22">
        <f t="shared" si="138"/>
        <v>14348.968149999997</v>
      </c>
      <c r="PD26" s="16" t="str" cm="1">
        <f t="array" ref="PD26">_xll.BDP(PE26&amp;" Equity","DS520")</f>
        <v>NTT Inc</v>
      </c>
      <c r="PE26" s="32" t="s">
        <v>285</v>
      </c>
      <c r="PF26" s="32">
        <v>9432</v>
      </c>
      <c r="PG26" s="32" t="str" cm="1">
        <f t="array" ref="PG26">_xll.BDP(PE26&amp;" Equity", "ID_ISIN")</f>
        <v>JP3735400008</v>
      </c>
      <c r="PH26" s="32"/>
      <c r="PI26" s="30" t="str">
        <f>_xll.BDP(PE26&amp;" Equity", "DS197")</f>
        <v>Tokyo</v>
      </c>
      <c r="PJ26" s="30" t="s">
        <v>26</v>
      </c>
      <c r="PK26" s="71" t="s">
        <v>320</v>
      </c>
      <c r="PL26" s="30" t="s">
        <v>28</v>
      </c>
      <c r="PM26" s="30" t="str">
        <f>_xll.BDP(PE26&amp;" Equity", "DS004")</f>
        <v>JPY</v>
      </c>
      <c r="PN26" s="17" cm="1">
        <f t="array" ref="PN26">_xll.BDP(PE26&amp;" Equity","PX_LAST")</f>
        <v>151.6</v>
      </c>
      <c r="PO26" s="33">
        <f t="shared" si="25"/>
        <v>4.2906354009459267E-2</v>
      </c>
      <c r="PP26" s="33">
        <f t="shared" si="26"/>
        <v>4.0758821869470468E-2</v>
      </c>
      <c r="PR26" s="1">
        <v>1</v>
      </c>
      <c r="PS26" s="18">
        <v>54544.103636534601</v>
      </c>
      <c r="PT26" s="11">
        <f t="shared" si="139"/>
        <v>8268886.1112986449</v>
      </c>
      <c r="PU26" s="5"/>
      <c r="PV26" s="11" cm="1">
        <f t="array" ref="PV26">IF(PI26="Hong Kong",_xll.BDP(PE26&amp;" Equity","PR414"),_xll.BDP(PE26&amp;" Equity","PR090"))</f>
        <v>100</v>
      </c>
      <c r="PW26" s="11">
        <f t="shared" si="140"/>
        <v>15160</v>
      </c>
      <c r="PX26" s="5">
        <f t="shared" si="141"/>
        <v>0.90567501866932487</v>
      </c>
      <c r="PY26" s="8">
        <f t="shared" si="142"/>
        <v>4.7375E-2</v>
      </c>
      <c r="PZ26" s="8">
        <f t="shared" si="143"/>
        <v>0.1041488165029254</v>
      </c>
      <c r="QA26" s="5"/>
      <c r="QB26" s="21">
        <f t="shared" si="144"/>
        <v>353327.62128093612</v>
      </c>
      <c r="QC26" s="22">
        <f t="shared" si="145"/>
        <v>560920</v>
      </c>
      <c r="QE26" s="16" t="str" cm="1">
        <f t="array" ref="QE26">_xll.BDP(QF26&amp;" Equity","DS520")</f>
        <v>VeriSign Inc</v>
      </c>
      <c r="QF26" s="34" t="s">
        <v>618</v>
      </c>
      <c r="QG26" s="34"/>
      <c r="QH26" s="32" t="str" cm="1">
        <f t="array" ref="QH26">_xll.BDP(QF26&amp;" Equity", "ID_ISIN")</f>
        <v>US92343E1029</v>
      </c>
      <c r="QI26" s="34"/>
      <c r="QJ26" s="30" t="str">
        <f>_xll.BDP(QF26&amp;" Equity", "DS197")</f>
        <v>NASDAQ GS</v>
      </c>
      <c r="QK26" s="30" t="s">
        <v>26</v>
      </c>
      <c r="QL26" s="30"/>
      <c r="QM26" s="30" t="s">
        <v>28</v>
      </c>
      <c r="QN26" s="30" t="str">
        <f>_xll.BDP(QF26&amp;" Equity", "DS004")</f>
        <v>USD</v>
      </c>
      <c r="QO26" s="17" cm="1">
        <f t="array" ref="QO26">_xll.BDP(QF26&amp;" Equity","PX_LAST")</f>
        <v>238.7</v>
      </c>
      <c r="QP26" s="33">
        <f t="shared" si="27"/>
        <v>4.572163736541196E-2</v>
      </c>
      <c r="QQ26" s="33">
        <f t="shared" si="28"/>
        <v>4.3446711226818278E-2</v>
      </c>
      <c r="QS26" s="1" cm="1">
        <f t="array" ref="QS26">IF(QN26="USD",1,_xll.BDP(QN26&amp;"USD CURNCY","PX_LAST"))</f>
        <v>1</v>
      </c>
      <c r="QT26" s="18">
        <v>21851.512123730001</v>
      </c>
      <c r="QU26" s="11">
        <f t="shared" ref="QU26" si="224">QT26*QO26*QS26</f>
        <v>5215955.9439343512</v>
      </c>
      <c r="QV26" s="5"/>
      <c r="QW26" s="11" cm="1">
        <f t="array" ref="QW26">IF(QJ26="Hong Kong",_xll.BDP(QF26&amp;" Equity","PR414"),_xll.BDP(QF26&amp;" Equity","PR090"))</f>
        <v>1</v>
      </c>
      <c r="QX26" s="11">
        <f t="shared" ref="QX26" si="225">QW26*QS26*QO26</f>
        <v>238.7</v>
      </c>
      <c r="QY26" s="5">
        <f t="shared" ref="QY26" si="226">($AJ$3*QP26)/QX26</f>
        <v>61.29419336795906</v>
      </c>
      <c r="QZ26" s="8">
        <f t="shared" ref="QZ26" si="227">(ROUND(QY26,0)*QX26)/$AJ$3</f>
        <v>4.5502187499999999E-2</v>
      </c>
      <c r="RA26" s="8">
        <f t="shared" ref="RA26" si="228">QZ26/QP26-1</f>
        <v>-4.7996939317395126E-3</v>
      </c>
      <c r="RF26" s="16" t="str" cm="1">
        <f t="array" ref="RF26">_xll.BDP(RG26&amp;" Equity","DS520")</f>
        <v>Pegasystems Inc</v>
      </c>
      <c r="RG26" s="34" t="s">
        <v>691</v>
      </c>
      <c r="RH26" s="34"/>
      <c r="RI26" s="32" t="str" cm="1">
        <f t="array" ref="RI26">_xll.BDP(RG26&amp;" Equity", "ID_ISIN")</f>
        <v>US7055731035</v>
      </c>
      <c r="RJ26" s="34"/>
      <c r="RK26" s="30" t="str">
        <f>_xll.BDP(RG26&amp;" Equity", "DS197")</f>
        <v>NASDAQ GS</v>
      </c>
      <c r="RL26" s="30" t="s">
        <v>26</v>
      </c>
      <c r="RM26" s="30"/>
      <c r="RN26" s="30" t="s">
        <v>28</v>
      </c>
      <c r="RO26" s="30" t="str">
        <f>_xll.BDP(RG26&amp;" Equity", "DS004")</f>
        <v>USD</v>
      </c>
      <c r="RP26" s="17" cm="1">
        <f t="array" ref="RP26">_xll.BDP(RG26&amp;" Equity","PX_LAST")</f>
        <v>47.3</v>
      </c>
      <c r="RQ26" s="33">
        <f t="shared" si="153"/>
        <v>2.2333547752982921E-2</v>
      </c>
      <c r="RR26" s="33">
        <f t="shared" si="154"/>
        <v>2.1237234871012416E-2</v>
      </c>
      <c r="RT26" s="1" cm="1">
        <f t="array" ref="RT26">IF(RO26="USD",1,_xll.BDP(RO26&amp;"USD CURNCY","PX_LAST"))</f>
        <v>1</v>
      </c>
      <c r="RU26" s="18">
        <v>47580.706634528702</v>
      </c>
      <c r="RV26" s="11">
        <f t="shared" si="217"/>
        <v>2250567.4238132075</v>
      </c>
      <c r="RW26" s="5"/>
      <c r="RX26" s="11" cm="1">
        <f t="array" ref="RX26">IF(RK26="Hong Kong",_xll.BDP(RG26&amp;" Equity","PR414"),_xll.BDP(RG26&amp;" Equity","PR090"))</f>
        <v>1</v>
      </c>
      <c r="RY26" s="11">
        <f t="shared" si="218"/>
        <v>47.3</v>
      </c>
      <c r="RZ26" s="5">
        <f t="shared" si="219"/>
        <v>151.09376915337285</v>
      </c>
      <c r="SA26" s="8">
        <f t="shared" si="220"/>
        <v>2.2319687499999998E-2</v>
      </c>
      <c r="SB26" s="8">
        <f t="shared" si="221"/>
        <v>-6.2060238419003877E-4</v>
      </c>
      <c r="SC26" s="5"/>
      <c r="SD26" s="21">
        <f t="shared" si="222"/>
        <v>2117.8901141527099</v>
      </c>
      <c r="SE26" s="22">
        <f t="shared" si="223"/>
        <v>1750.1</v>
      </c>
    </row>
    <row r="27" spans="15:499" ht="15" thickBot="1" x14ac:dyDescent="0.25">
      <c r="O27" s="16" t="str" cm="1">
        <f t="array" ref="O27">_xll.BDP(P27&amp;" Equity","DS520")</f>
        <v>Roche Holding AG</v>
      </c>
      <c r="P27" s="32" t="s">
        <v>70</v>
      </c>
      <c r="Q27" s="32" t="s">
        <v>71</v>
      </c>
      <c r="R27" s="32" t="str" cm="1">
        <f t="array" ref="R27">_xll.BDP(P27&amp;" Equity", "ID_ISIN")</f>
        <v>CH0012032048</v>
      </c>
      <c r="S27" s="32"/>
      <c r="T27" s="30" t="str">
        <f>_xll.BDP(P27&amp;" Equity", "DS197")</f>
        <v>SIX Swiss Ex</v>
      </c>
      <c r="U27" s="30" t="s">
        <v>26</v>
      </c>
      <c r="V27" s="30" t="s">
        <v>61</v>
      </c>
      <c r="W27" s="30" t="s">
        <v>28</v>
      </c>
      <c r="X27" s="30" t="str">
        <f>_xll.BDP(P27&amp;" Equity", "DS004")</f>
        <v>CHF</v>
      </c>
      <c r="Y27" s="17" cm="1">
        <f t="array" ref="Y27">_xll.BDP(P27&amp;" Equity","PX_LAST")</f>
        <v>351.5</v>
      </c>
      <c r="Z27" s="33">
        <f t="shared" si="0"/>
        <v>2.7154083732930316E-2</v>
      </c>
      <c r="AA27" s="33">
        <f t="shared" si="1"/>
        <v>2.5797292132370604E-2</v>
      </c>
      <c r="AB27" s="4"/>
      <c r="AC27" s="1" cm="1">
        <f t="array" ref="AC27">IF(X27="USD",1,_xll.BDP(X27&amp;"USD CURNCY","PX_LAST"))</f>
        <v>1.2806</v>
      </c>
      <c r="AD27" s="18">
        <v>12414.308794991601</v>
      </c>
      <c r="AE27" s="11">
        <f t="shared" si="169"/>
        <v>5588063.9907674836</v>
      </c>
      <c r="AF27" s="5"/>
      <c r="AG27" s="11" cm="1">
        <f t="array" ref="AG27">IF(T27="Hong Kong",_xll.BDP(P27&amp;" Equity","PR414"),_xll.BDP(P27&amp;" Equity","PR090"))</f>
        <v>1</v>
      </c>
      <c r="AH27" s="11">
        <f t="shared" si="170"/>
        <v>450.1309</v>
      </c>
      <c r="AI27" s="5">
        <f t="shared" si="171"/>
        <v>19.303955348405765</v>
      </c>
      <c r="AJ27" s="8">
        <f t="shared" si="172"/>
        <v>2.6726522187500001E-2</v>
      </c>
      <c r="AK27" s="8">
        <f t="shared" si="173"/>
        <v>-1.5745754842458659E-2</v>
      </c>
      <c r="AL27" s="5"/>
      <c r="AM27" s="21">
        <f t="shared" si="174"/>
        <v>16576.913602653327</v>
      </c>
      <c r="AN27" s="22">
        <f t="shared" si="175"/>
        <v>16654.8433</v>
      </c>
      <c r="AP27" s="35" t="s">
        <v>81</v>
      </c>
      <c r="AQ27" s="36"/>
      <c r="AR27" s="36"/>
      <c r="AS27" s="36"/>
      <c r="AT27" s="36"/>
      <c r="AU27" s="36"/>
      <c r="AV27" s="36"/>
      <c r="AW27" s="36"/>
      <c r="AX27" s="36"/>
      <c r="AY27" s="36"/>
      <c r="AZ27" s="25" t="s">
        <v>81</v>
      </c>
      <c r="BA27" s="37">
        <f>SUM(BA6:BA26)</f>
        <v>0.99999999999999989</v>
      </c>
      <c r="BB27" s="37">
        <f>SUM(BB6:BB26)</f>
        <v>1.0000000000000002</v>
      </c>
      <c r="BD27" s="1"/>
      <c r="BE27" s="5"/>
      <c r="BF27" s="24">
        <f>SUM(BF6:BF26)</f>
        <v>164643825.91876665</v>
      </c>
      <c r="BG27" s="5"/>
      <c r="BH27" s="11"/>
      <c r="BI27" s="11"/>
      <c r="BJ27" s="40"/>
      <c r="BK27" s="19"/>
      <c r="BL27" s="20"/>
      <c r="BM27" s="5"/>
      <c r="BN27" s="21"/>
      <c r="BO27" s="22"/>
      <c r="CB27" s="64" t="s">
        <v>87</v>
      </c>
      <c r="CC27" s="66">
        <f>CC25+CC26</f>
        <v>5475</v>
      </c>
      <c r="DF27" s="1"/>
      <c r="DG27" s="26"/>
      <c r="DH27" s="46"/>
      <c r="DI27" s="26"/>
      <c r="DJ27" s="46"/>
      <c r="DK27" s="46"/>
      <c r="DL27" s="26"/>
      <c r="DM27" s="47"/>
      <c r="DN27" s="47"/>
      <c r="DO27" s="26"/>
      <c r="DP27" s="21"/>
      <c r="DQ27" s="22"/>
      <c r="DS27" s="35" t="s">
        <v>81</v>
      </c>
      <c r="DT27" s="50"/>
      <c r="DU27" s="50"/>
      <c r="DV27" s="50"/>
      <c r="DW27" s="50"/>
      <c r="DX27" s="36"/>
      <c r="DY27" s="36"/>
      <c r="DZ27" s="36"/>
      <c r="EA27" s="36"/>
      <c r="EB27" s="36"/>
      <c r="EC27" s="25" t="s">
        <v>81</v>
      </c>
      <c r="ED27" s="37">
        <v>1.0000000000000002</v>
      </c>
      <c r="EE27" s="37">
        <f>SUM(EE6:EE26)</f>
        <v>1.0000000000000002</v>
      </c>
      <c r="EG27" s="1"/>
      <c r="EH27" s="5"/>
      <c r="EI27" s="11">
        <f>SUM(EI6:EI26)</f>
        <v>165025646.62741354</v>
      </c>
      <c r="EJ27" s="5"/>
      <c r="EK27" s="11"/>
      <c r="EL27" s="11"/>
      <c r="EM27" s="40"/>
      <c r="EN27" s="19"/>
      <c r="EO27" s="20"/>
      <c r="EP27" s="5"/>
      <c r="EQ27" s="21"/>
      <c r="ER27" s="22"/>
      <c r="ET27" s="16" t="str" cm="1">
        <f t="array" ref="ET27">_xll.BDP(EU27&amp;" Equity","DS520")</f>
        <v>Travelers Cos Inc/The</v>
      </c>
      <c r="EU27" s="32" t="s">
        <v>1390</v>
      </c>
      <c r="EV27" s="32" t="s">
        <v>1394</v>
      </c>
      <c r="EW27" s="32" t="str" cm="1">
        <f t="array" ref="EW27">_xll.BDP(EU27&amp;" Equity", "ID_ISIN")</f>
        <v>US89417E1091</v>
      </c>
      <c r="EX27" s="32"/>
      <c r="EY27" s="30" t="str">
        <f>_xll.BDP(EU27&amp;" Equity", "DS197")</f>
        <v>New York</v>
      </c>
      <c r="EZ27" s="30" t="s">
        <v>26</v>
      </c>
      <c r="FA27" s="30" t="s">
        <v>33</v>
      </c>
      <c r="FB27" s="30" t="s">
        <v>28</v>
      </c>
      <c r="FC27" s="30" t="str">
        <f>_xll.BDP(EU27&amp;" Equity", "DS004")</f>
        <v>USD</v>
      </c>
      <c r="FD27" s="17" cm="1">
        <f t="array" ref="FD27">_xll.BDP(EU27&amp;" Equity","PX_LAST")</f>
        <v>306.64</v>
      </c>
      <c r="FE27" s="33">
        <f t="shared" si="10"/>
        <v>3.5719913068066378E-2</v>
      </c>
      <c r="FF27" s="33">
        <f t="shared" si="11"/>
        <v>3.3932973093146704E-2</v>
      </c>
      <c r="FH27" s="1" cm="1">
        <f t="array" ref="FH27">IF(FC27="USD",1,_xll.BDP(FC27&amp;"USD CURNCY","PX_LAST"))</f>
        <v>1</v>
      </c>
      <c r="FI27" s="18">
        <v>23870.901947060702</v>
      </c>
      <c r="FJ27" s="11">
        <f t="shared" si="64"/>
        <v>7319773.3730466934</v>
      </c>
      <c r="FK27" s="5"/>
      <c r="FL27" s="11" cm="1">
        <f t="array" ref="FL27">IF(EY27="Hong Kong",_xll.BDP(EU27&amp;" Equity","PR414"),_xll.BDP(EU27&amp;" Equity","PR090"))</f>
        <v>1</v>
      </c>
      <c r="FM27" s="11">
        <f t="shared" si="65"/>
        <v>306.64</v>
      </c>
      <c r="FN27" s="5">
        <f t="shared" si="66"/>
        <v>37.276194174867079</v>
      </c>
      <c r="FO27" s="8">
        <f t="shared" si="67"/>
        <v>3.5455250000000001E-2</v>
      </c>
      <c r="FP27" s="8">
        <f t="shared" si="68"/>
        <v>-7.4093984372819444E-3</v>
      </c>
      <c r="FQ27" s="5"/>
      <c r="FR27" s="21">
        <f t="shared" si="69"/>
        <v>8584.5673648667507</v>
      </c>
      <c r="FS27" s="22">
        <f t="shared" si="70"/>
        <v>11345.679999999998</v>
      </c>
      <c r="FU27" s="16" t="str" cm="1">
        <f t="array" ref="FU27">_xll.BDP(FV27&amp;" Equity","DS520")</f>
        <v>Samsung Electronics Co Ltd</v>
      </c>
      <c r="FV27" s="32" t="s">
        <v>200</v>
      </c>
      <c r="FW27" s="32" t="s">
        <v>417</v>
      </c>
      <c r="FX27" s="32" t="str" cm="1">
        <f t="array" ref="FX27">_xll.BDP(FV27&amp;" Equity", "ID_ISIN")</f>
        <v>US7960508882</v>
      </c>
      <c r="FY27" s="32"/>
      <c r="FZ27" s="30" t="str">
        <f>_xll.BDP(FV27&amp;" Equity", "DS197")</f>
        <v>London Intl</v>
      </c>
      <c r="GA27" s="30" t="s">
        <v>26</v>
      </c>
      <c r="GB27" s="30" t="s">
        <v>420</v>
      </c>
      <c r="GC27" s="30" t="s">
        <v>28</v>
      </c>
      <c r="GD27" s="30" t="str">
        <f>_xll.BDP(FV27&amp;" Equity", "DS004")</f>
        <v>USD</v>
      </c>
      <c r="GE27" s="17" cm="1">
        <f t="array" ref="GE27">_xll.BDP(FV27&amp;" Equity","PX_LAST")</f>
        <v>3124</v>
      </c>
      <c r="GF27" s="33">
        <f t="shared" si="12"/>
        <v>5.9258329586853335E-2</v>
      </c>
      <c r="GG27" s="33">
        <f t="shared" si="13"/>
        <v>5.629271693862415E-2</v>
      </c>
      <c r="GI27" s="1" cm="1">
        <f t="array" ref="GI27">IF(GD27="USD",1,_xll.BDP(GD27&amp;"USD CURNCY","PX_LAST"))</f>
        <v>1</v>
      </c>
      <c r="GJ27" s="18">
        <v>3926.47366824959</v>
      </c>
      <c r="GK27" s="11">
        <f t="shared" si="71"/>
        <v>12266303.739611719</v>
      </c>
      <c r="GL27" s="5"/>
      <c r="GM27" s="11" cm="1">
        <f t="array" ref="GM27">IF(FZ27="Hong Kong",_xll.BDP(FV27&amp;" Equity","PR414"),_xll.BDP(FV27&amp;" Equity","PR090"))</f>
        <v>1</v>
      </c>
      <c r="GN27" s="11">
        <f t="shared" si="72"/>
        <v>3124</v>
      </c>
      <c r="GO27" s="5">
        <f t="shared" si="73"/>
        <v>6.0699953482052074</v>
      </c>
      <c r="GP27" s="8">
        <f t="shared" si="74"/>
        <v>5.8575000000000002E-2</v>
      </c>
      <c r="GQ27" s="8">
        <f t="shared" si="75"/>
        <v>-1.153136768480445E-2</v>
      </c>
      <c r="GR27" s="5"/>
      <c r="GS27" s="21">
        <f t="shared" si="76"/>
        <v>52718.327056810427</v>
      </c>
      <c r="GT27" s="22">
        <f t="shared" si="77"/>
        <v>115588</v>
      </c>
      <c r="GV27" s="16" t="str" cm="1">
        <f t="array" ref="GV27">_xll.BDP(GW27&amp;" Equity","DS520")</f>
        <v>PetroChina Co Ltd</v>
      </c>
      <c r="GW27" s="32" t="s">
        <v>198</v>
      </c>
      <c r="GX27" s="32">
        <v>857</v>
      </c>
      <c r="GY27" s="32" t="str" cm="1">
        <f t="array" ref="GY27">_xll.BDP(GW27&amp;" Equity", "ID_ISIN")</f>
        <v>CNE1000003W8</v>
      </c>
      <c r="GZ27" s="32"/>
      <c r="HA27" s="30" t="str">
        <f>_xll.BDP(GW27&amp;" Equity", "DS197")</f>
        <v>Hong Kong</v>
      </c>
      <c r="HB27" s="30" t="s">
        <v>26</v>
      </c>
      <c r="HC27" s="30" t="s">
        <v>27</v>
      </c>
      <c r="HD27" s="30" t="s">
        <v>28</v>
      </c>
      <c r="HE27" s="30" t="str">
        <f>_xll.BDP(GW27&amp;" Equity", "DS004")</f>
        <v>HKD</v>
      </c>
      <c r="HF27" s="17" cm="1">
        <f t="array" ref="HF27">_xll.BDP(GW27&amp;" Equity","PX_LAST")</f>
        <v>10.29</v>
      </c>
      <c r="HG27" s="33">
        <f t="shared" si="14"/>
        <v>4.1006520481347307E-2</v>
      </c>
      <c r="HH27" s="33">
        <f t="shared" si="78"/>
        <v>3.8953103813177771E-2</v>
      </c>
      <c r="HJ27" s="1" cm="1">
        <f t="array" ref="HJ27">IF(HE27="USD",1,_xll.BDP(HE27&amp;"USD CURNCY","PX_LAST"))</f>
        <v>0.12784999999999999</v>
      </c>
      <c r="HK27" s="18">
        <v>5083562.20012963</v>
      </c>
      <c r="HL27" s="11">
        <f t="shared" si="79"/>
        <v>6687814.9667788371</v>
      </c>
      <c r="HM27" s="5"/>
      <c r="HN27" s="11" cm="1">
        <f t="array" ref="HN27">IF(HA27="Hong Kong",_xll.BDP(GW27&amp;" Equity","PR414"),_xll.BDP(GW27&amp;" Equity","PR090"))</f>
        <v>2000</v>
      </c>
      <c r="HO27" s="11">
        <f t="shared" si="80"/>
        <v>2631.1529999999998</v>
      </c>
      <c r="HP27" s="5">
        <f t="shared" si="81"/>
        <v>4.9872001187430532</v>
      </c>
      <c r="HQ27" s="8">
        <f t="shared" si="82"/>
        <v>4.1111765624999998E-2</v>
      </c>
      <c r="HR27" s="8">
        <f t="shared" si="83"/>
        <v>2.5665465496045314E-3</v>
      </c>
      <c r="HS27" s="5"/>
      <c r="HT27" s="21">
        <f t="shared" si="84"/>
        <v>64164.258979174694</v>
      </c>
      <c r="HU27" s="22">
        <f t="shared" si="85"/>
        <v>97352.660999999993</v>
      </c>
      <c r="HW27" s="16" t="str" cm="1">
        <f t="array" ref="HW27">_xll.BDP(HX27&amp;" Equity","DS520")</f>
        <v>China Development Bank Financial Leasing Co Ltd</v>
      </c>
      <c r="HX27" s="45" t="s">
        <v>208</v>
      </c>
      <c r="HY27" s="32">
        <v>1606</v>
      </c>
      <c r="HZ27" s="32" t="str" cm="1">
        <f t="array" ref="HZ27">_xll.BDP(HX27&amp;" Equity", "ID_ISIN")</f>
        <v>CNE1000027C9</v>
      </c>
      <c r="IA27" s="45"/>
      <c r="IB27" s="30" t="str">
        <f>_xll.BDP(HX27&amp;" Equity", "DS197")</f>
        <v>Hong Kong</v>
      </c>
      <c r="IC27" s="30" t="s">
        <v>26</v>
      </c>
      <c r="ID27" s="30" t="s">
        <v>27</v>
      </c>
      <c r="IE27" s="30" t="s">
        <v>28</v>
      </c>
      <c r="IF27" s="30" t="str">
        <f>_xll.BDP(HX27&amp;" Equity", "DS004")</f>
        <v>HKD</v>
      </c>
      <c r="IG27" s="17" cm="1">
        <f t="array" ref="IG27">_xll.BDP(HX27&amp;" Equity","PX_LAST")</f>
        <v>1.5</v>
      </c>
      <c r="IH27" s="33">
        <f t="shared" si="15"/>
        <v>4.468060399652167E-2</v>
      </c>
      <c r="II27" s="33">
        <f t="shared" si="16"/>
        <v>4.246943686814799E-2</v>
      </c>
      <c r="IK27" s="1">
        <v>1</v>
      </c>
      <c r="IL27" s="18">
        <v>5645858.5751395803</v>
      </c>
      <c r="IM27" s="11">
        <f t="shared" si="183"/>
        <v>8468787.8627093695</v>
      </c>
      <c r="IN27" s="5"/>
      <c r="IO27" s="11" cm="1">
        <f t="array" ref="IO27">IF(IB27="Hong Kong",_xll.BDP(HX27&amp;" Equity","PR414"),_xll.BDP(HX27&amp;" Equity","PR090"))</f>
        <v>2000</v>
      </c>
      <c r="IP27" s="11">
        <f t="shared" si="184"/>
        <v>3000</v>
      </c>
      <c r="IQ27" s="5">
        <f t="shared" si="185"/>
        <v>4.7659310929623118</v>
      </c>
      <c r="IR27" s="8">
        <f t="shared" si="186"/>
        <v>4.6875E-2</v>
      </c>
      <c r="IS27" s="8">
        <f t="shared" si="187"/>
        <v>4.9112944033817385E-2</v>
      </c>
      <c r="IT27" s="5"/>
      <c r="IU27" s="21">
        <f t="shared" si="188"/>
        <v>67143.228418164319</v>
      </c>
      <c r="IV27" s="22">
        <f t="shared" si="189"/>
        <v>111000</v>
      </c>
      <c r="IX27" s="16" t="str" cm="1">
        <f t="array" ref="IX27">_xll.BDP(IY27&amp;" Equity","DS520")</f>
        <v>Texas Instruments Inc</v>
      </c>
      <c r="IY27" s="32" t="s">
        <v>693</v>
      </c>
      <c r="IZ27" s="32" t="s">
        <v>699</v>
      </c>
      <c r="JA27" s="32" t="str" cm="1">
        <f t="array" ref="JA27">_xll.BDP(IY27&amp;" Equity", "ID_ISIN")</f>
        <v>US8825081040</v>
      </c>
      <c r="JB27" s="32"/>
      <c r="JC27" s="30" t="str">
        <f>_xll.BDP(IY27&amp;" Equity", "DS197")</f>
        <v>NASDAQ GS</v>
      </c>
      <c r="JD27" s="30" t="s">
        <v>26</v>
      </c>
      <c r="JE27" s="30" t="s">
        <v>33</v>
      </c>
      <c r="JF27" s="30" t="s">
        <v>28</v>
      </c>
      <c r="JG27" s="30" t="str">
        <f>_xll.BDP(IY27&amp;" Equity", "DS004")</f>
        <v>USD</v>
      </c>
      <c r="JH27" s="17" cm="1">
        <f t="array" ref="JH27">_xll.BDP(IY27&amp;" Equity","PX_LAST")</f>
        <v>197.98</v>
      </c>
      <c r="JI27" s="33">
        <f t="shared" si="93"/>
        <v>3.7432571552524531E-2</v>
      </c>
      <c r="JJ27" s="33">
        <f t="shared" si="17"/>
        <v>3.5559031450526413E-2</v>
      </c>
      <c r="JL27" s="1" cm="1">
        <f t="array" ref="JL27">IF(JG27="USD",1,_xll.BDP(JG27&amp;"USD CURNCY","PX_LAST"))</f>
        <v>1</v>
      </c>
      <c r="JM27" s="18">
        <v>23065.920339808301</v>
      </c>
      <c r="JN27" s="11">
        <f t="shared" si="94"/>
        <v>4566590.9088752475</v>
      </c>
      <c r="JO27" s="5"/>
      <c r="JP27" s="11" cm="1">
        <f t="array" ref="JP27">IF(JC27="Hong Kong",_xll.BDP(IY27&amp;" Equity","PR414"),_xll.BDP(IY27&amp;" Equity","PR090"))</f>
        <v>1</v>
      </c>
      <c r="JQ27" s="11">
        <f t="shared" si="95"/>
        <v>197.98</v>
      </c>
      <c r="JR27" s="5">
        <f t="shared" si="96"/>
        <v>60.503196771430702</v>
      </c>
      <c r="JS27" s="8">
        <f t="shared" si="97"/>
        <v>3.7739937499999994E-2</v>
      </c>
      <c r="JT27" s="8">
        <f t="shared" si="98"/>
        <v>8.2111897400416467E-3</v>
      </c>
      <c r="JU27" s="5"/>
      <c r="JV27" s="21">
        <f t="shared" si="99"/>
        <v>5288.9767330625136</v>
      </c>
      <c r="JW27" s="22">
        <f t="shared" si="100"/>
        <v>7325.2599999999993</v>
      </c>
      <c r="JY27" s="16" t="str" cm="1">
        <f t="array" ref="JY27">_xll.BDP(JZ27&amp;" Equity","DS520")</f>
        <v>IQVIA Holdings Inc</v>
      </c>
      <c r="JZ27" s="32" t="s">
        <v>99</v>
      </c>
      <c r="KA27" s="32" t="s">
        <v>399</v>
      </c>
      <c r="KB27" s="32" t="str" cm="1">
        <f t="array" ref="KB27">_xll.BDP(JZ27&amp;" Equity", "ID_ISIN")</f>
        <v>US46266C1053</v>
      </c>
      <c r="KC27" s="32"/>
      <c r="KD27" s="30" t="str">
        <f>_xll.BDP(JZ27&amp;" Equity", "DS197")</f>
        <v>New York</v>
      </c>
      <c r="KE27" s="30" t="s">
        <v>26</v>
      </c>
      <c r="KF27" s="30" t="s">
        <v>33</v>
      </c>
      <c r="KG27" s="30" t="s">
        <v>28</v>
      </c>
      <c r="KH27" s="30" t="str">
        <f>_xll.BDP(JZ27&amp;" Equity", "DS004")</f>
        <v>USD</v>
      </c>
      <c r="KI27" s="17" cm="1">
        <f t="array" ref="KI27">_xll.BDP(JZ27&amp;" Equity","PX_LAST")</f>
        <v>178.5</v>
      </c>
      <c r="KJ27" s="33">
        <f t="shared" si="101"/>
        <v>2.7988113407781685E-2</v>
      </c>
      <c r="KK27" s="33">
        <f t="shared" si="102"/>
        <v>2.6593023905406396E-2</v>
      </c>
      <c r="KM27" s="1" cm="1">
        <f t="array" ref="KM27">IF(KH27="USD",1,_xll.BDP(KH27&amp;"USD CURNCY","PX_LAST"))</f>
        <v>1</v>
      </c>
      <c r="KN27" s="18">
        <v>15570.007345739201</v>
      </c>
      <c r="KO27" s="11">
        <f t="shared" si="103"/>
        <v>2779246.3112144475</v>
      </c>
      <c r="KP27" s="5"/>
      <c r="KQ27" s="11" cm="1">
        <f t="array" ref="KQ27">IF(KD27="Hong Kong",_xll.BDP(JZ27&amp;" Equity","PR414"),_xll.BDP(JZ27&amp;" Equity","PR090"))</f>
        <v>1</v>
      </c>
      <c r="KR27" s="11">
        <f t="shared" si="104"/>
        <v>178.5</v>
      </c>
      <c r="KS27" s="5">
        <f t="shared" si="105"/>
        <v>50.174769134398538</v>
      </c>
      <c r="KT27" s="8">
        <f t="shared" si="106"/>
        <v>2.7890624999999999E-2</v>
      </c>
      <c r="KU27" s="8">
        <f t="shared" si="107"/>
        <v>-3.4832075446207256E-3</v>
      </c>
      <c r="KV27" s="5"/>
      <c r="KW27" s="21">
        <f t="shared" si="108"/>
        <v>6377.7074717144278</v>
      </c>
      <c r="KX27" s="22">
        <f t="shared" si="109"/>
        <v>6604.5</v>
      </c>
      <c r="LK27" s="64" t="s">
        <v>87</v>
      </c>
      <c r="LL27" s="66">
        <f>LL25+LL26</f>
        <v>5475</v>
      </c>
      <c r="LN27" s="1"/>
      <c r="LO27" s="26"/>
      <c r="LP27" s="11"/>
      <c r="LQ27" s="5"/>
      <c r="LR27" s="11"/>
      <c r="LS27" s="11"/>
      <c r="LT27" s="5"/>
      <c r="LU27" s="8"/>
      <c r="LV27" s="8"/>
      <c r="LW27" s="5"/>
      <c r="LX27" s="21"/>
      <c r="LY27" s="22"/>
      <c r="MA27" s="16" t="str" cm="1">
        <f t="array" ref="MA27">_xll.BDP(MB27&amp;" Equity","DS520")</f>
        <v>Progressive Corp/The</v>
      </c>
      <c r="MB27" s="32" t="s">
        <v>171</v>
      </c>
      <c r="MC27" s="32" t="s">
        <v>429</v>
      </c>
      <c r="MD27" s="32" t="str" cm="1">
        <f t="array" ref="MD27">_xll.BDP(MB27&amp;" Equity", "ID_ISIN")</f>
        <v>US7433151039</v>
      </c>
      <c r="ME27" s="32"/>
      <c r="MF27" s="30" t="str">
        <f>_xll.BDP(MB27&amp;" Equity", "DS197")</f>
        <v>New York</v>
      </c>
      <c r="MG27" s="30" t="s">
        <v>26</v>
      </c>
      <c r="MH27" s="30" t="s">
        <v>33</v>
      </c>
      <c r="MI27" s="30" t="s">
        <v>28</v>
      </c>
      <c r="MJ27" s="30" t="str">
        <f>_xll.BDP(MB27&amp;" Equity", "DS004")</f>
        <v>USD</v>
      </c>
      <c r="MK27" s="17" cm="1">
        <f t="array" ref="MK27">_xll.BDP(MB27&amp;" Equity","PX_LAST")</f>
        <v>210.58</v>
      </c>
      <c r="ML27" s="33">
        <f t="shared" si="20"/>
        <v>2.983124235460979E-2</v>
      </c>
      <c r="MM27" s="33">
        <f t="shared" si="21"/>
        <v>2.8321712315189873E-2</v>
      </c>
      <c r="MO27" s="1" cm="1">
        <f t="array" ref="MO27">IF(MJ27="USD",1,_xll.BDP(MJ27&amp;"USD CURNCY","PX_LAST"))</f>
        <v>1</v>
      </c>
      <c r="MP27" s="18">
        <v>25450.237724949799</v>
      </c>
      <c r="MQ27" s="11">
        <f t="shared" si="117"/>
        <v>5359311.0601199288</v>
      </c>
      <c r="MR27" s="5"/>
      <c r="MS27" s="11" cm="1">
        <f t="array" ref="MS27">IF(MF27="Hong Kong",_xll.BDP(MB27&amp;" Equity","PR414"),_xll.BDP(MB27&amp;" Equity","PR090"))</f>
        <v>1</v>
      </c>
      <c r="MT27" s="11">
        <f t="shared" si="118"/>
        <v>210.58</v>
      </c>
      <c r="MU27" s="5">
        <f t="shared" si="119"/>
        <v>45.331928737178892</v>
      </c>
      <c r="MV27" s="8">
        <f t="shared" si="120"/>
        <v>2.9612812500000002E-2</v>
      </c>
      <c r="MW27" s="8">
        <f t="shared" si="121"/>
        <v>-7.3221843064150693E-3</v>
      </c>
      <c r="MX27" s="5"/>
      <c r="MY27" s="21">
        <f t="shared" si="122"/>
        <v>7059.0422449321595</v>
      </c>
      <c r="MZ27" s="22">
        <f t="shared" si="123"/>
        <v>7791.46</v>
      </c>
      <c r="NB27" s="16" t="str" cm="1">
        <f t="array" ref="NB27">_xll.BDP(NC27&amp;" Equity","DS520")</f>
        <v>Shell PLC</v>
      </c>
      <c r="NC27" s="32" t="s">
        <v>711</v>
      </c>
      <c r="ND27" s="32" t="s">
        <v>154</v>
      </c>
      <c r="NE27" s="32" t="str" cm="1">
        <f t="array" ref="NE27">_xll.BDP(NC27&amp;" Equity", "ID_ISIN")</f>
        <v>US7802593050</v>
      </c>
      <c r="NF27" s="32"/>
      <c r="NG27" s="30" t="str">
        <f>_xll.BDP(NC27&amp;" Equity", "DS197")</f>
        <v>New York</v>
      </c>
      <c r="NH27" s="30" t="s">
        <v>26</v>
      </c>
      <c r="NI27" s="30" t="s">
        <v>33</v>
      </c>
      <c r="NJ27" s="30" t="s">
        <v>28</v>
      </c>
      <c r="NK27" s="30" t="str">
        <f>_xll.BDP(NC27&amp;" Equity", "DS004")</f>
        <v>USD</v>
      </c>
      <c r="NL27" s="17" cm="1">
        <f t="array" ref="NL27">_xll.BDP(NC27&amp;" Equity","PX_LAST")</f>
        <v>82.94</v>
      </c>
      <c r="NM27" s="33">
        <f t="shared" si="22"/>
        <v>4.0205321876608455E-2</v>
      </c>
      <c r="NN27" s="33">
        <f t="shared" si="23"/>
        <v>3.8165940688616694E-2</v>
      </c>
      <c r="NP27" s="1" cm="1">
        <f t="array" ref="NP27">IF(NK27="USD",1,_xll.BDP(NK27&amp;"USD CURNCY","PX_LAST"))</f>
        <v>1</v>
      </c>
      <c r="NQ27" s="18">
        <v>82870.916247739195</v>
      </c>
      <c r="NR27" s="11">
        <f t="shared" si="124"/>
        <v>6873313.7935874891</v>
      </c>
      <c r="NS27" s="5"/>
      <c r="NT27" s="11" cm="1">
        <f t="array" ref="NT27">IF(NG27="Hong Kong",_xll.BDP(NC27&amp;" Equity","PR414"),_xll.BDP(NC27&amp;" Equity","PR090"))</f>
        <v>1</v>
      </c>
      <c r="NU27" s="11">
        <f t="shared" si="125"/>
        <v>82.94</v>
      </c>
      <c r="NV27" s="5">
        <f t="shared" si="126"/>
        <v>155.12060526301792</v>
      </c>
      <c r="NW27" s="8">
        <f t="shared" si="127"/>
        <v>4.0174062499999996E-2</v>
      </c>
      <c r="NX27" s="8">
        <f t="shared" si="128"/>
        <v>-7.7749350457623212E-4</v>
      </c>
      <c r="NY27" s="5"/>
      <c r="NZ27" s="21">
        <f t="shared" si="129"/>
        <v>2062.9109811518429</v>
      </c>
      <c r="OA27" s="22">
        <f t="shared" si="130"/>
        <v>3068.7799999999997</v>
      </c>
      <c r="OC27" s="16" t="str" cm="1">
        <f t="array" ref="OC27">_xll.BDP(OD27&amp;" Equity","DS520")</f>
        <v>Sanofi SA</v>
      </c>
      <c r="OD27" s="32" t="s">
        <v>103</v>
      </c>
      <c r="OE27" s="32" t="s">
        <v>338</v>
      </c>
      <c r="OF27" s="32" t="str" cm="1">
        <f t="array" ref="OF27">_xll.BDP(OD27&amp;" Equity", "ID_ISIN")</f>
        <v>FR0000120578</v>
      </c>
      <c r="OG27" s="32"/>
      <c r="OH27" s="30" t="str">
        <f>_xll.BDP(OD27&amp;" Equity", "DS197")</f>
        <v>EN Paris</v>
      </c>
      <c r="OI27" s="30" t="s">
        <v>26</v>
      </c>
      <c r="OJ27" s="30" t="s">
        <v>39</v>
      </c>
      <c r="OK27" s="30" t="s">
        <v>28</v>
      </c>
      <c r="OL27" s="30" t="str">
        <f>_xll.BDP(OD27&amp;" Equity", "DS004")</f>
        <v>EUR</v>
      </c>
      <c r="OM27" s="17" cm="1">
        <f t="array" ref="OM27">_xll.BDP(OD27&amp;" Equity","PX_LAST")</f>
        <v>77.73</v>
      </c>
      <c r="ON27" s="33">
        <f t="shared" si="24"/>
        <v>3.0132278219358818E-2</v>
      </c>
      <c r="OO27" s="33">
        <f t="shared" si="131"/>
        <v>2.8571638632581647E-2</v>
      </c>
      <c r="OQ27" s="1" cm="1">
        <f t="array" ref="OQ27">IF(OL27="EUR",1,_xll.BDP(OL27&amp;"EUR CURNCY","PX_LAST"))</f>
        <v>1</v>
      </c>
      <c r="OR27" s="18">
        <v>71392.805453820896</v>
      </c>
      <c r="OS27" s="11">
        <f t="shared" si="132"/>
        <v>5549362.767925499</v>
      </c>
      <c r="OT27" s="5"/>
      <c r="OU27" s="11" cm="1">
        <f t="array" ref="OU27">IF(OH27="Hong Kong",_xll.BDP(OD27&amp;" Equity","PR414"),_xll.BDP(OD27&amp;" Equity","PR090"))</f>
        <v>1</v>
      </c>
      <c r="OV27" s="11">
        <f t="shared" si="133"/>
        <v>77.73</v>
      </c>
      <c r="OW27" s="5">
        <f t="shared" si="134"/>
        <v>124.04900334741826</v>
      </c>
      <c r="OX27" s="8">
        <f t="shared" si="135"/>
        <v>3.0120375000000001E-2</v>
      </c>
      <c r="OY27" s="8">
        <f t="shared" si="136"/>
        <v>-3.9503217354364129E-4</v>
      </c>
      <c r="OZ27" s="5"/>
      <c r="PA27" s="21">
        <f t="shared" si="137"/>
        <v>2579.625723423113</v>
      </c>
      <c r="PB27" s="22">
        <f t="shared" si="138"/>
        <v>2876.0099999999998</v>
      </c>
      <c r="PD27" s="16" t="str" cm="1">
        <f t="array" ref="PD27">_xll.BDP(PE27&amp;" Equity","DS520")</f>
        <v>KDDI Corp</v>
      </c>
      <c r="PE27" s="32" t="s">
        <v>284</v>
      </c>
      <c r="PF27" s="32">
        <v>9433</v>
      </c>
      <c r="PG27" s="32" t="str" cm="1">
        <f t="array" ref="PG27">_xll.BDP(PE27&amp;" Equity", "ID_ISIN")</f>
        <v>JP3496400007</v>
      </c>
      <c r="PH27" s="32"/>
      <c r="PI27" s="30" t="str">
        <f>_xll.BDP(PE27&amp;" Equity", "DS197")</f>
        <v>Tokyo</v>
      </c>
      <c r="PJ27" s="30" t="s">
        <v>26</v>
      </c>
      <c r="PK27" s="71" t="s">
        <v>320</v>
      </c>
      <c r="PL27" s="30" t="s">
        <v>28</v>
      </c>
      <c r="PM27" s="30" t="str">
        <f>_xll.BDP(PE27&amp;" Equity", "DS004")</f>
        <v>JPY</v>
      </c>
      <c r="PN27" s="17" cm="1">
        <f t="array" ref="PN27">_xll.BDP(PE27&amp;" Equity","PX_LAST")</f>
        <v>2662</v>
      </c>
      <c r="PO27" s="33">
        <f t="shared" si="25"/>
        <v>4.2995037180871318E-2</v>
      </c>
      <c r="PP27" s="33">
        <f t="shared" si="26"/>
        <v>4.0843066305285419E-2</v>
      </c>
      <c r="PR27" s="1">
        <v>1</v>
      </c>
      <c r="PS27" s="18">
        <v>3112.6886091126798</v>
      </c>
      <c r="PT27" s="11">
        <f t="shared" si="139"/>
        <v>8285977.0774579542</v>
      </c>
      <c r="PU27" s="5"/>
      <c r="PV27" s="11" cm="1">
        <f t="array" ref="PV27">IF(PI27="Hong Kong",_xll.BDP(PE27&amp;" Equity","PR414"),_xll.BDP(PE27&amp;" Equity","PR090"))</f>
        <v>100</v>
      </c>
      <c r="PW27" s="11">
        <f t="shared" si="140"/>
        <v>266200</v>
      </c>
      <c r="PX27" s="5">
        <f t="shared" si="141"/>
        <v>5.1684492478883626E-2</v>
      </c>
      <c r="PY27" s="8">
        <f t="shared" si="142"/>
        <v>0</v>
      </c>
      <c r="PZ27" s="8">
        <f t="shared" si="143"/>
        <v>-1</v>
      </c>
      <c r="QA27" s="5"/>
      <c r="QB27" s="21">
        <f t="shared" si="144"/>
        <v>6191412.2525386149</v>
      </c>
      <c r="QC27" s="22">
        <f t="shared" si="145"/>
        <v>9849400</v>
      </c>
      <c r="QE27" s="16" t="str" cm="1">
        <f t="array" ref="QE27">_xll.BDP(QF27&amp;" Curncy","DS520")</f>
        <v>USDUSD Spot Exchange Rate - Price of 1 USD in USD</v>
      </c>
      <c r="QF27" s="32" t="s">
        <v>34</v>
      </c>
      <c r="QG27" s="32"/>
      <c r="QH27" s="32"/>
      <c r="QI27" s="32"/>
      <c r="QJ27" s="30"/>
      <c r="QK27" s="30"/>
      <c r="QL27" s="30"/>
      <c r="QM27" s="30"/>
      <c r="QN27" s="30" t="str">
        <f>_xll.BDP(QF27&amp;" Curncy", "DS004")</f>
        <v>USD</v>
      </c>
      <c r="QO27" s="17" cm="1">
        <f t="array" ref="QO27">_xll.BDP(QF27&amp;" Curncy","PX_LAST")</f>
        <v>1</v>
      </c>
      <c r="QP27" s="33">
        <f t="shared" si="27"/>
        <v>5.2554842637128644E-3</v>
      </c>
      <c r="QQ27" s="33">
        <f>QQ34</f>
        <v>5.475E-2</v>
      </c>
      <c r="QS27" s="1" cm="1">
        <f t="array" ref="QS27">IF(QN27="USD",1,_xll.BDP(QN27&amp;"USD CURNCY","PX_LAST"))</f>
        <v>1</v>
      </c>
      <c r="QT27" s="18">
        <v>599549.27170442499</v>
      </c>
      <c r="QU27" s="11">
        <f>QT27*QO27*QS27</f>
        <v>599549.27170442499</v>
      </c>
      <c r="QV27" s="5"/>
      <c r="QW27" s="11">
        <v>1</v>
      </c>
      <c r="QX27" s="11">
        <f t="shared" ref="QX27" si="229">QW27*QS27*QO27</f>
        <v>1</v>
      </c>
      <c r="QY27" s="5">
        <f t="shared" ref="QY27" si="230">($AJ$3*QP27)/QX27</f>
        <v>1681.7549643881166</v>
      </c>
      <c r="QZ27" s="8">
        <f t="shared" ref="QZ27" si="231">(ROUND(QY27,0)*QX27)/$AJ$3</f>
        <v>5.2562499999999996E-3</v>
      </c>
      <c r="RA27" s="8">
        <f t="shared" ref="RA27" si="232">QZ27/QP27-1</f>
        <v>1.4570232707611375E-4</v>
      </c>
      <c r="RB27" s="5"/>
      <c r="RC27" s="21">
        <f t="shared" ref="RC27" si="233">IFERROR(QX27/QP27,0)</f>
        <v>190.27742255925349</v>
      </c>
      <c r="RD27" s="22">
        <f t="shared" ref="RD27" si="234">QX27/(1/COUNTA($P$6:$P$77))</f>
        <v>37</v>
      </c>
      <c r="RF27" s="16" t="str" cm="1">
        <f t="array" ref="RF27">_xll.BDP(RG27&amp;" Equity","DS520")</f>
        <v>Procure Space ETF</v>
      </c>
      <c r="RG27" s="34" t="s">
        <v>1312</v>
      </c>
      <c r="RH27" s="34"/>
      <c r="RI27" s="32" t="str" cm="1">
        <f t="array" ref="RI27">_xll.BDP(RG27&amp;" Equity", "ID_ISIN")</f>
        <v>US74280R2058</v>
      </c>
      <c r="RJ27" s="34"/>
      <c r="RK27" s="30" t="str">
        <f>_xll.BDP(RG27&amp;" Equity", "DS197")</f>
        <v>NASDAQ GM</v>
      </c>
      <c r="RL27" s="30" t="s">
        <v>26</v>
      </c>
      <c r="RM27" s="30"/>
      <c r="RN27" s="30" t="s">
        <v>28</v>
      </c>
      <c r="RO27" s="30" t="str">
        <f>_xll.BDP(RG27&amp;" Equity", "DS004")</f>
        <v>USD</v>
      </c>
      <c r="RP27" s="17" cm="1">
        <f t="array" ref="RP27">_xll.BDP(RG27&amp;" Equity","PX_LAST")</f>
        <v>44.9</v>
      </c>
      <c r="RQ27" s="33">
        <f t="shared" si="153"/>
        <v>3.2740165622842578E-2</v>
      </c>
      <c r="RR27" s="33">
        <f t="shared" si="154"/>
        <v>3.1133010963530723E-2</v>
      </c>
      <c r="RT27" s="1" cm="1">
        <f t="array" ref="RT27">IF(RO27="USD",1,_xll.BDP(RO27&amp;"USD CURNCY","PX_LAST"))</f>
        <v>1</v>
      </c>
      <c r="RU27" s="18">
        <v>73479.948253557493</v>
      </c>
      <c r="RV27" s="11">
        <f t="shared" si="217"/>
        <v>3299249.6765847313</v>
      </c>
      <c r="RW27" s="5"/>
      <c r="RX27" s="11" cm="1">
        <f t="array" ref="RX27">IF(RK27="Hong Kong",_xll.BDP(RG27&amp;" Equity","PR414"),_xll.BDP(RG27&amp;" Equity","PR090"))</f>
        <v>1</v>
      </c>
      <c r="RY27" s="11">
        <f t="shared" si="218"/>
        <v>44.9</v>
      </c>
      <c r="RZ27" s="5">
        <f t="shared" si="219"/>
        <v>233.337483280838</v>
      </c>
      <c r="SA27" s="8">
        <f t="shared" si="220"/>
        <v>3.2692812499999994E-2</v>
      </c>
      <c r="SB27" s="8">
        <f t="shared" si="221"/>
        <v>-1.4463311941691481E-3</v>
      </c>
      <c r="SC27" s="5"/>
      <c r="SD27" s="21">
        <f t="shared" si="222"/>
        <v>1371.4041803341884</v>
      </c>
      <c r="SE27" s="22">
        <f t="shared" si="223"/>
        <v>1661.3</v>
      </c>
    </row>
    <row r="28" spans="15:499" ht="15" thickBot="1" x14ac:dyDescent="0.25">
      <c r="O28" s="16" t="str" cm="1">
        <f t="array" ref="O28">_xll.BDP(P28&amp;" Equity","DS520")</f>
        <v>LVMH Moet Hennessy Louis Vuitton SE</v>
      </c>
      <c r="P28" s="32" t="s">
        <v>1388</v>
      </c>
      <c r="Q28" s="32" t="s">
        <v>1392</v>
      </c>
      <c r="R28" s="32" t="str" cm="1">
        <f t="array" ref="R28">_xll.BDP(P28&amp;" Equity", "ID_ISIN")</f>
        <v>FR0000121014</v>
      </c>
      <c r="S28" s="32"/>
      <c r="T28" s="30" t="str">
        <f>_xll.BDP(P28&amp;" Equity", "DS197")</f>
        <v>EN Paris</v>
      </c>
      <c r="U28" s="30" t="s">
        <v>26</v>
      </c>
      <c r="V28" s="30" t="s">
        <v>39</v>
      </c>
      <c r="W28" s="30" t="s">
        <v>28</v>
      </c>
      <c r="X28" s="30" t="str">
        <f>_xll.BDP(P28&amp;" Equity", "DS004")</f>
        <v>EUR</v>
      </c>
      <c r="Y28" s="17" cm="1">
        <f t="array" ref="Y28">_xll.BDP(P28&amp;" Equity","PX_LAST")</f>
        <v>505.8</v>
      </c>
      <c r="Z28" s="33">
        <f t="shared" si="0"/>
        <v>2.5377217536051159E-2</v>
      </c>
      <c r="AA28" s="33">
        <f t="shared" si="1"/>
        <v>2.4109209528963262E-2</v>
      </c>
      <c r="AB28" s="4"/>
      <c r="AC28" s="1" cm="1">
        <f t="array" ref="AC28">IF(X28="USD",1,_xll.BDP(X28&amp;"USD CURNCY","PX_LAST"))</f>
        <v>1.1607000000000001</v>
      </c>
      <c r="AD28" s="18">
        <v>8895.5214432864705</v>
      </c>
      <c r="AE28" s="11">
        <f t="shared" si="169"/>
        <v>5222401.0536987949</v>
      </c>
      <c r="AF28" s="5"/>
      <c r="AG28" s="11" cm="1">
        <f t="array" ref="AG28">IF(T28="Hong Kong",_xll.BDP(P28&amp;" Equity","PR414"),_xll.BDP(P28&amp;" Equity","PR090"))</f>
        <v>1</v>
      </c>
      <c r="AH28" s="11">
        <f t="shared" si="170"/>
        <v>587.08206000000007</v>
      </c>
      <c r="AI28" s="5">
        <f t="shared" si="171"/>
        <v>13.832324584294689</v>
      </c>
      <c r="AJ28" s="8">
        <f t="shared" si="172"/>
        <v>2.5684840125000004E-2</v>
      </c>
      <c r="AK28" s="8">
        <f t="shared" si="173"/>
        <v>1.2121998344059248E-2</v>
      </c>
      <c r="AL28" s="5"/>
      <c r="AM28" s="21">
        <f t="shared" si="174"/>
        <v>23134.217105007068</v>
      </c>
      <c r="AN28" s="22">
        <f t="shared" si="175"/>
        <v>21722.036220000002</v>
      </c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41"/>
      <c r="BA28" s="42"/>
      <c r="BB28" s="42"/>
      <c r="CB28" s="67" t="s">
        <v>89</v>
      </c>
      <c r="CC28" s="68">
        <f>CC27/CC24</f>
        <v>5.475E-2</v>
      </c>
      <c r="DC28" s="62" t="s">
        <v>86</v>
      </c>
      <c r="DD28" s="63">
        <v>100000</v>
      </c>
      <c r="DF28" s="1"/>
      <c r="DG28" s="26"/>
      <c r="DH28" s="46"/>
      <c r="DI28" s="26"/>
      <c r="DJ28" s="46"/>
      <c r="DK28" s="46"/>
      <c r="DL28" s="26"/>
      <c r="DM28" s="47"/>
      <c r="DN28" s="47"/>
      <c r="DO28" s="26"/>
      <c r="DP28" s="21"/>
      <c r="DQ28" s="22"/>
      <c r="ET28" s="16" t="str" cm="1">
        <f t="array" ref="ET28">_xll.BDP(EU28&amp;" Equity","DS520")</f>
        <v>International Business Machines Corp</v>
      </c>
      <c r="EU28" s="32" t="s">
        <v>49</v>
      </c>
      <c r="EV28" s="32" t="s">
        <v>50</v>
      </c>
      <c r="EW28" s="32" t="str" cm="1">
        <f t="array" ref="EW28">_xll.BDP(EU28&amp;" Equity", "ID_ISIN")</f>
        <v>US4592001014</v>
      </c>
      <c r="EX28" s="32"/>
      <c r="EY28" s="30" t="str">
        <f>_xll.BDP(EU28&amp;" Equity", "DS197")</f>
        <v>New York</v>
      </c>
      <c r="EZ28" s="30" t="s">
        <v>26</v>
      </c>
      <c r="FA28" s="30" t="s">
        <v>33</v>
      </c>
      <c r="FB28" s="30" t="s">
        <v>28</v>
      </c>
      <c r="FC28" s="30" t="str">
        <f>_xll.BDP(EU28&amp;" Equity", "DS004")</f>
        <v>USD</v>
      </c>
      <c r="FD28" s="17" cm="1">
        <f t="array" ref="FD28">_xll.BDP(EU28&amp;" Equity","PX_LAST")</f>
        <v>256.55</v>
      </c>
      <c r="FE28" s="33">
        <f t="shared" si="10"/>
        <v>2.9530042075708054E-2</v>
      </c>
      <c r="FF28" s="33">
        <f t="shared" si="11"/>
        <v>2.8052759291016235E-2</v>
      </c>
      <c r="FH28" s="1" cm="1">
        <f t="array" ref="FH28">IF(FC28="USD",1,_xll.BDP(FC28&amp;"USD CURNCY","PX_LAST"))</f>
        <v>1</v>
      </c>
      <c r="FI28" s="18">
        <v>23587.357454742199</v>
      </c>
      <c r="FJ28" s="11">
        <f t="shared" si="64"/>
        <v>6051336.5550141111</v>
      </c>
      <c r="FK28" s="5"/>
      <c r="FL28" s="11" cm="1">
        <f t="array" ref="FL28">IF(EY28="Hong Kong",_xll.BDP(EU28&amp;" Equity","PR414"),_xll.BDP(EU28&amp;" Equity","PR090"))</f>
        <v>1</v>
      </c>
      <c r="FM28" s="11">
        <f t="shared" si="65"/>
        <v>256.55</v>
      </c>
      <c r="FN28" s="5">
        <f t="shared" si="66"/>
        <v>36.833418297511507</v>
      </c>
      <c r="FO28" s="8">
        <f t="shared" si="67"/>
        <v>2.9663593750000002E-2</v>
      </c>
      <c r="FP28" s="8">
        <f t="shared" si="68"/>
        <v>4.522569725757597E-3</v>
      </c>
      <c r="FQ28" s="5"/>
      <c r="FR28" s="21">
        <f t="shared" si="69"/>
        <v>8687.7627651957428</v>
      </c>
      <c r="FS28" s="22">
        <f t="shared" si="70"/>
        <v>9492.35</v>
      </c>
      <c r="FU28" s="16" t="str" cm="1">
        <f t="array" ref="FU28">_xll.BDP(FV28&amp;" Equity","DS520")</f>
        <v>Sea Ltd</v>
      </c>
      <c r="FV28" s="32" t="s">
        <v>201</v>
      </c>
      <c r="FW28" s="32" t="s">
        <v>411</v>
      </c>
      <c r="FX28" s="32" t="str" cm="1">
        <f t="array" ref="FX28">_xll.BDP(FV28&amp;" Equity", "ID_ISIN")</f>
        <v>US81141R1005</v>
      </c>
      <c r="FY28" s="32"/>
      <c r="FZ28" s="30" t="str">
        <f>_xll.BDP(FV28&amp;" Equity", "DS197")</f>
        <v>New York</v>
      </c>
      <c r="GA28" s="30" t="s">
        <v>26</v>
      </c>
      <c r="GB28" s="30" t="s">
        <v>33</v>
      </c>
      <c r="GC28" s="30" t="s">
        <v>28</v>
      </c>
      <c r="GD28" s="30" t="str">
        <f>_xll.BDP(FV28&amp;" Equity", "DS004")</f>
        <v>USD</v>
      </c>
      <c r="GE28" s="17" cm="1">
        <f t="array" ref="GE28">_xll.BDP(FV28&amp;" Equity","PX_LAST")</f>
        <v>95.52</v>
      </c>
      <c r="GF28" s="33">
        <f t="shared" si="12"/>
        <v>2.1531387547257624E-2</v>
      </c>
      <c r="GG28" s="33">
        <f t="shared" si="13"/>
        <v>2.0453838522685765E-2</v>
      </c>
      <c r="GI28" s="1" cm="1">
        <f t="array" ref="GI28">IF(GD28="USD",1,_xll.BDP(GD28&amp;"USD CURNCY","PX_LAST"))</f>
        <v>1</v>
      </c>
      <c r="GJ28" s="18">
        <v>46659.707673470402</v>
      </c>
      <c r="GK28" s="11">
        <f t="shared" si="71"/>
        <v>4456935.2769698929</v>
      </c>
      <c r="GL28" s="5"/>
      <c r="GM28" s="11" cm="1">
        <f t="array" ref="GM28">IF(FZ28="Hong Kong",_xll.BDP(FV28&amp;" Equity","PR414"),_xll.BDP(FV28&amp;" Equity","PR090"))</f>
        <v>1</v>
      </c>
      <c r="GN28" s="11">
        <f t="shared" si="72"/>
        <v>95.52</v>
      </c>
      <c r="GO28" s="5">
        <f t="shared" si="73"/>
        <v>72.131951582102587</v>
      </c>
      <c r="GP28" s="8">
        <f t="shared" si="74"/>
        <v>2.1491999999999997E-2</v>
      </c>
      <c r="GQ28" s="8">
        <f t="shared" si="75"/>
        <v>-1.8293083606979454E-3</v>
      </c>
      <c r="GR28" s="5"/>
      <c r="GS28" s="21">
        <f t="shared" si="76"/>
        <v>4436.3141850635648</v>
      </c>
      <c r="GT28" s="22">
        <f t="shared" si="77"/>
        <v>3534.24</v>
      </c>
      <c r="GV28" s="16" t="str" cm="1">
        <f t="array" ref="GV28">_xll.BDP(GW28&amp;" Equity","DS520")</f>
        <v>PICC Property &amp; Casualty Co Ltd</v>
      </c>
      <c r="GW28" s="32" t="s">
        <v>315</v>
      </c>
      <c r="GX28" s="32">
        <v>2328</v>
      </c>
      <c r="GY28" s="32" t="str" cm="1">
        <f t="array" ref="GY28">_xll.BDP(GW28&amp;" Equity", "ID_ISIN")</f>
        <v>CNE100000593</v>
      </c>
      <c r="GZ28" s="32"/>
      <c r="HA28" s="30" t="str">
        <f>_xll.BDP(GW28&amp;" Equity", "DS197")</f>
        <v>Hong Kong</v>
      </c>
      <c r="HB28" s="30" t="s">
        <v>26</v>
      </c>
      <c r="HC28" s="30" t="s">
        <v>27</v>
      </c>
      <c r="HD28" s="30" t="s">
        <v>28</v>
      </c>
      <c r="HE28" s="30" t="str">
        <f>_xll.BDP(GW28&amp;" Equity", "DS004")</f>
        <v>HKD</v>
      </c>
      <c r="HF28" s="17" cm="1">
        <f t="array" ref="HF28">_xll.BDP(GW28&amp;" Equity","PX_LAST")</f>
        <v>15.72</v>
      </c>
      <c r="HG28" s="33">
        <f t="shared" si="14"/>
        <v>2.5226384727981527E-2</v>
      </c>
      <c r="HH28" s="33">
        <f t="shared" si="78"/>
        <v>2.3963164189636729E-2</v>
      </c>
      <c r="HJ28" s="1" cm="1">
        <f t="array" ref="HJ28">IF(HE28="USD",1,_xll.BDP(HE28&amp;"USD CURNCY","PX_LAST"))</f>
        <v>0.12784999999999999</v>
      </c>
      <c r="HK28" s="18">
        <v>2047071.77341939</v>
      </c>
      <c r="HL28" s="11">
        <f t="shared" si="79"/>
        <v>4114208.9443618366</v>
      </c>
      <c r="HM28" s="5"/>
      <c r="HN28" s="11" cm="1">
        <f t="array" ref="HN28">IF(HA28="Hong Kong",_xll.BDP(GW28&amp;" Equity","PR414"),_xll.BDP(GW28&amp;" Equity","PR090"))</f>
        <v>2000</v>
      </c>
      <c r="HO28" s="11">
        <f t="shared" si="80"/>
        <v>4019.6039999999998</v>
      </c>
      <c r="HP28" s="5">
        <f t="shared" si="81"/>
        <v>2.0082682555182276</v>
      </c>
      <c r="HQ28" s="8">
        <f t="shared" si="82"/>
        <v>2.5122525E-2</v>
      </c>
      <c r="HR28" s="8">
        <f t="shared" si="83"/>
        <v>-4.1171071123133895E-3</v>
      </c>
      <c r="HS28" s="5"/>
      <c r="HT28" s="21">
        <f t="shared" si="84"/>
        <v>159341.26286202986</v>
      </c>
      <c r="HU28" s="22">
        <f t="shared" si="85"/>
        <v>148725.348</v>
      </c>
      <c r="HW28" s="16" t="s">
        <v>82</v>
      </c>
      <c r="HX28" s="45" t="s">
        <v>82</v>
      </c>
      <c r="HY28" s="45"/>
      <c r="HZ28" s="45"/>
      <c r="IA28" s="45"/>
      <c r="IB28" s="30"/>
      <c r="IC28" s="30"/>
      <c r="ID28" s="30"/>
      <c r="IE28" s="30" t="s">
        <v>80</v>
      </c>
      <c r="IF28" s="30" t="str">
        <f>_xll.BDP(HX28&amp;" Curncy", "DS004")</f>
        <v>HKD</v>
      </c>
      <c r="IG28" s="17">
        <v>1</v>
      </c>
      <c r="IH28" s="33">
        <f t="shared" si="15"/>
        <v>5.535650052666416E-3</v>
      </c>
      <c r="II28" s="33">
        <f>II35</f>
        <v>5.475E-2</v>
      </c>
      <c r="IK28" s="1">
        <v>1</v>
      </c>
      <c r="IL28" s="18">
        <v>1049230.35467196</v>
      </c>
      <c r="IM28" s="11">
        <f t="shared" ref="IM28" si="235">IL28*IG28*IK28</f>
        <v>1049230.35467196</v>
      </c>
      <c r="IN28" s="5"/>
      <c r="IO28" s="11">
        <v>1</v>
      </c>
      <c r="IP28" s="11">
        <f t="shared" ref="IP28" si="236">IO28*IK28*IG28</f>
        <v>1</v>
      </c>
      <c r="IQ28" s="5">
        <f t="shared" ref="IQ28" si="237">($AJ$3*IH28)/IP28</f>
        <v>1771.408016853253</v>
      </c>
      <c r="IR28" s="8">
        <f t="shared" ref="IR28" si="238">(ROUND(IQ28,0)*IP28)/$AJ$3</f>
        <v>5.5343750000000002E-3</v>
      </c>
      <c r="IS28" s="8">
        <f t="shared" ref="IS28" si="239">IR28/IH28-1</f>
        <v>-2.3033476724232393E-4</v>
      </c>
      <c r="IX28" s="16" t="str" cm="1">
        <f t="array" ref="IX28">_xll.BDP(IY28&amp;" Equity","DS520")</f>
        <v>Trimble Inc</v>
      </c>
      <c r="IY28" s="32" t="s">
        <v>694</v>
      </c>
      <c r="IZ28" s="32" t="s">
        <v>700</v>
      </c>
      <c r="JA28" s="32" t="str" cm="1">
        <f t="array" ref="JA28">_xll.BDP(IY28&amp;" Equity", "ID_ISIN")</f>
        <v>US8962391004</v>
      </c>
      <c r="JB28" s="32"/>
      <c r="JC28" s="30" t="str">
        <f>_xll.BDP(IY28&amp;" Equity", "DS197")</f>
        <v>NASDAQ GS</v>
      </c>
      <c r="JD28" s="30" t="s">
        <v>26</v>
      </c>
      <c r="JE28" s="30" t="s">
        <v>33</v>
      </c>
      <c r="JF28" s="30" t="s">
        <v>28</v>
      </c>
      <c r="JG28" s="30" t="str">
        <f>_xll.BDP(IY28&amp;" Equity", "DS004")</f>
        <v>USD</v>
      </c>
      <c r="JH28" s="17" cm="1">
        <f t="array" ref="JH28">_xll.BDP(IY28&amp;" Equity","PX_LAST")</f>
        <v>70.459999999999994</v>
      </c>
      <c r="JI28" s="33">
        <f t="shared" si="93"/>
        <v>3.037377560715868E-2</v>
      </c>
      <c r="JJ28" s="33">
        <f t="shared" si="17"/>
        <v>2.8853535765520917E-2</v>
      </c>
      <c r="JL28" s="1" cm="1">
        <f t="array" ref="JL28">IF(JG28="USD",1,_xll.BDP(JG28&amp;"USD CURNCY","PX_LAST"))</f>
        <v>1</v>
      </c>
      <c r="JM28" s="18">
        <v>52589.444772528303</v>
      </c>
      <c r="JN28" s="11">
        <f t="shared" si="94"/>
        <v>3705452.2786723441</v>
      </c>
      <c r="JO28" s="5"/>
      <c r="JP28" s="11" cm="1">
        <f t="array" ref="JP28">IF(JC28="Hong Kong",_xll.BDP(IY28&amp;" Equity","PR414"),_xll.BDP(IY28&amp;" Equity","PR090"))</f>
        <v>1</v>
      </c>
      <c r="JQ28" s="11">
        <f t="shared" si="95"/>
        <v>70.459999999999994</v>
      </c>
      <c r="JR28" s="5">
        <f t="shared" si="96"/>
        <v>137.94504959254581</v>
      </c>
      <c r="JS28" s="8">
        <f t="shared" si="97"/>
        <v>3.0385875E-2</v>
      </c>
      <c r="JT28" s="8">
        <f t="shared" si="98"/>
        <v>3.9834997788257276E-4</v>
      </c>
      <c r="JU28" s="5"/>
      <c r="JV28" s="21">
        <f t="shared" si="99"/>
        <v>2319.7642898037852</v>
      </c>
      <c r="JW28" s="22">
        <f t="shared" si="100"/>
        <v>2607.0199999999995</v>
      </c>
      <c r="JY28" s="16" t="str" cm="1">
        <f t="array" ref="JY28">_xll.BDP(JZ28&amp;" Equity","DS520")</f>
        <v>NetApp Inc</v>
      </c>
      <c r="JZ28" s="32" t="s">
        <v>180</v>
      </c>
      <c r="KA28" s="32" t="s">
        <v>400</v>
      </c>
      <c r="KB28" s="32" t="str" cm="1">
        <f t="array" ref="KB28">_xll.BDP(JZ28&amp;" Equity", "ID_ISIN")</f>
        <v>US64110D1046</v>
      </c>
      <c r="KC28" s="32"/>
      <c r="KD28" s="30" t="str">
        <f>_xll.BDP(JZ28&amp;" Equity", "DS197")</f>
        <v>NASDAQ GS</v>
      </c>
      <c r="KE28" s="30" t="s">
        <v>26</v>
      </c>
      <c r="KF28" s="30" t="s">
        <v>33</v>
      </c>
      <c r="KG28" s="30" t="s">
        <v>28</v>
      </c>
      <c r="KH28" s="30" t="str">
        <f>_xll.BDP(JZ28&amp;" Equity", "DS004")</f>
        <v>USD</v>
      </c>
      <c r="KI28" s="17" cm="1">
        <f t="array" ref="KI28">_xll.BDP(JZ28&amp;" Equity","PX_LAST")</f>
        <v>102.11</v>
      </c>
      <c r="KJ28" s="33">
        <f t="shared" si="101"/>
        <v>2.9752453807849463E-2</v>
      </c>
      <c r="KK28" s="33">
        <f t="shared" si="102"/>
        <v>2.8269419372034435E-2</v>
      </c>
      <c r="KM28" s="1" cm="1">
        <f t="array" ref="KM28">IF(KH28="USD",1,_xll.BDP(KH28&amp;"USD CURNCY","PX_LAST"))</f>
        <v>1</v>
      </c>
      <c r="KN28" s="18">
        <v>28933.963303468001</v>
      </c>
      <c r="KO28" s="11">
        <f t="shared" si="103"/>
        <v>2954446.9929171177</v>
      </c>
      <c r="KP28" s="5"/>
      <c r="KQ28" s="11" cm="1">
        <f t="array" ref="KQ28">IF(KD28="Hong Kong",_xll.BDP(JZ28&amp;" Equity","PR414"),_xll.BDP(JZ28&amp;" Equity","PR090"))</f>
        <v>1</v>
      </c>
      <c r="KR28" s="11">
        <f t="shared" si="104"/>
        <v>102.11</v>
      </c>
      <c r="KS28" s="5">
        <f t="shared" si="105"/>
        <v>93.240478097265964</v>
      </c>
      <c r="KT28" s="8">
        <f t="shared" si="106"/>
        <v>2.967571875E-2</v>
      </c>
      <c r="KU28" s="8">
        <f t="shared" si="107"/>
        <v>-2.5791169476320208E-3</v>
      </c>
      <c r="KV28" s="5"/>
      <c r="KW28" s="21">
        <f t="shared" si="108"/>
        <v>3431.9858341586855</v>
      </c>
      <c r="KX28" s="22">
        <f t="shared" si="109"/>
        <v>3778.0699999999997</v>
      </c>
      <c r="LK28" s="67" t="s">
        <v>89</v>
      </c>
      <c r="LL28" s="68">
        <f>LL27/LL24</f>
        <v>5.475E-2</v>
      </c>
      <c r="LN28" s="1"/>
      <c r="LO28" s="26"/>
      <c r="LP28" s="11"/>
      <c r="LQ28" s="5"/>
      <c r="LR28" s="11"/>
      <c r="LS28" s="11"/>
      <c r="LT28" s="5"/>
      <c r="LU28" s="8"/>
      <c r="LV28" s="8"/>
      <c r="LW28" s="5"/>
      <c r="LX28" s="21"/>
      <c r="LY28" s="22"/>
      <c r="MA28" s="16" t="str" cm="1">
        <f t="array" ref="MA28">_xll.BDP(MB28&amp;" Equity","DS520")</f>
        <v>Prudential Financial Inc</v>
      </c>
      <c r="MB28" s="32" t="s">
        <v>1409</v>
      </c>
      <c r="MC28" s="32" t="s">
        <v>1412</v>
      </c>
      <c r="MD28" s="32" t="str" cm="1">
        <f t="array" ref="MD28">_xll.BDP(MB28&amp;" Equity", "ID_ISIN")</f>
        <v>US7443201022</v>
      </c>
      <c r="ME28" s="32"/>
      <c r="MF28" s="30" t="str">
        <f>_xll.BDP(MB28&amp;" Equity", "DS197")</f>
        <v>New York</v>
      </c>
      <c r="MG28" s="30" t="s">
        <v>26</v>
      </c>
      <c r="MH28" s="30" t="s">
        <v>33</v>
      </c>
      <c r="MI28" s="30" t="s">
        <v>28</v>
      </c>
      <c r="MJ28" s="30" t="str">
        <f>_xll.BDP(MB28&amp;" Equity", "DS004")</f>
        <v>USD</v>
      </c>
      <c r="MK28" s="17" cm="1">
        <f t="array" ref="MK28">_xll.BDP(MB28&amp;" Equity","PX_LAST")</f>
        <v>99.14</v>
      </c>
      <c r="ML28" s="33">
        <f t="shared" si="20"/>
        <v>3.0501383547524089E-2</v>
      </c>
      <c r="MM28" s="33">
        <f t="shared" si="21"/>
        <v>2.8957942809738617E-2</v>
      </c>
      <c r="MO28" s="1" cm="1">
        <f t="array" ref="MO28">IF(MJ28="USD",1,_xll.BDP(MJ28&amp;"USD CURNCY","PX_LAST"))</f>
        <v>1</v>
      </c>
      <c r="MP28" s="18">
        <v>55272.390651684902</v>
      </c>
      <c r="MQ28" s="11">
        <f t="shared" si="117"/>
        <v>5479704.8092080411</v>
      </c>
      <c r="MR28" s="5"/>
      <c r="MS28" s="11" cm="1">
        <f t="array" ref="MS28">IF(MF28="Hong Kong",_xll.BDP(MB28&amp;" Equity","PR414"),_xll.BDP(MB28&amp;" Equity","PR090"))</f>
        <v>1</v>
      </c>
      <c r="MT28" s="11">
        <f t="shared" si="118"/>
        <v>99.14</v>
      </c>
      <c r="MU28" s="5">
        <f t="shared" si="119"/>
        <v>98.451106871169145</v>
      </c>
      <c r="MV28" s="8">
        <f t="shared" si="120"/>
        <v>3.0361624999999996E-2</v>
      </c>
      <c r="MW28" s="8">
        <f t="shared" si="121"/>
        <v>-4.5820396083454673E-3</v>
      </c>
      <c r="MX28" s="5"/>
      <c r="MY28" s="21">
        <f t="shared" si="122"/>
        <v>3250.3443604625459</v>
      </c>
      <c r="MZ28" s="22">
        <f t="shared" si="123"/>
        <v>3668.18</v>
      </c>
      <c r="NB28" s="16" t="str" cm="1">
        <f t="array" ref="NB28">_xll.BDP(NC28&amp;" Equity","DS520")</f>
        <v>TotalEnergies SE</v>
      </c>
      <c r="NC28" s="32" t="s">
        <v>272</v>
      </c>
      <c r="ND28" s="32" t="s">
        <v>73</v>
      </c>
      <c r="NE28" s="32" t="str" cm="1">
        <f t="array" ref="NE28">_xll.BDP(NC28&amp;" Equity", "ID_ISIN")</f>
        <v>FR0000120271</v>
      </c>
      <c r="NF28" s="32"/>
      <c r="NG28" s="30" t="str">
        <f>_xll.BDP(NC28&amp;" Equity", "DS197")</f>
        <v>New York</v>
      </c>
      <c r="NH28" s="30" t="s">
        <v>26</v>
      </c>
      <c r="NI28" s="30" t="s">
        <v>33</v>
      </c>
      <c r="NJ28" s="30" t="s">
        <v>28</v>
      </c>
      <c r="NK28" s="30" t="str">
        <f>_xll.BDP(NC28&amp;" Equity", "DS004")</f>
        <v>USD</v>
      </c>
      <c r="NL28" s="17" cm="1">
        <f t="array" ref="NL28">_xll.BDP(NC28&amp;" Equity","PX_LAST")</f>
        <v>77.03</v>
      </c>
      <c r="NM28" s="33">
        <f t="shared" si="22"/>
        <v>3.8251414476745932E-2</v>
      </c>
      <c r="NN28" s="33">
        <f t="shared" si="23"/>
        <v>3.6311143600731954E-2</v>
      </c>
      <c r="NP28" s="1" cm="1">
        <f t="array" ref="NP28">IF(NK28="USD",1,_xll.BDP(NK28&amp;"USD CURNCY","PX_LAST"))</f>
        <v>1</v>
      </c>
      <c r="NQ28" s="18">
        <v>84892.677173146294</v>
      </c>
      <c r="NR28" s="11">
        <f t="shared" si="124"/>
        <v>6539282.9226474594</v>
      </c>
      <c r="NS28" s="5"/>
      <c r="NT28" s="11" cm="1">
        <f t="array" ref="NT28">IF(NG28="Hong Kong",_xll.BDP(NC28&amp;" Equity","PR414"),_xll.BDP(NC28&amp;" Equity","PR090"))</f>
        <v>1</v>
      </c>
      <c r="NU28" s="11">
        <f t="shared" si="125"/>
        <v>77.03</v>
      </c>
      <c r="NV28" s="5">
        <f t="shared" si="126"/>
        <v>158.90500626455534</v>
      </c>
      <c r="NW28" s="8">
        <f t="shared" si="127"/>
        <v>3.827428125E-2</v>
      </c>
      <c r="NX28" s="8">
        <f t="shared" si="128"/>
        <v>5.9780203077108851E-4</v>
      </c>
      <c r="NY28" s="5"/>
      <c r="NZ28" s="21">
        <f t="shared" si="129"/>
        <v>2013.7817399361431</v>
      </c>
      <c r="OA28" s="22">
        <f t="shared" si="130"/>
        <v>2850.1099999999997</v>
      </c>
      <c r="OC28" s="16" t="str" cm="1">
        <f t="array" ref="OC28">_xll.BDP(OD28&amp;" Equity","DS520")</f>
        <v>Shell PLC</v>
      </c>
      <c r="OD28" s="45" t="s">
        <v>153</v>
      </c>
      <c r="OE28" s="32" t="s">
        <v>154</v>
      </c>
      <c r="OF28" s="32" t="str" cm="1">
        <f t="array" ref="OF28">_xll.BDP(OD28&amp;" Equity", "ID_ISIN")</f>
        <v>GB00BP6MXD84</v>
      </c>
      <c r="OG28" s="45"/>
      <c r="OH28" s="30" t="str">
        <f>_xll.BDP(OD28&amp;" Equity", "DS197")</f>
        <v>London</v>
      </c>
      <c r="OI28" s="30" t="s">
        <v>26</v>
      </c>
      <c r="OJ28" s="30" t="s">
        <v>129</v>
      </c>
      <c r="OK28" s="30" t="s">
        <v>28</v>
      </c>
      <c r="OL28" s="43" t="str">
        <f>_xll.BDP(OD28&amp;" Equity", "DS004")</f>
        <v>GBp</v>
      </c>
      <c r="OM28" s="17" cm="1">
        <f t="array" ref="OM28">_xll.BDP(OD28&amp;" Equity","PX_LAST")/100</f>
        <v>31.08</v>
      </c>
      <c r="ON28" s="33">
        <f t="shared" si="24"/>
        <v>3.7112742879913958E-2</v>
      </c>
      <c r="OO28" s="33">
        <f t="shared" si="131"/>
        <v>3.5190564434240866E-2</v>
      </c>
      <c r="OQ28" s="1" cm="1">
        <f t="array" ref="OQ28">IF(OL28="EUR",1,_xll.BDP(OL28&amp;"EUR CURNCY","PX_LAST"))</f>
        <v>1.1509</v>
      </c>
      <c r="OR28" s="18">
        <v>191080.161608694</v>
      </c>
      <c r="OS28" s="11">
        <f t="shared" si="132"/>
        <v>6834932.030498459</v>
      </c>
      <c r="OT28" s="5"/>
      <c r="OU28" s="11" cm="1">
        <f t="array" ref="OU28">IF(OH28="Hong Kong",_xll.BDP(OD28&amp;" Equity","PR414"),_xll.BDP(OD28&amp;" Equity","PR090"))</f>
        <v>1</v>
      </c>
      <c r="OV28" s="11">
        <f t="shared" si="133"/>
        <v>35.769971999999996</v>
      </c>
      <c r="OW28" s="5">
        <f t="shared" si="134"/>
        <v>332.01249700649663</v>
      </c>
      <c r="OX28" s="8">
        <f t="shared" si="135"/>
        <v>3.7111345949999999E-2</v>
      </c>
      <c r="OY28" s="8">
        <f t="shared" si="136"/>
        <v>-3.764016899743261E-5</v>
      </c>
      <c r="OZ28" s="5"/>
      <c r="PA28" s="21">
        <f t="shared" si="137"/>
        <v>963.81914200578547</v>
      </c>
      <c r="PB28" s="22">
        <f t="shared" si="138"/>
        <v>1323.4889639999997</v>
      </c>
      <c r="PD28" s="16" t="str" cm="1">
        <f t="array" ref="PD28">_xll.BDP(PE28&amp;" Equity","DS520")</f>
        <v>SoftBank Corp</v>
      </c>
      <c r="PE28" s="32" t="s">
        <v>264</v>
      </c>
      <c r="PF28" s="32">
        <v>9434</v>
      </c>
      <c r="PG28" s="32" t="str" cm="1">
        <f t="array" ref="PG28">_xll.BDP(PE28&amp;" Equity", "ID_ISIN")</f>
        <v>JP3732000009</v>
      </c>
      <c r="PH28" s="32"/>
      <c r="PI28" s="30" t="str">
        <f>_xll.BDP(PE28&amp;" Equity", "DS197")</f>
        <v>Tokyo</v>
      </c>
      <c r="PJ28" s="30" t="s">
        <v>26</v>
      </c>
      <c r="PK28" s="71" t="s">
        <v>320</v>
      </c>
      <c r="PL28" s="30" t="s">
        <v>28</v>
      </c>
      <c r="PM28" s="30" t="str">
        <f>_xll.BDP(PE28&amp;" Equity", "DS004")</f>
        <v>JPY</v>
      </c>
      <c r="PN28" s="17" cm="1">
        <f t="array" ref="PN28">_xll.BDP(PE28&amp;" Equity","PX_LAST")</f>
        <v>211.1</v>
      </c>
      <c r="PO28" s="33">
        <f t="shared" si="25"/>
        <v>4.2874384583966432E-2</v>
      </c>
      <c r="PP28" s="33">
        <f t="shared" si="26"/>
        <v>4.0728452565226052E-2</v>
      </c>
      <c r="PR28" s="1">
        <v>1</v>
      </c>
      <c r="PS28" s="18">
        <v>39141.283672729201</v>
      </c>
      <c r="PT28" s="11">
        <f t="shared" ref="PT28" si="240">PS28*PN28*PR28</f>
        <v>8262724.9833131339</v>
      </c>
      <c r="PU28" s="5"/>
      <c r="PV28" s="11" cm="1">
        <f t="array" ref="PV28">IF(PI28="Hong Kong",_xll.BDP(PE28&amp;" Equity","PR414"),_xll.BDP(PE28&amp;" Equity","PR090"))</f>
        <v>100</v>
      </c>
      <c r="PW28" s="11">
        <f t="shared" ref="PW28" si="241">PV28*PR28*PN28</f>
        <v>21110</v>
      </c>
      <c r="PX28" s="5">
        <f t="shared" ref="PX28" si="242">($AJ$3*PO28)/PW28</f>
        <v>0.649919614726161</v>
      </c>
      <c r="PY28" s="8">
        <f t="shared" ref="PY28" si="243">(ROUND(PX28,0)*PW28)/$AJ$3</f>
        <v>6.5968750000000007E-2</v>
      </c>
      <c r="PZ28" s="8">
        <f t="shared" ref="PZ28" si="244">PY28/PO28-1</f>
        <v>0.53865182299713021</v>
      </c>
      <c r="QA28" s="5"/>
      <c r="QB28" s="21">
        <f t="shared" ref="QB28" si="245">IFERROR(PW28/PO28,0)</f>
        <v>492368.58335908159</v>
      </c>
      <c r="QC28" s="22">
        <f t="shared" ref="QC28" si="246">PW28/(1/COUNTA($P$6:$P$77))</f>
        <v>781070</v>
      </c>
      <c r="QE28" s="35" t="s">
        <v>81</v>
      </c>
      <c r="QF28" s="36"/>
      <c r="QG28" s="36"/>
      <c r="QH28" s="36"/>
      <c r="QI28" s="36"/>
      <c r="QJ28" s="36"/>
      <c r="QK28" s="36"/>
      <c r="QL28" s="36"/>
      <c r="QM28" s="36"/>
      <c r="QN28" s="36"/>
      <c r="QO28" s="25" t="s">
        <v>81</v>
      </c>
      <c r="QP28" s="37">
        <f>SUM(QP6:QP27)</f>
        <v>1.0000000000000004</v>
      </c>
      <c r="QQ28" s="37">
        <f>SUM(QQ6:QQ27)</f>
        <v>1.0000000000000002</v>
      </c>
      <c r="QS28" s="1"/>
      <c r="QT28" s="26"/>
      <c r="QU28" s="46">
        <f>SUM(QU6:QU27)</f>
        <v>114080690.11719556</v>
      </c>
      <c r="QV28" s="5"/>
      <c r="QW28" s="11"/>
      <c r="QX28" s="11"/>
      <c r="QY28" s="5"/>
      <c r="QZ28" s="8"/>
      <c r="RA28" s="8"/>
      <c r="RB28" s="5"/>
      <c r="RC28" s="21"/>
      <c r="RD28" s="22"/>
      <c r="RF28" s="16" t="str" cm="1">
        <f t="array" ref="RF28">_xll.BDP(RG28&amp;" Equity","DS520")</f>
        <v>Regeneron Pharmaceuticals Inc</v>
      </c>
      <c r="RG28" s="34" t="s">
        <v>173</v>
      </c>
      <c r="RH28" s="34"/>
      <c r="RI28" s="32" t="str" cm="1">
        <f t="array" ref="RI28">_xll.BDP(RG28&amp;" Equity", "ID_ISIN")</f>
        <v>US75886F1075</v>
      </c>
      <c r="RJ28" s="34"/>
      <c r="RK28" s="30" t="str">
        <f>_xll.BDP(RG28&amp;" Equity", "DS197")</f>
        <v>NASDAQ GS</v>
      </c>
      <c r="RL28" s="30" t="s">
        <v>26</v>
      </c>
      <c r="RM28" s="30"/>
      <c r="RN28" s="30" t="s">
        <v>28</v>
      </c>
      <c r="RO28" s="30" t="str">
        <f>_xll.BDP(RG28&amp;" Equity", "DS004")</f>
        <v>USD</v>
      </c>
      <c r="RP28" s="17" cm="1">
        <f t="array" ref="RP28">_xll.BDP(RG28&amp;" Equity","PX_LAST")</f>
        <v>764.93</v>
      </c>
      <c r="RQ28" s="33">
        <f t="shared" si="153"/>
        <v>2.7929397145788536E-2</v>
      </c>
      <c r="RR28" s="33">
        <f t="shared" si="154"/>
        <v>2.655839428429696E-2</v>
      </c>
      <c r="RT28" s="1" cm="1">
        <f t="array" ref="RT28">IF(RO28="USD",1,_xll.BDP(RO28&amp;"USD CURNCY","PX_LAST"))</f>
        <v>1</v>
      </c>
      <c r="RU28" s="18">
        <v>3679.3760607356098</v>
      </c>
      <c r="RV28" s="11">
        <f t="shared" si="217"/>
        <v>2814465.1301384899</v>
      </c>
      <c r="RW28" s="5"/>
      <c r="RX28" s="11" cm="1">
        <f t="array" ref="RX28">IF(RK28="Hong Kong",_xll.BDP(RG28&amp;" Equity","PR414"),_xll.BDP(RG28&amp;" Equity","PR090"))</f>
        <v>1</v>
      </c>
      <c r="RY28" s="11">
        <f t="shared" si="218"/>
        <v>764.93</v>
      </c>
      <c r="RZ28" s="5">
        <f t="shared" si="219"/>
        <v>11.683954200583493</v>
      </c>
      <c r="SA28" s="8">
        <f t="shared" si="220"/>
        <v>2.8684874999999999E-2</v>
      </c>
      <c r="SB28" s="8">
        <f t="shared" si="221"/>
        <v>2.7049558222397296E-2</v>
      </c>
      <c r="SC28" s="5"/>
      <c r="SD28" s="21">
        <f t="shared" si="222"/>
        <v>27387.988219263927</v>
      </c>
      <c r="SE28" s="22">
        <f t="shared" si="223"/>
        <v>28302.409999999996</v>
      </c>
    </row>
    <row r="29" spans="15:499" ht="15" thickBot="1" x14ac:dyDescent="0.25">
      <c r="O29" s="16" t="str" cm="1">
        <f t="array" ref="O29">_xll.BDP(P29&amp;" Equity","DS520")</f>
        <v>Micron Technology Inc</v>
      </c>
      <c r="P29" s="32" t="s">
        <v>1389</v>
      </c>
      <c r="Q29" s="32" t="s">
        <v>1393</v>
      </c>
      <c r="R29" s="32" t="str" cm="1">
        <f t="array" ref="R29">_xll.BDP(P29&amp;" Equity", "ID_ISIN")</f>
        <v>US5951121038</v>
      </c>
      <c r="S29" s="32"/>
      <c r="T29" s="30" t="str">
        <f>_xll.BDP(P29&amp;" Equity", "DS197")</f>
        <v>NASDAQ GS</v>
      </c>
      <c r="U29" s="30" t="s">
        <v>26</v>
      </c>
      <c r="V29" s="30" t="s">
        <v>33</v>
      </c>
      <c r="W29" s="30" t="s">
        <v>28</v>
      </c>
      <c r="X29" s="30" t="str">
        <f>_xll.BDP(P29&amp;" Equity", "DS004")</f>
        <v>USD</v>
      </c>
      <c r="Y29" s="17" cm="1">
        <f t="array" ref="Y29">_xll.BDP(P29&amp;" Equity","PX_LAST")</f>
        <v>397.05</v>
      </c>
      <c r="Z29" s="33">
        <f t="shared" si="0"/>
        <v>2.8672073962738985E-2</v>
      </c>
      <c r="AA29" s="33">
        <f t="shared" si="1"/>
        <v>2.7239433866837172E-2</v>
      </c>
      <c r="AB29" s="4"/>
      <c r="AC29" s="1" cm="1">
        <f t="array" ref="AC29">IF(X29="USD",1,_xll.BDP(X29&amp;"USD CURNCY","PX_LAST"))</f>
        <v>1</v>
      </c>
      <c r="AD29" s="18">
        <v>14860.729387446399</v>
      </c>
      <c r="AE29" s="11">
        <f t="shared" si="169"/>
        <v>5900452.603285593</v>
      </c>
      <c r="AF29" s="5"/>
      <c r="AG29" s="11" cm="1">
        <f t="array" ref="AG29">IF(T29="Hong Kong",_xll.BDP(P29&amp;" Equity","PR414"),_xll.BDP(P29&amp;" Equity","PR090"))</f>
        <v>1</v>
      </c>
      <c r="AH29" s="11">
        <f t="shared" si="170"/>
        <v>397.05</v>
      </c>
      <c r="AI29" s="5">
        <f t="shared" si="171"/>
        <v>23.108081269554148</v>
      </c>
      <c r="AJ29" s="8">
        <f t="shared" si="172"/>
        <v>2.853796875E-2</v>
      </c>
      <c r="AK29" s="8">
        <f t="shared" si="173"/>
        <v>-4.6772065708696742E-3</v>
      </c>
      <c r="AL29" s="5"/>
      <c r="AM29" s="21">
        <f t="shared" si="174"/>
        <v>13847.969299883553</v>
      </c>
      <c r="AN29" s="22">
        <f t="shared" si="175"/>
        <v>14690.85</v>
      </c>
      <c r="BA29" s="62" t="s">
        <v>86</v>
      </c>
      <c r="BB29" s="63">
        <v>100000</v>
      </c>
      <c r="DC29" s="64" t="s">
        <v>85</v>
      </c>
      <c r="DD29" s="65">
        <v>5000</v>
      </c>
      <c r="DF29" s="1"/>
      <c r="DG29" s="26"/>
      <c r="DH29" s="46"/>
      <c r="DI29" s="26"/>
      <c r="DJ29" s="46"/>
      <c r="DK29" s="46"/>
      <c r="DL29" s="26"/>
      <c r="DM29" s="47"/>
      <c r="DN29" s="47"/>
      <c r="DO29" s="26"/>
      <c r="DP29" s="21"/>
      <c r="DQ29" s="22"/>
      <c r="ED29" s="62" t="s">
        <v>86</v>
      </c>
      <c r="EE29" s="63">
        <v>100000</v>
      </c>
      <c r="ET29" s="16" t="str" cm="1">
        <f t="array" ref="ET29">_xll.BDP(EU29&amp;" Equity","DS520")</f>
        <v>Mastercard Inc</v>
      </c>
      <c r="EU29" s="32" t="s">
        <v>169</v>
      </c>
      <c r="EV29" s="32" t="s">
        <v>428</v>
      </c>
      <c r="EW29" s="32" t="str" cm="1">
        <f t="array" ref="EW29">_xll.BDP(EU29&amp;" Equity", "ID_ISIN")</f>
        <v>US57636Q1040</v>
      </c>
      <c r="EX29" s="32"/>
      <c r="EY29" s="30" t="str">
        <f>_xll.BDP(EU29&amp;" Equity", "DS197")</f>
        <v>New York</v>
      </c>
      <c r="EZ29" s="30" t="s">
        <v>26</v>
      </c>
      <c r="FA29" s="30" t="s">
        <v>33</v>
      </c>
      <c r="FB29" s="30" t="s">
        <v>28</v>
      </c>
      <c r="FC29" s="30" t="str">
        <f>_xll.BDP(EU29&amp;" Equity", "DS004")</f>
        <v>USD</v>
      </c>
      <c r="FD29" s="17" cm="1">
        <f t="array" ref="FD29">_xll.BDP(EU29&amp;" Equity","PX_LAST")</f>
        <v>524.66</v>
      </c>
      <c r="FE29" s="33">
        <f t="shared" si="10"/>
        <v>3.3430178554809648E-2</v>
      </c>
      <c r="FF29" s="33">
        <f t="shared" si="11"/>
        <v>3.1757785838890711E-2</v>
      </c>
      <c r="FH29" s="1" cm="1">
        <f t="array" ref="FH29">IF(FC29="USD",1,_xll.BDP(FC29&amp;"USD CURNCY","PX_LAST"))</f>
        <v>1</v>
      </c>
      <c r="FI29" s="18">
        <v>13057.1376686125</v>
      </c>
      <c r="FJ29" s="11">
        <f t="shared" si="64"/>
        <v>6850557.8492142344</v>
      </c>
      <c r="FK29" s="5"/>
      <c r="FL29" s="11" cm="1">
        <f t="array" ref="FL29">IF(EY29="Hong Kong",_xll.BDP(EU29&amp;" Equity","PR414"),_xll.BDP(EU29&amp;" Equity","PR090"))</f>
        <v>1</v>
      </c>
      <c r="FM29" s="11">
        <f t="shared" si="65"/>
        <v>524.66</v>
      </c>
      <c r="FN29" s="5">
        <f t="shared" si="66"/>
        <v>20.389694540348202</v>
      </c>
      <c r="FO29" s="8">
        <f t="shared" si="67"/>
        <v>3.2791249999999994E-2</v>
      </c>
      <c r="FP29" s="8">
        <f t="shared" si="68"/>
        <v>-1.9112328513654631E-2</v>
      </c>
      <c r="FQ29" s="5"/>
      <c r="FR29" s="21">
        <f t="shared" si="69"/>
        <v>15694.202743781529</v>
      </c>
      <c r="FS29" s="22">
        <f t="shared" si="70"/>
        <v>19412.419999999998</v>
      </c>
      <c r="FU29" s="16" t="str" cm="1">
        <f t="array" ref="FU29">_xll.BDP(FV29&amp;" Equity","DS520")</f>
        <v>ServiceNow Inc</v>
      </c>
      <c r="FV29" s="32" t="s">
        <v>233</v>
      </c>
      <c r="FW29" s="32" t="s">
        <v>424</v>
      </c>
      <c r="FX29" s="32" t="str" cm="1">
        <f t="array" ref="FX29">_xll.BDP(FV29&amp;" Equity", "ID_ISIN")</f>
        <v>US81762P1021</v>
      </c>
      <c r="FY29" s="32"/>
      <c r="FZ29" s="30" t="str">
        <f>_xll.BDP(FV29&amp;" Equity", "DS197")</f>
        <v>New York</v>
      </c>
      <c r="GA29" s="30" t="s">
        <v>26</v>
      </c>
      <c r="GB29" s="30" t="s">
        <v>33</v>
      </c>
      <c r="GC29" s="30" t="s">
        <v>28</v>
      </c>
      <c r="GD29" s="30" t="str">
        <f>_xll.BDP(FV29&amp;" Equity", "DS004")</f>
        <v>USD</v>
      </c>
      <c r="GE29" s="17" cm="1">
        <f t="array" ref="GE29">_xll.BDP(FV29&amp;" Equity","PX_LAST")</f>
        <v>120.38</v>
      </c>
      <c r="GF29" s="33">
        <f t="shared" si="12"/>
        <v>2.3659929178332539E-2</v>
      </c>
      <c r="GG29" s="33">
        <f t="shared" si="13"/>
        <v>2.2475856226619833E-2</v>
      </c>
      <c r="GI29" s="1" cm="1">
        <f t="array" ref="GI29">IF(GD29="USD",1,_xll.BDP(GD29&amp;"USD CURNCY","PX_LAST"))</f>
        <v>1</v>
      </c>
      <c r="GJ29" s="18">
        <v>40683.977993325498</v>
      </c>
      <c r="GK29" s="11">
        <f t="shared" si="71"/>
        <v>4897537.2708365228</v>
      </c>
      <c r="GL29" s="5"/>
      <c r="GM29" s="11" cm="1">
        <f t="array" ref="GM29">IF(FZ29="Hong Kong",_xll.BDP(FV29&amp;" Equity","PR414"),_xll.BDP(FV29&amp;" Equity","PR090"))</f>
        <v>1</v>
      </c>
      <c r="GN29" s="11">
        <f t="shared" si="72"/>
        <v>120.38</v>
      </c>
      <c r="GO29" s="5">
        <f t="shared" si="73"/>
        <v>62.893980204904572</v>
      </c>
      <c r="GP29" s="8">
        <f t="shared" si="74"/>
        <v>2.36998125E-2</v>
      </c>
      <c r="GQ29" s="8">
        <f t="shared" si="75"/>
        <v>1.6856906614912681E-3</v>
      </c>
      <c r="GR29" s="5"/>
      <c r="GS29" s="21">
        <f t="shared" si="76"/>
        <v>5087.92731764567</v>
      </c>
      <c r="GT29" s="22">
        <f t="shared" si="77"/>
        <v>4454.0599999999995</v>
      </c>
      <c r="GV29" s="16" t="str" cm="1">
        <f t="array" ref="GV29">_xll.BDP(GW29&amp;" Equity","DS520")</f>
        <v>QBE Insurance Group Ltd</v>
      </c>
      <c r="GW29" s="32" t="s">
        <v>199</v>
      </c>
      <c r="GX29" s="32" t="s">
        <v>416</v>
      </c>
      <c r="GY29" s="32" t="str" cm="1">
        <f t="array" ref="GY29">_xll.BDP(GW29&amp;" Equity", "ID_ISIN")</f>
        <v>AU000000QBE9</v>
      </c>
      <c r="GZ29" s="32"/>
      <c r="HA29" s="30" t="str">
        <f>_xll.BDP(GW29&amp;" Equity", "DS197")</f>
        <v>ASE</v>
      </c>
      <c r="HB29" s="30" t="s">
        <v>26</v>
      </c>
      <c r="HC29" s="30" t="s">
        <v>323</v>
      </c>
      <c r="HD29" s="30" t="s">
        <v>28</v>
      </c>
      <c r="HE29" s="30" t="str">
        <f>_xll.BDP(GW29&amp;" Equity", "DS004")</f>
        <v>AUD</v>
      </c>
      <c r="HF29" s="17" cm="1">
        <f t="array" ref="HF29">_xll.BDP(GW29&amp;" Equity","PX_LAST")</f>
        <v>20.93</v>
      </c>
      <c r="HG29" s="33">
        <f t="shared" si="14"/>
        <v>3.0553148808965831E-2</v>
      </c>
      <c r="HH29" s="33">
        <f t="shared" si="78"/>
        <v>2.9023188590616353E-2</v>
      </c>
      <c r="HJ29" s="1" cm="1">
        <f t="array" ref="HJ29">IF(HE29="USD",1,_xll.BDP(HE29&amp;"USD CURNCY","PX_LAST"))</f>
        <v>0.70340000000000003</v>
      </c>
      <c r="HK29" s="18">
        <v>338466.51684670401</v>
      </c>
      <c r="HL29" s="11">
        <f t="shared" si="79"/>
        <v>4982958.892592906</v>
      </c>
      <c r="HM29" s="5"/>
      <c r="HN29" s="11" cm="1">
        <f t="array" ref="HN29">IF(HA29="Hong Kong",_xll.BDP(GW29&amp;" Equity","PR414"),_xll.BDP(GW29&amp;" Equity","PR090"))</f>
        <v>1</v>
      </c>
      <c r="HO29" s="11">
        <f t="shared" si="80"/>
        <v>14.722162000000001</v>
      </c>
      <c r="HP29" s="5">
        <f t="shared" si="81"/>
        <v>664.10134726605133</v>
      </c>
      <c r="HQ29" s="8">
        <f t="shared" si="82"/>
        <v>3.0548486150000002E-2</v>
      </c>
      <c r="HR29" s="8">
        <f t="shared" si="83"/>
        <v>-1.5260813197948142E-4</v>
      </c>
      <c r="HS29" s="5"/>
      <c r="HT29" s="21">
        <f t="shared" si="84"/>
        <v>481.85416475567251</v>
      </c>
      <c r="HU29" s="22">
        <f t="shared" si="85"/>
        <v>544.71999400000004</v>
      </c>
      <c r="HW29" s="35" t="s">
        <v>81</v>
      </c>
      <c r="HX29" s="36"/>
      <c r="HY29" s="36"/>
      <c r="HZ29" s="36"/>
      <c r="IA29" s="36"/>
      <c r="IB29" s="36"/>
      <c r="IC29" s="36"/>
      <c r="ID29" s="36"/>
      <c r="IE29" s="36"/>
      <c r="IF29" s="36"/>
      <c r="IG29" s="25" t="s">
        <v>81</v>
      </c>
      <c r="IH29" s="37">
        <f>SUM(IH6:IH28)</f>
        <v>1</v>
      </c>
      <c r="II29" s="37">
        <f>SUM(II6:II28)</f>
        <v>1</v>
      </c>
      <c r="IM29" s="56">
        <f>SUM(IM6:IM28)</f>
        <v>189540585.96362427</v>
      </c>
      <c r="IX29" s="16" t="str" cm="1">
        <f t="array" ref="IX29">_xll.BDP(IY29&amp;" Equity","DS520")</f>
        <v>Twilio Inc</v>
      </c>
      <c r="IY29" s="32" t="s">
        <v>695</v>
      </c>
      <c r="IZ29" s="32" t="s">
        <v>701</v>
      </c>
      <c r="JA29" s="32" t="str" cm="1">
        <f t="array" ref="JA29">_xll.BDP(IY29&amp;" Equity", "ID_ISIN")</f>
        <v>US90138F1021</v>
      </c>
      <c r="JB29" s="32"/>
      <c r="JC29" s="30" t="str">
        <f>_xll.BDP(IY29&amp;" Equity", "DS197")</f>
        <v>New York</v>
      </c>
      <c r="JD29" s="30" t="s">
        <v>26</v>
      </c>
      <c r="JE29" s="30" t="s">
        <v>33</v>
      </c>
      <c r="JF29" s="30" t="s">
        <v>28</v>
      </c>
      <c r="JG29" s="30" t="str">
        <f>_xll.BDP(IY29&amp;" Equity", "DS004")</f>
        <v>USD</v>
      </c>
      <c r="JH29" s="17" cm="1">
        <f t="array" ref="JH29">_xll.BDP(IY29&amp;" Equity","PX_LAST")</f>
        <v>125.48</v>
      </c>
      <c r="JI29" s="33">
        <f t="shared" si="93"/>
        <v>4.4881522750450903E-2</v>
      </c>
      <c r="JJ29" s="33">
        <f t="shared" si="17"/>
        <v>4.2635154701872638E-2</v>
      </c>
      <c r="JL29" s="1" cm="1">
        <f t="array" ref="JL29">IF(JG29="USD",1,_xll.BDP(JG29&amp;"USD CURNCY","PX_LAST"))</f>
        <v>1</v>
      </c>
      <c r="JM29" s="18">
        <v>43635.053987677798</v>
      </c>
      <c r="JN29" s="11">
        <f t="shared" si="94"/>
        <v>5475326.5743738106</v>
      </c>
      <c r="JO29" s="5"/>
      <c r="JP29" s="11" cm="1">
        <f t="array" ref="JP29">IF(JC29="Hong Kong",_xll.BDP(IY29&amp;" Equity","PR414"),_xll.BDP(IY29&amp;" Equity","PR090"))</f>
        <v>1</v>
      </c>
      <c r="JQ29" s="11">
        <f t="shared" si="95"/>
        <v>125.48</v>
      </c>
      <c r="JR29" s="5">
        <f t="shared" si="96"/>
        <v>114.45718265974091</v>
      </c>
      <c r="JS29" s="8">
        <f t="shared" si="97"/>
        <v>4.4702250000000006E-2</v>
      </c>
      <c r="JT29" s="8">
        <f t="shared" si="98"/>
        <v>-3.9943553485848327E-3</v>
      </c>
      <c r="JU29" s="5"/>
      <c r="JV29" s="21">
        <f t="shared" si="99"/>
        <v>2795.8053183197617</v>
      </c>
      <c r="JW29" s="22">
        <f t="shared" si="100"/>
        <v>4642.76</v>
      </c>
      <c r="JY29" s="16" t="str" cm="1">
        <f t="array" ref="JY29">_xll.BDP(JZ29&amp;" Equity","DS520")</f>
        <v>Nordex SE</v>
      </c>
      <c r="JZ29" s="32" t="s">
        <v>1310</v>
      </c>
      <c r="KA29" s="32" t="s">
        <v>1380</v>
      </c>
      <c r="KB29" s="32" t="str" cm="1">
        <f t="array" ref="KB29">_xll.BDP(JZ29&amp;" Equity", "ID_ISIN")</f>
        <v>DE000A0D6554</v>
      </c>
      <c r="KC29" s="32"/>
      <c r="KD29" s="30" t="str">
        <f>_xll.BDP(JZ29&amp;" Equity", "DS197")</f>
        <v>Xetra</v>
      </c>
      <c r="KE29" s="30" t="s">
        <v>26</v>
      </c>
      <c r="KF29" s="30" t="s">
        <v>1381</v>
      </c>
      <c r="KG29" s="30" t="s">
        <v>28</v>
      </c>
      <c r="KH29" s="30" t="str">
        <f>_xll.BDP(JZ29&amp;" Equity", "DS004")</f>
        <v>EUR</v>
      </c>
      <c r="KI29" s="17" cm="1">
        <f t="array" ref="KI29">_xll.BDP(JZ29&amp;" Equity","PX_LAST")</f>
        <v>42.2</v>
      </c>
      <c r="KJ29" s="33">
        <f t="shared" si="101"/>
        <v>3.6820411214309859E-2</v>
      </c>
      <c r="KK29" s="33">
        <f t="shared" si="102"/>
        <v>3.4985068888451515E-2</v>
      </c>
      <c r="KM29" s="1" cm="1">
        <f t="array" ref="KM29">IF(KH29="USD",1,_xll.BDP(KH29&amp;"USD CURNCY","PX_LAST"))</f>
        <v>1.1607000000000001</v>
      </c>
      <c r="KN29" s="18">
        <v>74646.527924020906</v>
      </c>
      <c r="KO29" s="11">
        <f t="shared" si="103"/>
        <v>3656301.8933715471</v>
      </c>
      <c r="KP29" s="5"/>
      <c r="KQ29" s="11" cm="1">
        <f t="array" ref="KQ29">IF(KD29="Hong Kong",_xll.BDP(JZ29&amp;" Equity","PR414"),_xll.BDP(JZ29&amp;" Equity","PR090"))</f>
        <v>1</v>
      </c>
      <c r="KR29" s="11">
        <f t="shared" si="104"/>
        <v>48.981540000000003</v>
      </c>
      <c r="KS29" s="5">
        <f t="shared" si="105"/>
        <v>240.55045203926122</v>
      </c>
      <c r="KT29" s="8">
        <f t="shared" si="106"/>
        <v>3.6889222312500004E-2</v>
      </c>
      <c r="KU29" s="8">
        <f t="shared" si="107"/>
        <v>1.8688302471592255E-3</v>
      </c>
      <c r="KV29" s="5"/>
      <c r="KW29" s="21">
        <f t="shared" si="108"/>
        <v>1330.2822642285932</v>
      </c>
      <c r="KX29" s="22">
        <f t="shared" si="109"/>
        <v>1812.3169800000001</v>
      </c>
      <c r="LN29" s="1"/>
      <c r="LO29" s="26"/>
      <c r="LP29" s="11"/>
      <c r="LQ29" s="5"/>
      <c r="LR29" s="11"/>
      <c r="LS29" s="11"/>
      <c r="LT29" s="5"/>
      <c r="LU29" s="8"/>
      <c r="LV29" s="8"/>
      <c r="LW29" s="5"/>
      <c r="LX29" s="21"/>
      <c r="LY29" s="22"/>
      <c r="MA29" s="16" t="str" cm="1">
        <f t="array" ref="MA29">_xll.BDP(MB29&amp;" Equity","DS520")</f>
        <v>Publicis Groupe SA</v>
      </c>
      <c r="MB29" s="32" t="s">
        <v>715</v>
      </c>
      <c r="MC29" s="32" t="s">
        <v>717</v>
      </c>
      <c r="MD29" s="32" t="str" cm="1">
        <f t="array" ref="MD29">_xll.BDP(MB29&amp;" Equity", "ID_ISIN")</f>
        <v>FR0000130577</v>
      </c>
      <c r="ME29" s="32"/>
      <c r="MF29" s="30" t="str">
        <f>_xll.BDP(MB29&amp;" Equity", "DS197")</f>
        <v>EN Paris</v>
      </c>
      <c r="MG29" s="30" t="s">
        <v>26</v>
      </c>
      <c r="MH29" s="30" t="s">
        <v>39</v>
      </c>
      <c r="MI29" s="30" t="s">
        <v>28</v>
      </c>
      <c r="MJ29" s="30" t="str">
        <f>_xll.BDP(MB29&amp;" Equity", "DS004")</f>
        <v>EUR</v>
      </c>
      <c r="MK29" s="17" cm="1">
        <f t="array" ref="MK29">_xll.BDP(MB29&amp;" Equity","PX_LAST")</f>
        <v>75.8</v>
      </c>
      <c r="ML29" s="33">
        <f t="shared" si="20"/>
        <v>2.9904775185710487E-2</v>
      </c>
      <c r="MM29" s="33">
        <f t="shared" si="21"/>
        <v>2.8391524214520091E-2</v>
      </c>
      <c r="MO29" s="1" cm="1">
        <f t="array" ref="MO29">IF(MJ29="USD",1,_xll.BDP(MJ29&amp;"USD CURNCY","PX_LAST"))</f>
        <v>1.1607000000000001</v>
      </c>
      <c r="MP29" s="18">
        <v>61064.523997061202</v>
      </c>
      <c r="MQ29" s="11">
        <f t="shared" si="117"/>
        <v>5372521.549656882</v>
      </c>
      <c r="MR29" s="5"/>
      <c r="MS29" s="11" cm="1">
        <f t="array" ref="MS29">IF(MF29="Hong Kong",_xll.BDP(MB29&amp;" Equity","PR414"),_xll.BDP(MB29&amp;" Equity","PR090"))</f>
        <v>1</v>
      </c>
      <c r="MT29" s="11">
        <f t="shared" si="118"/>
        <v>87.981059999999999</v>
      </c>
      <c r="MU29" s="5">
        <f t="shared" si="119"/>
        <v>108.76804688903903</v>
      </c>
      <c r="MV29" s="8">
        <f t="shared" si="120"/>
        <v>2.9968548562500003E-2</v>
      </c>
      <c r="MW29" s="8">
        <f t="shared" si="121"/>
        <v>2.1325482767711179E-3</v>
      </c>
      <c r="MX29" s="5"/>
      <c r="MY29" s="21">
        <f t="shared" si="122"/>
        <v>2942.0405087024474</v>
      </c>
      <c r="MZ29" s="22">
        <f t="shared" si="123"/>
        <v>3255.2992199999999</v>
      </c>
      <c r="NB29" s="16" t="str" cm="1">
        <f t="array" ref="NB29">_xll.BDP(NC29&amp;" Equity","DS520")</f>
        <v>Verizon Communications Inc</v>
      </c>
      <c r="NC29" s="32" t="s">
        <v>74</v>
      </c>
      <c r="ND29" s="32" t="s">
        <v>75</v>
      </c>
      <c r="NE29" s="32" t="str" cm="1">
        <f t="array" ref="NE29">_xll.BDP(NC29&amp;" Equity", "ID_ISIN")</f>
        <v>US92343V1044</v>
      </c>
      <c r="NF29" s="32"/>
      <c r="NG29" s="30" t="str">
        <f>_xll.BDP(NC29&amp;" Equity", "DS197")</f>
        <v>New York</v>
      </c>
      <c r="NH29" s="30" t="s">
        <v>26</v>
      </c>
      <c r="NI29" s="30" t="s">
        <v>33</v>
      </c>
      <c r="NJ29" s="30" t="s">
        <v>28</v>
      </c>
      <c r="NK29" s="30" t="str">
        <f>_xll.BDP(NC29&amp;" Equity", "DS004")</f>
        <v>USD</v>
      </c>
      <c r="NL29" s="17" cm="1">
        <f t="array" ref="NL29">_xll.BDP(NC29&amp;" Equity","PX_LAST")</f>
        <v>51.18</v>
      </c>
      <c r="NM29" s="33">
        <f t="shared" si="22"/>
        <v>4.0189036181591475E-2</v>
      </c>
      <c r="NN29" s="33">
        <f t="shared" si="23"/>
        <v>3.8150481071802821E-2</v>
      </c>
      <c r="NP29" s="1" cm="1">
        <f t="array" ref="NP29">IF(NK29="USD",1,_xll.BDP(NK29&amp;"USD CURNCY","PX_LAST"))</f>
        <v>1</v>
      </c>
      <c r="NQ29" s="18">
        <v>134242.47103034801</v>
      </c>
      <c r="NR29" s="11">
        <f t="shared" si="124"/>
        <v>6870529.6673332108</v>
      </c>
      <c r="NS29" s="5"/>
      <c r="NT29" s="11" cm="1">
        <f t="array" ref="NT29">IF(NG29="Hong Kong",_xll.BDP(NC29&amp;" Equity","PR414"),_xll.BDP(NC29&amp;" Equity","PR090"))</f>
        <v>1</v>
      </c>
      <c r="NU29" s="11">
        <f t="shared" si="125"/>
        <v>51.18</v>
      </c>
      <c r="NV29" s="5">
        <f t="shared" si="126"/>
        <v>251.27963224129095</v>
      </c>
      <c r="NW29" s="8">
        <f t="shared" si="127"/>
        <v>4.0144312500000001E-2</v>
      </c>
      <c r="NX29" s="8">
        <f t="shared" si="128"/>
        <v>-1.1128328977433322E-3</v>
      </c>
      <c r="NY29" s="5"/>
      <c r="NZ29" s="21">
        <f t="shared" si="129"/>
        <v>1273.4816473016817</v>
      </c>
      <c r="OA29" s="22">
        <f t="shared" si="130"/>
        <v>1893.6599999999999</v>
      </c>
      <c r="OC29" s="16" t="str" cm="1">
        <f t="array" ref="OC29">_xll.BDP(OD29&amp;" Equity","DS520")</f>
        <v>Telenor ASA</v>
      </c>
      <c r="OD29" s="45" t="s">
        <v>265</v>
      </c>
      <c r="OE29" s="32" t="s">
        <v>340</v>
      </c>
      <c r="OF29" s="32" t="str" cm="1">
        <f t="array" ref="OF29">_xll.BDP(OD29&amp;" Equity", "ID_ISIN")</f>
        <v>NO0010063308</v>
      </c>
      <c r="OG29" s="45"/>
      <c r="OH29" s="30" t="str">
        <f>_xll.BDP(OD29&amp;" Equity", "DS197")</f>
        <v>Oslo</v>
      </c>
      <c r="OI29" s="30" t="s">
        <v>26</v>
      </c>
      <c r="OJ29" s="30" t="s">
        <v>330</v>
      </c>
      <c r="OK29" s="30" t="s">
        <v>28</v>
      </c>
      <c r="OL29" s="30" t="str">
        <f>_xll.BDP(OD29&amp;" Equity", "DS004")</f>
        <v>NOK</v>
      </c>
      <c r="OM29" s="17" cm="1">
        <f t="array" ref="OM29">_xll.BDP(OD29&amp;" Equity","PX_LAST")</f>
        <v>170.3</v>
      </c>
      <c r="ON29" s="33">
        <f t="shared" si="24"/>
        <v>3.3677930770949639E-2</v>
      </c>
      <c r="OO29" s="33">
        <f t="shared" si="131"/>
        <v>3.1933651377959109E-2</v>
      </c>
      <c r="OQ29" s="1" cm="1">
        <f t="array" ref="OQ29">IF(OL29="EUR",1,_xll.BDP(OL29&amp;"EUR CURNCY","PX_LAST"))</f>
        <v>8.9200000000000002E-2</v>
      </c>
      <c r="OR29" s="18">
        <v>408297.80468190601</v>
      </c>
      <c r="OS29" s="11">
        <f t="shared" si="132"/>
        <v>6202353.9594497103</v>
      </c>
      <c r="OT29" s="5"/>
      <c r="OU29" s="11" cm="1">
        <f t="array" ref="OU29">IF(OH29="Hong Kong",_xll.BDP(OD29&amp;" Equity","PR414"),_xll.BDP(OD29&amp;" Equity","PR090"))</f>
        <v>1</v>
      </c>
      <c r="OV29" s="11">
        <f t="shared" si="133"/>
        <v>15.190760000000001</v>
      </c>
      <c r="OW29" s="5">
        <f t="shared" si="134"/>
        <v>709.44033390718323</v>
      </c>
      <c r="OX29" s="8">
        <f t="shared" si="135"/>
        <v>3.3657027625000002E-2</v>
      </c>
      <c r="OY29" s="8">
        <f t="shared" si="136"/>
        <v>-6.2067785850039581E-4</v>
      </c>
      <c r="OZ29" s="5"/>
      <c r="PA29" s="21">
        <f t="shared" si="137"/>
        <v>451.05977868163592</v>
      </c>
      <c r="PB29" s="22">
        <f t="shared" si="138"/>
        <v>562.05812000000003</v>
      </c>
      <c r="PD29" s="16" t="s">
        <v>94</v>
      </c>
      <c r="PE29" s="32" t="s">
        <v>94</v>
      </c>
      <c r="PF29" s="32"/>
      <c r="PG29" s="32"/>
      <c r="PH29" s="32"/>
      <c r="PI29" s="30"/>
      <c r="PJ29" s="30"/>
      <c r="PK29" s="30"/>
      <c r="PL29" s="30" t="s">
        <v>80</v>
      </c>
      <c r="PM29" s="30" t="str">
        <f>_xll.BDP(PE29&amp;" Curncy", "DS004")</f>
        <v>JPY</v>
      </c>
      <c r="PN29" s="17">
        <v>1</v>
      </c>
      <c r="PO29" s="33">
        <f t="shared" si="25"/>
        <v>4.9459413393911069E-3</v>
      </c>
      <c r="PP29" s="33">
        <f>PP36</f>
        <v>5.475E-2</v>
      </c>
      <c r="PR29" s="1">
        <v>1</v>
      </c>
      <c r="PS29" s="18">
        <v>953178.76787136402</v>
      </c>
      <c r="PT29" s="11">
        <f>PS29*PN29*PR29</f>
        <v>953178.76787136402</v>
      </c>
      <c r="PU29" s="5"/>
      <c r="PV29" s="11">
        <v>1</v>
      </c>
      <c r="PW29" s="11">
        <f t="shared" ref="PW29" si="247">PV29*PR29*PN29</f>
        <v>1</v>
      </c>
      <c r="PX29" s="5">
        <f t="shared" ref="PX29" si="248">($AJ$3*PO29)/PW29</f>
        <v>1582.7012286051543</v>
      </c>
      <c r="PY29" s="8">
        <f t="shared" ref="PY29" si="249">(ROUND(PX29,0)*PW29)/$AJ$3</f>
        <v>4.9468749999999999E-3</v>
      </c>
      <c r="PZ29" s="8">
        <f t="shared" ref="PZ29" si="250">PY29/PO29-1</f>
        <v>1.8877308581410901E-4</v>
      </c>
      <c r="QA29" s="5"/>
      <c r="QB29" s="21">
        <f t="shared" ref="QB29" si="251">IFERROR(PW29/PO29,0)</f>
        <v>202.18598066169335</v>
      </c>
      <c r="QC29" s="22">
        <f t="shared" ref="QC29" si="252">PW29/(1/COUNTA($P$6:$P$77))</f>
        <v>37</v>
      </c>
      <c r="QS29" s="1"/>
      <c r="QT29" s="26"/>
      <c r="QU29" s="46"/>
      <c r="QV29" s="5"/>
      <c r="QW29" s="11"/>
      <c r="QX29" s="11"/>
      <c r="QY29" s="5"/>
      <c r="QZ29" s="8"/>
      <c r="RA29" s="8"/>
      <c r="RB29" s="5"/>
      <c r="RC29" s="21"/>
      <c r="RD29" s="22"/>
      <c r="RF29" s="16" t="str" cm="1">
        <f t="array" ref="RF29">_xll.BDP(RG29&amp;" Equity","DS520")</f>
        <v>ResMed Inc</v>
      </c>
      <c r="RG29" s="34" t="s">
        <v>1313</v>
      </c>
      <c r="RH29" s="34"/>
      <c r="RI29" s="32" t="str" cm="1">
        <f t="array" ref="RI29">_xll.BDP(RG29&amp;" Equity", "ID_ISIN")</f>
        <v>US7611521078</v>
      </c>
      <c r="RJ29" s="34"/>
      <c r="RK29" s="30" t="str">
        <f>_xll.BDP(RG29&amp;" Equity", "DS197")</f>
        <v>New York</v>
      </c>
      <c r="RL29" s="30" t="s">
        <v>26</v>
      </c>
      <c r="RM29" s="30"/>
      <c r="RN29" s="30" t="s">
        <v>28</v>
      </c>
      <c r="RO29" s="30" t="str">
        <f>_xll.BDP(RG29&amp;" Equity", "DS004")</f>
        <v>USD</v>
      </c>
      <c r="RP29" s="17" cm="1">
        <f t="array" ref="RP29">_xll.BDP(RG29&amp;" Equity","PX_LAST")</f>
        <v>255.32</v>
      </c>
      <c r="RQ29" s="33">
        <f t="shared" si="153"/>
        <v>2.9873503067504432E-2</v>
      </c>
      <c r="RR29" s="33">
        <f t="shared" si="154"/>
        <v>2.8407067613329163E-2</v>
      </c>
      <c r="RT29" s="1" cm="1">
        <f t="array" ref="RT29">IF(RO29="USD",1,_xll.BDP(RO29&amp;"USD CURNCY","PX_LAST"))</f>
        <v>1</v>
      </c>
      <c r="RU29" s="18">
        <v>11790.592435753701</v>
      </c>
      <c r="RV29" s="11">
        <f t="shared" si="217"/>
        <v>3010374.0606966349</v>
      </c>
      <c r="RW29" s="5"/>
      <c r="RX29" s="11" cm="1">
        <f t="array" ref="RX29">IF(RK29="Hong Kong",_xll.BDP(RG29&amp;" Equity","PR414"),_xll.BDP(RG29&amp;" Equity","PR090"))</f>
        <v>1</v>
      </c>
      <c r="RY29" s="11">
        <f t="shared" si="218"/>
        <v>255.32</v>
      </c>
      <c r="RZ29" s="5">
        <f t="shared" si="219"/>
        <v>37.441332373497644</v>
      </c>
      <c r="SA29" s="8">
        <f t="shared" si="220"/>
        <v>2.9521374999999999E-2</v>
      </c>
      <c r="SB29" s="8">
        <f t="shared" si="221"/>
        <v>-1.1787304177509283E-2</v>
      </c>
      <c r="SC29" s="5"/>
      <c r="SD29" s="21">
        <f t="shared" si="222"/>
        <v>8546.7043963026226</v>
      </c>
      <c r="SE29" s="22">
        <f t="shared" si="223"/>
        <v>9446.8399999999983</v>
      </c>
    </row>
    <row r="30" spans="15:499" ht="15" thickBot="1" x14ac:dyDescent="0.25">
      <c r="O30" s="16" t="str" cm="1">
        <f t="array" ref="O30">_xll.BDP(P30&amp;" Equity","DS520")</f>
        <v>Cisco Systems Inc</v>
      </c>
      <c r="P30" s="32" t="s">
        <v>45</v>
      </c>
      <c r="Q30" s="32" t="s">
        <v>46</v>
      </c>
      <c r="R30" s="32" t="str" cm="1">
        <f t="array" ref="R30">_xll.BDP(P30&amp;" Equity", "ID_ISIN")</f>
        <v>US17275R1023</v>
      </c>
      <c r="S30" s="32"/>
      <c r="T30" s="30" t="str">
        <f>_xll.BDP(P30&amp;" Equity", "DS197")</f>
        <v>NASDAQ GS</v>
      </c>
      <c r="U30" s="30" t="s">
        <v>26</v>
      </c>
      <c r="V30" s="30" t="s">
        <v>33</v>
      </c>
      <c r="W30" s="30" t="s">
        <v>28</v>
      </c>
      <c r="X30" s="30" t="str">
        <f>_xll.BDP(P30&amp;" Equity", "DS004")</f>
        <v>USD</v>
      </c>
      <c r="Y30" s="17" cm="1">
        <f t="array" ref="Y30">_xll.BDP(P30&amp;" Equity","PX_LAST")</f>
        <v>80.010000000000005</v>
      </c>
      <c r="Z30" s="33">
        <f t="shared" si="0"/>
        <v>2.553312085307638E-2</v>
      </c>
      <c r="AA30" s="33">
        <f t="shared" si="1"/>
        <v>2.4257322919687904E-2</v>
      </c>
      <c r="AB30" s="4"/>
      <c r="AC30" s="1" cm="1">
        <f t="array" ref="AC30">IF(X30="USD",1,_xll.BDP(X30&amp;"USD CURNCY","PX_LAST"))</f>
        <v>1</v>
      </c>
      <c r="AD30" s="18">
        <v>65672.847661738793</v>
      </c>
      <c r="AE30" s="11">
        <f t="shared" si="169"/>
        <v>5254484.5414157212</v>
      </c>
      <c r="AF30" s="5"/>
      <c r="AG30" s="11" cm="1">
        <f t="array" ref="AG30">IF(T30="Hong Kong",_xll.BDP(P30&amp;" Equity","PR414"),_xll.BDP(P30&amp;" Equity","PR090"))</f>
        <v>1</v>
      </c>
      <c r="AH30" s="11">
        <f t="shared" si="170"/>
        <v>80.010000000000005</v>
      </c>
      <c r="AI30" s="5">
        <f t="shared" si="171"/>
        <v>102.11971844749958</v>
      </c>
      <c r="AJ30" s="8">
        <f t="shared" si="172"/>
        <v>2.55031875E-2</v>
      </c>
      <c r="AK30" s="8">
        <f t="shared" si="173"/>
        <v>-1.1723342888095845E-3</v>
      </c>
      <c r="AL30" s="5"/>
      <c r="AM30" s="21">
        <f t="shared" si="174"/>
        <v>3133.5769904664799</v>
      </c>
      <c r="AN30" s="22">
        <f t="shared" si="175"/>
        <v>2960.37</v>
      </c>
      <c r="BA30" s="64" t="s">
        <v>85</v>
      </c>
      <c r="BB30" s="65">
        <v>5000</v>
      </c>
      <c r="DC30" s="64" t="s">
        <v>88</v>
      </c>
      <c r="DD30" s="66">
        <f>(DD28-DD29)*0.5%</f>
        <v>475</v>
      </c>
      <c r="DF30" s="1"/>
      <c r="DG30" s="26"/>
      <c r="DH30" s="46"/>
      <c r="DI30" s="26"/>
      <c r="DJ30" s="46"/>
      <c r="DK30" s="46"/>
      <c r="DL30" s="26"/>
      <c r="DM30" s="47"/>
      <c r="DN30" s="47"/>
      <c r="DO30" s="26"/>
      <c r="DP30" s="21"/>
      <c r="DQ30" s="22"/>
      <c r="ED30" s="64" t="s">
        <v>85</v>
      </c>
      <c r="EE30" s="65">
        <v>5000</v>
      </c>
      <c r="ET30" s="16" t="str" cm="1">
        <f t="array" ref="ET30">_xll.BDP(EU30&amp;" Equity","DS520")</f>
        <v>Bristol-Myers Squibb Co</v>
      </c>
      <c r="EU30" s="32" t="s">
        <v>317</v>
      </c>
      <c r="EV30" s="32" t="s">
        <v>324</v>
      </c>
      <c r="EW30" s="32" t="str" cm="1">
        <f t="array" ref="EW30">_xll.BDP(EU30&amp;" Equity", "ID_ISIN")</f>
        <v>US1101221083</v>
      </c>
      <c r="EX30" s="32"/>
      <c r="EY30" s="30" t="str">
        <f>_xll.BDP(EU30&amp;" Equity", "DS197")</f>
        <v>New York</v>
      </c>
      <c r="EZ30" s="30" t="s">
        <v>26</v>
      </c>
      <c r="FA30" s="30" t="s">
        <v>33</v>
      </c>
      <c r="FB30" s="30" t="s">
        <v>28</v>
      </c>
      <c r="FC30" s="30" t="str">
        <f>_xll.BDP(EU30&amp;" Equity", "DS004")</f>
        <v>USD</v>
      </c>
      <c r="FD30" s="17" cm="1">
        <f t="array" ref="FD30">_xll.BDP(EU30&amp;" Equity","PX_LAST")</f>
        <v>60.74</v>
      </c>
      <c r="FE30" s="33">
        <f t="shared" si="10"/>
        <v>3.40932085079503E-2</v>
      </c>
      <c r="FF30" s="33">
        <f t="shared" si="11"/>
        <v>3.2387646765959593E-2</v>
      </c>
      <c r="FH30" s="1" cm="1">
        <f t="array" ref="FH30">IF(FC30="USD",1,_xll.BDP(FC30&amp;"USD CURNCY","PX_LAST"))</f>
        <v>1</v>
      </c>
      <c r="FI30" s="18">
        <v>115021.844794114</v>
      </c>
      <c r="FJ30" s="11">
        <f t="shared" si="64"/>
        <v>6986426.8527944852</v>
      </c>
      <c r="FK30" s="5"/>
      <c r="FL30" s="11" cm="1">
        <f t="array" ref="FL30">IF(EY30="Hong Kong",_xll.BDP(EU30&amp;" Equity","PR414"),_xll.BDP(EU30&amp;" Equity","PR090"))</f>
        <v>1</v>
      </c>
      <c r="FM30" s="11">
        <f t="shared" si="65"/>
        <v>60.74</v>
      </c>
      <c r="FN30" s="5">
        <f t="shared" si="66"/>
        <v>179.61519134909608</v>
      </c>
      <c r="FO30" s="8">
        <f t="shared" si="67"/>
        <v>3.4166250000000002E-2</v>
      </c>
      <c r="FP30" s="8">
        <f t="shared" si="68"/>
        <v>2.1424059291066389E-3</v>
      </c>
      <c r="FQ30" s="5"/>
      <c r="FR30" s="21">
        <f t="shared" si="69"/>
        <v>1781.586499429523</v>
      </c>
      <c r="FS30" s="22">
        <f t="shared" si="70"/>
        <v>2247.38</v>
      </c>
      <c r="FU30" s="16" t="str" cm="1">
        <f t="array" ref="FU30">_xll.BDP(FV30&amp;" Equity","DS520")</f>
        <v>Taiwan Semiconductor Manufacturing Co Ltd</v>
      </c>
      <c r="FV30" s="45" t="s">
        <v>182</v>
      </c>
      <c r="FW30" s="32" t="s">
        <v>412</v>
      </c>
      <c r="FX30" s="32" t="str" cm="1">
        <f t="array" ref="FX30">_xll.BDP(FV30&amp;" Equity", "ID_ISIN")</f>
        <v>US8740391003</v>
      </c>
      <c r="FY30" s="45"/>
      <c r="FZ30" s="30" t="str">
        <f>_xll.BDP(FV30&amp;" Equity", "DS197")</f>
        <v>New York</v>
      </c>
      <c r="GA30" s="30" t="s">
        <v>26</v>
      </c>
      <c r="GB30" s="30" t="s">
        <v>33</v>
      </c>
      <c r="GC30" s="30" t="s">
        <v>28</v>
      </c>
      <c r="GD30" s="30" t="str">
        <f>_xll.BDP(FV30&amp;" Equity", "DS004")</f>
        <v>USD</v>
      </c>
      <c r="GE30" s="17" cm="1">
        <f t="array" ref="GE30">_xll.BDP(FV30&amp;" Equity","PX_LAST")</f>
        <v>353.86</v>
      </c>
      <c r="GF30" s="33">
        <f t="shared" si="12"/>
        <v>4.1331857678511871E-2</v>
      </c>
      <c r="GG30" s="33">
        <f t="shared" si="13"/>
        <v>3.9263384254424716E-2</v>
      </c>
      <c r="GI30" s="1" cm="1">
        <f t="array" ref="GI30">IF(GD30="USD",1,_xll.BDP(GD30&amp;"USD CURNCY","PX_LAST"))</f>
        <v>1</v>
      </c>
      <c r="GJ30" s="18">
        <v>24177.854599664101</v>
      </c>
      <c r="GK30" s="11">
        <f t="shared" si="71"/>
        <v>8555575.6286371388</v>
      </c>
      <c r="GL30" s="5"/>
      <c r="GM30" s="11" cm="1">
        <f t="array" ref="GM30">IF(FZ30="Hong Kong",_xll.BDP(FV30&amp;" Equity","PR414"),_xll.BDP(FV30&amp;" Equity","PR090"))</f>
        <v>1</v>
      </c>
      <c r="GN30" s="11">
        <f t="shared" si="72"/>
        <v>353.86</v>
      </c>
      <c r="GO30" s="5">
        <f t="shared" si="73"/>
        <v>37.376913064838632</v>
      </c>
      <c r="GP30" s="8">
        <f t="shared" si="74"/>
        <v>4.0915062500000002E-2</v>
      </c>
      <c r="GQ30" s="8">
        <f t="shared" si="75"/>
        <v>-1.0084114335092154E-2</v>
      </c>
      <c r="GR30" s="5"/>
      <c r="GS30" s="21">
        <f t="shared" si="76"/>
        <v>8561.4346868316352</v>
      </c>
      <c r="GT30" s="22">
        <f t="shared" si="77"/>
        <v>13092.82</v>
      </c>
      <c r="GV30" s="16" t="str" cm="1">
        <f t="array" ref="GV30">_xll.BDP(GW30&amp;" Equity","DS520")</f>
        <v>Samsung Electronics Co Ltd</v>
      </c>
      <c r="GW30" s="32" t="s">
        <v>200</v>
      </c>
      <c r="GX30" s="32" t="s">
        <v>417</v>
      </c>
      <c r="GY30" s="32" t="str" cm="1">
        <f t="array" ref="GY30">_xll.BDP(GW30&amp;" Equity", "ID_ISIN")</f>
        <v>US7960508882</v>
      </c>
      <c r="GZ30" s="32"/>
      <c r="HA30" s="30" t="str">
        <f>_xll.BDP(GW30&amp;" Equity", "DS197")</f>
        <v>London Intl</v>
      </c>
      <c r="HB30" s="30" t="s">
        <v>26</v>
      </c>
      <c r="HC30" s="30" t="s">
        <v>420</v>
      </c>
      <c r="HD30" s="30" t="s">
        <v>28</v>
      </c>
      <c r="HE30" s="30" t="str">
        <f>_xll.BDP(GW30&amp;" Equity", "DS004")</f>
        <v>USD</v>
      </c>
      <c r="HF30" s="17" cm="1">
        <f t="array" ref="HF30">_xll.BDP(GW30&amp;" Equity","PX_LAST")</f>
        <v>3124</v>
      </c>
      <c r="HG30" s="33">
        <f t="shared" si="14"/>
        <v>5.6659097106264711E-2</v>
      </c>
      <c r="HH30" s="33">
        <f t="shared" si="78"/>
        <v>5.3821871878770418E-2</v>
      </c>
      <c r="HJ30" s="1" cm="1">
        <f t="array" ref="HJ30">IF(HE30="USD",1,_xll.BDP(HE30&amp;"USD CURNCY","PX_LAST"))</f>
        <v>1</v>
      </c>
      <c r="HK30" s="18">
        <v>2957.9440395326201</v>
      </c>
      <c r="HL30" s="11">
        <f t="shared" si="79"/>
        <v>9240617.1794999056</v>
      </c>
      <c r="HM30" s="5"/>
      <c r="HN30" s="11" cm="1">
        <f t="array" ref="HN30">IF(HA30="Hong Kong",_xll.BDP(GW30&amp;" Equity","PR414"),_xll.BDP(GW30&amp;" Equity","PR090"))</f>
        <v>1</v>
      </c>
      <c r="HO30" s="11">
        <f t="shared" si="80"/>
        <v>3124</v>
      </c>
      <c r="HP30" s="5">
        <f t="shared" si="81"/>
        <v>5.803748743279356</v>
      </c>
      <c r="HQ30" s="8">
        <f t="shared" si="82"/>
        <v>5.8575000000000002E-2</v>
      </c>
      <c r="HR30" s="8">
        <f t="shared" si="83"/>
        <v>3.3814568032067172E-2</v>
      </c>
      <c r="HS30" s="5"/>
      <c r="HT30" s="21">
        <f t="shared" si="84"/>
        <v>55136.776961710253</v>
      </c>
      <c r="HU30" s="22">
        <f t="shared" si="85"/>
        <v>115588</v>
      </c>
      <c r="IX30" s="16" t="str" cm="1">
        <f t="array" ref="IX30">_xll.BDP(IY30&amp;" Equity","DS520")</f>
        <v>UBTech Robotics Corp Ltd</v>
      </c>
      <c r="IY30" s="32" t="s">
        <v>696</v>
      </c>
      <c r="IZ30" s="32">
        <v>9880</v>
      </c>
      <c r="JA30" s="32" t="str" cm="1">
        <f t="array" ref="JA30">_xll.BDP(IY30&amp;" Equity", "ID_ISIN")</f>
        <v>CNE100006CQ4</v>
      </c>
      <c r="JB30" s="32"/>
      <c r="JC30" s="30" t="str">
        <f>_xll.BDP(IY30&amp;" Equity", "DS197")</f>
        <v>Hong Kong</v>
      </c>
      <c r="JD30" s="30" t="s">
        <v>26</v>
      </c>
      <c r="JE30" s="30" t="s">
        <v>27</v>
      </c>
      <c r="JF30" s="30" t="s">
        <v>28</v>
      </c>
      <c r="JG30" s="30" t="str">
        <f>_xll.BDP(IY30&amp;" Equity", "DS004")</f>
        <v>HKD</v>
      </c>
      <c r="JH30" s="17" cm="1">
        <f t="array" ref="JH30">_xll.BDP(IY30&amp;" Equity","PX_LAST")</f>
        <v>112.3</v>
      </c>
      <c r="JI30" s="33">
        <f t="shared" si="93"/>
        <v>4.403829918869713E-2</v>
      </c>
      <c r="JJ30" s="33">
        <f t="shared" si="17"/>
        <v>4.183413537809591E-2</v>
      </c>
      <c r="JL30" s="1" cm="1">
        <f t="array" ref="JL30">IF(JG30="USD",1,_xll.BDP(JG30&amp;"USD CURNCY","PX_LAST"))</f>
        <v>0.12784999999999999</v>
      </c>
      <c r="JM30" s="18">
        <v>374190.27251787798</v>
      </c>
      <c r="JN30" s="11">
        <f t="shared" si="94"/>
        <v>5372457.4181404207</v>
      </c>
      <c r="JO30" s="5"/>
      <c r="JP30" s="11" cm="1">
        <f t="array" ref="JP30">IF(JC30="Hong Kong",_xll.BDP(IY30&amp;" Equity","PR414"),_xll.BDP(IY30&amp;" Equity","PR090"))</f>
        <v>50</v>
      </c>
      <c r="JQ30" s="11">
        <f t="shared" si="95"/>
        <v>717.87774999999988</v>
      </c>
      <c r="JR30" s="5">
        <f t="shared" si="96"/>
        <v>19.630439500852457</v>
      </c>
      <c r="JS30" s="8">
        <f t="shared" si="97"/>
        <v>4.4867359374999992E-2</v>
      </c>
      <c r="JT30" s="8">
        <f t="shared" si="98"/>
        <v>1.8825890226833453E-2</v>
      </c>
      <c r="JU30" s="5"/>
      <c r="JV30" s="21">
        <f t="shared" si="99"/>
        <v>16301.214243629336</v>
      </c>
      <c r="JW30" s="22">
        <f t="shared" si="100"/>
        <v>26561.476749999994</v>
      </c>
      <c r="JY30" s="16" t="str" cm="1">
        <f t="array" ref="JY30">_xll.BDP(JZ30&amp;" Equity","DS520")</f>
        <v>Novonesis Novozymes B</v>
      </c>
      <c r="JZ30" s="32" t="s">
        <v>246</v>
      </c>
      <c r="KA30" s="32" t="s">
        <v>1382</v>
      </c>
      <c r="KB30" s="32" t="str" cm="1">
        <f t="array" ref="KB30">_xll.BDP(JZ30&amp;" Equity", "ID_ISIN")</f>
        <v>DK0060336014</v>
      </c>
      <c r="KC30" s="32"/>
      <c r="KD30" s="30" t="str">
        <f>_xll.BDP(JZ30&amp;" Equity", "DS197")</f>
        <v>Copenhagen</v>
      </c>
      <c r="KE30" s="30" t="s">
        <v>26</v>
      </c>
      <c r="KF30" s="30" t="s">
        <v>1383</v>
      </c>
      <c r="KG30" s="30" t="s">
        <v>28</v>
      </c>
      <c r="KH30" s="30" t="str">
        <f>_xll.BDP(JZ30&amp;" Equity", "DS004")</f>
        <v>DKK</v>
      </c>
      <c r="KI30" s="17" cm="1">
        <f t="array" ref="KI30">_xll.BDP(JZ30&amp;" Equity","PX_LAST")</f>
        <v>368.7</v>
      </c>
      <c r="KJ30" s="33">
        <f t="shared" si="101"/>
        <v>2.8412509260244911E-2</v>
      </c>
      <c r="KK30" s="33">
        <f t="shared" si="102"/>
        <v>2.6996265413166329E-2</v>
      </c>
      <c r="KM30" s="1" cm="1">
        <f t="array" ref="KM30">IF(KH30="USD",1,_xll.BDP(KH30&amp;"USD CURNCY","PX_LAST"))</f>
        <v>0.15540000000000001</v>
      </c>
      <c r="KN30" s="18">
        <v>49242.359123044997</v>
      </c>
      <c r="KO30" s="11">
        <f t="shared" si="103"/>
        <v>2821389.2234668038</v>
      </c>
      <c r="KP30" s="5"/>
      <c r="KQ30" s="11" cm="1">
        <f t="array" ref="KQ30">IF(KD30="Hong Kong",_xll.BDP(JZ30&amp;" Equity","PR414"),_xll.BDP(JZ30&amp;" Equity","PR090"))</f>
        <v>1</v>
      </c>
      <c r="KR30" s="11">
        <f t="shared" si="104"/>
        <v>57.29598</v>
      </c>
      <c r="KS30" s="5">
        <f t="shared" si="105"/>
        <v>158.68483204717629</v>
      </c>
      <c r="KT30" s="8">
        <f t="shared" si="106"/>
        <v>2.8468940062500003E-2</v>
      </c>
      <c r="KU30" s="8">
        <f t="shared" si="107"/>
        <v>1.9861252569497445E-3</v>
      </c>
      <c r="KV30" s="5"/>
      <c r="KW30" s="21">
        <f t="shared" si="108"/>
        <v>2016.5758495737352</v>
      </c>
      <c r="KX30" s="22">
        <f t="shared" si="109"/>
        <v>2119.9512599999998</v>
      </c>
      <c r="LN30" s="1"/>
      <c r="LO30" s="26"/>
      <c r="LP30" s="11"/>
      <c r="LQ30" s="5"/>
      <c r="LR30" s="11"/>
      <c r="LS30" s="11"/>
      <c r="LT30" s="5"/>
      <c r="LU30" s="8"/>
      <c r="LV30" s="8"/>
      <c r="LW30" s="5"/>
      <c r="LX30" s="21"/>
      <c r="LY30" s="22"/>
      <c r="MA30" s="16" t="str" cm="1">
        <f t="array" ref="MA30">_xll.BDP(MB30&amp;" Equity","DS520")</f>
        <v>Roche Holding AG</v>
      </c>
      <c r="MB30" s="32" t="s">
        <v>70</v>
      </c>
      <c r="MC30" s="32" t="s">
        <v>71</v>
      </c>
      <c r="MD30" s="32" t="str" cm="1">
        <f t="array" ref="MD30">_xll.BDP(MB30&amp;" Equity", "ID_ISIN")</f>
        <v>CH0012032048</v>
      </c>
      <c r="ME30" s="32"/>
      <c r="MF30" s="30" t="str">
        <f>_xll.BDP(MB30&amp;" Equity", "DS197")</f>
        <v>SIX Swiss Ex</v>
      </c>
      <c r="MG30" s="30" t="s">
        <v>26</v>
      </c>
      <c r="MH30" s="30" t="s">
        <v>61</v>
      </c>
      <c r="MI30" s="30" t="s">
        <v>28</v>
      </c>
      <c r="MJ30" s="30" t="str">
        <f>_xll.BDP(MB30&amp;" Equity", "DS004")</f>
        <v>CHF</v>
      </c>
      <c r="MK30" s="17" cm="1">
        <f t="array" ref="MK30">_xll.BDP(MB30&amp;" Equity","PX_LAST")</f>
        <v>351.5</v>
      </c>
      <c r="ML30" s="33">
        <f t="shared" si="20"/>
        <v>2.8578769340797495E-2</v>
      </c>
      <c r="MM30" s="33">
        <f t="shared" si="21"/>
        <v>2.7132617340261709E-2</v>
      </c>
      <c r="MO30" s="1" cm="1">
        <f t="array" ref="MO30">IF(MJ30="USD",1,_xll.BDP(MJ30&amp;"USD CURNCY","PX_LAST"))</f>
        <v>1.2806</v>
      </c>
      <c r="MP30" s="18">
        <v>11406.235149578901</v>
      </c>
      <c r="MQ30" s="11">
        <f t="shared" si="117"/>
        <v>5134298.8934915848</v>
      </c>
      <c r="MR30" s="5"/>
      <c r="MS30" s="11" cm="1">
        <f t="array" ref="MS30">IF(MF30="Hong Kong",_xll.BDP(MB30&amp;" Equity","PR414"),_xll.BDP(MB30&amp;" Equity","PR090"))</f>
        <v>1</v>
      </c>
      <c r="MT30" s="11">
        <f t="shared" si="118"/>
        <v>450.1309</v>
      </c>
      <c r="MU30" s="5">
        <f t="shared" si="119"/>
        <v>20.316770497326885</v>
      </c>
      <c r="MV30" s="8">
        <f t="shared" si="120"/>
        <v>2.813318125E-2</v>
      </c>
      <c r="MW30" s="8">
        <f t="shared" si="121"/>
        <v>-1.5591577281860003E-2</v>
      </c>
      <c r="MX30" s="5"/>
      <c r="MY30" s="21">
        <f t="shared" si="122"/>
        <v>15750.534763490241</v>
      </c>
      <c r="MZ30" s="22">
        <f t="shared" si="123"/>
        <v>16654.8433</v>
      </c>
      <c r="NB30" s="16" t="str" cm="1">
        <f t="array" ref="NB30">_xll.BDP(NC30&amp;" Equity","DS520")</f>
        <v>VICI Properties Inc</v>
      </c>
      <c r="NC30" s="32" t="s">
        <v>256</v>
      </c>
      <c r="ND30" s="32" t="s">
        <v>379</v>
      </c>
      <c r="NE30" s="32" t="str" cm="1">
        <f t="array" ref="NE30">_xll.BDP(NC30&amp;" Equity", "ID_ISIN")</f>
        <v>US9256521090</v>
      </c>
      <c r="NF30" s="32"/>
      <c r="NG30" s="30" t="str">
        <f>_xll.BDP(NC30&amp;" Equity", "DS197")</f>
        <v>New York</v>
      </c>
      <c r="NH30" s="30" t="s">
        <v>26</v>
      </c>
      <c r="NI30" s="30" t="s">
        <v>33</v>
      </c>
      <c r="NJ30" s="30" t="s">
        <v>28</v>
      </c>
      <c r="NK30" s="30" t="str">
        <f>_xll.BDP(NC30&amp;" Equity", "DS004")</f>
        <v>USD</v>
      </c>
      <c r="NL30" s="17" cm="1">
        <f t="array" ref="NL30">_xll.BDP(NC30&amp;" Equity","PX_LAST")</f>
        <v>29.69</v>
      </c>
      <c r="NM30" s="33">
        <f t="shared" si="22"/>
        <v>3.8159401467603812E-2</v>
      </c>
      <c r="NN30" s="33">
        <f t="shared" si="23"/>
        <v>3.6223797874206563E-2</v>
      </c>
      <c r="NP30" s="1" cm="1">
        <f t="array" ref="NP30">IF(NK30="USD",1,_xll.BDP(NK30&amp;"USD CURNCY","PX_LAST"))</f>
        <v>1</v>
      </c>
      <c r="NQ30" s="18">
        <v>219722.22327167299</v>
      </c>
      <c r="NR30" s="11">
        <f t="shared" si="124"/>
        <v>6523552.808935971</v>
      </c>
      <c r="NS30" s="5"/>
      <c r="NT30" s="11" cm="1">
        <f t="array" ref="NT30">IF(NG30="Hong Kong",_xll.BDP(NC30&amp;" Equity","PR414"),_xll.BDP(NC30&amp;" Equity","PR090"))</f>
        <v>1</v>
      </c>
      <c r="NU30" s="11">
        <f t="shared" si="125"/>
        <v>29.69</v>
      </c>
      <c r="NV30" s="5">
        <f t="shared" si="126"/>
        <v>411.28354562590835</v>
      </c>
      <c r="NW30" s="8">
        <f t="shared" si="127"/>
        <v>3.8133093749999999E-2</v>
      </c>
      <c r="NX30" s="8">
        <f t="shared" si="128"/>
        <v>-6.894164109504386E-4</v>
      </c>
      <c r="NY30" s="5"/>
      <c r="NZ30" s="21">
        <f t="shared" si="129"/>
        <v>778.05203588441816</v>
      </c>
      <c r="OA30" s="22">
        <f t="shared" si="130"/>
        <v>1098.53</v>
      </c>
      <c r="OC30" s="16" t="str" cm="1">
        <f t="array" ref="OC30">_xll.BDP(OD30&amp;" Equity","DS520")</f>
        <v>TotalEnergies SE</v>
      </c>
      <c r="OD30" s="45" t="s">
        <v>72</v>
      </c>
      <c r="OE30" s="32" t="s">
        <v>73</v>
      </c>
      <c r="OF30" s="32" t="str" cm="1">
        <f t="array" ref="OF30">_xll.BDP(OD30&amp;" Equity", "ID_ISIN")</f>
        <v>FR0000120271</v>
      </c>
      <c r="OG30" s="45"/>
      <c r="OH30" s="30" t="str">
        <f>_xll.BDP(OD30&amp;" Equity", "DS197")</f>
        <v>EN Paris</v>
      </c>
      <c r="OI30" s="30" t="s">
        <v>26</v>
      </c>
      <c r="OJ30" s="30" t="s">
        <v>39</v>
      </c>
      <c r="OK30" s="30" t="s">
        <v>28</v>
      </c>
      <c r="OL30" s="51" t="str">
        <f>_xll.BDP(OD30&amp;" Equity", "DS004")</f>
        <v>EUR</v>
      </c>
      <c r="OM30" s="17" cm="1">
        <f t="array" ref="OM30">_xll.BDP(OD30&amp;" Equity","PX_LAST")</f>
        <v>66.77</v>
      </c>
      <c r="ON30" s="33">
        <f t="shared" si="24"/>
        <v>4.0143847213287544E-2</v>
      </c>
      <c r="OO30" s="33">
        <f t="shared" si="131"/>
        <v>3.806467893166917E-2</v>
      </c>
      <c r="OQ30" s="1" cm="1">
        <f t="array" ref="OQ30">IF(OL30="EUR",1,_xll.BDP(OL30&amp;"EUR CURNCY","PX_LAST"))</f>
        <v>1</v>
      </c>
      <c r="OR30" s="18">
        <v>110725.783521362</v>
      </c>
      <c r="OS30" s="11">
        <f t="shared" si="132"/>
        <v>7393160.5657213405</v>
      </c>
      <c r="OT30" s="5"/>
      <c r="OU30" s="11" cm="1">
        <f t="array" ref="OU30">IF(OH30="Hong Kong",_xll.BDP(OD30&amp;" Equity","PR414"),_xll.BDP(OD30&amp;" Equity","PR090"))</f>
        <v>1</v>
      </c>
      <c r="OV30" s="11">
        <f t="shared" si="133"/>
        <v>66.77</v>
      </c>
      <c r="OW30" s="5">
        <f t="shared" si="134"/>
        <v>192.39225862291471</v>
      </c>
      <c r="OX30" s="8">
        <f t="shared" si="135"/>
        <v>4.0062E-2</v>
      </c>
      <c r="OY30" s="8">
        <f t="shared" si="136"/>
        <v>-2.0388482661535257E-3</v>
      </c>
      <c r="OZ30" s="5"/>
      <c r="PA30" s="21">
        <f t="shared" si="137"/>
        <v>1663.2685862230774</v>
      </c>
      <c r="PB30" s="22">
        <f t="shared" si="138"/>
        <v>2470.4899999999998</v>
      </c>
      <c r="PD30" s="35" t="s">
        <v>81</v>
      </c>
      <c r="PE30" s="36"/>
      <c r="PF30" s="36"/>
      <c r="PG30" s="36"/>
      <c r="PH30" s="36"/>
      <c r="PI30" s="36"/>
      <c r="PJ30" s="36"/>
      <c r="PK30" s="36"/>
      <c r="PL30" s="36"/>
      <c r="PM30" s="36"/>
      <c r="PN30" s="25" t="s">
        <v>81</v>
      </c>
      <c r="PO30" s="37">
        <f>SUM(PO6:PO29)</f>
        <v>1</v>
      </c>
      <c r="PP30" s="37">
        <f>SUM(PP6:PP29)</f>
        <v>1.0000000000000002</v>
      </c>
      <c r="PR30" s="1"/>
      <c r="PS30" s="26"/>
      <c r="PT30" s="11">
        <f>SUM(PT6:PT29)</f>
        <v>192719383.92797628</v>
      </c>
      <c r="PU30" s="5"/>
      <c r="PV30" s="11"/>
      <c r="PW30" s="11"/>
      <c r="PX30" s="5"/>
      <c r="PY30" s="8"/>
      <c r="PZ30" s="8"/>
      <c r="QA30" s="5"/>
      <c r="QB30" s="21"/>
      <c r="QC30" s="22"/>
      <c r="QP30" s="62" t="s">
        <v>86</v>
      </c>
      <c r="QQ30" s="63">
        <v>100000</v>
      </c>
      <c r="QS30" s="1"/>
      <c r="QT30" s="26"/>
      <c r="QU30" s="46"/>
      <c r="QV30" s="5"/>
      <c r="QW30" s="11"/>
      <c r="QX30" s="11"/>
      <c r="QY30" s="5"/>
      <c r="QZ30" s="8"/>
      <c r="RA30" s="8"/>
      <c r="RB30" s="5"/>
      <c r="RC30" s="21"/>
      <c r="RD30" s="22"/>
      <c r="RF30" s="16" t="str" cm="1">
        <f t="array" ref="RF30">_xll.BDP(RG30&amp;" Equity","DS520")</f>
        <v>RoboSense Technology Co Ltd</v>
      </c>
      <c r="RG30" s="34" t="s">
        <v>1314</v>
      </c>
      <c r="RH30" s="34"/>
      <c r="RI30" s="32" t="str" cm="1">
        <f t="array" ref="RI30">_xll.BDP(RG30&amp;" Equity", "ID_ISIN")</f>
        <v>KYG7611S1075</v>
      </c>
      <c r="RJ30" s="34"/>
      <c r="RK30" s="30" t="str">
        <f>_xll.BDP(RG30&amp;" Equity", "DS197")</f>
        <v>Hong Kong</v>
      </c>
      <c r="RL30" s="30" t="s">
        <v>26</v>
      </c>
      <c r="RM30" s="30"/>
      <c r="RN30" s="30" t="s">
        <v>28</v>
      </c>
      <c r="RO30" s="30" t="str">
        <f>_xll.BDP(RG30&amp;" Equity", "DS004")</f>
        <v>HKD</v>
      </c>
      <c r="RP30" s="17" cm="1">
        <f t="array" ref="RP30">_xll.BDP(RG30&amp;" Equity","PX_LAST")</f>
        <v>34.1</v>
      </c>
      <c r="RQ30" s="33">
        <f t="shared" si="153"/>
        <v>2.6127934116523321E-2</v>
      </c>
      <c r="RR30" s="33">
        <f t="shared" si="154"/>
        <v>2.4845361769843855E-2</v>
      </c>
      <c r="RT30" s="1" cm="1">
        <f t="array" ref="RT30">IF(RO30="USD",1,_xll.BDP(RO30&amp;"USD CURNCY","PX_LAST"))</f>
        <v>0.12784999999999999</v>
      </c>
      <c r="RU30" s="18">
        <v>603926.75729395705</v>
      </c>
      <c r="RV30" s="11">
        <f t="shared" si="217"/>
        <v>2632930.4248731053</v>
      </c>
      <c r="RW30" s="5"/>
      <c r="RX30" s="11" cm="1">
        <f t="array" ref="RX30">IF(RK30="Hong Kong",_xll.BDP(RG30&amp;" Equity","PR414"),_xll.BDP(RG30&amp;" Equity","PR090"))</f>
        <v>100</v>
      </c>
      <c r="RY30" s="11">
        <f t="shared" si="218"/>
        <v>435.96849999999995</v>
      </c>
      <c r="RZ30" s="5">
        <f t="shared" si="219"/>
        <v>19.177850962368758</v>
      </c>
      <c r="SA30" s="8">
        <f t="shared" si="220"/>
        <v>2.5885629687499998E-2</v>
      </c>
      <c r="SB30" s="8">
        <f t="shared" si="221"/>
        <v>-9.2737691369976227E-3</v>
      </c>
      <c r="SC30" s="5"/>
      <c r="SD30" s="21">
        <f t="shared" si="222"/>
        <v>16685.915467166353</v>
      </c>
      <c r="SE30" s="22">
        <f t="shared" si="223"/>
        <v>16130.834499999997</v>
      </c>
    </row>
    <row r="31" spans="15:499" ht="15" thickBot="1" x14ac:dyDescent="0.25">
      <c r="O31" s="16" t="str" cm="1">
        <f t="array" ref="O31">_xll.BDP(P31&amp;" Equity","DS520")</f>
        <v>NetEase Inc</v>
      </c>
      <c r="P31" s="32" t="s">
        <v>30</v>
      </c>
      <c r="Q31" s="32">
        <v>9999</v>
      </c>
      <c r="R31" s="32" t="str" cm="1">
        <f t="array" ref="R31">_xll.BDP(P31&amp;" Equity", "ID_ISIN")</f>
        <v>KYG6427A1022</v>
      </c>
      <c r="S31" s="32"/>
      <c r="T31" s="30" t="str">
        <f>_xll.BDP(P31&amp;" Equity", "DS197")</f>
        <v>Hong Kong</v>
      </c>
      <c r="U31" s="30" t="s">
        <v>26</v>
      </c>
      <c r="V31" s="30" t="s">
        <v>27</v>
      </c>
      <c r="W31" s="30" t="s">
        <v>28</v>
      </c>
      <c r="X31" s="30" t="str">
        <f>_xll.BDP(P31&amp;" Equity", "DS004")</f>
        <v>HKD</v>
      </c>
      <c r="Y31" s="17" cm="1">
        <f t="array" ref="Y31">_xll.BDP(P31&amp;" Equity","PX_LAST")</f>
        <v>190</v>
      </c>
      <c r="Z31" s="33">
        <f t="shared" si="0"/>
        <v>2.7250342593052222E-2</v>
      </c>
      <c r="AA31" s="33">
        <f t="shared" si="1"/>
        <v>2.5888741284524553E-2</v>
      </c>
      <c r="AB31" s="4"/>
      <c r="AC31" s="1" cm="1">
        <f t="array" ref="AC31">IF(X31="USD",1,_xll.BDP(X31&amp;"USD CURNCY","PX_LAST"))</f>
        <v>0.12784999999999999</v>
      </c>
      <c r="AD31" s="18">
        <v>230857.427106891</v>
      </c>
      <c r="AE31" s="11">
        <f t="shared" si="169"/>
        <v>5607873.1905670417</v>
      </c>
      <c r="AF31" s="5"/>
      <c r="AG31" s="11" cm="1">
        <f t="array" ref="AG31">IF(T31="Hong Kong",_xll.BDP(P31&amp;" Equity","PR414"),_xll.BDP(P31&amp;" Equity","PR090"))</f>
        <v>100</v>
      </c>
      <c r="AH31" s="11">
        <f t="shared" si="170"/>
        <v>2429.1499999999996</v>
      </c>
      <c r="AI31" s="5">
        <f t="shared" si="171"/>
        <v>3.5897781651098994</v>
      </c>
      <c r="AJ31" s="8">
        <f t="shared" si="172"/>
        <v>3.0364374999999996E-2</v>
      </c>
      <c r="AK31" s="8">
        <f t="shared" si="173"/>
        <v>0.11427498191313501</v>
      </c>
      <c r="AL31" s="5"/>
      <c r="AM31" s="21">
        <f t="shared" si="174"/>
        <v>89141.998553050798</v>
      </c>
      <c r="AN31" s="22">
        <f t="shared" si="175"/>
        <v>89878.549999999988</v>
      </c>
      <c r="BA31" s="64" t="s">
        <v>88</v>
      </c>
      <c r="BB31" s="66">
        <f>(BB29-BB30)*0.5%</f>
        <v>475</v>
      </c>
      <c r="DC31" s="64" t="s">
        <v>87</v>
      </c>
      <c r="DD31" s="66">
        <f>DD29+DD30</f>
        <v>5475</v>
      </c>
      <c r="DF31" s="1"/>
      <c r="DG31" s="26"/>
      <c r="DH31" s="46"/>
      <c r="DI31" s="26"/>
      <c r="DJ31" s="46"/>
      <c r="DK31" s="46"/>
      <c r="DL31" s="26"/>
      <c r="DM31" s="47"/>
      <c r="DN31" s="47"/>
      <c r="DO31" s="26"/>
      <c r="DP31" s="21"/>
      <c r="DQ31" s="22"/>
      <c r="ED31" s="64" t="s">
        <v>88</v>
      </c>
      <c r="EE31" s="66">
        <f>(EE29-EE30)*0.5%</f>
        <v>475</v>
      </c>
      <c r="ET31" s="16" t="str" cm="1">
        <f t="array" ref="ET31">_xll.BDP(EU31&amp;" Equity","DS520")</f>
        <v>Procter &amp; Gamble Co/The</v>
      </c>
      <c r="EU31" s="32" t="s">
        <v>68</v>
      </c>
      <c r="EV31" s="32" t="s">
        <v>69</v>
      </c>
      <c r="EW31" s="32" t="str" cm="1">
        <f t="array" ref="EW31">_xll.BDP(EU31&amp;" Equity", "ID_ISIN")</f>
        <v>US7427181091</v>
      </c>
      <c r="EX31" s="32"/>
      <c r="EY31" s="30" t="str">
        <f>_xll.BDP(EU31&amp;" Equity", "DS197")</f>
        <v>New York</v>
      </c>
      <c r="EZ31" s="30" t="s">
        <v>26</v>
      </c>
      <c r="FA31" s="30" t="s">
        <v>33</v>
      </c>
      <c r="FB31" s="30" t="s">
        <v>28</v>
      </c>
      <c r="FC31" s="30" t="str">
        <f>_xll.BDP(EU31&amp;" Equity", "DS004")</f>
        <v>USD</v>
      </c>
      <c r="FD31" s="17" cm="1">
        <f t="array" ref="FD31">_xll.BDP(EU31&amp;" Equity","PX_LAST")</f>
        <v>153.99</v>
      </c>
      <c r="FE31" s="33">
        <f t="shared" si="10"/>
        <v>2.8227159514147986E-2</v>
      </c>
      <c r="FF31" s="33">
        <f t="shared" si="11"/>
        <v>2.681505530162797E-2</v>
      </c>
      <c r="FH31" s="1" cm="1">
        <f t="array" ref="FH31">IF(FC31="USD",1,_xll.BDP(FC31&amp;"USD CURNCY","PX_LAST"))</f>
        <v>1</v>
      </c>
      <c r="FI31" s="18">
        <v>37563.140989610198</v>
      </c>
      <c r="FJ31" s="11">
        <f t="shared" si="64"/>
        <v>5784348.0809900751</v>
      </c>
      <c r="FK31" s="5"/>
      <c r="FL31" s="11" cm="1">
        <f t="array" ref="FL31">IF(EY31="Hong Kong",_xll.BDP(EU31&amp;" Equity","PR414"),_xll.BDP(EU31&amp;" Equity","PR090"))</f>
        <v>1</v>
      </c>
      <c r="FM31" s="11">
        <f t="shared" si="65"/>
        <v>153.99</v>
      </c>
      <c r="FN31" s="5">
        <f t="shared" si="66"/>
        <v>58.65764688958604</v>
      </c>
      <c r="FO31" s="8">
        <f t="shared" si="67"/>
        <v>2.8391906249999998E-2</v>
      </c>
      <c r="FP31" s="8">
        <f t="shared" si="68"/>
        <v>5.8364617158674914E-3</v>
      </c>
      <c r="FQ31" s="5"/>
      <c r="FR31" s="21">
        <f t="shared" si="69"/>
        <v>5455.38419913691</v>
      </c>
      <c r="FS31" s="22">
        <f t="shared" si="70"/>
        <v>5697.63</v>
      </c>
      <c r="FU31" s="16" t="str" cm="1">
        <f t="array" ref="FU31">_xll.BDP(FV31&amp;" Equity","DS520")</f>
        <v>TDK Corp</v>
      </c>
      <c r="FV31" s="71" t="s">
        <v>756</v>
      </c>
      <c r="FW31" s="32">
        <v>6762</v>
      </c>
      <c r="FX31" s="32" t="str" cm="1">
        <f t="array" ref="FX31">_xll.BDP(FV31&amp;" Equity", "ID_ISIN")</f>
        <v>JP3538800008</v>
      </c>
      <c r="FY31" s="45"/>
      <c r="FZ31" s="30" t="str">
        <f>_xll.BDP(FV31&amp;" Equity", "DS197")</f>
        <v>Tokyo</v>
      </c>
      <c r="GA31" s="30" t="s">
        <v>26</v>
      </c>
      <c r="GB31" s="30" t="s">
        <v>320</v>
      </c>
      <c r="GC31" s="30" t="s">
        <v>28</v>
      </c>
      <c r="GD31" s="30" t="str">
        <f>_xll.BDP(FV31&amp;" Equity", "DS004")</f>
        <v>JPY</v>
      </c>
      <c r="GE31" s="17" cm="1">
        <f t="array" ref="GE31">_xll.BDP(FV31&amp;" Equity","PX_LAST")</f>
        <v>2225</v>
      </c>
      <c r="GF31" s="33">
        <f t="shared" ref="GF31:GF35" si="253">GK31/$GK$37</f>
        <v>2.8711422319205968E-2</v>
      </c>
      <c r="GG31" s="33">
        <f t="shared" ref="GG31:GG35" si="254">GF31*(1-$GG$43)/(1-$GF$36)</f>
        <v>2.7274544874766882E-2</v>
      </c>
      <c r="GI31" s="1" cm="1">
        <f t="array" ref="GI31">IF(GD31="USD",1,_xll.BDP(GD31&amp;"USD CURNCY","PX_LAST"))</f>
        <v>6.3369999999999998E-3</v>
      </c>
      <c r="GJ31" s="18">
        <v>421507.48806927801</v>
      </c>
      <c r="GK31" s="11">
        <f t="shared" ref="GK31:GK35" si="255">GJ31*GE31*GI31</f>
        <v>5943181.8179664072</v>
      </c>
      <c r="GL31" s="5"/>
      <c r="GM31" s="11" cm="1">
        <f t="array" ref="GM31">IF(FZ31="Hong Kong",_xll.BDP(FV31&amp;" Equity","PR414"),_xll.BDP(FV31&amp;" Equity","PR090"))</f>
        <v>100</v>
      </c>
      <c r="GN31" s="11">
        <f t="shared" ref="GN31:GN35" si="256">GM31*GI31*GE31</f>
        <v>1409.9824999999998</v>
      </c>
      <c r="GO31" s="5">
        <f t="shared" ref="GO31:GO35" si="257">($AJ$3*GF31)/GN31</f>
        <v>6.5161483508808873</v>
      </c>
      <c r="GP31" s="8">
        <f t="shared" ref="GP31:GP35" si="258">(ROUND(GO31,0)*GN31)/$AJ$3</f>
        <v>3.0843367187499995E-2</v>
      </c>
      <c r="GQ31" s="8">
        <f t="shared" ref="GQ31:GQ35" si="259">GP31/GF31-1</f>
        <v>7.4254240858973475E-2</v>
      </c>
      <c r="GR31" s="5"/>
      <c r="GS31" s="21">
        <f t="shared" ref="GS31:GS35" si="260">IFERROR(GN31/GF31,0)</f>
        <v>49108.765296410216</v>
      </c>
      <c r="GT31" s="22">
        <f t="shared" ref="GT31:GT35" si="261">GN31/(1/COUNTA($P$6:$P$77))</f>
        <v>52169.352499999994</v>
      </c>
      <c r="GV31" s="16" t="str" cm="1">
        <f t="array" ref="GV31">_xll.BDP(GW31&amp;" Equity","DS520")</f>
        <v>Sea Ltd</v>
      </c>
      <c r="GW31" s="32" t="s">
        <v>201</v>
      </c>
      <c r="GX31" s="32" t="s">
        <v>411</v>
      </c>
      <c r="GY31" s="32" t="str" cm="1">
        <f t="array" ref="GY31">_xll.BDP(GW31&amp;" Equity", "ID_ISIN")</f>
        <v>US81141R1005</v>
      </c>
      <c r="GZ31" s="32"/>
      <c r="HA31" s="30" t="str">
        <f>_xll.BDP(GW31&amp;" Equity", "DS197")</f>
        <v>New York</v>
      </c>
      <c r="HB31" s="30" t="s">
        <v>26</v>
      </c>
      <c r="HC31" s="30" t="s">
        <v>33</v>
      </c>
      <c r="HD31" s="30" t="s">
        <v>28</v>
      </c>
      <c r="HE31" s="30" t="str">
        <f>_xll.BDP(GW31&amp;" Equity", "DS004")</f>
        <v>USD</v>
      </c>
      <c r="HF31" s="17" cm="1">
        <f t="array" ref="HF31">_xll.BDP(GW31&amp;" Equity","PX_LAST")</f>
        <v>95.52</v>
      </c>
      <c r="HG31" s="33">
        <f t="shared" si="14"/>
        <v>1.5134037744033452E-2</v>
      </c>
      <c r="HH31" s="33">
        <f t="shared" si="78"/>
        <v>1.437619521080899E-2</v>
      </c>
      <c r="HJ31" s="1" cm="1">
        <f t="array" ref="HJ31">IF(HE31="USD",1,_xll.BDP(HE31&amp;"USD CURNCY","PX_LAST"))</f>
        <v>1</v>
      </c>
      <c r="HK31" s="18">
        <v>25839.959468473498</v>
      </c>
      <c r="HL31" s="11">
        <f t="shared" si="79"/>
        <v>2468232.9284285884</v>
      </c>
      <c r="HM31" s="5"/>
      <c r="HN31" s="11" cm="1">
        <f t="array" ref="HN31">IF(HA31="Hong Kong",_xll.BDP(GW31&amp;" Equity","PR414"),_xll.BDP(GW31&amp;" Equity","PR090"))</f>
        <v>1</v>
      </c>
      <c r="HO31" s="11">
        <f t="shared" si="80"/>
        <v>95.52</v>
      </c>
      <c r="HP31" s="5">
        <f t="shared" si="81"/>
        <v>50.700293949860814</v>
      </c>
      <c r="HQ31" s="8">
        <f t="shared" si="82"/>
        <v>1.5223499999999999E-2</v>
      </c>
      <c r="HR31" s="8">
        <f t="shared" si="83"/>
        <v>5.9113276628253164E-3</v>
      </c>
      <c r="HS31" s="5"/>
      <c r="HT31" s="21">
        <f t="shared" si="84"/>
        <v>6311.6004872961585</v>
      </c>
      <c r="HU31" s="22">
        <f t="shared" si="85"/>
        <v>3534.24</v>
      </c>
      <c r="IG31" s="184"/>
      <c r="IH31" s="62" t="s">
        <v>86</v>
      </c>
      <c r="II31" s="63">
        <v>100000</v>
      </c>
      <c r="IX31" s="16" t="str" cm="1">
        <f t="array" ref="IX31">_xll.BDP(IY31&amp;" Equity","DS520")</f>
        <v>Veeva Systems Inc</v>
      </c>
      <c r="IY31" s="32" t="s">
        <v>235</v>
      </c>
      <c r="IZ31" s="32" t="s">
        <v>367</v>
      </c>
      <c r="JA31" s="32" t="str" cm="1">
        <f t="array" ref="JA31">_xll.BDP(IY31&amp;" Equity", "ID_ISIN")</f>
        <v>US9224751084</v>
      </c>
      <c r="JB31" s="32"/>
      <c r="JC31" s="30" t="str">
        <f>_xll.BDP(IY31&amp;" Equity", "DS197")</f>
        <v>New York</v>
      </c>
      <c r="JD31" s="30" t="s">
        <v>26</v>
      </c>
      <c r="JE31" s="30" t="s">
        <v>33</v>
      </c>
      <c r="JF31" s="30" t="s">
        <v>28</v>
      </c>
      <c r="JG31" s="30" t="str">
        <f>_xll.BDP(IY31&amp;" Equity", "DS004")</f>
        <v>USD</v>
      </c>
      <c r="JH31" s="17" cm="1">
        <f t="array" ref="JH31">_xll.BDP(IY31&amp;" Equity","PX_LAST")</f>
        <v>196.06</v>
      </c>
      <c r="JI31" s="33">
        <f t="shared" si="93"/>
        <v>2.5716614872240581E-2</v>
      </c>
      <c r="JJ31" s="33">
        <f t="shared" si="17"/>
        <v>2.4429470889007227E-2</v>
      </c>
      <c r="JL31" s="1" cm="1">
        <f t="array" ref="JL31">IF(JG31="USD",1,_xll.BDP(JG31&amp;"USD CURNCY","PX_LAST"))</f>
        <v>1</v>
      </c>
      <c r="JM31" s="18">
        <v>16001.7413779818</v>
      </c>
      <c r="JN31" s="11">
        <f t="shared" si="94"/>
        <v>3137301.4145671115</v>
      </c>
      <c r="JO31" s="5"/>
      <c r="JP31" s="11" cm="1">
        <f t="array" ref="JP31">IF(JC31="Hong Kong",_xll.BDP(IY31&amp;" Equity","PR414"),_xll.BDP(IY31&amp;" Equity","PR090"))</f>
        <v>1</v>
      </c>
      <c r="JQ31" s="11">
        <f t="shared" si="95"/>
        <v>196.06</v>
      </c>
      <c r="JR31" s="5">
        <f t="shared" si="96"/>
        <v>41.973460976828449</v>
      </c>
      <c r="JS31" s="8">
        <f t="shared" si="97"/>
        <v>2.5732875000000002E-2</v>
      </c>
      <c r="JT31" s="8">
        <f t="shared" si="98"/>
        <v>6.3228103077328512E-4</v>
      </c>
      <c r="JU31" s="5"/>
      <c r="JV31" s="21">
        <f t="shared" si="99"/>
        <v>7623.8649983297009</v>
      </c>
      <c r="JW31" s="22">
        <f t="shared" si="100"/>
        <v>7254.2199999999993</v>
      </c>
      <c r="JY31" s="16" t="str" cm="1">
        <f t="array" ref="JY31">_xll.BDP(JZ31&amp;" Equity","DS520")</f>
        <v>QIAGEN NV</v>
      </c>
      <c r="JZ31" s="32" t="s">
        <v>247</v>
      </c>
      <c r="KA31" s="32" t="s">
        <v>401</v>
      </c>
      <c r="KB31" s="32" t="str" cm="1">
        <f t="array" ref="KB31">_xll.BDP(JZ31&amp;" Equity", "ID_ISIN")</f>
        <v>NL0015002SN0</v>
      </c>
      <c r="KC31" s="32"/>
      <c r="KD31" s="30" t="str">
        <f>_xll.BDP(JZ31&amp;" Equity", "DS197")</f>
        <v>New York</v>
      </c>
      <c r="KE31" s="30" t="s">
        <v>26</v>
      </c>
      <c r="KF31" s="30" t="s">
        <v>33</v>
      </c>
      <c r="KG31" s="30" t="s">
        <v>28</v>
      </c>
      <c r="KH31" s="30" t="str">
        <f>_xll.BDP(JZ31&amp;" Equity", "DS004")</f>
        <v>USD</v>
      </c>
      <c r="KI31" s="17" cm="1">
        <f t="array" ref="KI31">_xll.BDP(JZ31&amp;" Equity","PX_LAST")</f>
        <v>46.44</v>
      </c>
      <c r="KJ31" s="33">
        <f t="shared" si="101"/>
        <v>2.7627972589980319E-2</v>
      </c>
      <c r="KK31" s="33">
        <f t="shared" si="102"/>
        <v>2.6250834589622022E-2</v>
      </c>
      <c r="KM31" s="1" cm="1">
        <f t="array" ref="KM31">IF(KH31="USD",1,_xll.BDP(KH31&amp;"USD CURNCY","PX_LAST"))</f>
        <v>1</v>
      </c>
      <c r="KN31" s="18">
        <v>59075.882538471204</v>
      </c>
      <c r="KO31" s="11">
        <f t="shared" si="103"/>
        <v>2743483.9850866026</v>
      </c>
      <c r="KP31" s="5"/>
      <c r="KQ31" s="11" cm="1">
        <f t="array" ref="KQ31">IF(KD31="Hong Kong",_xll.BDP(JZ31&amp;" Equity","PR414"),_xll.BDP(JZ31&amp;" Equity","PR090"))</f>
        <v>1</v>
      </c>
      <c r="KR31" s="11">
        <f t="shared" si="104"/>
        <v>46.44</v>
      </c>
      <c r="KS31" s="5">
        <f t="shared" si="105"/>
        <v>190.37362680434327</v>
      </c>
      <c r="KT31" s="8">
        <f t="shared" si="106"/>
        <v>2.7573750000000001E-2</v>
      </c>
      <c r="KU31" s="8">
        <f t="shared" si="107"/>
        <v>-1.9625975016343E-3</v>
      </c>
      <c r="KV31" s="5"/>
      <c r="KW31" s="21">
        <f t="shared" si="108"/>
        <v>1680.9050989446157</v>
      </c>
      <c r="KX31" s="22">
        <f t="shared" si="109"/>
        <v>1718.2799999999997</v>
      </c>
      <c r="MA31" s="16" t="str" cm="1">
        <f t="array" ref="MA31">_xll.BDP(MB31&amp;" Equity","DS520")</f>
        <v>Sanofi SA</v>
      </c>
      <c r="MB31" s="32" t="s">
        <v>103</v>
      </c>
      <c r="MC31" s="32" t="s">
        <v>338</v>
      </c>
      <c r="MD31" s="32" t="str" cm="1">
        <f t="array" ref="MD31">_xll.BDP(MB31&amp;" Equity", "ID_ISIN")</f>
        <v>FR0000120578</v>
      </c>
      <c r="ME31" s="32"/>
      <c r="MF31" s="30" t="str">
        <f>_xll.BDP(MB31&amp;" Equity", "DS197")</f>
        <v>EN Paris</v>
      </c>
      <c r="MG31" s="30" t="s">
        <v>26</v>
      </c>
      <c r="MH31" s="30" t="s">
        <v>39</v>
      </c>
      <c r="MI31" s="30" t="s">
        <v>28</v>
      </c>
      <c r="MJ31" s="30" t="str">
        <f>_xll.BDP(MB31&amp;" Equity", "DS004")</f>
        <v>EUR</v>
      </c>
      <c r="MK31" s="17" cm="1">
        <f t="array" ref="MK31">_xll.BDP(MB31&amp;" Equity","PX_LAST")</f>
        <v>77.73</v>
      </c>
      <c r="ML31" s="33">
        <f t="shared" si="20"/>
        <v>2.8170734537229878E-2</v>
      </c>
      <c r="MM31" s="33">
        <f t="shared" si="21"/>
        <v>2.6745230043954845E-2</v>
      </c>
      <c r="MO31" s="1" cm="1">
        <f t="array" ref="MO31">IF(MJ31="USD",1,_xll.BDP(MJ31&amp;"USD CURNCY","PX_LAST"))</f>
        <v>1.1607000000000001</v>
      </c>
      <c r="MP31" s="18">
        <v>56095.386318383004</v>
      </c>
      <c r="MQ31" s="11">
        <f t="shared" si="117"/>
        <v>5060993.6851573475</v>
      </c>
      <c r="MR31" s="5"/>
      <c r="MS31" s="11" cm="1">
        <f t="array" ref="MS31">IF(MF31="Hong Kong",_xll.BDP(MB31&amp;" Equity","PR414"),_xll.BDP(MB31&amp;" Equity","PR090"))</f>
        <v>1</v>
      </c>
      <c r="MT31" s="11">
        <f t="shared" si="118"/>
        <v>90.221211000000011</v>
      </c>
      <c r="MU31" s="5">
        <f t="shared" si="119"/>
        <v>99.917025630630917</v>
      </c>
      <c r="MV31" s="8">
        <f t="shared" si="120"/>
        <v>2.81941284375E-2</v>
      </c>
      <c r="MW31" s="8">
        <f t="shared" si="121"/>
        <v>8.3043274001970424E-4</v>
      </c>
      <c r="MX31" s="5"/>
      <c r="MY31" s="21">
        <f t="shared" si="122"/>
        <v>3202.6573847680638</v>
      </c>
      <c r="MZ31" s="22">
        <f t="shared" si="123"/>
        <v>3338.1848070000001</v>
      </c>
      <c r="NB31" s="16" t="str" cm="1">
        <f t="array" ref="NB31">_xll.BDP(NC31&amp;" Equity","DS520")</f>
        <v>Vodafone Group PLC</v>
      </c>
      <c r="NC31" s="32" t="s">
        <v>273</v>
      </c>
      <c r="ND31" s="32" t="s">
        <v>160</v>
      </c>
      <c r="NE31" s="32" t="str" cm="1">
        <f t="array" ref="NE31">_xll.BDP(NC31&amp;" Equity", "ID_ISIN")</f>
        <v>US92857W3088</v>
      </c>
      <c r="NF31" s="32"/>
      <c r="NG31" s="30" t="str">
        <f>_xll.BDP(NC31&amp;" Equity", "DS197")</f>
        <v>NASDAQ GS</v>
      </c>
      <c r="NH31" s="30" t="s">
        <v>26</v>
      </c>
      <c r="NI31" s="30" t="s">
        <v>33</v>
      </c>
      <c r="NJ31" s="30" t="s">
        <v>28</v>
      </c>
      <c r="NK31" s="30" t="str">
        <f>_xll.BDP(NC31&amp;" Equity", "DS004")</f>
        <v>USD</v>
      </c>
      <c r="NL31" s="17" cm="1">
        <f t="array" ref="NL31">_xll.BDP(NC31&amp;" Equity","PX_LAST")</f>
        <v>14.62</v>
      </c>
      <c r="NM31" s="33">
        <f t="shared" si="22"/>
        <v>3.6128220846816654E-2</v>
      </c>
      <c r="NN31" s="33">
        <f t="shared" si="23"/>
        <v>3.4295647184634973E-2</v>
      </c>
      <c r="NP31" s="1" cm="1">
        <f t="array" ref="NP31">IF(NK31="USD",1,_xll.BDP(NK31&amp;"USD CURNCY","PX_LAST"))</f>
        <v>1</v>
      </c>
      <c r="NQ31" s="18">
        <v>422456.33854598302</v>
      </c>
      <c r="NR31" s="11">
        <f t="shared" si="124"/>
        <v>6176311.6695422716</v>
      </c>
      <c r="NS31" s="5"/>
      <c r="NT31" s="11" cm="1">
        <f t="array" ref="NT31">IF(NG31="Hong Kong",_xll.BDP(NC31&amp;" Equity","PR414"),_xll.BDP(NC31&amp;" Equity","PR090"))</f>
        <v>1</v>
      </c>
      <c r="NU31" s="11">
        <f t="shared" si="125"/>
        <v>14.62</v>
      </c>
      <c r="NV31" s="5">
        <f t="shared" si="126"/>
        <v>790.76817174974894</v>
      </c>
      <c r="NW31" s="8">
        <f t="shared" si="127"/>
        <v>3.6138812499999999E-2</v>
      </c>
      <c r="NX31" s="8">
        <f t="shared" si="128"/>
        <v>2.9316841336446409E-4</v>
      </c>
      <c r="NY31" s="5"/>
      <c r="NZ31" s="21">
        <f t="shared" si="129"/>
        <v>404.66980264510323</v>
      </c>
      <c r="OA31" s="22">
        <f t="shared" si="130"/>
        <v>540.93999999999994</v>
      </c>
      <c r="OC31" s="16" t="str" cm="1">
        <f t="array" ref="OC31">_xll.BDP(OD31&amp;" Equity","DS520")</f>
        <v>Vodafone Group PLC</v>
      </c>
      <c r="OD31" s="45" t="s">
        <v>159</v>
      </c>
      <c r="OE31" s="32" t="s">
        <v>160</v>
      </c>
      <c r="OF31" s="32" t="str" cm="1">
        <f t="array" ref="OF31">_xll.BDP(OD31&amp;" Equity", "ID_ISIN")</f>
        <v>GB00BH4HKS39</v>
      </c>
      <c r="OG31" s="45"/>
      <c r="OH31" s="30" t="str">
        <f>_xll.BDP(OD31&amp;" Equity", "DS197")</f>
        <v>London</v>
      </c>
      <c r="OI31" s="30" t="s">
        <v>26</v>
      </c>
      <c r="OJ31" s="30" t="s">
        <v>129</v>
      </c>
      <c r="OK31" s="30" t="s">
        <v>28</v>
      </c>
      <c r="OL31" s="43" t="str">
        <f>_xll.BDP(OD31&amp;" Equity", "DS004")</f>
        <v>GBp</v>
      </c>
      <c r="OM31" s="17" cm="1">
        <f t="array" ref="OM31">_xll.BDP(OD31&amp;" Equity","PX_LAST")/100</f>
        <v>1.0979999999999999</v>
      </c>
      <c r="ON31" s="33">
        <f t="shared" si="24"/>
        <v>4.0500219246755113E-2</v>
      </c>
      <c r="OO31" s="33">
        <f t="shared" si="131"/>
        <v>3.8402593406136366E-2</v>
      </c>
      <c r="OQ31" s="1" cm="1">
        <f t="array" ref="OQ31">IF(OL31="EUR",1,_xll.BDP(OL31&amp;"EUR CURNCY","PX_LAST"))</f>
        <v>1.1509</v>
      </c>
      <c r="OR31" s="18">
        <v>5902399.3682175204</v>
      </c>
      <c r="OS31" s="11">
        <f t="shared" si="132"/>
        <v>7458792.4333039345</v>
      </c>
      <c r="OT31" s="5"/>
      <c r="OU31" s="11" cm="1">
        <f t="array" ref="OU31">IF(OH31="Hong Kong",_xll.BDP(OD31&amp;" Equity","PR414"),_xll.BDP(OD31&amp;" Equity","PR090"))</f>
        <v>1</v>
      </c>
      <c r="OV31" s="11">
        <f t="shared" si="133"/>
        <v>1.2636881999999998</v>
      </c>
      <c r="OW31" s="5">
        <f t="shared" si="134"/>
        <v>10255.749922300167</v>
      </c>
      <c r="OX31" s="8">
        <f t="shared" si="135"/>
        <v>4.0501206809999996E-2</v>
      </c>
      <c r="OY31" s="8">
        <f t="shared" si="136"/>
        <v>2.4384145647760036E-5</v>
      </c>
      <c r="OZ31" s="5"/>
      <c r="PA31" s="21">
        <f t="shared" si="137"/>
        <v>31.20200886569884</v>
      </c>
      <c r="PB31" s="22">
        <f t="shared" si="138"/>
        <v>46.756463399999994</v>
      </c>
      <c r="PR31" s="1"/>
      <c r="PS31" s="26"/>
      <c r="PT31" s="11"/>
      <c r="PU31" s="5"/>
      <c r="PV31" s="11"/>
      <c r="PW31" s="11"/>
      <c r="PX31" s="5"/>
      <c r="PY31" s="8"/>
      <c r="PZ31" s="8"/>
      <c r="QA31" s="5"/>
      <c r="QB31" s="21"/>
      <c r="QC31" s="22"/>
      <c r="QP31" s="64" t="s">
        <v>85</v>
      </c>
      <c r="QQ31" s="65">
        <v>5000</v>
      </c>
      <c r="RF31" s="16" t="str" cm="1">
        <f t="array" ref="RF31">_xll.BDP(RG31&amp;" Equity","DS520")</f>
        <v>Samsara Inc</v>
      </c>
      <c r="RG31" s="34" t="s">
        <v>1315</v>
      </c>
      <c r="RH31" s="34"/>
      <c r="RI31" s="32" t="str" cm="1">
        <f t="array" ref="RI31">_xll.BDP(RG31&amp;" Equity", "ID_ISIN")</f>
        <v>US79589L1061</v>
      </c>
      <c r="RJ31" s="34"/>
      <c r="RK31" s="30" t="str">
        <f>_xll.BDP(RG31&amp;" Equity", "DS197")</f>
        <v>New York</v>
      </c>
      <c r="RL31" s="30" t="s">
        <v>26</v>
      </c>
      <c r="RM31" s="30"/>
      <c r="RN31" s="30" t="s">
        <v>28</v>
      </c>
      <c r="RO31" s="30" t="str">
        <f>_xll.BDP(RG31&amp;" Equity", "DS004")</f>
        <v>USD</v>
      </c>
      <c r="RP31" s="17" cm="1">
        <f t="array" ref="RP31">_xll.BDP(RG31&amp;" Equity","PX_LAST")</f>
        <v>29.58</v>
      </c>
      <c r="RQ31" s="33">
        <f t="shared" si="153"/>
        <v>2.3516135798486767E-2</v>
      </c>
      <c r="RR31" s="33">
        <f t="shared" si="154"/>
        <v>2.2361771839155432E-2</v>
      </c>
      <c r="RT31" s="1" cm="1">
        <f t="array" ref="RT31">IF(RO31="USD",1,_xll.BDP(RO31&amp;"USD CURNCY","PX_LAST"))</f>
        <v>1</v>
      </c>
      <c r="RU31" s="18">
        <v>80112.834978843399</v>
      </c>
      <c r="RV31" s="11">
        <f t="shared" si="217"/>
        <v>2369737.6586741875</v>
      </c>
      <c r="RW31" s="5"/>
      <c r="RX31" s="11" cm="1">
        <f t="array" ref="RX31">IF(RK31="Hong Kong",_xll.BDP(RG31&amp;" Equity","PR414"),_xll.BDP(RG31&amp;" Equity","PR090"))</f>
        <v>1</v>
      </c>
      <c r="RY31" s="11">
        <f t="shared" si="218"/>
        <v>29.58</v>
      </c>
      <c r="RZ31" s="5">
        <f t="shared" si="219"/>
        <v>254.40038727233826</v>
      </c>
      <c r="SA31" s="8">
        <f t="shared" si="220"/>
        <v>2.3479125E-2</v>
      </c>
      <c r="SB31" s="8">
        <f t="shared" si="221"/>
        <v>-1.5738469450898851E-3</v>
      </c>
      <c r="SC31" s="5"/>
      <c r="SD31" s="21">
        <f t="shared" si="222"/>
        <v>1257.8597203841387</v>
      </c>
      <c r="SE31" s="22">
        <f t="shared" si="223"/>
        <v>1094.4599999999998</v>
      </c>
    </row>
    <row r="32" spans="15:499" ht="15" thickBot="1" x14ac:dyDescent="0.25">
      <c r="O32" s="16" t="str" cm="1">
        <f t="array" ref="O32">_xll.BDP(P32&amp;" Equity","DS520")</f>
        <v>Travelers Cos Inc/The</v>
      </c>
      <c r="P32" s="32" t="s">
        <v>1390</v>
      </c>
      <c r="Q32" s="32" t="s">
        <v>1394</v>
      </c>
      <c r="R32" s="32" t="str" cm="1">
        <f t="array" ref="R32">_xll.BDP(P32&amp;" Equity", "ID_ISIN")</f>
        <v>US89417E1091</v>
      </c>
      <c r="S32" s="32"/>
      <c r="T32" s="30" t="str">
        <f>_xll.BDP(P32&amp;" Equity", "DS197")</f>
        <v>New York</v>
      </c>
      <c r="U32" s="30" t="s">
        <v>26</v>
      </c>
      <c r="V32" s="30" t="s">
        <v>33</v>
      </c>
      <c r="W32" s="30" t="s">
        <v>28</v>
      </c>
      <c r="X32" s="30" t="str">
        <f>_xll.BDP(P32&amp;" Equity", "DS004")</f>
        <v>USD</v>
      </c>
      <c r="Y32" s="17" cm="1">
        <f t="array" ref="Y32">_xll.BDP(P32&amp;" Equity","PX_LAST")</f>
        <v>306.64</v>
      </c>
      <c r="Z32" s="33">
        <f t="shared" si="0"/>
        <v>2.900062423726869E-2</v>
      </c>
      <c r="AA32" s="33">
        <f t="shared" si="1"/>
        <v>2.7551567669456878E-2</v>
      </c>
      <c r="AB32" s="4"/>
      <c r="AC32" s="1" cm="1">
        <f t="array" ref="AC32">IF(X32="USD",1,_xll.BDP(X32&amp;"USD CURNCY","PX_LAST"))</f>
        <v>1</v>
      </c>
      <c r="AD32" s="18">
        <v>19462.7748107564</v>
      </c>
      <c r="AE32" s="11">
        <f t="shared" si="169"/>
        <v>5968065.2679703422</v>
      </c>
      <c r="AF32" s="5"/>
      <c r="AG32" s="11" cm="1">
        <f t="array" ref="AG32">IF(T32="Hong Kong",_xll.BDP(P32&amp;" Equity","PR414"),_xll.BDP(P32&amp;" Equity","PR090"))</f>
        <v>1</v>
      </c>
      <c r="AH32" s="11">
        <f t="shared" si="170"/>
        <v>306.64</v>
      </c>
      <c r="AI32" s="5">
        <f t="shared" si="171"/>
        <v>30.26415260868113</v>
      </c>
      <c r="AJ32" s="8">
        <f t="shared" si="172"/>
        <v>2.8747499999999995E-2</v>
      </c>
      <c r="AK32" s="8">
        <f t="shared" si="173"/>
        <v>-8.7282340958511062E-3</v>
      </c>
      <c r="AL32" s="5"/>
      <c r="AM32" s="21">
        <f t="shared" si="174"/>
        <v>10573.56550297759</v>
      </c>
      <c r="AN32" s="22">
        <f t="shared" si="175"/>
        <v>11345.679999999998</v>
      </c>
      <c r="BA32" s="64" t="s">
        <v>87</v>
      </c>
      <c r="BB32" s="66">
        <f>BB30+BB31</f>
        <v>5475</v>
      </c>
      <c r="DC32" s="67" t="s">
        <v>89</v>
      </c>
      <c r="DD32" s="68">
        <f>DD31/DD28</f>
        <v>5.475E-2</v>
      </c>
      <c r="DF32" s="1"/>
      <c r="DG32" s="26"/>
      <c r="DH32" s="46"/>
      <c r="DI32" s="26"/>
      <c r="DJ32" s="46"/>
      <c r="DK32" s="46"/>
      <c r="DL32" s="26"/>
      <c r="DM32" s="47"/>
      <c r="DN32" s="47"/>
      <c r="DO32" s="26"/>
      <c r="DP32" s="21"/>
      <c r="DQ32" s="22"/>
      <c r="ED32" s="64" t="s">
        <v>87</v>
      </c>
      <c r="EE32" s="66">
        <f>EE30+EE31</f>
        <v>5475</v>
      </c>
      <c r="ET32" s="16" t="str" cm="1">
        <f t="array" ref="ET32">_xll.BDP(EU32&amp;" Equity","DS520")</f>
        <v>Comcast Corp</v>
      </c>
      <c r="EU32" s="32" t="s">
        <v>43</v>
      </c>
      <c r="EV32" s="32" t="s">
        <v>1396</v>
      </c>
      <c r="EW32" s="32" t="str" cm="1">
        <f t="array" ref="EW32">_xll.BDP(EU32&amp;" Equity", "ID_ISIN")</f>
        <v>US20030N1019</v>
      </c>
      <c r="EX32" s="32"/>
      <c r="EY32" s="30" t="str">
        <f>_xll.BDP(EU32&amp;" Equity", "DS197")</f>
        <v>NASDAQ GS</v>
      </c>
      <c r="EZ32" s="30" t="s">
        <v>26</v>
      </c>
      <c r="FA32" s="30" t="s">
        <v>33</v>
      </c>
      <c r="FB32" s="30" t="s">
        <v>28</v>
      </c>
      <c r="FC32" s="30" t="str">
        <f>_xll.BDP(EU32&amp;" Equity", "DS004")</f>
        <v>USD</v>
      </c>
      <c r="FD32" s="17" cm="1">
        <f t="array" ref="FD32">_xll.BDP(EU32&amp;" Equity","PX_LAST")</f>
        <v>31.6</v>
      </c>
      <c r="FE32" s="33">
        <f t="shared" si="10"/>
        <v>2.8631445714618928E-2</v>
      </c>
      <c r="FF32" s="33">
        <f t="shared" si="11"/>
        <v>2.7199116504027017E-2</v>
      </c>
      <c r="FH32" s="1" cm="1">
        <f t="array" ref="FH32">IF(FC32="USD",1,_xll.BDP(FC32&amp;"USD CURNCY","PX_LAST"))</f>
        <v>1</v>
      </c>
      <c r="FI32" s="18">
        <v>185670.72662577999</v>
      </c>
      <c r="FJ32" s="11">
        <f t="shared" si="64"/>
        <v>5867194.9613746479</v>
      </c>
      <c r="FK32" s="5"/>
      <c r="FL32" s="11" cm="1">
        <f t="array" ref="FL32">IF(EY32="Hong Kong",_xll.BDP(EU32&amp;" Equity","PR414"),_xll.BDP(EU32&amp;" Equity","PR090"))</f>
        <v>1</v>
      </c>
      <c r="FM32" s="11">
        <f t="shared" si="65"/>
        <v>31.6</v>
      </c>
      <c r="FN32" s="5">
        <f t="shared" si="66"/>
        <v>289.93869078095116</v>
      </c>
      <c r="FO32" s="8">
        <f t="shared" si="67"/>
        <v>2.86375E-2</v>
      </c>
      <c r="FP32" s="8">
        <f t="shared" si="68"/>
        <v>2.1145580427250898E-4</v>
      </c>
      <c r="FQ32" s="5"/>
      <c r="FR32" s="21">
        <f t="shared" si="69"/>
        <v>1103.6816064047146</v>
      </c>
      <c r="FS32" s="22">
        <f t="shared" si="70"/>
        <v>1169.2</v>
      </c>
      <c r="FU32" s="16" t="str" cm="1">
        <f t="array" ref="FU32">_xll.BDP(FV32&amp;" Equity","DS520")</f>
        <v>TE Connectivity PLC</v>
      </c>
      <c r="FV32" s="71" t="s">
        <v>183</v>
      </c>
      <c r="FW32" s="32" t="s">
        <v>340</v>
      </c>
      <c r="FX32" s="32" t="str" cm="1">
        <f t="array" ref="FX32">_xll.BDP(FV32&amp;" Equity", "ID_ISIN")</f>
        <v>IE000IVNQZ81</v>
      </c>
      <c r="FY32" s="45"/>
      <c r="FZ32" s="30" t="str">
        <f>_xll.BDP(FV32&amp;" Equity", "DS197")</f>
        <v>New York</v>
      </c>
      <c r="GA32" s="30" t="s">
        <v>26</v>
      </c>
      <c r="GB32" s="30" t="s">
        <v>33</v>
      </c>
      <c r="GC32" s="30" t="s">
        <v>28</v>
      </c>
      <c r="GD32" s="30" t="str">
        <f>_xll.BDP(FV32&amp;" Equity", "DS004")</f>
        <v>USD</v>
      </c>
      <c r="GE32" s="17" cm="1">
        <f t="array" ref="GE32">_xll.BDP(FV32&amp;" Equity","PX_LAST")</f>
        <v>210.56</v>
      </c>
      <c r="GF32" s="33">
        <f t="shared" si="253"/>
        <v>2.9632129530814712E-2</v>
      </c>
      <c r="GG32" s="33">
        <f t="shared" si="254"/>
        <v>2.8149174834939426E-2</v>
      </c>
      <c r="GI32" s="1" cm="1">
        <f t="array" ref="GI32">IF(GD32="USD",1,_xll.BDP(GD32&amp;"USD CURNCY","PX_LAST"))</f>
        <v>1</v>
      </c>
      <c r="GJ32" s="18">
        <v>29130.725503019101</v>
      </c>
      <c r="GK32" s="11">
        <f t="shared" si="255"/>
        <v>6133765.5619157022</v>
      </c>
      <c r="GL32" s="5"/>
      <c r="GM32" s="11" cm="1">
        <f t="array" ref="GM32">IF(FZ32="Hong Kong",_xll.BDP(FV32&amp;" Equity","PR414"),_xll.BDP(FV32&amp;" Equity","PR090"))</f>
        <v>1</v>
      </c>
      <c r="GN32" s="11">
        <f t="shared" si="256"/>
        <v>210.56</v>
      </c>
      <c r="GO32" s="5">
        <f t="shared" si="257"/>
        <v>45.03363150579743</v>
      </c>
      <c r="GP32" s="8">
        <f t="shared" si="258"/>
        <v>2.9610000000000001E-2</v>
      </c>
      <c r="GQ32" s="8">
        <f t="shared" si="259"/>
        <v>-7.468086555068032E-4</v>
      </c>
      <c r="GR32" s="5"/>
      <c r="GS32" s="21">
        <f t="shared" si="260"/>
        <v>7105.8004717830627</v>
      </c>
      <c r="GT32" s="22">
        <f t="shared" si="261"/>
        <v>7790.7199999999993</v>
      </c>
      <c r="GV32" s="16" t="str" cm="1">
        <f t="array" ref="GV32">_xll.BDP(GW32&amp;" Equity","DS520")</f>
        <v>Shionogi &amp; Co Ltd</v>
      </c>
      <c r="GW32" s="32" t="s">
        <v>289</v>
      </c>
      <c r="GX32" s="32">
        <v>4507</v>
      </c>
      <c r="GY32" s="32" t="str" cm="1">
        <f t="array" ref="GY32">_xll.BDP(GW32&amp;" Equity", "ID_ISIN")</f>
        <v>JP3347200002</v>
      </c>
      <c r="GZ32" s="32"/>
      <c r="HA32" s="30" t="str">
        <f>_xll.BDP(GW32&amp;" Equity", "DS197")</f>
        <v>Tokyo</v>
      </c>
      <c r="HB32" s="30" t="s">
        <v>26</v>
      </c>
      <c r="HC32" s="30" t="s">
        <v>320</v>
      </c>
      <c r="HD32" s="30" t="s">
        <v>28</v>
      </c>
      <c r="HE32" s="30" t="str">
        <f>_xll.BDP(GW32&amp;" Equity", "DS004")</f>
        <v>JPY</v>
      </c>
      <c r="HF32" s="17" cm="1">
        <f t="array" ref="HF32">_xll.BDP(GW32&amp;" Equity","PX_LAST")</f>
        <v>3450</v>
      </c>
      <c r="HG32" s="33">
        <f t="shared" si="14"/>
        <v>3.7301042293748227E-2</v>
      </c>
      <c r="HH32" s="33">
        <f t="shared" si="78"/>
        <v>3.5433178815282164E-2</v>
      </c>
      <c r="HJ32" s="1" cm="1">
        <f t="array" ref="HJ32">IF(HE32="USD",1,_xll.BDP(HE32&amp;"USD CURNCY","PX_LAST"))</f>
        <v>6.3369999999999998E-3</v>
      </c>
      <c r="HK32" s="18">
        <v>278259.17572123901</v>
      </c>
      <c r="HL32" s="11">
        <f t="shared" ref="HL32:HL38" si="262">HK32*HF32*HJ32</f>
        <v>6083482.9680819456</v>
      </c>
      <c r="HM32" s="5"/>
      <c r="HN32" s="11" cm="1">
        <f t="array" ref="HN32">IF(HA32="Hong Kong",_xll.BDP(GW32&amp;" Equity","PR414"),_xll.BDP(GW32&amp;" Equity","PR090"))</f>
        <v>100</v>
      </c>
      <c r="HO32" s="11">
        <f t="shared" si="80"/>
        <v>2186.2649999999999</v>
      </c>
      <c r="HP32" s="5">
        <f t="shared" si="81"/>
        <v>5.4596920016555321</v>
      </c>
      <c r="HQ32" s="8">
        <f t="shared" si="82"/>
        <v>3.4160390624999995E-2</v>
      </c>
      <c r="HR32" s="8">
        <f t="shared" si="83"/>
        <v>-8.4197423868625054E-2</v>
      </c>
      <c r="HS32" s="5"/>
      <c r="HT32" s="21">
        <f t="shared" si="84"/>
        <v>58611.364872407998</v>
      </c>
      <c r="HU32" s="22">
        <f t="shared" si="85"/>
        <v>80891.804999999993</v>
      </c>
      <c r="IH32" s="64" t="s">
        <v>85</v>
      </c>
      <c r="II32" s="65">
        <v>5000</v>
      </c>
      <c r="IX32" s="16" t="str" cm="1">
        <f t="array" ref="IX32">_xll.BDP(IY32&amp;" Equity","DS520")</f>
        <v>Zoom Communications Inc</v>
      </c>
      <c r="IY32" s="32" t="s">
        <v>236</v>
      </c>
      <c r="IZ32" s="32" t="s">
        <v>426</v>
      </c>
      <c r="JA32" s="32" t="str" cm="1">
        <f t="array" ref="JA32">_xll.BDP(IY32&amp;" Equity", "ID_ISIN")</f>
        <v>US98980L1017</v>
      </c>
      <c r="JB32" s="32"/>
      <c r="JC32" s="30" t="str">
        <f>_xll.BDP(IY32&amp;" Equity", "DS197")</f>
        <v>NASDAQ GS</v>
      </c>
      <c r="JD32" s="30" t="s">
        <v>26</v>
      </c>
      <c r="JE32" s="30" t="s">
        <v>33</v>
      </c>
      <c r="JF32" s="30" t="s">
        <v>28</v>
      </c>
      <c r="JG32" s="30" t="str">
        <f>_xll.BDP(IY32&amp;" Equity", "DS004")</f>
        <v>USD</v>
      </c>
      <c r="JH32" s="17" cm="1">
        <f t="array" ref="JH32">_xll.BDP(IY32&amp;" Equity","PX_LAST")</f>
        <v>77.33</v>
      </c>
      <c r="JI32" s="33">
        <f t="shared" si="93"/>
        <v>3.8813848612460164E-2</v>
      </c>
      <c r="JJ32" s="33">
        <f t="shared" si="17"/>
        <v>3.6871174121441287E-2</v>
      </c>
      <c r="JL32" s="1" cm="1">
        <f t="array" ref="JL32">IF(JG32="USD",1,_xll.BDP(JG32&amp;"USD CURNCY","PX_LAST"))</f>
        <v>1</v>
      </c>
      <c r="JM32" s="18">
        <v>61232.380240988598</v>
      </c>
      <c r="JN32" s="11">
        <f t="shared" si="94"/>
        <v>4735099.9640356479</v>
      </c>
      <c r="JO32" s="5"/>
      <c r="JP32" s="11" cm="1">
        <f t="array" ref="JP32">IF(JC32="Hong Kong",_xll.BDP(IY32&amp;" Equity","PR414"),_xll.BDP(IY32&amp;" Equity","PR090"))</f>
        <v>1</v>
      </c>
      <c r="JQ32" s="11">
        <f t="shared" si="95"/>
        <v>77.33</v>
      </c>
      <c r="JR32" s="5">
        <f t="shared" si="96"/>
        <v>160.61595184258701</v>
      </c>
      <c r="JS32" s="8">
        <f t="shared" si="97"/>
        <v>3.8906656249999998E-2</v>
      </c>
      <c r="JT32" s="8">
        <f t="shared" si="98"/>
        <v>2.3910959839741341E-3</v>
      </c>
      <c r="JU32" s="5"/>
      <c r="JV32" s="21">
        <f t="shared" si="99"/>
        <v>1992.3301286637995</v>
      </c>
      <c r="JW32" s="22">
        <f t="shared" si="100"/>
        <v>2861.2099999999996</v>
      </c>
      <c r="JY32" s="16" t="str" cm="1">
        <f t="array" ref="JY32">_xll.BDP(JZ32&amp;" Equity","DS520")</f>
        <v>Regeneron Pharmaceuticals Inc</v>
      </c>
      <c r="JZ32" s="32" t="s">
        <v>173</v>
      </c>
      <c r="KA32" s="32" t="s">
        <v>359</v>
      </c>
      <c r="KB32" s="32" t="str" cm="1">
        <f t="array" ref="KB32">_xll.BDP(JZ32&amp;" Equity", "ID_ISIN")</f>
        <v>US75886F1075</v>
      </c>
      <c r="KC32" s="32"/>
      <c r="KD32" s="30" t="str">
        <f>_xll.BDP(JZ32&amp;" Equity", "DS197")</f>
        <v>NASDAQ GS</v>
      </c>
      <c r="KE32" s="30" t="s">
        <v>26</v>
      </c>
      <c r="KF32" s="30" t="s">
        <v>33</v>
      </c>
      <c r="KG32" s="30" t="s">
        <v>28</v>
      </c>
      <c r="KH32" s="30" t="str">
        <f>_xll.BDP(JZ32&amp;" Equity", "DS004")</f>
        <v>USD</v>
      </c>
      <c r="KI32" s="17" cm="1">
        <f t="array" ref="KI32">_xll.BDP(JZ32&amp;" Equity","PX_LAST")</f>
        <v>764.93</v>
      </c>
      <c r="KJ32" s="33">
        <f t="shared" si="101"/>
        <v>2.9615612609762046E-2</v>
      </c>
      <c r="KK32" s="33">
        <f t="shared" si="102"/>
        <v>2.8139399130978411E-2</v>
      </c>
      <c r="KM32" s="1" cm="1">
        <f t="array" ref="KM32">IF(KH32="USD",1,_xll.BDP(KH32&amp;"USD CURNCY","PX_LAST"))</f>
        <v>1</v>
      </c>
      <c r="KN32" s="18">
        <v>3844.6113129947798</v>
      </c>
      <c r="KO32" s="11">
        <f t="shared" ref="KO32:KO40" si="263">KN32*KI32*KM32</f>
        <v>2940858.5316490969</v>
      </c>
      <c r="KP32" s="5"/>
      <c r="KQ32" s="11" cm="1">
        <f t="array" ref="KQ32">IF(KD32="Hong Kong",_xll.BDP(JZ32&amp;" Equity","PR414"),_xll.BDP(JZ32&amp;" Equity","PR090"))</f>
        <v>1</v>
      </c>
      <c r="KR32" s="11">
        <f t="shared" si="104"/>
        <v>764.93</v>
      </c>
      <c r="KS32" s="5">
        <f t="shared" si="105"/>
        <v>12.389363778546867</v>
      </c>
      <c r="KT32" s="8">
        <f t="shared" si="106"/>
        <v>2.8684874999999999E-2</v>
      </c>
      <c r="KU32" s="8">
        <f t="shared" si="107"/>
        <v>-3.142726176311661E-2</v>
      </c>
      <c r="KV32" s="5"/>
      <c r="KW32" s="21">
        <f t="shared" si="108"/>
        <v>25828.606352983559</v>
      </c>
      <c r="KX32" s="22">
        <f t="shared" si="109"/>
        <v>28302.409999999996</v>
      </c>
      <c r="LN32" s="1"/>
      <c r="LO32" s="26"/>
      <c r="LP32" s="11"/>
      <c r="LQ32" s="5"/>
      <c r="LR32" s="11"/>
      <c r="LS32" s="11"/>
      <c r="LT32" s="5"/>
      <c r="LU32" s="8"/>
      <c r="LV32" s="8"/>
      <c r="LW32" s="5"/>
      <c r="LX32" s="21"/>
      <c r="LY32" s="22"/>
      <c r="MA32" s="16" t="str" cm="1">
        <f t="array" ref="MA32">_xll.BDP(MB32&amp;" Equity","DS520")</f>
        <v>Shell PLC</v>
      </c>
      <c r="MB32" s="32" t="s">
        <v>153</v>
      </c>
      <c r="MC32" s="32" t="s">
        <v>154</v>
      </c>
      <c r="MD32" s="32" t="str" cm="1">
        <f t="array" ref="MD32">_xll.BDP(MB32&amp;" Equity", "ID_ISIN")</f>
        <v>GB00BP6MXD84</v>
      </c>
      <c r="ME32" s="32"/>
      <c r="MF32" s="30" t="str">
        <f>_xll.BDP(MB32&amp;" Equity", "DS197")</f>
        <v>London</v>
      </c>
      <c r="MG32" s="30" t="s">
        <v>26</v>
      </c>
      <c r="MH32" s="30" t="s">
        <v>129</v>
      </c>
      <c r="MI32" s="30" t="s">
        <v>28</v>
      </c>
      <c r="MJ32" s="43" t="str">
        <f>_xll.BDP(MB32&amp;" Equity", "DS004")</f>
        <v>GBp</v>
      </c>
      <c r="MK32" s="17" cm="1">
        <f t="array" ref="MK32">_xll.BDP(MB32&amp;" Equity","PX_LAST")/100</f>
        <v>31.08</v>
      </c>
      <c r="ML32" s="33">
        <f t="shared" si="20"/>
        <v>3.0443686244751859E-2</v>
      </c>
      <c r="MM32" s="33">
        <f t="shared" si="21"/>
        <v>2.8903165124282117E-2</v>
      </c>
      <c r="MO32" s="1" cm="1">
        <f t="array" ref="MO32">IF(MJ32="USD",1,_xll.BDP(MJ32&amp;"USD CURNCY","PX_LAST"))</f>
        <v>1.3359000000000001</v>
      </c>
      <c r="MP32" s="18">
        <v>131728.54707582301</v>
      </c>
      <c r="MQ32" s="11">
        <f t="shared" si="117"/>
        <v>5469339.2404794386</v>
      </c>
      <c r="MR32" s="5"/>
      <c r="MS32" s="11" cm="1">
        <f t="array" ref="MS32">IF(MF32="Hong Kong",_xll.BDP(MB32&amp;" Equity","PR414"),_xll.BDP(MB32&amp;" Equity","PR090"))</f>
        <v>1</v>
      </c>
      <c r="MT32" s="11">
        <f t="shared" si="118"/>
        <v>41.519772000000003</v>
      </c>
      <c r="MU32" s="5">
        <f t="shared" si="119"/>
        <v>234.63470845457906</v>
      </c>
      <c r="MV32" s="8">
        <f t="shared" si="120"/>
        <v>3.0491082562500004E-2</v>
      </c>
      <c r="MW32" s="8">
        <f t="shared" si="121"/>
        <v>1.5568521291116078E-3</v>
      </c>
      <c r="MX32" s="5"/>
      <c r="MY32" s="21">
        <f t="shared" si="122"/>
        <v>1363.8220965162368</v>
      </c>
      <c r="MZ32" s="22">
        <f t="shared" si="123"/>
        <v>1536.2315639999999</v>
      </c>
      <c r="NB32" s="16" t="s">
        <v>34</v>
      </c>
      <c r="NC32" s="32" t="s">
        <v>34</v>
      </c>
      <c r="ND32" s="32"/>
      <c r="NE32" s="32"/>
      <c r="NF32" s="32"/>
      <c r="NG32" s="30"/>
      <c r="NH32" s="30"/>
      <c r="NI32" s="30"/>
      <c r="NJ32" s="30" t="s">
        <v>80</v>
      </c>
      <c r="NK32" s="30" t="str">
        <f>_xll.BDP(NC32&amp;" Curncy", "DS004")</f>
        <v>USD</v>
      </c>
      <c r="NL32" s="17">
        <v>1</v>
      </c>
      <c r="NM32" s="33">
        <f t="shared" si="22"/>
        <v>4.2409588715005666E-3</v>
      </c>
      <c r="NN32" s="33">
        <f>NN39</f>
        <v>5.475E-2</v>
      </c>
      <c r="NP32" s="1" cm="1">
        <f t="array" ref="NP32">IF(NK35="USD",1,_xll.BDP(NK35&amp;"USD CURNCY","PX_LAST"))</f>
        <v>1</v>
      </c>
      <c r="NQ32" s="18">
        <v>725014.49432447599</v>
      </c>
      <c r="NR32" s="11">
        <f>NQ32*NL32*NP32</f>
        <v>725014.49432447599</v>
      </c>
      <c r="NS32" s="5"/>
      <c r="NT32" s="11">
        <v>1</v>
      </c>
      <c r="NU32" s="11">
        <f t="shared" ref="NU32" si="264">NT32*NP32*NL32</f>
        <v>1</v>
      </c>
      <c r="NV32" s="5">
        <f t="shared" ref="NV32" si="265">($AJ$3*NM32)/NU32</f>
        <v>1357.1068388801814</v>
      </c>
      <c r="NW32" s="8">
        <f t="shared" ref="NW32" si="266">(ROUND(NV32,0)*NU32)/$AJ$3</f>
        <v>4.2406249999999996E-3</v>
      </c>
      <c r="NX32" s="8">
        <f t="shared" ref="NX32" si="267">NW32/NM32-1</f>
        <v>-7.87254747530719E-5</v>
      </c>
      <c r="NY32" s="5"/>
      <c r="NZ32" s="21">
        <f t="shared" ref="NZ32" si="268">IFERROR(NU32/NM32,0)</f>
        <v>235.79573164928451</v>
      </c>
      <c r="OA32" s="22">
        <f t="shared" ref="OA32" si="269">NU32/(1/COUNTA($P$6:$P$77))</f>
        <v>37</v>
      </c>
      <c r="OC32" s="16" t="str" cm="1">
        <f t="array" ref="OC32">_xll.BDP(OD32&amp;" Equity","DS520")</f>
        <v>Zurich Insurance Group AG</v>
      </c>
      <c r="OD32" s="45" t="s">
        <v>78</v>
      </c>
      <c r="OE32" s="32" t="s">
        <v>79</v>
      </c>
      <c r="OF32" s="32" t="str" cm="1">
        <f t="array" ref="OF32">_xll.BDP(OD32&amp;" Equity", "ID_ISIN")</f>
        <v>CH0011075394</v>
      </c>
      <c r="OG32" s="45"/>
      <c r="OH32" s="30" t="str">
        <f>_xll.BDP(OD32&amp;" Equity", "DS197")</f>
        <v>SIX Swiss Ex</v>
      </c>
      <c r="OI32" s="30" t="s">
        <v>26</v>
      </c>
      <c r="OJ32" s="30" t="s">
        <v>61</v>
      </c>
      <c r="OK32" s="30" t="s">
        <v>28</v>
      </c>
      <c r="OL32" s="30" t="str">
        <f>_xll.BDP(OD32&amp;" Equity", "DS004")</f>
        <v>CHF</v>
      </c>
      <c r="OM32" s="17" cm="1">
        <f t="array" ref="OM32">_xll.BDP(OD32&amp;" Equity","PX_LAST")</f>
        <v>535.20000000000005</v>
      </c>
      <c r="ON32" s="33">
        <f t="shared" si="24"/>
        <v>3.0648472512448573E-2</v>
      </c>
      <c r="OO32" s="33">
        <f t="shared" si="131"/>
        <v>2.9061097700329341E-2</v>
      </c>
      <c r="OQ32" s="1" cm="1">
        <f t="array" ref="OQ32">IF(OL32="EUR",1,_xll.BDP(OL32&amp;"EUR CURNCY","PX_LAST"))</f>
        <v>1.1032999999999999</v>
      </c>
      <c r="OR32" s="18">
        <v>9558.9515195965305</v>
      </c>
      <c r="OS32" s="11">
        <f t="shared" si="132"/>
        <v>5644428.5764327208</v>
      </c>
      <c r="OT32" s="5"/>
      <c r="OU32" s="11" cm="1">
        <f t="array" ref="OU32">IF(OH32="Hong Kong",_xll.BDP(OD32&amp;" Equity","PR414"),_xll.BDP(OD32&amp;" Equity","PR090"))</f>
        <v>1</v>
      </c>
      <c r="OV32" s="11">
        <f t="shared" si="133"/>
        <v>590.48616000000004</v>
      </c>
      <c r="OW32" s="5">
        <f t="shared" si="134"/>
        <v>16.609214353107859</v>
      </c>
      <c r="OX32" s="8">
        <f t="shared" si="135"/>
        <v>3.1369577250000003E-2</v>
      </c>
      <c r="OY32" s="8">
        <f t="shared" si="136"/>
        <v>2.3528243936415949E-2</v>
      </c>
      <c r="OZ32" s="5"/>
      <c r="PA32" s="21">
        <f t="shared" si="137"/>
        <v>19266.414003509006</v>
      </c>
      <c r="PB32" s="22">
        <f t="shared" si="138"/>
        <v>21847.98792</v>
      </c>
      <c r="PO32" s="62" t="s">
        <v>86</v>
      </c>
      <c r="PP32" s="63">
        <v>100000</v>
      </c>
      <c r="PR32" s="1"/>
      <c r="PS32" s="26"/>
      <c r="PT32" s="11"/>
      <c r="PU32" s="5"/>
      <c r="PV32" s="11"/>
      <c r="PW32" s="11"/>
      <c r="PX32" s="5"/>
      <c r="PY32" s="8"/>
      <c r="PZ32" s="8"/>
      <c r="QA32" s="5"/>
      <c r="QB32" s="21"/>
      <c r="QC32" s="22"/>
      <c r="QP32" s="64" t="s">
        <v>88</v>
      </c>
      <c r="QQ32" s="66">
        <f>(QQ30-QQ31)*0.5%</f>
        <v>475</v>
      </c>
      <c r="RF32" s="16" t="str" cm="1">
        <f t="array" ref="RF32">_xll.BDP(RG32&amp;" Equity","DS520")</f>
        <v>Siemens Energy AG</v>
      </c>
      <c r="RG32" s="34" t="s">
        <v>1316</v>
      </c>
      <c r="RH32" s="34"/>
      <c r="RI32" s="32" t="str" cm="1">
        <f t="array" ref="RI32">_xll.BDP(RG32&amp;" Equity", "ID_ISIN")</f>
        <v>DE000ENER6Y0</v>
      </c>
      <c r="RJ32" s="34"/>
      <c r="RK32" s="30" t="str">
        <f>_xll.BDP(RG32&amp;" Equity", "DS197")</f>
        <v>Xetra</v>
      </c>
      <c r="RL32" s="30" t="s">
        <v>26</v>
      </c>
      <c r="RM32" s="30"/>
      <c r="RN32" s="30" t="s">
        <v>28</v>
      </c>
      <c r="RO32" s="30" t="str">
        <f>_xll.BDP(RG32&amp;" Equity", "DS004")</f>
        <v>EUR</v>
      </c>
      <c r="RP32" s="17" cm="1">
        <f t="array" ref="RP32">_xll.BDP(RG32&amp;" Equity","PX_LAST")</f>
        <v>156</v>
      </c>
      <c r="RQ32" s="33">
        <f t="shared" si="153"/>
        <v>3.608686077360862E-2</v>
      </c>
      <c r="RR32" s="33">
        <f t="shared" si="154"/>
        <v>3.4315422989806478E-2</v>
      </c>
      <c r="RT32" s="1" cm="1">
        <f t="array" ref="RT32">IF(RO32="USD",1,_xll.BDP(RO32&amp;"USD CURNCY","PX_LAST"))</f>
        <v>1.1607000000000001</v>
      </c>
      <c r="RU32" s="18">
        <v>20083.473705499899</v>
      </c>
      <c r="RV32" s="11">
        <f t="shared" si="217"/>
        <v>3636498.5170759023</v>
      </c>
      <c r="RW32" s="5"/>
      <c r="RX32" s="11" cm="1">
        <f t="array" ref="RX32">IF(RK32="Hong Kong",_xll.BDP(RG32&amp;" Equity","PR414"),_xll.BDP(RG32&amp;" Equity","PR090"))</f>
        <v>1</v>
      </c>
      <c r="RY32" s="11">
        <f t="shared" si="218"/>
        <v>181.06920000000002</v>
      </c>
      <c r="RZ32" s="5">
        <f t="shared" si="219"/>
        <v>63.775592135795357</v>
      </c>
      <c r="SA32" s="8">
        <f t="shared" si="220"/>
        <v>3.6213840000000004E-2</v>
      </c>
      <c r="SB32" s="8">
        <f t="shared" si="221"/>
        <v>3.5187107902787673E-3</v>
      </c>
      <c r="SC32" s="5"/>
      <c r="SD32" s="21">
        <f t="shared" si="222"/>
        <v>5017.5935539513939</v>
      </c>
      <c r="SE32" s="22">
        <f t="shared" si="223"/>
        <v>6699.5604000000003</v>
      </c>
    </row>
    <row r="33" spans="15:499" ht="15" thickBot="1" x14ac:dyDescent="0.25">
      <c r="O33" s="16" t="str" cm="1">
        <f t="array" ref="O33">_xll.BDP(P33&amp;" Equity","DS520")</f>
        <v>International Business Machines Corp</v>
      </c>
      <c r="P33" s="32" t="s">
        <v>49</v>
      </c>
      <c r="Q33" s="32" t="s">
        <v>50</v>
      </c>
      <c r="R33" s="32" t="str" cm="1">
        <f t="array" ref="R33">_xll.BDP(P33&amp;" Equity", "ID_ISIN")</f>
        <v>US4592001014</v>
      </c>
      <c r="S33" s="32"/>
      <c r="T33" s="30" t="str">
        <f>_xll.BDP(P33&amp;" Equity", "DS197")</f>
        <v>New York</v>
      </c>
      <c r="U33" s="30" t="s">
        <v>26</v>
      </c>
      <c r="V33" s="30" t="s">
        <v>33</v>
      </c>
      <c r="W33" s="30" t="s">
        <v>28</v>
      </c>
      <c r="X33" s="30" t="str">
        <f>_xll.BDP(P33&amp;" Equity", "DS004")</f>
        <v>USD</v>
      </c>
      <c r="Y33" s="17" cm="1">
        <f t="array" ref="Y33">_xll.BDP(P33&amp;" Equity","PX_LAST")</f>
        <v>256.55</v>
      </c>
      <c r="Z33" s="33">
        <f t="shared" si="0"/>
        <v>2.3975132647060009E-2</v>
      </c>
      <c r="AA33" s="33">
        <f t="shared" si="1"/>
        <v>2.2777181763584349E-2</v>
      </c>
      <c r="AB33" s="4"/>
      <c r="AC33" s="1" cm="1">
        <f t="array" ref="AC33">IF(X33="USD",1,_xll.BDP(X33&amp;"USD CURNCY","PX_LAST"))</f>
        <v>1</v>
      </c>
      <c r="AD33" s="18">
        <v>19231.591145595201</v>
      </c>
      <c r="AE33" s="11">
        <f t="shared" si="169"/>
        <v>4933864.7084024493</v>
      </c>
      <c r="AF33" s="5"/>
      <c r="AG33" s="11" cm="1">
        <f t="array" ref="AG33">IF(T33="Hong Kong",_xll.BDP(P33&amp;" Equity","PR414"),_xll.BDP(P33&amp;" Equity","PR090"))</f>
        <v>1</v>
      </c>
      <c r="AH33" s="11">
        <f t="shared" si="170"/>
        <v>256.55</v>
      </c>
      <c r="AI33" s="5">
        <f t="shared" si="171"/>
        <v>29.904667499743532</v>
      </c>
      <c r="AJ33" s="8">
        <f t="shared" si="172"/>
        <v>2.4051562499999998E-2</v>
      </c>
      <c r="AK33" s="8">
        <f t="shared" si="173"/>
        <v>3.1878802951841312E-3</v>
      </c>
      <c r="AL33" s="5"/>
      <c r="AM33" s="21">
        <f t="shared" si="174"/>
        <v>10700.670723148633</v>
      </c>
      <c r="AN33" s="22">
        <f t="shared" si="175"/>
        <v>9492.35</v>
      </c>
      <c r="BA33" s="67" t="s">
        <v>89</v>
      </c>
      <c r="BB33" s="68">
        <f>BB32/BB29</f>
        <v>5.475E-2</v>
      </c>
      <c r="DF33" s="1"/>
      <c r="DG33" s="26"/>
      <c r="DH33" s="46"/>
      <c r="DI33" s="26"/>
      <c r="DJ33" s="46"/>
      <c r="DK33" s="46"/>
      <c r="DL33" s="26"/>
      <c r="DM33" s="47"/>
      <c r="DN33" s="47"/>
      <c r="DO33" s="26"/>
      <c r="DP33" s="21"/>
      <c r="DQ33" s="22"/>
      <c r="ED33" s="67" t="s">
        <v>89</v>
      </c>
      <c r="EE33" s="68">
        <f>EE32/EE29</f>
        <v>5.475E-2</v>
      </c>
      <c r="ET33" s="16" t="str" cm="1">
        <f t="array" ref="ET33">_xll.BDP(EU33&amp;" Equity","DS520")</f>
        <v>Accenture PLC</v>
      </c>
      <c r="EU33" s="32" t="s">
        <v>37</v>
      </c>
      <c r="EV33" s="32" t="s">
        <v>38</v>
      </c>
      <c r="EW33" s="32" t="str" cm="1">
        <f t="array" ref="EW33">_xll.BDP(EU33&amp;" Equity", "ID_ISIN")</f>
        <v>IE00B4BNMY34</v>
      </c>
      <c r="EX33" s="32"/>
      <c r="EY33" s="30" t="str">
        <f>_xll.BDP(EU33&amp;" Equity", "DS197")</f>
        <v>New York</v>
      </c>
      <c r="EZ33" s="30" t="s">
        <v>26</v>
      </c>
      <c r="FA33" s="30" t="s">
        <v>33</v>
      </c>
      <c r="FB33" s="30" t="s">
        <v>28</v>
      </c>
      <c r="FC33" s="30" t="str">
        <f>_xll.BDP(EU33&amp;" Equity", "DS004")</f>
        <v>USD</v>
      </c>
      <c r="FD33" s="17" cm="1">
        <f t="array" ref="FD33">_xll.BDP(EU33&amp;" Equity","PX_LAST")</f>
        <v>214</v>
      </c>
      <c r="FE33" s="33">
        <f t="shared" si="10"/>
        <v>2.4538967892107581E-2</v>
      </c>
      <c r="FF33" s="33">
        <f t="shared" si="11"/>
        <v>2.3311370764810005E-2</v>
      </c>
      <c r="FH33" s="1" cm="1">
        <f t="array" ref="FH33">IF(FC33="USD",1,_xll.BDP(FC33&amp;"USD CURNCY","PX_LAST"))</f>
        <v>1</v>
      </c>
      <c r="FI33" s="18">
        <v>23497.938394291799</v>
      </c>
      <c r="FJ33" s="11">
        <f t="shared" si="64"/>
        <v>5028558.8163784454</v>
      </c>
      <c r="FK33" s="5"/>
      <c r="FL33" s="11" cm="1">
        <f t="array" ref="FL33">IF(EY33="Hong Kong",_xll.BDP(EU33&amp;" Equity","PR414"),_xll.BDP(EU33&amp;" Equity","PR090"))</f>
        <v>1</v>
      </c>
      <c r="FM33" s="11">
        <f t="shared" si="65"/>
        <v>214</v>
      </c>
      <c r="FN33" s="5">
        <f t="shared" si="66"/>
        <v>36.693783763899184</v>
      </c>
      <c r="FO33" s="8">
        <f t="shared" si="67"/>
        <v>2.4743749999999998E-2</v>
      </c>
      <c r="FP33" s="8">
        <f t="shared" si="68"/>
        <v>8.3451801556120309E-3</v>
      </c>
      <c r="FQ33" s="5"/>
      <c r="FR33" s="21">
        <f t="shared" si="69"/>
        <v>8720.8231797242133</v>
      </c>
      <c r="FS33" s="22">
        <f t="shared" si="70"/>
        <v>7918</v>
      </c>
      <c r="FU33" s="16" t="str" cm="1">
        <f t="array" ref="FU33">_xll.BDP(FV33&amp;" Equity","DS520")</f>
        <v>Tele2 AB</v>
      </c>
      <c r="FV33" s="71" t="s">
        <v>757</v>
      </c>
      <c r="FW33" s="32" t="s">
        <v>761</v>
      </c>
      <c r="FX33" s="32" t="str" cm="1">
        <f t="array" ref="FX33">_xll.BDP(FV33&amp;" Equity", "ID_ISIN")</f>
        <v>SE0005190238</v>
      </c>
      <c r="FY33" s="45"/>
      <c r="FZ33" s="30" t="str">
        <f>_xll.BDP(FV33&amp;" Equity", "DS197")</f>
        <v>Stockholm</v>
      </c>
      <c r="GA33" s="30" t="s">
        <v>26</v>
      </c>
      <c r="GB33" s="30" t="s">
        <v>406</v>
      </c>
      <c r="GC33" s="30" t="s">
        <v>28</v>
      </c>
      <c r="GD33" s="30" t="str">
        <f>_xll.BDP(FV33&amp;" Equity", "DS004")</f>
        <v>SEK</v>
      </c>
      <c r="GE33" s="17" cm="1">
        <f t="array" ref="GE33">_xll.BDP(FV33&amp;" Equity","PX_LAST")</f>
        <v>189.95</v>
      </c>
      <c r="GF33" s="33">
        <f t="shared" si="253"/>
        <v>4.3540420240269537E-2</v>
      </c>
      <c r="GG33" s="33">
        <f t="shared" si="254"/>
        <v>4.136141820166999E-2</v>
      </c>
      <c r="GI33" s="1" cm="1">
        <f t="array" ref="GI33">IF(GD33="USD",1,_xll.BDP(GD33&amp;"USD CURNCY","PX_LAST"))</f>
        <v>0.108429</v>
      </c>
      <c r="GJ33" s="18">
        <v>437594.82306831999</v>
      </c>
      <c r="GK33" s="11">
        <f t="shared" si="255"/>
        <v>9012741.7249366995</v>
      </c>
      <c r="GL33" s="5"/>
      <c r="GM33" s="11" cm="1">
        <f t="array" ref="GM33">IF(FZ33="Hong Kong",_xll.BDP(FV33&amp;" Equity","PR414"),_xll.BDP(FV33&amp;" Equity","PR090"))</f>
        <v>1</v>
      </c>
      <c r="GN33" s="11">
        <f t="shared" si="256"/>
        <v>20.596088549999997</v>
      </c>
      <c r="GO33" s="5">
        <f t="shared" si="257"/>
        <v>676.48449088097618</v>
      </c>
      <c r="GP33" s="8">
        <f t="shared" si="258"/>
        <v>4.3509237061874997E-2</v>
      </c>
      <c r="GQ33" s="8">
        <f t="shared" si="259"/>
        <v>-7.1618919207627751E-4</v>
      </c>
      <c r="GR33" s="5"/>
      <c r="GS33" s="21">
        <f t="shared" si="260"/>
        <v>473.03375659546685</v>
      </c>
      <c r="GT33" s="22">
        <f t="shared" si="261"/>
        <v>762.05527634999987</v>
      </c>
      <c r="GV33" s="16" t="str" cm="1">
        <f t="array" ref="GV33">_xll.BDP(GW33&amp;" Equity","DS520")</f>
        <v>Sinopharm Group Co Ltd</v>
      </c>
      <c r="GW33" s="32" t="s">
        <v>202</v>
      </c>
      <c r="GX33" s="32">
        <v>1099</v>
      </c>
      <c r="GY33" s="32" t="str" cm="1">
        <f t="array" ref="GY33">_xll.BDP(GW33&amp;" Equity", "ID_ISIN")</f>
        <v>CNE100000FN7</v>
      </c>
      <c r="GZ33" s="32"/>
      <c r="HA33" s="30" t="str">
        <f>_xll.BDP(GW33&amp;" Equity", "DS197")</f>
        <v>Hong Kong</v>
      </c>
      <c r="HB33" s="30" t="s">
        <v>26</v>
      </c>
      <c r="HC33" s="30" t="s">
        <v>27</v>
      </c>
      <c r="HD33" s="30" t="s">
        <v>28</v>
      </c>
      <c r="HE33" s="30" t="str">
        <f>_xll.BDP(GW33&amp;" Equity", "DS004")</f>
        <v>HKD</v>
      </c>
      <c r="HF33" s="17" cm="1">
        <f t="array" ref="HF33">_xll.BDP(GW33&amp;" Equity","PX_LAST")</f>
        <v>20.64</v>
      </c>
      <c r="HG33" s="33">
        <f t="shared" si="14"/>
        <v>3.1652344051548861E-2</v>
      </c>
      <c r="HH33" s="33">
        <f t="shared" si="78"/>
        <v>3.0067341225189777E-2</v>
      </c>
      <c r="HJ33" s="1" cm="1">
        <f t="array" ref="HJ33">IF(HE33="USD",1,_xll.BDP(HE33&amp;"USD CURNCY","PX_LAST"))</f>
        <v>0.12784999999999999</v>
      </c>
      <c r="HK33" s="18">
        <v>1956260.9307586399</v>
      </c>
      <c r="HL33" s="11">
        <f t="shared" si="262"/>
        <v>5162228.2943482371</v>
      </c>
      <c r="HM33" s="5"/>
      <c r="HN33" s="11" cm="1">
        <f t="array" ref="HN33">IF(HA33="Hong Kong",_xll.BDP(GW33&amp;" Equity","PR414"),_xll.BDP(GW33&amp;" Equity","PR090"))</f>
        <v>400</v>
      </c>
      <c r="HO33" s="11">
        <f t="shared" si="80"/>
        <v>1055.5295999999998</v>
      </c>
      <c r="HP33" s="5">
        <f t="shared" si="81"/>
        <v>9.5958939441353781</v>
      </c>
      <c r="HQ33" s="8">
        <f t="shared" si="82"/>
        <v>3.2985299999999995E-2</v>
      </c>
      <c r="HR33" s="8">
        <f t="shared" si="83"/>
        <v>4.2112392885667038E-2</v>
      </c>
      <c r="HS33" s="5"/>
      <c r="HT33" s="21">
        <f t="shared" si="84"/>
        <v>33347.596572341346</v>
      </c>
      <c r="HU33" s="22">
        <f t="shared" si="85"/>
        <v>39054.595199999989</v>
      </c>
      <c r="IH33" s="64" t="s">
        <v>88</v>
      </c>
      <c r="II33" s="66">
        <f>(II31-II32)*0.5%</f>
        <v>475</v>
      </c>
      <c r="IX33" s="16" t="s">
        <v>34</v>
      </c>
      <c r="IY33" s="32" t="s">
        <v>34</v>
      </c>
      <c r="IZ33" s="32"/>
      <c r="JA33" s="32"/>
      <c r="JB33" s="32"/>
      <c r="JC33" s="30"/>
      <c r="JD33" s="30"/>
      <c r="JE33" s="30"/>
      <c r="JF33" s="30" t="s">
        <v>80</v>
      </c>
      <c r="JG33" s="30" t="str">
        <f>_xll.BDP(IY33&amp;" Curncy", "DS004")</f>
        <v>USD</v>
      </c>
      <c r="JH33" s="17">
        <v>1</v>
      </c>
      <c r="JI33" s="33">
        <f t="shared" si="93"/>
        <v>4.9465124140773472E-3</v>
      </c>
      <c r="JJ33" s="33">
        <f>JJ40</f>
        <v>5.475E-2</v>
      </c>
      <c r="JL33" s="1" cm="1">
        <f t="array" ref="JL33">IF(JG33="USD",1,_xll.BDP(JG33&amp;"USD CURNCY","PX_LAST"))</f>
        <v>1</v>
      </c>
      <c r="JM33" s="18">
        <v>603450.35577019397</v>
      </c>
      <c r="JN33" s="11">
        <f t="shared" si="94"/>
        <v>603450.35577019397</v>
      </c>
      <c r="JO33" s="5"/>
      <c r="JP33" s="11">
        <v>1</v>
      </c>
      <c r="JQ33" s="11">
        <f t="shared" si="95"/>
        <v>1</v>
      </c>
      <c r="JR33" s="5">
        <f t="shared" si="96"/>
        <v>1582.883972504751</v>
      </c>
      <c r="JS33" s="8">
        <f t="shared" si="97"/>
        <v>4.9468749999999999E-3</v>
      </c>
      <c r="JT33" s="8">
        <f t="shared" si="98"/>
        <v>7.3301326732888583E-5</v>
      </c>
      <c r="JU33" s="5"/>
      <c r="JV33" s="21">
        <f t="shared" si="99"/>
        <v>202.16263829725492</v>
      </c>
      <c r="JW33" s="22">
        <f t="shared" si="100"/>
        <v>37</v>
      </c>
      <c r="JY33" s="16" t="str" cm="1">
        <f t="array" ref="JY33">_xll.BDP(JZ33&amp;" Equity","DS520")</f>
        <v>ResMed Inc</v>
      </c>
      <c r="JZ33" s="32" t="s">
        <v>1313</v>
      </c>
      <c r="KA33" s="32" t="s">
        <v>1384</v>
      </c>
      <c r="KB33" s="32" t="str" cm="1">
        <f t="array" ref="KB33">_xll.BDP(JZ33&amp;" Equity", "ID_ISIN")</f>
        <v>US7611521078</v>
      </c>
      <c r="KC33" s="32"/>
      <c r="KD33" s="30" t="str">
        <f>_xll.BDP(JZ33&amp;" Equity", "DS197")</f>
        <v>New York</v>
      </c>
      <c r="KE33" s="30" t="s">
        <v>26</v>
      </c>
      <c r="KF33" s="30" t="s">
        <v>33</v>
      </c>
      <c r="KG33" s="30" t="s">
        <v>28</v>
      </c>
      <c r="KH33" s="30" t="str">
        <f>_xll.BDP(JZ33&amp;" Equity", "DS004")</f>
        <v>USD</v>
      </c>
      <c r="KI33" s="17" cm="1">
        <f t="array" ref="KI33">_xll.BDP(JZ33&amp;" Equity","PX_LAST")</f>
        <v>255.32</v>
      </c>
      <c r="KJ33" s="33">
        <f t="shared" si="101"/>
        <v>2.7950411194250187E-2</v>
      </c>
      <c r="KK33" s="33">
        <f t="shared" si="102"/>
        <v>2.6557200988330067E-2</v>
      </c>
      <c r="KM33" s="1" cm="1">
        <f t="array" ref="KM33">IF(KH33="USD",1,_xll.BDP(KH33&amp;"USD CURNCY","PX_LAST"))</f>
        <v>1</v>
      </c>
      <c r="KN33" s="18">
        <v>10870.681675980501</v>
      </c>
      <c r="KO33" s="11">
        <f t="shared" si="263"/>
        <v>2775502.4455113416</v>
      </c>
      <c r="KP33" s="5"/>
      <c r="KQ33" s="11" cm="1">
        <f t="array" ref="KQ33">IF(KD33="Hong Kong",_xll.BDP(JZ33&amp;" Equity","PR414"),_xll.BDP(JZ33&amp;" Equity","PR090"))</f>
        <v>1</v>
      </c>
      <c r="KR33" s="11">
        <f t="shared" si="104"/>
        <v>255.32</v>
      </c>
      <c r="KS33" s="5">
        <f t="shared" si="105"/>
        <v>35.031065259909369</v>
      </c>
      <c r="KT33" s="8">
        <f t="shared" si="106"/>
        <v>2.7925624999999996E-2</v>
      </c>
      <c r="KU33" s="8">
        <f t="shared" si="107"/>
        <v>-8.8679175694161838E-4</v>
      </c>
      <c r="KV33" s="5"/>
      <c r="KW33" s="21">
        <f t="shared" si="108"/>
        <v>9134.7493325079631</v>
      </c>
      <c r="KX33" s="22">
        <f t="shared" si="109"/>
        <v>9446.8399999999983</v>
      </c>
      <c r="LN33" s="1"/>
      <c r="LO33" s="26"/>
      <c r="LP33" s="11"/>
      <c r="LQ33" s="5"/>
      <c r="LR33" s="11"/>
      <c r="LS33" s="11"/>
      <c r="LT33" s="5"/>
      <c r="LU33" s="8"/>
      <c r="LV33" s="8"/>
      <c r="LW33" s="5"/>
      <c r="LX33" s="21"/>
      <c r="LY33" s="22"/>
      <c r="MA33" s="16" t="str" cm="1">
        <f t="array" ref="MA33">_xll.BDP(MB33&amp;" Equity","DS520")</f>
        <v>SoftBank Corp</v>
      </c>
      <c r="MB33" s="32" t="s">
        <v>264</v>
      </c>
      <c r="MC33" s="32">
        <v>9434</v>
      </c>
      <c r="MD33" s="32" t="str" cm="1">
        <f t="array" ref="MD33">_xll.BDP(MB33&amp;" Equity", "ID_ISIN")</f>
        <v>JP3732000009</v>
      </c>
      <c r="ME33" s="32"/>
      <c r="MF33" s="30" t="str">
        <f>_xll.BDP(MB33&amp;" Equity", "DS197")</f>
        <v>Tokyo</v>
      </c>
      <c r="MG33" s="30" t="s">
        <v>26</v>
      </c>
      <c r="MH33" s="30" t="s">
        <v>320</v>
      </c>
      <c r="MI33" s="30" t="s">
        <v>28</v>
      </c>
      <c r="MJ33" s="30" t="str">
        <f>_xll.BDP(MB33&amp;" Equity", "DS004")</f>
        <v>JPY</v>
      </c>
      <c r="MK33" s="17" cm="1">
        <f t="array" ref="MK33">_xll.BDP(MB33&amp;" Equity","PX_LAST")</f>
        <v>211.1</v>
      </c>
      <c r="ML33" s="33">
        <f t="shared" si="20"/>
        <v>2.9604075221095576E-2</v>
      </c>
      <c r="MM33" s="33">
        <f t="shared" si="21"/>
        <v>2.8106040365413979E-2</v>
      </c>
      <c r="MO33" s="1" cm="1">
        <f t="array" ref="MO33">IF(MJ33="USD",1,_xll.BDP(MJ33&amp;"USD CURNCY","PX_LAST"))</f>
        <v>6.3369999999999998E-3</v>
      </c>
      <c r="MP33" s="18">
        <v>3975732.7462852099</v>
      </c>
      <c r="MQ33" s="11">
        <f t="shared" si="117"/>
        <v>5318499.5070284987</v>
      </c>
      <c r="MR33" s="5"/>
      <c r="MS33" s="11" cm="1">
        <f t="array" ref="MS33">IF(MF33="Hong Kong",_xll.BDP(MB33&amp;" Equity","PR414"),_xll.BDP(MB33&amp;" Equity","PR090"))</f>
        <v>100</v>
      </c>
      <c r="MT33" s="11">
        <f t="shared" si="118"/>
        <v>133.77406999999999</v>
      </c>
      <c r="MU33" s="5">
        <f t="shared" si="119"/>
        <v>70.815697472242448</v>
      </c>
      <c r="MV33" s="8">
        <f t="shared" si="120"/>
        <v>2.968112178125E-2</v>
      </c>
      <c r="MW33" s="8">
        <f t="shared" si="121"/>
        <v>2.6025660176516308E-3</v>
      </c>
      <c r="MX33" s="5"/>
      <c r="MY33" s="21">
        <f t="shared" si="122"/>
        <v>4518.7721285302605</v>
      </c>
      <c r="MZ33" s="22">
        <f t="shared" si="123"/>
        <v>4949.64059</v>
      </c>
      <c r="NB33" s="35" t="s">
        <v>81</v>
      </c>
      <c r="NC33" s="36"/>
      <c r="ND33" s="36"/>
      <c r="NE33" s="36"/>
      <c r="NF33" s="36"/>
      <c r="NG33" s="36"/>
      <c r="NH33" s="36"/>
      <c r="NI33" s="36"/>
      <c r="NJ33" s="36"/>
      <c r="NK33" s="36"/>
      <c r="NL33" s="25" t="s">
        <v>81</v>
      </c>
      <c r="NM33" s="37">
        <f>SUM(NM6:NM32)</f>
        <v>0.99999999999999989</v>
      </c>
      <c r="NN33" s="37">
        <f>SUM(NN6:NN32)</f>
        <v>1.0000000000000002</v>
      </c>
      <c r="NR33" s="56">
        <f>SUM(NR6:NR32)</f>
        <v>170955323.14557585</v>
      </c>
      <c r="OC33" s="16" t="s">
        <v>313</v>
      </c>
      <c r="OD33" s="45" t="s">
        <v>83</v>
      </c>
      <c r="OE33" s="45"/>
      <c r="OF33" s="45"/>
      <c r="OG33" s="45"/>
      <c r="OH33" s="30"/>
      <c r="OI33" s="30"/>
      <c r="OJ33" s="30"/>
      <c r="OK33" s="30" t="s">
        <v>80</v>
      </c>
      <c r="OL33" s="30" t="str">
        <f>_xll.BDP(OD33&amp;" Curncy", "DS004")</f>
        <v>EUR</v>
      </c>
      <c r="OM33" s="17">
        <v>1</v>
      </c>
      <c r="ON33" s="33">
        <f t="shared" si="24"/>
        <v>3.1185696724834373E-3</v>
      </c>
      <c r="OO33" s="33">
        <f>OO40</f>
        <v>5.475E-2</v>
      </c>
      <c r="OQ33" s="1" cm="1">
        <f t="array" ref="OQ33">IF(OL33="EUR",1,_xll.BDP(OL33&amp;"EUR CURNCY","PX_LAST"))</f>
        <v>1</v>
      </c>
      <c r="OR33" s="18">
        <v>574336.73961442197</v>
      </c>
      <c r="OS33" s="11">
        <f t="shared" ref="OS33" si="270">OR33*OM33*OQ33</f>
        <v>574336.73961442197</v>
      </c>
      <c r="OT33" s="5"/>
      <c r="OU33" s="11">
        <v>1</v>
      </c>
      <c r="OV33" s="11">
        <f t="shared" ref="OV33" si="271">OU33*OQ33*OM33</f>
        <v>1</v>
      </c>
      <c r="OW33" s="5">
        <f t="shared" ref="OW33" si="272">($AJ$3*ON33)/OV33</f>
        <v>997.94229519469991</v>
      </c>
      <c r="OX33" s="8">
        <f t="shared" ref="OX33" si="273">(ROUND(OW33,0)*OV33)/$AJ$3</f>
        <v>3.11875E-3</v>
      </c>
      <c r="OY33" s="8">
        <f t="shared" ref="OY33" si="274">OX33/ON33-1</f>
        <v>5.782378958985035E-5</v>
      </c>
      <c r="OZ33" s="5"/>
      <c r="PA33" s="21">
        <f t="shared" ref="PA33" si="275">IFERROR(OV33/ON33,0)</f>
        <v>320.65982325918708</v>
      </c>
      <c r="PB33" s="22">
        <f t="shared" ref="PB33" si="276">OV33/(1/COUNTA($P$6:$P$77))</f>
        <v>37</v>
      </c>
      <c r="PO33" s="64" t="s">
        <v>85</v>
      </c>
      <c r="PP33" s="65">
        <v>5000</v>
      </c>
      <c r="PR33" s="1"/>
      <c r="PS33" s="26"/>
      <c r="PT33" s="11"/>
      <c r="PU33" s="5"/>
      <c r="PV33" s="11"/>
      <c r="PW33" s="11"/>
      <c r="PX33" s="5"/>
      <c r="PY33" s="8"/>
      <c r="PZ33" s="8"/>
      <c r="QA33" s="5"/>
      <c r="QB33" s="21"/>
      <c r="QC33" s="22"/>
      <c r="QP33" s="64" t="s">
        <v>87</v>
      </c>
      <c r="QQ33" s="66">
        <f>QQ31+QQ32</f>
        <v>5475</v>
      </c>
      <c r="RF33" s="16" t="str" cm="1">
        <f t="array" ref="RF33">_xll.BDP(RG33&amp;" Equity","DS520")</f>
        <v>SK hynix Inc</v>
      </c>
      <c r="RG33" s="34" t="s">
        <v>1317</v>
      </c>
      <c r="RH33" s="34"/>
      <c r="RI33" s="32" t="str" cm="1">
        <f t="array" ref="RI33">_xll.BDP(RG33&amp;" Equity", "ID_ISIN")</f>
        <v>US78392B1070</v>
      </c>
      <c r="RJ33" s="34"/>
      <c r="RK33" s="30" t="str">
        <f>_xll.BDP(RG33&amp;" Equity", "DS197")</f>
        <v>Frankfurt</v>
      </c>
      <c r="RL33" s="30" t="s">
        <v>26</v>
      </c>
      <c r="RM33" s="30"/>
      <c r="RN33" s="30" t="s">
        <v>28</v>
      </c>
      <c r="RO33" s="30" t="str">
        <f>_xll.BDP(RG33&amp;" Equity", "DS004")</f>
        <v>EUR</v>
      </c>
      <c r="RP33" s="17" cm="1">
        <f t="array" ref="RP33">_xll.BDP(RG33&amp;" Equity","PX_LAST")</f>
        <v>528</v>
      </c>
      <c r="RQ33" s="33">
        <f t="shared" si="153"/>
        <v>3.8196554172681078E-2</v>
      </c>
      <c r="RR33" s="33">
        <f t="shared" si="154"/>
        <v>3.6321555410748968E-2</v>
      </c>
      <c r="RT33" s="1" cm="1">
        <f t="array" ref="RT33">IF(RO33="USD",1,_xll.BDP(RO33&amp;"USD CURNCY","PX_LAST"))</f>
        <v>1.1607000000000001</v>
      </c>
      <c r="RU33" s="18">
        <v>6280.64995881087</v>
      </c>
      <c r="RV33" s="11">
        <f t="shared" si="217"/>
        <v>3849093.8149972581</v>
      </c>
      <c r="RW33" s="5"/>
      <c r="RX33" s="11" cm="1">
        <f t="array" ref="RX33">IF(RK33="Hong Kong",_xll.BDP(RG33&amp;" Equity","PR414"),_xll.BDP(RG33&amp;" Equity","PR090"))</f>
        <v>1</v>
      </c>
      <c r="RY33" s="11">
        <f t="shared" si="218"/>
        <v>612.84960000000001</v>
      </c>
      <c r="RZ33" s="5">
        <f t="shared" si="219"/>
        <v>19.944366995194162</v>
      </c>
      <c r="SA33" s="8">
        <f t="shared" si="220"/>
        <v>3.83031E-2</v>
      </c>
      <c r="SB33" s="8">
        <f t="shared" si="221"/>
        <v>2.7894094016240878E-3</v>
      </c>
      <c r="SC33" s="5"/>
      <c r="SD33" s="21">
        <f t="shared" si="222"/>
        <v>16044.630550425985</v>
      </c>
      <c r="SE33" s="22">
        <f t="shared" si="223"/>
        <v>22675.4352</v>
      </c>
    </row>
    <row r="34" spans="15:499" ht="15" thickBot="1" x14ac:dyDescent="0.25">
      <c r="O34" s="16" t="str" cm="1">
        <f t="array" ref="O34">_xll.BDP(P34&amp;" Equity","DS520")</f>
        <v>Mastercard Inc</v>
      </c>
      <c r="P34" s="32" t="s">
        <v>169</v>
      </c>
      <c r="Q34" s="32" t="s">
        <v>428</v>
      </c>
      <c r="R34" s="32" t="str" cm="1">
        <f t="array" ref="R34">_xll.BDP(P34&amp;" Equity", "ID_ISIN")</f>
        <v>US57636Q1040</v>
      </c>
      <c r="S34" s="32"/>
      <c r="T34" s="30" t="str">
        <f>_xll.BDP(P34&amp;" Equity", "DS197")</f>
        <v>New York</v>
      </c>
      <c r="U34" s="30" t="s">
        <v>26</v>
      </c>
      <c r="V34" s="30" t="s">
        <v>33</v>
      </c>
      <c r="W34" s="30" t="s">
        <v>28</v>
      </c>
      <c r="X34" s="30" t="str">
        <f>_xll.BDP(P34&amp;" Equity", "DS004")</f>
        <v>USD</v>
      </c>
      <c r="Y34" s="17" cm="1">
        <f t="array" ref="Y34">_xll.BDP(P34&amp;" Equity","PX_LAST")</f>
        <v>524.66</v>
      </c>
      <c r="Z34" s="33">
        <f t="shared" si="0"/>
        <v>2.7141612707886585E-2</v>
      </c>
      <c r="AA34" s="33">
        <f t="shared" si="1"/>
        <v>2.5785444239456688E-2</v>
      </c>
      <c r="AB34" s="4"/>
      <c r="AC34" s="1" cm="1">
        <f t="array" ref="AC34">IF(X34="USD",1,_xll.BDP(X34&amp;"USD CURNCY","PX_LAST"))</f>
        <v>1</v>
      </c>
      <c r="AD34" s="18">
        <v>10645.9374966576</v>
      </c>
      <c r="AE34" s="11">
        <f t="shared" si="169"/>
        <v>5585497.566996376</v>
      </c>
      <c r="AF34" s="5"/>
      <c r="AG34" s="11" cm="1">
        <f t="array" ref="AG34">IF(T34="Hong Kong",_xll.BDP(P34&amp;" Equity","PR414"),_xll.BDP(P34&amp;" Equity","PR090"))</f>
        <v>1</v>
      </c>
      <c r="AH34" s="11">
        <f t="shared" si="170"/>
        <v>524.66</v>
      </c>
      <c r="AI34" s="5">
        <f t="shared" si="171"/>
        <v>16.554179976601432</v>
      </c>
      <c r="AJ34" s="8">
        <f t="shared" si="172"/>
        <v>2.7872562499999996E-2</v>
      </c>
      <c r="AK34" s="8">
        <f t="shared" si="173"/>
        <v>2.6930963903298855E-2</v>
      </c>
      <c r="AL34" s="5"/>
      <c r="AM34" s="21">
        <f t="shared" si="174"/>
        <v>19330.465202885625</v>
      </c>
      <c r="AN34" s="22">
        <f t="shared" si="175"/>
        <v>19412.419999999998</v>
      </c>
      <c r="DF34" s="1"/>
      <c r="DG34" s="26"/>
      <c r="DH34" s="46"/>
      <c r="DI34" s="26"/>
      <c r="DJ34" s="46"/>
      <c r="DK34" s="46"/>
      <c r="DL34" s="26"/>
      <c r="DM34" s="47"/>
      <c r="DN34" s="47"/>
      <c r="DO34" s="26"/>
      <c r="DP34" s="21"/>
      <c r="DQ34" s="22"/>
      <c r="ET34" s="16" t="str" cm="1">
        <f t="array" ref="ET34">_xll.BDP(EU34&amp;" Equity","DS520")</f>
        <v>Adobe Inc</v>
      </c>
      <c r="EU34" s="32" t="s">
        <v>224</v>
      </c>
      <c r="EV34" s="32" t="s">
        <v>357</v>
      </c>
      <c r="EW34" s="32" t="str" cm="1">
        <f t="array" ref="EW34">_xll.BDP(EU34&amp;" Equity", "ID_ISIN")</f>
        <v>US00724F1012</v>
      </c>
      <c r="EX34" s="32"/>
      <c r="EY34" s="30" t="str">
        <f>_xll.BDP(EU34&amp;" Equity", "DS197")</f>
        <v>NASDAQ GS</v>
      </c>
      <c r="EZ34" s="30" t="s">
        <v>26</v>
      </c>
      <c r="FA34" s="30" t="s">
        <v>33</v>
      </c>
      <c r="FB34" s="30" t="s">
        <v>28</v>
      </c>
      <c r="FC34" s="30" t="str">
        <f>_xll.BDP(EU34&amp;" Equity", "DS004")</f>
        <v>USD</v>
      </c>
      <c r="FD34" s="17" cm="1">
        <f t="array" ref="FD34">_xll.BDP(EU34&amp;" Equity","PX_LAST")</f>
        <v>281.74</v>
      </c>
      <c r="FE34" s="33">
        <f t="shared" si="10"/>
        <v>2.2464766719014657E-2</v>
      </c>
      <c r="FF34" s="33">
        <f t="shared" si="11"/>
        <v>2.1340934485689866E-2</v>
      </c>
      <c r="FH34" s="1" cm="1">
        <f t="array" ref="FH34">IF(FC34="USD",1,_xll.BDP(FC34&amp;"USD CURNCY","PX_LAST"))</f>
        <v>1</v>
      </c>
      <c r="FI34" s="18">
        <v>16339.5708063928</v>
      </c>
      <c r="FJ34" s="11">
        <f t="shared" si="64"/>
        <v>4603510.6789931078</v>
      </c>
      <c r="FK34" s="5"/>
      <c r="FL34" s="11" cm="1">
        <f t="array" ref="FL34">IF(EY34="Hong Kong",_xll.BDP(EU34&amp;" Equity","PR414"),_xll.BDP(EU34&amp;" Equity","PR090"))</f>
        <v>1</v>
      </c>
      <c r="FM34" s="11">
        <f t="shared" si="65"/>
        <v>281.74</v>
      </c>
      <c r="FN34" s="5">
        <f t="shared" si="66"/>
        <v>25.515458756600729</v>
      </c>
      <c r="FO34" s="8">
        <f t="shared" si="67"/>
        <v>2.2891374999999999E-2</v>
      </c>
      <c r="FP34" s="8">
        <f t="shared" si="68"/>
        <v>1.8990105097519194E-2</v>
      </c>
      <c r="FQ34" s="5"/>
      <c r="FR34" s="21">
        <f t="shared" si="69"/>
        <v>12541.416678123314</v>
      </c>
      <c r="FS34" s="22">
        <f t="shared" si="70"/>
        <v>10424.379999999999</v>
      </c>
      <c r="FU34" s="16" t="str" cm="1">
        <f t="array" ref="FU34">_xll.BDP(FV34&amp;" Equity","DS520")</f>
        <v>Uber Technologies Inc</v>
      </c>
      <c r="FV34" s="71" t="s">
        <v>758</v>
      </c>
      <c r="FW34" s="32" t="s">
        <v>762</v>
      </c>
      <c r="FX34" s="32" t="str" cm="1">
        <f t="array" ref="FX34">_xll.BDP(FV34&amp;" Equity", "ID_ISIN")</f>
        <v>US90353T1007</v>
      </c>
      <c r="FY34" s="45"/>
      <c r="FZ34" s="30" t="str">
        <f>_xll.BDP(FV34&amp;" Equity", "DS197")</f>
        <v>New York</v>
      </c>
      <c r="GA34" s="30" t="s">
        <v>26</v>
      </c>
      <c r="GB34" s="30" t="s">
        <v>33</v>
      </c>
      <c r="GC34" s="30" t="s">
        <v>28</v>
      </c>
      <c r="GD34" s="30" t="str">
        <f>_xll.BDP(FV34&amp;" Equity", "DS004")</f>
        <v>USD</v>
      </c>
      <c r="GE34" s="17" cm="1">
        <f t="array" ref="GE34">_xll.BDP(FV34&amp;" Equity","PX_LAST")</f>
        <v>75.44</v>
      </c>
      <c r="GF34" s="33">
        <f t="shared" si="253"/>
        <v>2.6907984264290592E-2</v>
      </c>
      <c r="GG34" s="33">
        <f t="shared" si="254"/>
        <v>2.5561360776438585E-2</v>
      </c>
      <c r="GI34" s="1" cm="1">
        <f t="array" ref="GI34">IF(GD34="USD",1,_xll.BDP(GD34&amp;"USD CURNCY","PX_LAST"))</f>
        <v>1</v>
      </c>
      <c r="GJ34" s="18">
        <v>73831.857490047798</v>
      </c>
      <c r="GK34" s="11">
        <f t="shared" si="255"/>
        <v>5569875.3290492054</v>
      </c>
      <c r="GL34" s="5"/>
      <c r="GM34" s="11" cm="1">
        <f t="array" ref="GM34">IF(FZ34="Hong Kong",_xll.BDP(FV34&amp;" Equity","PR414"),_xll.BDP(FV34&amp;" Equity","PR090"))</f>
        <v>1</v>
      </c>
      <c r="GN34" s="11">
        <f t="shared" si="256"/>
        <v>75.44</v>
      </c>
      <c r="GO34" s="5">
        <f t="shared" si="257"/>
        <v>114.13779115287633</v>
      </c>
      <c r="GP34" s="8">
        <f t="shared" si="258"/>
        <v>2.68755E-2</v>
      </c>
      <c r="GQ34" s="8">
        <f t="shared" si="259"/>
        <v>-1.2072351452093733E-3</v>
      </c>
      <c r="GR34" s="5"/>
      <c r="GS34" s="21">
        <f t="shared" si="260"/>
        <v>2803.6288136274825</v>
      </c>
      <c r="GT34" s="22">
        <f t="shared" si="261"/>
        <v>2791.2799999999997</v>
      </c>
      <c r="GV34" s="16" t="str" cm="1">
        <f t="array" ref="GV34">_xll.BDP(GW34&amp;" Equity","DS520")</f>
        <v>Sun Hung Kai Properties Ltd</v>
      </c>
      <c r="GW34" s="32" t="s">
        <v>729</v>
      </c>
      <c r="GX34" s="32">
        <v>16</v>
      </c>
      <c r="GY34" s="32" t="str" cm="1">
        <f t="array" ref="GY34">_xll.BDP(GW34&amp;" Equity", "ID_ISIN")</f>
        <v>HK0016000132</v>
      </c>
      <c r="GZ34" s="32"/>
      <c r="HA34" s="30" t="str">
        <f>_xll.BDP(GW34&amp;" Equity", "DS197")</f>
        <v>Hong Kong</v>
      </c>
      <c r="HB34" s="30" t="s">
        <v>26</v>
      </c>
      <c r="HC34" s="30" t="s">
        <v>27</v>
      </c>
      <c r="HD34" s="30" t="s">
        <v>28</v>
      </c>
      <c r="HE34" s="30" t="str">
        <f>_xll.BDP(GW34&amp;" Equity", "DS004")</f>
        <v>HKD</v>
      </c>
      <c r="HF34" s="17" cm="1">
        <f t="array" ref="HF34">_xll.BDP(GW34&amp;" Equity","PX_LAST")</f>
        <v>142.1</v>
      </c>
      <c r="HG34" s="33">
        <f t="shared" si="14"/>
        <v>4.3420857509315063E-2</v>
      </c>
      <c r="HH34" s="33">
        <f t="shared" si="78"/>
        <v>4.1246542022186652E-2</v>
      </c>
      <c r="HJ34" s="1" cm="1">
        <f t="array" ref="HJ34">IF(HE34="USD",1,_xll.BDP(HE34&amp;"USD CURNCY","PX_LAST"))</f>
        <v>0.12784999999999999</v>
      </c>
      <c r="HK34" s="18">
        <v>389793.78907106601</v>
      </c>
      <c r="HL34" s="11">
        <f t="shared" si="262"/>
        <v>7081572.8160417555</v>
      </c>
      <c r="HM34" s="5"/>
      <c r="HN34" s="11" cm="1">
        <f t="array" ref="HN34">IF(HA34="Hong Kong",_xll.BDP(GW34&amp;" Equity","PR414"),_xll.BDP(GW34&amp;" Equity","PR090"))</f>
        <v>500</v>
      </c>
      <c r="HO34" s="11">
        <f t="shared" si="80"/>
        <v>9083.7424999999985</v>
      </c>
      <c r="HP34" s="5">
        <f t="shared" si="81"/>
        <v>1.5296200220317586</v>
      </c>
      <c r="HQ34" s="8">
        <f t="shared" si="82"/>
        <v>5.6773390624999989E-2</v>
      </c>
      <c r="HR34" s="8">
        <f t="shared" si="83"/>
        <v>0.3075142657608827</v>
      </c>
      <c r="HS34" s="5"/>
      <c r="HT34" s="21">
        <f t="shared" si="84"/>
        <v>209202.28252174123</v>
      </c>
      <c r="HU34" s="22">
        <f t="shared" si="85"/>
        <v>336098.47249999992</v>
      </c>
      <c r="IH34" s="64" t="s">
        <v>87</v>
      </c>
      <c r="II34" s="66">
        <f>II32+II33</f>
        <v>5475</v>
      </c>
      <c r="IX34" s="35" t="s">
        <v>81</v>
      </c>
      <c r="IY34" s="25"/>
      <c r="IZ34" s="25"/>
      <c r="JA34" s="25"/>
      <c r="JB34" s="25"/>
      <c r="JC34" s="25"/>
      <c r="JD34" s="25"/>
      <c r="JE34" s="25"/>
      <c r="JF34" s="25"/>
      <c r="JG34" s="25"/>
      <c r="JH34" s="25" t="s">
        <v>81</v>
      </c>
      <c r="JI34" s="37">
        <f>SUM(JI6:JI33)</f>
        <v>1</v>
      </c>
      <c r="JJ34" s="37">
        <f>SUM(JJ6:JJ33)</f>
        <v>1.0000000000000002</v>
      </c>
      <c r="JN34" s="56">
        <f>SUM(JN6:JN33)</f>
        <v>121995116.00391951</v>
      </c>
      <c r="JY34" s="16" t="str" cm="1">
        <f t="array" ref="JY34">_xll.BDP(JZ34&amp;" Equity","DS520")</f>
        <v>Sims Ltd</v>
      </c>
      <c r="JZ34" s="32" t="s">
        <v>1372</v>
      </c>
      <c r="KA34" s="32" t="s">
        <v>1385</v>
      </c>
      <c r="KB34" s="32" t="str" cm="1">
        <f t="array" ref="KB34">_xll.BDP(JZ34&amp;" Equity", "ID_ISIN")</f>
        <v>AU000000SGM7</v>
      </c>
      <c r="KC34" s="32"/>
      <c r="KD34" s="30" t="str">
        <f>_xll.BDP(JZ34&amp;" Equity", "DS197")</f>
        <v>ASE</v>
      </c>
      <c r="KE34" s="30" t="s">
        <v>26</v>
      </c>
      <c r="KF34" s="30" t="s">
        <v>323</v>
      </c>
      <c r="KG34" s="30" t="s">
        <v>28</v>
      </c>
      <c r="KH34" s="30" t="str">
        <f>_xll.BDP(JZ34&amp;" Equity", "DS004")</f>
        <v>AUD</v>
      </c>
      <c r="KI34" s="17" cm="1">
        <f t="array" ref="KI34">_xll.BDP(JZ34&amp;" Equity","PX_LAST")</f>
        <v>19.63</v>
      </c>
      <c r="KJ34" s="33">
        <f t="shared" si="101"/>
        <v>2.8544410068576821E-2</v>
      </c>
      <c r="KK34" s="33">
        <f t="shared" si="102"/>
        <v>2.7121591522075751E-2</v>
      </c>
      <c r="KM34" s="1" cm="1">
        <f t="array" ref="KM34">IF(KH34="USD",1,_xll.BDP(KH34&amp;"USD CURNCY","PX_LAST"))</f>
        <v>0.70340000000000003</v>
      </c>
      <c r="KN34" s="18">
        <v>205282.44946407201</v>
      </c>
      <c r="KO34" s="11">
        <f t="shared" si="263"/>
        <v>2834487.0993279447</v>
      </c>
      <c r="KP34" s="5"/>
      <c r="KQ34" s="11" cm="1">
        <f t="array" ref="KQ34">IF(KD34="Hong Kong",_xll.BDP(JZ34&amp;" Equity","PR414"),_xll.BDP(JZ34&amp;" Equity","PR090"))</f>
        <v>1</v>
      </c>
      <c r="KR34" s="11">
        <f t="shared" si="104"/>
        <v>13.807741999999999</v>
      </c>
      <c r="KS34" s="5">
        <f t="shared" si="105"/>
        <v>661.52823698071586</v>
      </c>
      <c r="KT34" s="8">
        <f t="shared" si="106"/>
        <v>2.8564766262499999E-2</v>
      </c>
      <c r="KU34" s="8">
        <f t="shared" si="107"/>
        <v>7.1314116754472856E-4</v>
      </c>
      <c r="KV34" s="5"/>
      <c r="KW34" s="21">
        <f t="shared" si="108"/>
        <v>483.7284066066681</v>
      </c>
      <c r="KX34" s="22">
        <f t="shared" si="109"/>
        <v>510.88645399999996</v>
      </c>
      <c r="LN34" s="1"/>
      <c r="LO34" s="26"/>
      <c r="LP34" s="11"/>
      <c r="LQ34" s="5"/>
      <c r="LR34" s="11"/>
      <c r="LS34" s="11"/>
      <c r="LT34" s="5"/>
      <c r="LU34" s="8"/>
      <c r="LV34" s="8"/>
      <c r="LW34" s="5"/>
      <c r="LX34" s="21"/>
      <c r="LY34" s="22"/>
      <c r="MA34" s="16" t="str" cm="1">
        <f t="array" ref="MA34">_xll.BDP(MB34&amp;" Equity","DS520")</f>
        <v>Telenor ASA</v>
      </c>
      <c r="MB34" s="44" t="s">
        <v>265</v>
      </c>
      <c r="MC34" s="44" t="s">
        <v>340</v>
      </c>
      <c r="MD34" s="32" t="str" cm="1">
        <f t="array" ref="MD34">_xll.BDP(MB34&amp;" Equity", "ID_ISIN")</f>
        <v>NO0010063308</v>
      </c>
      <c r="ME34" s="44"/>
      <c r="MF34" s="30" t="str">
        <f>_xll.BDP(MB34&amp;" Equity", "DS197")</f>
        <v>Oslo</v>
      </c>
      <c r="MG34" s="30" t="s">
        <v>26</v>
      </c>
      <c r="MH34" s="30" t="s">
        <v>330</v>
      </c>
      <c r="MI34" s="30" t="s">
        <v>28</v>
      </c>
      <c r="MJ34" s="51" t="str">
        <f>_xll.BDP(MB34&amp;" Equity", "DS004")</f>
        <v>NOK</v>
      </c>
      <c r="MK34" s="17" cm="1">
        <f t="array" ref="MK34">_xll.BDP(MB34&amp;" Equity","PX_LAST")</f>
        <v>170.3</v>
      </c>
      <c r="ML34" s="33">
        <f t="shared" si="20"/>
        <v>2.8822404735868754E-2</v>
      </c>
      <c r="MM34" s="33">
        <f t="shared" si="21"/>
        <v>2.7363924219371272E-2</v>
      </c>
      <c r="MO34" s="1" cm="1">
        <f t="array" ref="MO34">IF(MJ34="USD",1,_xll.BDP(MJ34&amp;"USD CURNCY","PX_LAST"))</f>
        <v>0.10349999999999999</v>
      </c>
      <c r="MP34" s="18">
        <v>293773.64983298501</v>
      </c>
      <c r="MQ34" s="11">
        <f t="shared" si="117"/>
        <v>5178069.0406386852</v>
      </c>
      <c r="MR34" s="5"/>
      <c r="MS34" s="11" cm="1">
        <f t="array" ref="MS34">IF(MF34="Hong Kong",_xll.BDP(MB34&amp;" Equity","PR414"),_xll.BDP(MB34&amp;" Equity","PR090"))</f>
        <v>1</v>
      </c>
      <c r="MT34" s="11">
        <f t="shared" si="118"/>
        <v>17.626049999999999</v>
      </c>
      <c r="MU34" s="5">
        <f t="shared" si="119"/>
        <v>523.26922455558679</v>
      </c>
      <c r="MV34" s="8">
        <f t="shared" si="120"/>
        <v>2.8807575468749996E-2</v>
      </c>
      <c r="MW34" s="8">
        <f t="shared" si="121"/>
        <v>-5.1450485324366912E-4</v>
      </c>
      <c r="MX34" s="5"/>
      <c r="MY34" s="21">
        <f t="shared" si="122"/>
        <v>611.53988230776679</v>
      </c>
      <c r="MZ34" s="22">
        <f t="shared" si="123"/>
        <v>652.16384999999991</v>
      </c>
      <c r="OC34" s="35" t="s">
        <v>81</v>
      </c>
      <c r="OD34" s="36"/>
      <c r="OE34" s="36"/>
      <c r="OF34" s="36"/>
      <c r="OG34" s="36"/>
      <c r="OH34" s="36"/>
      <c r="OI34" s="36"/>
      <c r="OJ34" s="36"/>
      <c r="OK34" s="36"/>
      <c r="OL34" s="36"/>
      <c r="OM34" s="25" t="s">
        <v>81</v>
      </c>
      <c r="ON34" s="37">
        <f>SUM(ON6:ON33)</f>
        <v>1.0000000000000002</v>
      </c>
      <c r="OO34" s="37">
        <f>SUM(OO6:OO33)</f>
        <v>1.0000000000000002</v>
      </c>
      <c r="OS34" s="56">
        <f>SUM(OS6:OS33)</f>
        <v>184166717.41601831</v>
      </c>
      <c r="PO34" s="64" t="s">
        <v>88</v>
      </c>
      <c r="PP34" s="66">
        <f>(PP32-PP33)*0.5%</f>
        <v>475</v>
      </c>
      <c r="PR34" s="1"/>
      <c r="PS34" s="26"/>
      <c r="PT34" s="11"/>
      <c r="PU34" s="5"/>
      <c r="PV34" s="11"/>
      <c r="PW34" s="11"/>
      <c r="PX34" s="5"/>
      <c r="PY34" s="8"/>
      <c r="PZ34" s="8"/>
      <c r="QA34" s="5"/>
      <c r="QB34" s="21"/>
      <c r="QC34" s="22"/>
      <c r="QP34" s="67" t="s">
        <v>89</v>
      </c>
      <c r="QQ34" s="68">
        <f>QQ33/QQ30</f>
        <v>5.475E-2</v>
      </c>
      <c r="RF34" s="16" t="str" cm="1">
        <f t="array" ref="RF34">_xll.BDP(RG34&amp;" Equity","DS520")</f>
        <v>Symbotic Inc</v>
      </c>
      <c r="RG34" s="34" t="s">
        <v>692</v>
      </c>
      <c r="RH34" s="34"/>
      <c r="RI34" s="32" t="str" cm="1">
        <f t="array" ref="RI34">_xll.BDP(RG34&amp;" Equity", "ID_ISIN")</f>
        <v>US87151X1019</v>
      </c>
      <c r="RJ34" s="34"/>
      <c r="RK34" s="30" t="str">
        <f>_xll.BDP(RG34&amp;" Equity", "DS197")</f>
        <v>NASDAQ GM</v>
      </c>
      <c r="RL34" s="30" t="s">
        <v>26</v>
      </c>
      <c r="RM34" s="30"/>
      <c r="RN34" s="30" t="s">
        <v>28</v>
      </c>
      <c r="RO34" s="30" t="str">
        <f>_xll.BDP(RG34&amp;" Equity", "DS004")</f>
        <v>USD</v>
      </c>
      <c r="RP34" s="17" cm="1">
        <f t="array" ref="RP34">_xll.BDP(RG34&amp;" Equity","PX_LAST")</f>
        <v>53.2</v>
      </c>
      <c r="RQ34" s="33">
        <f t="shared" si="153"/>
        <v>2.519873247754165E-2</v>
      </c>
      <c r="RR34" s="33">
        <f t="shared" si="154"/>
        <v>2.3961772934436021E-2</v>
      </c>
      <c r="RT34" s="1" cm="1">
        <f t="array" ref="RT34">IF(RO34="USD",1,_xll.BDP(RO34&amp;"USD CURNCY","PX_LAST"))</f>
        <v>1</v>
      </c>
      <c r="RU34" s="18">
        <v>47731.092436974701</v>
      </c>
      <c r="RV34" s="11">
        <f t="shared" si="217"/>
        <v>2539294.1176470541</v>
      </c>
      <c r="RW34" s="5"/>
      <c r="RX34" s="11" cm="1">
        <f t="array" ref="RX34">IF(RK34="Hong Kong",_xll.BDP(RG34&amp;" Equity","PR414"),_xll.BDP(RG34&amp;" Equity","PR090"))</f>
        <v>1</v>
      </c>
      <c r="RY34" s="11">
        <f t="shared" si="218"/>
        <v>53.2</v>
      </c>
      <c r="RZ34" s="5">
        <f t="shared" si="219"/>
        <v>151.57132317318286</v>
      </c>
      <c r="SA34" s="8">
        <f t="shared" si="220"/>
        <v>2.5270000000000001E-2</v>
      </c>
      <c r="SB34" s="8">
        <f t="shared" si="221"/>
        <v>2.8282185432091378E-3</v>
      </c>
      <c r="SC34" s="5"/>
      <c r="SD34" s="21">
        <f t="shared" si="222"/>
        <v>2111.2173021962299</v>
      </c>
      <c r="SE34" s="22">
        <f t="shared" si="223"/>
        <v>1968.4</v>
      </c>
    </row>
    <row r="35" spans="15:499" ht="15" thickBot="1" x14ac:dyDescent="0.25">
      <c r="O35" s="16" t="str" cm="1">
        <f t="array" ref="O35">_xll.BDP(P35&amp;" Equity","DS520")</f>
        <v>Comcast Corp</v>
      </c>
      <c r="P35" s="32" t="s">
        <v>43</v>
      </c>
      <c r="Q35" s="32" t="s">
        <v>44</v>
      </c>
      <c r="R35" s="32" t="str" cm="1">
        <f t="array" ref="R35">_xll.BDP(P35&amp;" Equity", "ID_ISIN")</f>
        <v>US20030N1019</v>
      </c>
      <c r="S35" s="32"/>
      <c r="T35" s="30" t="str">
        <f>_xll.BDP(P35&amp;" Equity", "DS197")</f>
        <v>NASDAQ GS</v>
      </c>
      <c r="U35" s="30" t="s">
        <v>26</v>
      </c>
      <c r="V35" s="30" t="s">
        <v>33</v>
      </c>
      <c r="W35" s="30" t="s">
        <v>28</v>
      </c>
      <c r="X35" s="30" t="str">
        <f>_xll.BDP(P35&amp;" Equity", "DS004")</f>
        <v>USD</v>
      </c>
      <c r="Y35" s="17" cm="1">
        <f t="array" ref="Y35">_xll.BDP(P35&amp;" Equity","PX_LAST")</f>
        <v>31.6</v>
      </c>
      <c r="Z35" s="33">
        <f t="shared" si="0"/>
        <v>2.768483012429012E-2</v>
      </c>
      <c r="AA35" s="33">
        <f t="shared" si="1"/>
        <v>2.6301519041323749E-2</v>
      </c>
      <c r="AB35" s="4"/>
      <c r="AC35" s="1" cm="1">
        <f t="array" ref="AC35">IF(X35="USD",1,_xll.BDP(X35&amp;"USD CURNCY","PX_LAST"))</f>
        <v>1</v>
      </c>
      <c r="AD35" s="18">
        <v>180293.88548199</v>
      </c>
      <c r="AE35" s="11">
        <f t="shared" si="169"/>
        <v>5697286.7812308846</v>
      </c>
      <c r="AF35" s="5"/>
      <c r="AG35" s="11" cm="1">
        <f t="array" ref="AG35">IF(T35="Hong Kong",_xll.BDP(P35&amp;" Equity","PR414"),_xll.BDP(P35&amp;" Equity","PR090"))</f>
        <v>1</v>
      </c>
      <c r="AH35" s="11">
        <f t="shared" si="170"/>
        <v>31.6</v>
      </c>
      <c r="AI35" s="5">
        <f t="shared" si="171"/>
        <v>280.35271011939358</v>
      </c>
      <c r="AJ35" s="8">
        <f t="shared" si="172"/>
        <v>2.7650000000000001E-2</v>
      </c>
      <c r="AK35" s="8">
        <f t="shared" si="173"/>
        <v>-1.2580942029895015E-3</v>
      </c>
      <c r="AL35" s="5"/>
      <c r="AM35" s="21">
        <f t="shared" si="174"/>
        <v>1141.4193209108691</v>
      </c>
      <c r="AN35" s="22">
        <f t="shared" si="175"/>
        <v>1169.2</v>
      </c>
      <c r="DF35" s="1"/>
      <c r="DG35" s="26"/>
      <c r="DH35" s="46"/>
      <c r="DI35" s="26"/>
      <c r="DJ35" s="46"/>
      <c r="DK35" s="46"/>
      <c r="DL35" s="26"/>
      <c r="DM35" s="47"/>
      <c r="DN35" s="47"/>
      <c r="DO35" s="26"/>
      <c r="DP35" s="21"/>
      <c r="DQ35" s="22"/>
      <c r="ET35" s="16" t="s">
        <v>34</v>
      </c>
      <c r="EU35" s="32" t="s">
        <v>34</v>
      </c>
      <c r="EV35" s="32"/>
      <c r="EW35" s="32"/>
      <c r="EX35" s="32"/>
      <c r="EY35" s="30"/>
      <c r="EZ35" s="30"/>
      <c r="FA35" s="30"/>
      <c r="FB35" s="30" t="s">
        <v>80</v>
      </c>
      <c r="FC35" s="30" t="str">
        <f>_xll.BDP(EU35&amp;" Curncy", "DS004")</f>
        <v>USD</v>
      </c>
      <c r="FD35" s="17">
        <v>1</v>
      </c>
      <c r="FE35" s="33">
        <f t="shared" si="10"/>
        <v>4.9723101213031045E-3</v>
      </c>
      <c r="FF35" s="33">
        <f>FF42</f>
        <v>5.475E-2</v>
      </c>
      <c r="FH35" s="1" cm="1">
        <f t="array" ref="FH35">IF(FC35="USD",1,_xll.BDP(FC35&amp;"USD CURNCY","PX_LAST"))</f>
        <v>1</v>
      </c>
      <c r="FI35" s="18">
        <v>1018932.58136127</v>
      </c>
      <c r="FJ35" s="11">
        <f>FI35*FD35*FH35</f>
        <v>1018932.58136127</v>
      </c>
      <c r="FK35" s="5"/>
      <c r="FL35" s="11">
        <v>1</v>
      </c>
      <c r="FM35" s="11">
        <f t="shared" ref="FM35" si="277">FL35*FH35*FD35</f>
        <v>1</v>
      </c>
      <c r="FN35" s="5">
        <f t="shared" ref="FN35" si="278">($AJ$3*FE35)/FM35</f>
        <v>1591.1392388169934</v>
      </c>
      <c r="FO35" s="8">
        <f t="shared" ref="FO35" si="279">(ROUND(FN35,0)*FM35)/$AJ$3</f>
        <v>4.9718749999999997E-3</v>
      </c>
      <c r="FP35" s="8">
        <f t="shared" ref="FP35" si="280">FO35/FE35-1</f>
        <v>-8.750888269026813E-5</v>
      </c>
      <c r="FQ35" s="5"/>
      <c r="FR35" s="21">
        <f t="shared" ref="FR35" si="281">IFERROR(FM35/FE35,0)</f>
        <v>201.11376314113082</v>
      </c>
      <c r="FS35" s="22">
        <f t="shared" ref="FS35" si="282">FM35/(1/COUNTA($P$6:$P$77))</f>
        <v>37</v>
      </c>
      <c r="FU35" s="16" t="str" cm="1">
        <f t="array" ref="FU35">_xll.BDP(FV35&amp;" Equity","DS520")</f>
        <v>Ubiquiti Inc</v>
      </c>
      <c r="FV35" s="71" t="s">
        <v>305</v>
      </c>
      <c r="FW35" s="32" t="s">
        <v>413</v>
      </c>
      <c r="FX35" s="32" t="str" cm="1">
        <f t="array" ref="FX35">_xll.BDP(FV35&amp;" Equity", "ID_ISIN")</f>
        <v>US90353W1036</v>
      </c>
      <c r="FY35" s="45"/>
      <c r="FZ35" s="30" t="str">
        <f>_xll.BDP(FV35&amp;" Equity", "DS197")</f>
        <v>New York</v>
      </c>
      <c r="GA35" s="30" t="s">
        <v>26</v>
      </c>
      <c r="GB35" s="30" t="s">
        <v>33</v>
      </c>
      <c r="GC35" s="30" t="s">
        <v>28</v>
      </c>
      <c r="GD35" s="30" t="str">
        <f>_xll.BDP(FV35&amp;" Equity", "DS004")</f>
        <v>USD</v>
      </c>
      <c r="GE35" s="17" cm="1">
        <f t="array" ref="GE35">_xll.BDP(FV35&amp;" Equity","PX_LAST")</f>
        <v>774.25</v>
      </c>
      <c r="GF35" s="33">
        <f t="shared" si="253"/>
        <v>4.6975241412387667E-2</v>
      </c>
      <c r="GG35" s="33">
        <f t="shared" si="254"/>
        <v>4.4624342035752135E-2</v>
      </c>
      <c r="GI35" s="1" cm="1">
        <f t="array" ref="GI35">IF(GD35="USD",1,_xll.BDP(GD35&amp;"USD CURNCY","PX_LAST"))</f>
        <v>1</v>
      </c>
      <c r="GJ35" s="18">
        <v>12558.914853939599</v>
      </c>
      <c r="GK35" s="11">
        <f t="shared" si="255"/>
        <v>9723739.825662734</v>
      </c>
      <c r="GL35" s="5"/>
      <c r="GM35" s="11" cm="1">
        <f t="array" ref="GM35">IF(FZ35="Hong Kong",_xll.BDP(FV35&amp;" Equity","PR414"),_xll.BDP(FV35&amp;" Equity","PR090"))</f>
        <v>1</v>
      </c>
      <c r="GN35" s="11">
        <f t="shared" si="256"/>
        <v>774.25</v>
      </c>
      <c r="GO35" s="5">
        <f t="shared" si="257"/>
        <v>19.415017438765325</v>
      </c>
      <c r="GP35" s="8">
        <f t="shared" si="258"/>
        <v>4.5971093749999997E-2</v>
      </c>
      <c r="GQ35" s="8">
        <f t="shared" si="259"/>
        <v>-2.1376104351916503E-2</v>
      </c>
      <c r="GR35" s="5"/>
      <c r="GS35" s="21">
        <f t="shared" si="260"/>
        <v>16482.08666354667</v>
      </c>
      <c r="GT35" s="22">
        <f t="shared" si="261"/>
        <v>28647.25</v>
      </c>
      <c r="GV35" s="16" t="str" cm="1">
        <f t="array" ref="GV35">_xll.BDP(GW35&amp;" Equity","DS520")</f>
        <v>Takeda Pharmaceutical Co Ltd</v>
      </c>
      <c r="GW35" s="32" t="s">
        <v>203</v>
      </c>
      <c r="GX35" s="32">
        <v>4502</v>
      </c>
      <c r="GY35" s="32" t="str" cm="1">
        <f t="array" ref="GY35">_xll.BDP(GW35&amp;" Equity", "ID_ISIN")</f>
        <v>JP3463000004</v>
      </c>
      <c r="GZ35" s="32"/>
      <c r="HA35" s="30" t="str">
        <f>_xll.BDP(GW35&amp;" Equity", "DS197")</f>
        <v>Tokyo</v>
      </c>
      <c r="HB35" s="30" t="s">
        <v>26</v>
      </c>
      <c r="HC35" s="30" t="s">
        <v>320</v>
      </c>
      <c r="HD35" s="30" t="s">
        <v>28</v>
      </c>
      <c r="HE35" s="30" t="str">
        <f>_xll.BDP(GW35&amp;" Equity", "DS004")</f>
        <v>JPY</v>
      </c>
      <c r="HF35" s="17" cm="1">
        <f t="array" ref="HF35">_xll.BDP(GW35&amp;" Equity","PX_LAST")</f>
        <v>5679</v>
      </c>
      <c r="HG35" s="33">
        <f t="shared" si="14"/>
        <v>3.5580139870666494E-2</v>
      </c>
      <c r="HH35" s="33">
        <f t="shared" si="78"/>
        <v>3.3798451217042169E-2</v>
      </c>
      <c r="HJ35" s="1" cm="1">
        <f t="array" ref="HJ35">IF(HE35="USD",1,_xll.BDP(HE35&amp;"USD CURNCY","PX_LAST"))</f>
        <v>6.3369999999999998E-3</v>
      </c>
      <c r="HK35" s="18">
        <v>161243.941019099</v>
      </c>
      <c r="HL35" s="11">
        <f t="shared" si="262"/>
        <v>5802818.4092177739</v>
      </c>
      <c r="HM35" s="5"/>
      <c r="HN35" s="11" cm="1">
        <f t="array" ref="HN35">IF(HA35="Hong Kong",_xll.BDP(GW35&amp;" Equity","PR414"),_xll.BDP(GW35&amp;" Equity","PR090"))</f>
        <v>100</v>
      </c>
      <c r="HO35" s="11">
        <f t="shared" si="80"/>
        <v>3598.7822999999994</v>
      </c>
      <c r="HP35" s="5">
        <f t="shared" si="81"/>
        <v>3.1637492377944838</v>
      </c>
      <c r="HQ35" s="8">
        <f t="shared" si="82"/>
        <v>3.3738584062499993E-2</v>
      </c>
      <c r="HR35" s="8">
        <f t="shared" si="83"/>
        <v>-5.1757969891645716E-2</v>
      </c>
      <c r="HS35" s="5"/>
      <c r="HT35" s="21">
        <f t="shared" si="84"/>
        <v>101145.81654489112</v>
      </c>
      <c r="HU35" s="22">
        <f t="shared" si="85"/>
        <v>133154.94509999998</v>
      </c>
      <c r="IH35" s="67" t="s">
        <v>89</v>
      </c>
      <c r="II35" s="68">
        <f>II34/II31</f>
        <v>5.475E-2</v>
      </c>
      <c r="JY35" s="16" t="str" cm="1">
        <f t="array" ref="JY35">_xll.BDP(JZ35&amp;" Equity","DS520")</f>
        <v>Skanska AB</v>
      </c>
      <c r="JZ35" s="32" t="s">
        <v>248</v>
      </c>
      <c r="KA35" s="32" t="s">
        <v>405</v>
      </c>
      <c r="KB35" s="32" t="str" cm="1">
        <f t="array" ref="KB35">_xll.BDP(JZ35&amp;" Equity", "ID_ISIN")</f>
        <v>SE0000113250</v>
      </c>
      <c r="KC35" s="32"/>
      <c r="KD35" s="30" t="str">
        <f>_xll.BDP(JZ35&amp;" Equity", "DS197")</f>
        <v>Stockholm</v>
      </c>
      <c r="KE35" s="30" t="s">
        <v>26</v>
      </c>
      <c r="KF35" s="30" t="s">
        <v>406</v>
      </c>
      <c r="KG35" s="30" t="s">
        <v>28</v>
      </c>
      <c r="KH35" s="30" t="str">
        <f>_xll.BDP(JZ35&amp;" Equity", "DS004")</f>
        <v>SEK</v>
      </c>
      <c r="KI35" s="17" cm="1">
        <f t="array" ref="KI35">_xll.BDP(JZ35&amp;" Equity","PX_LAST")</f>
        <v>264.8</v>
      </c>
      <c r="KJ35" s="33">
        <f t="shared" si="101"/>
        <v>2.9437051198890021E-2</v>
      </c>
      <c r="KK35" s="33">
        <f t="shared" si="102"/>
        <v>2.7969738253922561E-2</v>
      </c>
      <c r="KM35" s="1" cm="1">
        <f t="array" ref="KM35">IF(KH35="USD",1,_xll.BDP(KH35&amp;"USD CURNCY","PX_LAST"))</f>
        <v>0.108429</v>
      </c>
      <c r="KN35" s="18">
        <v>101808.557222524</v>
      </c>
      <c r="KO35" s="11">
        <f t="shared" si="263"/>
        <v>2923127.2135262634</v>
      </c>
      <c r="KP35" s="5"/>
      <c r="KQ35" s="11" cm="1">
        <f t="array" ref="KQ35">IF(KD35="Hong Kong",_xll.BDP(JZ35&amp;" Equity","PR414"),_xll.BDP(JZ35&amp;" Equity","PR090"))</f>
        <v>1</v>
      </c>
      <c r="KR35" s="11">
        <f t="shared" si="104"/>
        <v>28.711999200000001</v>
      </c>
      <c r="KS35" s="5">
        <f t="shared" si="105"/>
        <v>328.08082495505244</v>
      </c>
      <c r="KT35" s="8">
        <f t="shared" si="106"/>
        <v>2.9429799180000004E-2</v>
      </c>
      <c r="KU35" s="8">
        <f t="shared" si="107"/>
        <v>-2.4635683924378871E-4</v>
      </c>
      <c r="KV35" s="5"/>
      <c r="KW35" s="21">
        <f t="shared" si="108"/>
        <v>975.36940796171325</v>
      </c>
      <c r="KX35" s="22">
        <f t="shared" si="109"/>
        <v>1062.3439704</v>
      </c>
      <c r="LN35" s="1"/>
      <c r="LO35" s="26"/>
      <c r="LP35" s="11"/>
      <c r="LQ35" s="5"/>
      <c r="LR35" s="11"/>
      <c r="LS35" s="11"/>
      <c r="LT35" s="5"/>
      <c r="LU35" s="8"/>
      <c r="LV35" s="8"/>
      <c r="LW35" s="5"/>
      <c r="LX35" s="21"/>
      <c r="LY35" s="22"/>
      <c r="MA35" s="16" t="str" cm="1">
        <f t="array" ref="MA35">_xll.BDP(MB35&amp;" Equity","DS520")</f>
        <v>TotalEnergies SE</v>
      </c>
      <c r="MB35" s="44" t="s">
        <v>72</v>
      </c>
      <c r="MC35" s="44" t="s">
        <v>73</v>
      </c>
      <c r="MD35" s="32" t="str" cm="1">
        <f t="array" ref="MD35">_xll.BDP(MB35&amp;" Equity", "ID_ISIN")</f>
        <v>FR0000120271</v>
      </c>
      <c r="ME35" s="44"/>
      <c r="MF35" s="30" t="str">
        <f>_xll.BDP(MB35&amp;" Equity", "DS197")</f>
        <v>EN Paris</v>
      </c>
      <c r="MG35" s="30" t="s">
        <v>26</v>
      </c>
      <c r="MH35" s="30" t="s">
        <v>39</v>
      </c>
      <c r="MI35" s="30" t="s">
        <v>28</v>
      </c>
      <c r="MJ35" s="51" t="str">
        <f>_xll.BDP(MB35&amp;" Equity", "DS004")</f>
        <v>EUR</v>
      </c>
      <c r="MK35" s="17" cm="1">
        <f t="array" ref="MK35">_xll.BDP(MB35&amp;" Equity","PX_LAST")</f>
        <v>66.77</v>
      </c>
      <c r="ML35" s="33">
        <f t="shared" si="20"/>
        <v>2.9564920424716895E-2</v>
      </c>
      <c r="MM35" s="33">
        <f t="shared" si="21"/>
        <v>2.8068866892528917E-2</v>
      </c>
      <c r="MO35" s="1" cm="1">
        <f t="array" ref="MO35">IF(MJ35="USD",1,_xll.BDP(MJ35&amp;"USD CURNCY","PX_LAST"))</f>
        <v>1.1607000000000001</v>
      </c>
      <c r="MP35" s="18">
        <v>68535.088516217103</v>
      </c>
      <c r="MQ35" s="11">
        <f t="shared" ref="MQ35" si="283">MP35*MK35*MO35</f>
        <v>5311465.1793664265</v>
      </c>
      <c r="MR35" s="5"/>
      <c r="MS35" s="11" cm="1">
        <f t="array" ref="MS35">IF(MF35="Hong Kong",_xll.BDP(MB35&amp;" Equity","PR414"),_xll.BDP(MB35&amp;" Equity","PR090"))</f>
        <v>1</v>
      </c>
      <c r="MT35" s="11">
        <f t="shared" ref="MT35" si="284">MS35*MO35*MK35</f>
        <v>77.499938999999998</v>
      </c>
      <c r="MU35" s="5">
        <f t="shared" ref="MU35" si="285">($AJ$3*ML35)/MT35</f>
        <v>122.0746062252953</v>
      </c>
      <c r="MV35" s="8">
        <f t="shared" ref="MV35" si="286">(ROUND(MU35,0)*MT35)/$AJ$3</f>
        <v>2.9546851743749998E-2</v>
      </c>
      <c r="MW35" s="8">
        <f t="shared" ref="MW35" si="287">MV35/ML35-1</f>
        <v>-6.1115270081335549E-4</v>
      </c>
      <c r="MX35" s="5"/>
      <c r="MY35" s="21">
        <f t="shared" ref="MY35" si="288">IFERROR(MT35/ML35,0)</f>
        <v>2621.3477961945882</v>
      </c>
      <c r="MZ35" s="22">
        <f t="shared" ref="MZ35" si="289">MT35/(1/COUNTA($P$6:$P$77))</f>
        <v>2867.4977429999999</v>
      </c>
      <c r="NM35" s="62" t="s">
        <v>86</v>
      </c>
      <c r="NN35" s="63">
        <v>100000</v>
      </c>
      <c r="PO35" s="64" t="s">
        <v>87</v>
      </c>
      <c r="PP35" s="66">
        <f>PP33+PP34</f>
        <v>5475</v>
      </c>
      <c r="PR35" s="1"/>
      <c r="PS35" s="26"/>
      <c r="PT35" s="11"/>
      <c r="PU35" s="5"/>
      <c r="PV35" s="11"/>
      <c r="PW35" s="11"/>
      <c r="PX35" s="5"/>
      <c r="PY35" s="8"/>
      <c r="PZ35" s="8"/>
      <c r="QA35" s="5"/>
      <c r="QB35" s="21"/>
      <c r="QC35" s="22"/>
      <c r="RF35" s="16" t="str" cm="1">
        <f t="array" ref="RF35">_xll.BDP(RG35&amp;" Equity","DS520")</f>
        <v>Trimble Inc</v>
      </c>
      <c r="RG35" s="34" t="s">
        <v>694</v>
      </c>
      <c r="RH35" s="34"/>
      <c r="RI35" s="32" t="str" cm="1">
        <f t="array" ref="RI35">_xll.BDP(RG35&amp;" Equity", "ID_ISIN")</f>
        <v>US8962391004</v>
      </c>
      <c r="RJ35" s="34"/>
      <c r="RK35" s="30" t="str">
        <f>_xll.BDP(RG35&amp;" Equity", "DS197")</f>
        <v>NASDAQ GS</v>
      </c>
      <c r="RL35" s="30" t="s">
        <v>26</v>
      </c>
      <c r="RM35" s="30"/>
      <c r="RN35" s="30" t="s">
        <v>28</v>
      </c>
      <c r="RO35" s="30" t="str">
        <f>_xll.BDP(RG35&amp;" Equity", "DS004")</f>
        <v>USD</v>
      </c>
      <c r="RP35" s="17" cm="1">
        <f t="array" ref="RP35">_xll.BDP(RG35&amp;" Equity","PX_LAST")</f>
        <v>70.459999999999994</v>
      </c>
      <c r="RQ35" s="33">
        <f t="shared" si="153"/>
        <v>2.5344729903141256E-2</v>
      </c>
      <c r="RR35" s="33">
        <f t="shared" si="154"/>
        <v>2.4100603614286599E-2</v>
      </c>
      <c r="RT35" s="1" cm="1">
        <f t="array" ref="RT35">IF(RO35="USD",1,_xll.BDP(RO35&amp;"USD CURNCY","PX_LAST"))</f>
        <v>1</v>
      </c>
      <c r="RU35" s="18">
        <v>36247.606892150601</v>
      </c>
      <c r="RV35" s="11">
        <f t="shared" si="217"/>
        <v>2554006.381620931</v>
      </c>
      <c r="RW35" s="5"/>
      <c r="RX35" s="11" cm="1">
        <f t="array" ref="RX35">IF(RK35="Hong Kong",_xll.BDP(RG35&amp;" Equity","PR414"),_xll.BDP(RG35&amp;" Equity","PR090"))</f>
        <v>1</v>
      </c>
      <c r="RY35" s="11">
        <f t="shared" si="218"/>
        <v>70.459999999999994</v>
      </c>
      <c r="RZ35" s="5">
        <f t="shared" si="219"/>
        <v>115.10521670458704</v>
      </c>
      <c r="SA35" s="8">
        <f t="shared" si="220"/>
        <v>2.5321562499999999E-2</v>
      </c>
      <c r="SB35" s="8">
        <f t="shared" si="221"/>
        <v>-9.1409153815391608E-4</v>
      </c>
      <c r="SC35" s="5"/>
      <c r="SD35" s="21">
        <f t="shared" si="222"/>
        <v>2780.0651365894846</v>
      </c>
      <c r="SE35" s="22">
        <f t="shared" si="223"/>
        <v>2607.0199999999995</v>
      </c>
    </row>
    <row r="36" spans="15:499" ht="15" thickBot="1" x14ac:dyDescent="0.25">
      <c r="O36" s="16" t="str" cm="1">
        <f t="array" ref="O36">_xll.BDP(P36&amp;" Equity","DS520")</f>
        <v>Bristol-Myers Squibb Co</v>
      </c>
      <c r="P36" s="32" t="s">
        <v>317</v>
      </c>
      <c r="Q36" s="32" t="s">
        <v>324</v>
      </c>
      <c r="R36" s="32" t="str" cm="1">
        <f t="array" ref="R36">_xll.BDP(P36&amp;" Equity", "ID_ISIN")</f>
        <v>US1101221083</v>
      </c>
      <c r="S36" s="32"/>
      <c r="T36" s="30" t="str">
        <f>_xll.BDP(P36&amp;" Equity", "DS197")</f>
        <v>New York</v>
      </c>
      <c r="U36" s="30" t="s">
        <v>26</v>
      </c>
      <c r="V36" s="30" t="s">
        <v>33</v>
      </c>
      <c r="W36" s="30" t="s">
        <v>28</v>
      </c>
      <c r="X36" s="51" t="str">
        <f>_xll.BDP(P36&amp;" Equity", "DS004")</f>
        <v>USD</v>
      </c>
      <c r="Y36" s="17" cm="1">
        <f t="array" ref="Y36">_xll.BDP(P36&amp;" Equity","PX_LAST")</f>
        <v>60.74</v>
      </c>
      <c r="Z36" s="33">
        <f t="shared" si="0"/>
        <v>2.7679919799856414E-2</v>
      </c>
      <c r="AA36" s="33">
        <f t="shared" si="1"/>
        <v>2.6296854068087055E-2</v>
      </c>
      <c r="AB36" s="4"/>
      <c r="AC36" s="1" cm="1">
        <f t="array" ref="AC36">IF(X36="USD",1,_xll.BDP(X36&amp;"USD CURNCY","PX_LAST"))</f>
        <v>1</v>
      </c>
      <c r="AD36" s="18">
        <v>93781.301959613207</v>
      </c>
      <c r="AE36" s="11">
        <f t="shared" si="169"/>
        <v>5696276.2810269063</v>
      </c>
      <c r="AF36" s="5"/>
      <c r="AG36" s="11" cm="1">
        <f t="array" ref="AG36">IF(T36="Hong Kong",_xll.BDP(P36&amp;" Equity","PR414"),_xll.BDP(P36&amp;" Equity","PR090"))</f>
        <v>1</v>
      </c>
      <c r="AH36" s="11">
        <f t="shared" si="170"/>
        <v>60.74</v>
      </c>
      <c r="AI36" s="5">
        <f t="shared" si="171"/>
        <v>145.82769733213783</v>
      </c>
      <c r="AJ36" s="8">
        <f t="shared" si="172"/>
        <v>2.7712625000000001E-2</v>
      </c>
      <c r="AK36" s="8">
        <f t="shared" si="173"/>
        <v>1.1815496713887264E-3</v>
      </c>
      <c r="AL36" s="5"/>
      <c r="AM36" s="21">
        <f t="shared" si="174"/>
        <v>2194.3705198277012</v>
      </c>
      <c r="AN36" s="22">
        <f t="shared" si="175"/>
        <v>2247.38</v>
      </c>
      <c r="DF36" s="1"/>
      <c r="DG36" s="26"/>
      <c r="DH36" s="46"/>
      <c r="DI36" s="26"/>
      <c r="DJ36" s="46"/>
      <c r="DK36" s="46"/>
      <c r="DL36" s="26"/>
      <c r="DM36" s="47"/>
      <c r="DN36" s="47"/>
      <c r="DO36" s="26"/>
      <c r="DP36" s="21"/>
      <c r="DQ36" s="22"/>
      <c r="ET36" s="35" t="s">
        <v>81</v>
      </c>
      <c r="EU36" s="36"/>
      <c r="EV36" s="36"/>
      <c r="EW36" s="36"/>
      <c r="EX36" s="36"/>
      <c r="EY36" s="36"/>
      <c r="EZ36" s="36"/>
      <c r="FA36" s="36"/>
      <c r="FB36" s="36"/>
      <c r="FC36" s="36"/>
      <c r="FD36" s="25" t="s">
        <v>81</v>
      </c>
      <c r="FE36" s="37">
        <f>SUM(FE6:FE35)</f>
        <v>1.0000000000000002</v>
      </c>
      <c r="FF36" s="37">
        <f>SUM(FF6:FF35)</f>
        <v>1</v>
      </c>
      <c r="FJ36" s="56">
        <f>SUM(FJ6:FJ35)</f>
        <v>204921365.82467148</v>
      </c>
      <c r="FU36" s="16" t="s">
        <v>34</v>
      </c>
      <c r="FV36" s="32" t="s">
        <v>34</v>
      </c>
      <c r="FW36" s="32"/>
      <c r="FX36" s="32"/>
      <c r="FY36" s="32"/>
      <c r="FZ36" s="30"/>
      <c r="GA36" s="30"/>
      <c r="GB36" s="30"/>
      <c r="GC36" s="30" t="s">
        <v>80</v>
      </c>
      <c r="GD36" s="30" t="str">
        <f>_xll.BDP(FV36&amp;" Curncy", "DS004")</f>
        <v>USD</v>
      </c>
      <c r="GE36" s="17">
        <v>1</v>
      </c>
      <c r="GF36" s="33">
        <f>GK36/$GK$37</f>
        <v>4.9523439587218481E-3</v>
      </c>
      <c r="GG36" s="33">
        <f>GG43</f>
        <v>5.475E-2</v>
      </c>
      <c r="GI36" s="1" cm="1">
        <f t="array" ref="GI36">IF(GD36="USD",1,_xll.BDP(GD36&amp;"USD CURNCY","PX_LAST"))</f>
        <v>1</v>
      </c>
      <c r="GJ36" s="18">
        <v>1025120.95167445</v>
      </c>
      <c r="GK36" s="11">
        <f>GJ36*GE36*GI36</f>
        <v>1025120.95167445</v>
      </c>
      <c r="GL36" s="5"/>
      <c r="GM36" s="11">
        <v>1</v>
      </c>
      <c r="GN36" s="11">
        <f t="shared" ref="GN36" si="290">GM36*GI36*GE36</f>
        <v>1</v>
      </c>
      <c r="GO36" s="5">
        <f t="shared" ref="GO36" si="291">($AJ$3*GF36)/GN36</f>
        <v>1584.7500667909915</v>
      </c>
      <c r="GP36" s="8">
        <f t="shared" ref="GP36" si="292">(ROUND(GO36,0)*GN36)/$AJ$3</f>
        <v>4.9531250000000001E-3</v>
      </c>
      <c r="GQ36" s="8">
        <f t="shared" ref="GQ36" si="293">GP36/GF36-1</f>
        <v>1.577114361728249E-4</v>
      </c>
      <c r="GR36" s="5"/>
      <c r="GS36" s="21">
        <f t="shared" ref="GS36" si="294">IFERROR(GN36/GF36,0)</f>
        <v>201.92458527418</v>
      </c>
      <c r="GT36" s="22">
        <f t="shared" ref="GT36" si="295">GN36/(1/COUNTA($P$6:$P$77))</f>
        <v>37</v>
      </c>
      <c r="GV36" s="16" t="str" cm="1">
        <f t="array" ref="GV36">_xll.BDP(GW36&amp;" Equity","DS520")</f>
        <v>Tencent Holdings Ltd</v>
      </c>
      <c r="GW36" s="32" t="s">
        <v>29</v>
      </c>
      <c r="GX36" s="32">
        <v>700</v>
      </c>
      <c r="GY36" s="32" t="str" cm="1">
        <f t="array" ref="GY36">_xll.BDP(GW36&amp;" Equity", "ID_ISIN")</f>
        <v>KYG875721634</v>
      </c>
      <c r="GZ36" s="32"/>
      <c r="HA36" s="30" t="str">
        <f>_xll.BDP(GW36&amp;" Equity", "DS197")</f>
        <v>Hong Kong</v>
      </c>
      <c r="HB36" s="30" t="s">
        <v>26</v>
      </c>
      <c r="HC36" s="30" t="s">
        <v>27</v>
      </c>
      <c r="HD36" s="30" t="s">
        <v>28</v>
      </c>
      <c r="HE36" s="30" t="str">
        <f>_xll.BDP(GW36&amp;" Equity", "DS004")</f>
        <v>HKD</v>
      </c>
      <c r="HF36" s="17" cm="1">
        <f t="array" ref="HF36">_xll.BDP(GW36&amp;" Equity","PX_LAST")</f>
        <v>520</v>
      </c>
      <c r="HG36" s="33">
        <f t="shared" si="14"/>
        <v>2.2054924867397588E-2</v>
      </c>
      <c r="HH36" s="33">
        <f t="shared" si="78"/>
        <v>2.0950516353670092E-2</v>
      </c>
      <c r="HJ36" s="1" cm="1">
        <f t="array" ref="HJ36">IF(HE36="USD",1,_xll.BDP(HE36&amp;"USD CURNCY","PX_LAST"))</f>
        <v>0.12784999999999999</v>
      </c>
      <c r="HK36" s="18">
        <v>54104.4312153379</v>
      </c>
      <c r="HL36" s="11">
        <f t="shared" si="262"/>
        <v>3596970.7960580941</v>
      </c>
      <c r="HM36" s="5"/>
      <c r="HN36" s="11" cm="1">
        <f t="array" ref="HN36">IF(HA36="Hong Kong",_xll.BDP(GW36&amp;" Equity","PR414"),_xll.BDP(GW36&amp;" Equity","PR090"))</f>
        <v>100</v>
      </c>
      <c r="HO36" s="11">
        <f t="shared" si="80"/>
        <v>6648.1999999999989</v>
      </c>
      <c r="HP36" s="5">
        <f t="shared" si="81"/>
        <v>1.061576961819324</v>
      </c>
      <c r="HQ36" s="8">
        <f t="shared" si="82"/>
        <v>2.0775624999999995E-2</v>
      </c>
      <c r="HR36" s="8">
        <f t="shared" si="83"/>
        <v>-5.8005179119367645E-2</v>
      </c>
      <c r="HS36" s="5"/>
      <c r="HT36" s="21">
        <f t="shared" si="84"/>
        <v>301438.3426818024</v>
      </c>
      <c r="HU36" s="22">
        <f t="shared" si="85"/>
        <v>245983.39999999994</v>
      </c>
      <c r="JI36" s="62" t="s">
        <v>86</v>
      </c>
      <c r="JJ36" s="63">
        <v>100000</v>
      </c>
      <c r="JY36" s="16" t="str" cm="1">
        <f t="array" ref="JY36">_xll.BDP(JZ36&amp;" Equity","DS520")</f>
        <v>TE Connectivity PLC</v>
      </c>
      <c r="JZ36" s="32" t="s">
        <v>183</v>
      </c>
      <c r="KA36" s="32" t="s">
        <v>340</v>
      </c>
      <c r="KB36" s="32" t="str" cm="1">
        <f t="array" ref="KB36">_xll.BDP(JZ36&amp;" Equity", "ID_ISIN")</f>
        <v>IE000IVNQZ81</v>
      </c>
      <c r="KC36" s="32"/>
      <c r="KD36" s="30" t="str">
        <f>_xll.BDP(JZ36&amp;" Equity", "DS197")</f>
        <v>New York</v>
      </c>
      <c r="KE36" s="30" t="s">
        <v>26</v>
      </c>
      <c r="KF36" s="30" t="s">
        <v>33</v>
      </c>
      <c r="KG36" s="30" t="s">
        <v>28</v>
      </c>
      <c r="KH36" s="30" t="str">
        <f>_xll.BDP(JZ36&amp;" Equity", "DS004")</f>
        <v>USD</v>
      </c>
      <c r="KI36" s="17" cm="1">
        <f t="array" ref="KI36">_xll.BDP(JZ36&amp;" Equity","PX_LAST")</f>
        <v>210.56</v>
      </c>
      <c r="KJ36" s="33">
        <f t="shared" si="101"/>
        <v>2.808884430841627E-2</v>
      </c>
      <c r="KK36" s="33">
        <f t="shared" si="102"/>
        <v>2.6688733795157089E-2</v>
      </c>
      <c r="KM36" s="1" cm="1">
        <f t="array" ref="KM36">IF(KH36="USD",1,_xll.BDP(KH36&amp;"USD CURNCY","PX_LAST"))</f>
        <v>1</v>
      </c>
      <c r="KN36" s="18">
        <v>13246.8131913078</v>
      </c>
      <c r="KO36" s="11">
        <f t="shared" si="263"/>
        <v>2789248.9855617704</v>
      </c>
      <c r="KP36" s="5"/>
      <c r="KQ36" s="11" cm="1">
        <f t="array" ref="KQ36">IF(KD36="Hong Kong",_xll.BDP(JZ36&amp;" Equity","PR414"),_xll.BDP(JZ36&amp;" Equity","PR090"))</f>
        <v>1</v>
      </c>
      <c r="KR36" s="11">
        <f t="shared" si="104"/>
        <v>210.56</v>
      </c>
      <c r="KS36" s="5">
        <f t="shared" si="105"/>
        <v>42.688213234675182</v>
      </c>
      <c r="KT36" s="8">
        <f t="shared" si="106"/>
        <v>2.8294E-2</v>
      </c>
      <c r="KU36" s="8">
        <f t="shared" si="107"/>
        <v>7.3038139031678107E-3</v>
      </c>
      <c r="KV36" s="5"/>
      <c r="KW36" s="21">
        <f t="shared" si="108"/>
        <v>7496.2144290468314</v>
      </c>
      <c r="KX36" s="22">
        <f t="shared" si="109"/>
        <v>7790.7199999999993</v>
      </c>
      <c r="LN36" s="1"/>
      <c r="LO36" s="26"/>
      <c r="LP36" s="11"/>
      <c r="LQ36" s="5"/>
      <c r="LR36" s="11"/>
      <c r="LS36" s="11"/>
      <c r="LT36" s="5"/>
      <c r="LU36" s="8"/>
      <c r="LV36" s="8"/>
      <c r="LW36" s="5"/>
      <c r="LX36" s="21"/>
      <c r="LY36" s="22"/>
      <c r="MA36" s="16" t="str" cm="1">
        <f t="array" ref="MA36">_xll.BDP(MB36&amp;" Equity","DS520")</f>
        <v>Verizon Communications Inc</v>
      </c>
      <c r="MB36" s="44" t="s">
        <v>74</v>
      </c>
      <c r="MC36" s="44" t="s">
        <v>75</v>
      </c>
      <c r="MD36" s="32" t="str" cm="1">
        <f t="array" ref="MD36">_xll.BDP(MB36&amp;" Equity", "ID_ISIN")</f>
        <v>US92343V1044</v>
      </c>
      <c r="ME36" s="44"/>
      <c r="MF36" s="30" t="str">
        <f>_xll.BDP(MB36&amp;" Equity", "DS197")</f>
        <v>New York</v>
      </c>
      <c r="MG36" s="30" t="s">
        <v>26</v>
      </c>
      <c r="MH36" s="30" t="s">
        <v>33</v>
      </c>
      <c r="MI36" s="30" t="s">
        <v>28</v>
      </c>
      <c r="MJ36" s="51" t="str">
        <f>_xll.BDP(MB36&amp;" Equity", "DS004")</f>
        <v>USD</v>
      </c>
      <c r="MK36" s="17" cm="1">
        <f t="array" ref="MK36">_xll.BDP(MB36&amp;" Equity","PX_LAST")</f>
        <v>51.18</v>
      </c>
      <c r="ML36" s="33">
        <f t="shared" si="20"/>
        <v>3.0895369601003791E-2</v>
      </c>
      <c r="MM36" s="33">
        <f t="shared" si="21"/>
        <v>2.933199225528995E-2</v>
      </c>
      <c r="MO36" s="1" cm="1">
        <f t="array" ref="MO36">IF(MJ36="USD",1,_xll.BDP(MJ36&amp;"USD CURNCY","PX_LAST"))</f>
        <v>1</v>
      </c>
      <c r="MP36" s="18">
        <v>108450.295020199</v>
      </c>
      <c r="MQ36" s="11">
        <f>MP36*MK36*MO36</f>
        <v>5550486.0991337849</v>
      </c>
      <c r="MR36" s="5"/>
      <c r="MS36" s="11" cm="1">
        <f t="array" ref="MS36">IF(MF36="Hong Kong",_xll.BDP(MB36&amp;" Equity","PR414"),_xll.BDP(MB36&amp;" Equity","PR090"))</f>
        <v>1</v>
      </c>
      <c r="MT36" s="11">
        <f>MS36*MO36*MK36</f>
        <v>51.18</v>
      </c>
      <c r="MU36" s="5">
        <f>($AJ$3*ML36)/MT36</f>
        <v>193.17151763034803</v>
      </c>
      <c r="MV36" s="8">
        <f>(ROUND(MU36,0)*MT36)/$AJ$3</f>
        <v>3.0867937499999998E-2</v>
      </c>
      <c r="MW36" s="8">
        <f>MV36/ML36-1</f>
        <v>-8.8790331231070052E-4</v>
      </c>
      <c r="MX36" s="5"/>
      <c r="MY36" s="21">
        <f>IFERROR(MT36/ML36,0)</f>
        <v>1656.5589167878788</v>
      </c>
      <c r="MZ36" s="22">
        <f>MT36/(1/COUNTA($P$6:$P$77))</f>
        <v>1893.6599999999999</v>
      </c>
      <c r="NM36" s="64" t="s">
        <v>85</v>
      </c>
      <c r="NN36" s="65">
        <v>5000</v>
      </c>
      <c r="ON36" s="62" t="s">
        <v>86</v>
      </c>
      <c r="OO36" s="63">
        <v>100000</v>
      </c>
      <c r="PO36" s="67" t="s">
        <v>89</v>
      </c>
      <c r="PP36" s="68">
        <f>PP35/PP32</f>
        <v>5.475E-2</v>
      </c>
      <c r="PR36" s="1"/>
      <c r="PS36" s="26"/>
      <c r="PT36" s="11"/>
      <c r="PU36" s="5"/>
      <c r="PV36" s="11"/>
      <c r="PW36" s="11"/>
      <c r="PX36" s="5"/>
      <c r="PY36" s="8"/>
      <c r="PZ36" s="8"/>
      <c r="QA36" s="5"/>
      <c r="QB36" s="21"/>
      <c r="QC36" s="22"/>
      <c r="RF36" s="16" t="str" cm="1">
        <f t="array" ref="RF36">_xll.BDP(RG36&amp;" Equity","DS520")</f>
        <v>UBTech Robotics Corp Ltd</v>
      </c>
      <c r="RG36" s="34" t="s">
        <v>696</v>
      </c>
      <c r="RH36" s="34"/>
      <c r="RI36" s="32" t="str" cm="1">
        <f t="array" ref="RI36">_xll.BDP(RG36&amp;" Equity", "ID_ISIN")</f>
        <v>CNE100006CQ4</v>
      </c>
      <c r="RJ36" s="34"/>
      <c r="RK36" s="30" t="str">
        <f>_xll.BDP(RG36&amp;" Equity", "DS197")</f>
        <v>Hong Kong</v>
      </c>
      <c r="RL36" s="30" t="s">
        <v>26</v>
      </c>
      <c r="RM36" s="30"/>
      <c r="RN36" s="30" t="s">
        <v>28</v>
      </c>
      <c r="RO36" s="30" t="str">
        <f>_xll.BDP(RG36&amp;" Equity", "DS004")</f>
        <v>HKD</v>
      </c>
      <c r="RP36" s="17" cm="1">
        <f t="array" ref="RP36">_xll.BDP(RG36&amp;" Equity","PX_LAST")</f>
        <v>112.3</v>
      </c>
      <c r="RQ36" s="33">
        <f t="shared" si="153"/>
        <v>2.4934925950687296E-2</v>
      </c>
      <c r="RR36" s="33">
        <f t="shared" si="154"/>
        <v>2.3710916185957099E-2</v>
      </c>
      <c r="RT36" s="1" cm="1">
        <f t="array" ref="RT36">IF(RO36="USD",1,_xll.BDP(RO36&amp;"USD CURNCY","PX_LAST"))</f>
        <v>0.12784999999999999</v>
      </c>
      <c r="RU36" s="18">
        <v>175009.613204105</v>
      </c>
      <c r="RV36" s="11">
        <f t="shared" si="217"/>
        <v>2512710.1471066633</v>
      </c>
      <c r="RW36" s="5"/>
      <c r="RX36" s="11" cm="1">
        <f t="array" ref="RX36">IF(RK36="Hong Kong",_xll.BDP(RG36&amp;" Equity","PR414"),_xll.BDP(RG36&amp;" Equity","PR090"))</f>
        <v>50</v>
      </c>
      <c r="RY36" s="11">
        <f t="shared" si="218"/>
        <v>717.87774999999988</v>
      </c>
      <c r="RZ36" s="5">
        <f t="shared" si="219"/>
        <v>11.114951402547211</v>
      </c>
      <c r="SA36" s="8">
        <f t="shared" si="220"/>
        <v>2.4677047656249996E-2</v>
      </c>
      <c r="SB36" s="8">
        <f t="shared" si="221"/>
        <v>-1.0342051744901659E-2</v>
      </c>
      <c r="SC36" s="5"/>
      <c r="SD36" s="21">
        <f t="shared" si="222"/>
        <v>28790.049403784677</v>
      </c>
      <c r="SE36" s="22">
        <f t="shared" si="223"/>
        <v>26561.476749999994</v>
      </c>
    </row>
    <row r="37" spans="15:499" ht="15" thickBot="1" x14ac:dyDescent="0.25">
      <c r="O37" s="16" t="str" cm="1">
        <f t="array" ref="O37">_xll.BDP(P37&amp;" Equity","DS520")</f>
        <v>Trip.com Group Ltd</v>
      </c>
      <c r="P37" s="32" t="s">
        <v>1391</v>
      </c>
      <c r="Q37" s="32" t="s">
        <v>1395</v>
      </c>
      <c r="R37" s="32" t="str" cm="1">
        <f t="array" ref="R37">_xll.BDP(P37&amp;" Equity", "ID_ISIN")</f>
        <v>US89677Q1076</v>
      </c>
      <c r="S37" s="32"/>
      <c r="T37" s="30" t="str">
        <f>_xll.BDP(P37&amp;" Equity", "DS197")</f>
        <v>NASDAQ GS</v>
      </c>
      <c r="U37" s="30" t="s">
        <v>26</v>
      </c>
      <c r="V37" s="30" t="s">
        <v>33</v>
      </c>
      <c r="W37" s="30" t="s">
        <v>28</v>
      </c>
      <c r="X37" s="30" t="str">
        <f>_xll.BDP(P37&amp;" Equity", "DS004")</f>
        <v>USD</v>
      </c>
      <c r="Y37" s="17" cm="1">
        <f t="array" ref="Y37">_xll.BDP(P37&amp;" Equity","PX_LAST")</f>
        <v>51.96</v>
      </c>
      <c r="Z37" s="33">
        <f t="shared" si="0"/>
        <v>2.456399788274443E-2</v>
      </c>
      <c r="AA37" s="33">
        <f t="shared" si="1"/>
        <v>2.3336623527886107E-2</v>
      </c>
      <c r="AB37" s="4"/>
      <c r="AC37" s="1" cm="1">
        <f t="array" ref="AC37">IF(X37="USD",1,_xll.BDP(X37&amp;"USD CURNCY","PX_LAST"))</f>
        <v>1</v>
      </c>
      <c r="AD37" s="18">
        <v>97287.294641271699</v>
      </c>
      <c r="AE37" s="11">
        <f t="shared" si="169"/>
        <v>5055047.8295604773</v>
      </c>
      <c r="AF37" s="5"/>
      <c r="AG37" s="11" cm="1">
        <f t="array" ref="AG37">IF(T37="Hong Kong",_xll.BDP(P37&amp;" Equity","PR414"),_xll.BDP(P37&amp;" Equity","PR090"))</f>
        <v>1</v>
      </c>
      <c r="AH37" s="11">
        <f t="shared" si="170"/>
        <v>51.96</v>
      </c>
      <c r="AI37" s="5">
        <f t="shared" si="171"/>
        <v>151.2794326881874</v>
      </c>
      <c r="AJ37" s="8">
        <f t="shared" si="172"/>
        <v>2.4518624999999999E-2</v>
      </c>
      <c r="AK37" s="8">
        <f t="shared" si="173"/>
        <v>-1.847129402999359E-3</v>
      </c>
      <c r="AL37" s="5"/>
      <c r="AM37" s="21">
        <f t="shared" si="174"/>
        <v>2115.2908515962927</v>
      </c>
      <c r="AN37" s="22">
        <f t="shared" si="175"/>
        <v>1922.52</v>
      </c>
      <c r="DF37" s="1"/>
      <c r="DG37" s="26"/>
      <c r="DH37" s="46"/>
      <c r="DI37" s="26"/>
      <c r="DJ37" s="46"/>
      <c r="DK37" s="46"/>
      <c r="DL37" s="26"/>
      <c r="DM37" s="47"/>
      <c r="DN37" s="47"/>
      <c r="DO37" s="26"/>
      <c r="DP37" s="21"/>
      <c r="DQ37" s="22"/>
      <c r="ET37" s="57"/>
      <c r="EU37" s="32"/>
      <c r="EV37" s="32"/>
      <c r="EW37" s="32"/>
      <c r="EX37" s="32"/>
      <c r="EY37" s="30"/>
      <c r="EZ37" s="30"/>
      <c r="FA37" s="30"/>
      <c r="FB37" s="30"/>
      <c r="FC37" s="30"/>
      <c r="FD37" s="17"/>
      <c r="FE37" s="54"/>
      <c r="FF37" s="54"/>
      <c r="FU37" s="35" t="s">
        <v>81</v>
      </c>
      <c r="FV37" s="36"/>
      <c r="FW37" s="36"/>
      <c r="FX37" s="36"/>
      <c r="FY37" s="36"/>
      <c r="FZ37" s="36"/>
      <c r="GA37" s="36"/>
      <c r="GB37" s="36"/>
      <c r="GC37" s="36"/>
      <c r="GD37" s="36"/>
      <c r="GE37" s="25" t="s">
        <v>81</v>
      </c>
      <c r="GF37" s="37">
        <f>SUM(GF6:GF36)</f>
        <v>1</v>
      </c>
      <c r="GG37" s="37">
        <f>SUM(GG6:GG36)</f>
        <v>1.0000000000000002</v>
      </c>
      <c r="GI37" s="1"/>
      <c r="GJ37" s="26"/>
      <c r="GK37" s="46">
        <f>SUM(GK6:GK36)</f>
        <v>206997123.02273604</v>
      </c>
      <c r="GL37" s="26"/>
      <c r="GM37" s="46"/>
      <c r="GN37" s="46"/>
      <c r="GO37" s="26"/>
      <c r="GP37" s="47"/>
      <c r="GQ37" s="47"/>
      <c r="GR37" s="26"/>
      <c r="GS37" s="21"/>
      <c r="GT37" s="22"/>
      <c r="GV37" s="16" t="str" cm="1">
        <f t="array" ref="GV37">_xll.BDP(GW37&amp;" Equity","DS520")</f>
        <v>Vipshop Holdings Ltd</v>
      </c>
      <c r="GW37" s="32" t="s">
        <v>733</v>
      </c>
      <c r="GX37" s="32" t="s">
        <v>736</v>
      </c>
      <c r="GY37" s="32" t="str" cm="1">
        <f t="array" ref="GY37">_xll.BDP(GW37&amp;" Equity", "ID_ISIN")</f>
        <v>US92763W1036</v>
      </c>
      <c r="GZ37" s="32"/>
      <c r="HA37" s="30" t="str">
        <f>_xll.BDP(GW37&amp;" Equity", "DS197")</f>
        <v>New York</v>
      </c>
      <c r="HB37" s="30" t="s">
        <v>26</v>
      </c>
      <c r="HC37" s="30" t="s">
        <v>33</v>
      </c>
      <c r="HD37" s="30" t="s">
        <v>28</v>
      </c>
      <c r="HE37" s="30" t="str">
        <f>_xll.BDP(GW37&amp;" Equity", "DS004")</f>
        <v>USD</v>
      </c>
      <c r="HF37" s="17" cm="1">
        <f t="array" ref="HF37">_xll.BDP(GW37&amp;" Equity","PX_LAST")</f>
        <v>15.97</v>
      </c>
      <c r="HG37" s="33">
        <f t="shared" si="14"/>
        <v>2.2269482775322254E-2</v>
      </c>
      <c r="HH37" s="33">
        <f t="shared" si="78"/>
        <v>2.1154330195059766E-2</v>
      </c>
      <c r="HJ37" s="1" cm="1">
        <f t="array" ref="HJ37">IF(HE37="USD",1,_xll.BDP(HE37&amp;"USD CURNCY","PX_LAST"))</f>
        <v>1</v>
      </c>
      <c r="HK37" s="18">
        <v>227424.130699075</v>
      </c>
      <c r="HL37" s="11">
        <f t="shared" si="262"/>
        <v>3631963.3672642279</v>
      </c>
      <c r="HM37" s="5"/>
      <c r="HN37" s="11" cm="1">
        <f t="array" ref="HN37">IF(HA37="Hong Kong",_xll.BDP(GW37&amp;" Equity","PR414"),_xll.BDP(GW37&amp;" Equity","PR090"))</f>
        <v>1</v>
      </c>
      <c r="HO37" s="11">
        <f t="shared" si="80"/>
        <v>15.97</v>
      </c>
      <c r="HP37" s="5">
        <f t="shared" si="81"/>
        <v>446.22632987496064</v>
      </c>
      <c r="HQ37" s="8">
        <f t="shared" si="82"/>
        <v>2.2258187499999998E-2</v>
      </c>
      <c r="HR37" s="8">
        <f t="shared" si="83"/>
        <v>-5.0720869614329089E-4</v>
      </c>
      <c r="HS37" s="5"/>
      <c r="HT37" s="21">
        <f t="shared" si="84"/>
        <v>717.12487268438156</v>
      </c>
      <c r="HU37" s="22">
        <f t="shared" si="85"/>
        <v>590.89</v>
      </c>
      <c r="JI37" s="64" t="s">
        <v>85</v>
      </c>
      <c r="JJ37" s="65">
        <v>5000</v>
      </c>
      <c r="JY37" s="16" t="str" cm="1">
        <f t="array" ref="JY37">_xll.BDP(JZ37&amp;" Equity","DS520")</f>
        <v>Veolia Environnement SA</v>
      </c>
      <c r="JZ37" s="32" t="s">
        <v>249</v>
      </c>
      <c r="KA37" s="32" t="s">
        <v>402</v>
      </c>
      <c r="KB37" s="32" t="str" cm="1">
        <f t="array" ref="KB37">_xll.BDP(JZ37&amp;" Equity", "ID_ISIN")</f>
        <v>FR0000124141</v>
      </c>
      <c r="KC37" s="32"/>
      <c r="KD37" s="30" t="str">
        <f>_xll.BDP(JZ37&amp;" Equity", "DS197")</f>
        <v>EN Paris</v>
      </c>
      <c r="KE37" s="30" t="s">
        <v>26</v>
      </c>
      <c r="KF37" s="30" t="s">
        <v>39</v>
      </c>
      <c r="KG37" s="30" t="s">
        <v>28</v>
      </c>
      <c r="KH37" s="30" t="str">
        <f>_xll.BDP(JZ37&amp;" Equity", "DS004")</f>
        <v>EUR</v>
      </c>
      <c r="KI37" s="17" cm="1">
        <f t="array" ref="KI37">_xll.BDP(JZ37&amp;" Equity","PX_LAST")</f>
        <v>33.19</v>
      </c>
      <c r="KJ37" s="33">
        <f t="shared" si="101"/>
        <v>3.0495517438485754E-2</v>
      </c>
      <c r="KK37" s="33">
        <f t="shared" si="102"/>
        <v>2.8975444412195052E-2</v>
      </c>
      <c r="KM37" s="1" cm="1">
        <f t="array" ref="KM37">IF(KH37="USD",1,_xll.BDP(KH37&amp;"USD CURNCY","PX_LAST"))</f>
        <v>1.1607000000000001</v>
      </c>
      <c r="KN37" s="18">
        <v>78607.173912498896</v>
      </c>
      <c r="KO37" s="11">
        <f t="shared" si="263"/>
        <v>3028233.9189722817</v>
      </c>
      <c r="KP37" s="5"/>
      <c r="KQ37" s="11" cm="1">
        <f t="array" ref="KQ37">IF(KD37="Hong Kong",_xll.BDP(JZ37&amp;" Equity","PR414"),_xll.BDP(JZ37&amp;" Equity","PR090"))</f>
        <v>1</v>
      </c>
      <c r="KR37" s="11">
        <f t="shared" si="104"/>
        <v>38.523632999999997</v>
      </c>
      <c r="KS37" s="5">
        <f t="shared" si="105"/>
        <v>253.31374069302973</v>
      </c>
      <c r="KT37" s="8">
        <f t="shared" si="106"/>
        <v>3.0457747340624997E-2</v>
      </c>
      <c r="KU37" s="8">
        <f t="shared" si="107"/>
        <v>-1.2385458924232262E-3</v>
      </c>
      <c r="KV37" s="5"/>
      <c r="KW37" s="21">
        <f t="shared" si="108"/>
        <v>1263.2555941281603</v>
      </c>
      <c r="KX37" s="22">
        <f t="shared" si="109"/>
        <v>1425.3744209999998</v>
      </c>
      <c r="LN37" s="1"/>
      <c r="LO37" s="26"/>
      <c r="LP37" s="11"/>
      <c r="LQ37" s="5"/>
      <c r="LR37" s="11"/>
      <c r="LS37" s="11"/>
      <c r="LT37" s="5"/>
      <c r="LU37" s="8"/>
      <c r="LV37" s="8"/>
      <c r="LW37" s="5"/>
      <c r="LX37" s="21"/>
      <c r="LY37" s="22"/>
      <c r="MA37" s="16" t="str" cm="1">
        <f t="array" ref="MA37">_xll.BDP(MB37&amp;" Equity","DS520")</f>
        <v>VICI Properties Inc</v>
      </c>
      <c r="MB37" s="44" t="s">
        <v>256</v>
      </c>
      <c r="MC37" s="44" t="s">
        <v>379</v>
      </c>
      <c r="MD37" s="32" t="str" cm="1">
        <f t="array" ref="MD37">_xll.BDP(MB37&amp;" Equity", "ID_ISIN")</f>
        <v>US9256521090</v>
      </c>
      <c r="ME37" s="44"/>
      <c r="MF37" s="30" t="str">
        <f>_xll.BDP(MB37&amp;" Equity", "DS197")</f>
        <v>New York</v>
      </c>
      <c r="MG37" s="30" t="s">
        <v>26</v>
      </c>
      <c r="MH37" s="30" t="s">
        <v>33</v>
      </c>
      <c r="MI37" s="30" t="s">
        <v>28</v>
      </c>
      <c r="MJ37" s="51" t="str">
        <f>_xll.BDP(MB37&amp;" Equity", "DS004")</f>
        <v>USD</v>
      </c>
      <c r="MK37" s="17" cm="1">
        <f t="array" ref="MK37">_xll.BDP(MB37&amp;" Equity","PX_LAST")</f>
        <v>29.69</v>
      </c>
      <c r="ML37" s="33">
        <f t="shared" si="20"/>
        <v>2.9746571360107759E-2</v>
      </c>
      <c r="MM37" s="33">
        <f t="shared" si="21"/>
        <v>2.8241325869354936E-2</v>
      </c>
      <c r="MO37" s="1" cm="1">
        <f t="array" ref="MO37">IF(MJ37="USD",1,_xll.BDP(MJ37&amp;"USD CURNCY","PX_LAST"))</f>
        <v>1</v>
      </c>
      <c r="MP37" s="18">
        <v>179996.61675977401</v>
      </c>
      <c r="MQ37" s="11">
        <f>MP37*MK37*MO37</f>
        <v>5344099.5515976911</v>
      </c>
      <c r="MR37" s="5"/>
      <c r="MS37" s="11" cm="1">
        <f t="array" ref="MS37">IF(MF37="Hong Kong",_xll.BDP(MB37&amp;" Equity","PR414"),_xll.BDP(MB37&amp;" Equity","PR090"))</f>
        <v>1</v>
      </c>
      <c r="MT37" s="11">
        <f>MS37*MO37*MK37</f>
        <v>29.69</v>
      </c>
      <c r="MU37" s="5">
        <f>($AJ$3*ML37)/MT37</f>
        <v>320.60972836761476</v>
      </c>
      <c r="MV37" s="8">
        <f>(ROUND(MU37,0)*MT37)/$AJ$3</f>
        <v>2.9782781249999998E-2</v>
      </c>
      <c r="MW37" s="8">
        <f>MV37/ML37-1</f>
        <v>1.2172794455498348E-3</v>
      </c>
      <c r="MX37" s="5"/>
      <c r="MY37" s="21">
        <f>IFERROR(MT37/ML37,0)</f>
        <v>998.0982225002366</v>
      </c>
      <c r="MZ37" s="22">
        <f>MT37/(1/COUNTA($P$6:$P$77))</f>
        <v>1098.53</v>
      </c>
      <c r="NM37" s="64" t="s">
        <v>88</v>
      </c>
      <c r="NN37" s="66">
        <f>(NN35-NN36)*0.5%</f>
        <v>475</v>
      </c>
      <c r="ON37" s="64" t="s">
        <v>85</v>
      </c>
      <c r="OO37" s="65">
        <v>5000</v>
      </c>
      <c r="RF37" s="16" t="str" cm="1">
        <f t="array" ref="RF37">_xll.BDP(RG37&amp;" Equity","DS520")</f>
        <v>Vertiv Holdings Co</v>
      </c>
      <c r="RG37" s="34" t="s">
        <v>1318</v>
      </c>
      <c r="RH37" s="34"/>
      <c r="RI37" s="32" t="str" cm="1">
        <f t="array" ref="RI37">_xll.BDP(RG37&amp;" Equity", "ID_ISIN")</f>
        <v>US92537N1081</v>
      </c>
      <c r="RJ37" s="34"/>
      <c r="RK37" s="30" t="str">
        <f>_xll.BDP(RG37&amp;" Equity", "DS197")</f>
        <v>New York</v>
      </c>
      <c r="RL37" s="30" t="s">
        <v>26</v>
      </c>
      <c r="RM37" s="30"/>
      <c r="RN37" s="30" t="s">
        <v>28</v>
      </c>
      <c r="RO37" s="30" t="str">
        <f>_xll.BDP(RG37&amp;" Equity", "DS004")</f>
        <v>USD</v>
      </c>
      <c r="RP37" s="17" cm="1">
        <f t="array" ref="RP37">_xll.BDP(RG37&amp;" Equity","PX_LAST")</f>
        <v>249.75</v>
      </c>
      <c r="RQ37" s="33">
        <f t="shared" si="153"/>
        <v>4.3445790552452367E-2</v>
      </c>
      <c r="RR37" s="33">
        <f t="shared" si="154"/>
        <v>4.1313116407849237E-2</v>
      </c>
      <c r="RT37" s="1" cm="1">
        <f t="array" ref="RT37">IF(RO37="USD",1,_xll.BDP(RO37&amp;"USD CURNCY","PX_LAST"))</f>
        <v>1</v>
      </c>
      <c r="RU37" s="18">
        <v>17529.7821122153</v>
      </c>
      <c r="RV37" s="11">
        <f>RU37*RP37*RT37</f>
        <v>4378063.0825257711</v>
      </c>
      <c r="RW37" s="5"/>
      <c r="RX37" s="11" cm="1">
        <f t="array" ref="RX37">IF(RK37="Hong Kong",_xll.BDP(RG37&amp;" Equity","PR414"),_xll.BDP(RG37&amp;" Equity","PR090"))</f>
        <v>1</v>
      </c>
      <c r="RY37" s="11">
        <f>RX37*RT37*RP37</f>
        <v>249.75</v>
      </c>
      <c r="RZ37" s="5">
        <f>($AJ$3*RQ37)/RY37</f>
        <v>55.666278185324352</v>
      </c>
      <c r="SA37" s="8">
        <f>(ROUND(RZ37,0)*RY37)/$AJ$3</f>
        <v>4.3706250000000002E-2</v>
      </c>
      <c r="SB37" s="8">
        <f>SA37/RQ37-1</f>
        <v>5.995044496501567E-3</v>
      </c>
      <c r="SC37" s="5"/>
      <c r="SD37" s="21">
        <f>IFERROR(RY37/RQ37,0)</f>
        <v>5748.5431114085795</v>
      </c>
      <c r="SE37" s="22">
        <f>RY37/(1/COUNTA($P$6:$P$77))</f>
        <v>9240.75</v>
      </c>
    </row>
    <row r="38" spans="15:499" ht="15" thickBot="1" x14ac:dyDescent="0.25">
      <c r="O38" s="16" t="str" cm="1">
        <f t="array" ref="O38">_xll.BDP(P38&amp;" Equity","DS520")</f>
        <v>Deutsche Telekom AG</v>
      </c>
      <c r="P38" s="32" t="s">
        <v>257</v>
      </c>
      <c r="Q38" s="32" t="s">
        <v>343</v>
      </c>
      <c r="R38" s="32" t="str" cm="1">
        <f t="array" ref="R38">_xll.BDP(P38&amp;" Equity", "ID_ISIN")</f>
        <v>DE0005557508</v>
      </c>
      <c r="S38" s="32"/>
      <c r="T38" s="30" t="str">
        <f>_xll.BDP(P38&amp;" Equity", "DS197")</f>
        <v>Xetra</v>
      </c>
      <c r="U38" s="30" t="s">
        <v>26</v>
      </c>
      <c r="V38" s="30" t="s">
        <v>39</v>
      </c>
      <c r="W38" s="30" t="s">
        <v>28</v>
      </c>
      <c r="X38" s="30" t="str">
        <f>_xll.BDP(P38&amp;" Equity", "DS004")</f>
        <v>EUR</v>
      </c>
      <c r="Y38" s="17" cm="1">
        <f t="array" ref="Y38">_xll.BDP(P38&amp;" Equity","PX_LAST")</f>
        <v>32.97</v>
      </c>
      <c r="Z38" s="33">
        <f t="shared" si="0"/>
        <v>2.784568284342254E-2</v>
      </c>
      <c r="AA38" s="33">
        <f t="shared" si="1"/>
        <v>2.6454334530388215E-2</v>
      </c>
      <c r="AB38" s="4"/>
      <c r="AC38" s="1" cm="1">
        <f t="array" ref="AC38">IF(X38="USD",1,_xll.BDP(X38&amp;"USD CURNCY","PX_LAST"))</f>
        <v>1.1607000000000001</v>
      </c>
      <c r="AD38" s="18">
        <v>149742.52725037199</v>
      </c>
      <c r="AE38" s="11">
        <f t="shared" si="169"/>
        <v>5730388.8109823382</v>
      </c>
      <c r="AF38" s="5"/>
      <c r="AG38" s="11" cm="1">
        <f t="array" ref="AG38">IF(T38="Hong Kong",_xll.BDP(P38&amp;" Equity","PR414"),_xll.BDP(P38&amp;" Equity","PR090"))</f>
        <v>1</v>
      </c>
      <c r="AH38" s="11">
        <f t="shared" si="170"/>
        <v>38.268279</v>
      </c>
      <c r="AI38" s="5">
        <f t="shared" si="171"/>
        <v>232.84607363438565</v>
      </c>
      <c r="AJ38" s="8">
        <f t="shared" si="172"/>
        <v>2.7864090646875003E-2</v>
      </c>
      <c r="AK38" s="8">
        <f t="shared" si="173"/>
        <v>6.6106489670114676E-4</v>
      </c>
      <c r="AL38" s="5"/>
      <c r="AM38" s="21">
        <f t="shared" si="174"/>
        <v>1374.298458227229</v>
      </c>
      <c r="AN38" s="22">
        <f t="shared" si="175"/>
        <v>1415.9263229999999</v>
      </c>
      <c r="DF38" s="1"/>
      <c r="DG38" s="26"/>
      <c r="DH38" s="46"/>
      <c r="DI38" s="26"/>
      <c r="DJ38" s="46"/>
      <c r="DK38" s="46"/>
      <c r="DL38" s="26"/>
      <c r="DM38" s="47"/>
      <c r="DN38" s="47"/>
      <c r="DO38" s="26"/>
      <c r="DP38" s="21"/>
      <c r="DQ38" s="22"/>
      <c r="FE38" s="62" t="s">
        <v>86</v>
      </c>
      <c r="FF38" s="63">
        <v>100000</v>
      </c>
      <c r="GI38" s="1"/>
      <c r="GJ38" s="26"/>
      <c r="GK38" s="46"/>
      <c r="GL38" s="26"/>
      <c r="GM38" s="46"/>
      <c r="GN38" s="46"/>
      <c r="GO38" s="26"/>
      <c r="GP38" s="47"/>
      <c r="GQ38" s="47"/>
      <c r="GR38" s="26"/>
      <c r="GS38" s="21"/>
      <c r="GT38" s="22"/>
      <c r="GV38" s="16" t="str" cm="1">
        <f t="array" ref="GV38">_xll.BDP(GW38&amp;" Equity","DS520")</f>
        <v>Xiaomi Corp</v>
      </c>
      <c r="GW38" s="45" t="s">
        <v>204</v>
      </c>
      <c r="GX38" s="32">
        <v>1810</v>
      </c>
      <c r="GY38" s="32" t="str" cm="1">
        <f t="array" ref="GY38">_xll.BDP(GW38&amp;" Equity", "ID_ISIN")</f>
        <v>KYG9830T1067</v>
      </c>
      <c r="GZ38" s="45"/>
      <c r="HA38" s="30" t="str">
        <f>_xll.BDP(GW38&amp;" Equity", "DS197")</f>
        <v>Hong Kong</v>
      </c>
      <c r="HB38" s="30" t="s">
        <v>26</v>
      </c>
      <c r="HC38" s="30" t="s">
        <v>27</v>
      </c>
      <c r="HD38" s="30" t="s">
        <v>28</v>
      </c>
      <c r="HE38" s="30" t="str">
        <f>_xll.BDP(GW38&amp;" Equity", "DS004")</f>
        <v>HKD</v>
      </c>
      <c r="HF38" s="17" cm="1">
        <f t="array" ref="HF38">_xll.BDP(GW38&amp;" Equity","PX_LAST")</f>
        <v>33.840000000000003</v>
      </c>
      <c r="HG38" s="33">
        <f t="shared" si="14"/>
        <v>1.7400677798068569E-2</v>
      </c>
      <c r="HH38" s="33">
        <f t="shared" si="78"/>
        <v>1.6529332426440307E-2</v>
      </c>
      <c r="HJ38" s="1" cm="1">
        <f t="array" ref="HJ38">IF(HE38="USD",1,_xll.BDP(HE38&amp;"USD CURNCY","PX_LAST"))</f>
        <v>0.12784999999999999</v>
      </c>
      <c r="HK38" s="18">
        <v>655943.46224132599</v>
      </c>
      <c r="HL38" s="11">
        <f t="shared" si="262"/>
        <v>2837902.6565532116</v>
      </c>
      <c r="HM38" s="5"/>
      <c r="HN38" s="11" cm="1">
        <f t="array" ref="HN38">IF(HA38="Hong Kong",_xll.BDP(GW38&amp;" Equity","PR414"),_xll.BDP(GW38&amp;" Equity","PR090"))</f>
        <v>200</v>
      </c>
      <c r="HO38" s="11">
        <f t="shared" si="80"/>
        <v>865.28879999999992</v>
      </c>
      <c r="HP38" s="5">
        <f t="shared" si="81"/>
        <v>6.43509646187717</v>
      </c>
      <c r="HQ38" s="8">
        <f t="shared" si="82"/>
        <v>1.6224164999999999E-2</v>
      </c>
      <c r="HR38" s="8">
        <f t="shared" si="83"/>
        <v>-6.7613044257342714E-2</v>
      </c>
      <c r="HS38" s="5"/>
      <c r="HT38" s="21">
        <f t="shared" si="84"/>
        <v>49727.304306275058</v>
      </c>
      <c r="HU38" s="22">
        <f t="shared" si="85"/>
        <v>32015.685599999997</v>
      </c>
      <c r="JI38" s="64" t="s">
        <v>88</v>
      </c>
      <c r="JJ38" s="66">
        <f>(JJ36-JJ37)*0.5%</f>
        <v>475</v>
      </c>
      <c r="JY38" s="16" t="str" cm="1">
        <f t="array" ref="JY38">_xll.BDP(JZ38&amp;" Equity","DS520")</f>
        <v>Verbund AG</v>
      </c>
      <c r="JZ38" s="32" t="s">
        <v>250</v>
      </c>
      <c r="KA38" s="32" t="s">
        <v>403</v>
      </c>
      <c r="KB38" s="32" t="str" cm="1">
        <f t="array" ref="KB38">_xll.BDP(JZ38&amp;" Equity", "ID_ISIN")</f>
        <v>AT0000746409</v>
      </c>
      <c r="KC38" s="32"/>
      <c r="KD38" s="30" t="str">
        <f>_xll.BDP(JZ38&amp;" Equity", "DS197")</f>
        <v>Vienna</v>
      </c>
      <c r="KE38" s="30" t="s">
        <v>26</v>
      </c>
      <c r="KF38" s="30" t="s">
        <v>407</v>
      </c>
      <c r="KG38" s="30" t="s">
        <v>28</v>
      </c>
      <c r="KH38" s="30" t="str">
        <f>_xll.BDP(JZ38&amp;" Equity", "DS004")</f>
        <v>EUR</v>
      </c>
      <c r="KI38" s="17" cm="1">
        <f t="array" ref="KI38">_xll.BDP(JZ38&amp;" Equity","PX_LAST")</f>
        <v>61.85</v>
      </c>
      <c r="KJ38" s="33">
        <f t="shared" si="101"/>
        <v>3.0046116133231247E-2</v>
      </c>
      <c r="KK38" s="33">
        <f t="shared" si="102"/>
        <v>2.8548443868084382E-2</v>
      </c>
      <c r="KM38" s="1" cm="1">
        <f t="array" ref="KM38">IF(KH38="USD",1,_xll.BDP(KH38&amp;"USD CURNCY","PX_LAST"))</f>
        <v>1.1607000000000001</v>
      </c>
      <c r="KN38" s="18">
        <v>41560.624623044001</v>
      </c>
      <c r="KO38" s="11">
        <f t="shared" si="263"/>
        <v>2983607.94144797</v>
      </c>
      <c r="KP38" s="5"/>
      <c r="KQ38" s="11" cm="1">
        <f t="array" ref="KQ38">IF(KD38="Hong Kong",_xll.BDP(JZ38&amp;" Equity","PR414"),_xll.BDP(JZ38&amp;" Equity","PR090"))</f>
        <v>1</v>
      </c>
      <c r="KR38" s="11">
        <f t="shared" si="104"/>
        <v>71.78929500000001</v>
      </c>
      <c r="KS38" s="5">
        <f t="shared" si="105"/>
        <v>133.93023517829502</v>
      </c>
      <c r="KT38" s="8">
        <f t="shared" si="106"/>
        <v>3.0061767281250002E-2</v>
      </c>
      <c r="KU38" s="8">
        <f t="shared" si="107"/>
        <v>5.209041977123352E-4</v>
      </c>
      <c r="KV38" s="5"/>
      <c r="KW38" s="21">
        <f t="shared" si="108"/>
        <v>2389.3036518154327</v>
      </c>
      <c r="KX38" s="22">
        <f t="shared" si="109"/>
        <v>2656.2039150000001</v>
      </c>
      <c r="LN38" s="1"/>
      <c r="LO38" s="26"/>
      <c r="LP38" s="11"/>
      <c r="LQ38" s="5"/>
      <c r="LR38" s="11"/>
      <c r="LS38" s="11"/>
      <c r="LT38" s="5"/>
      <c r="LU38" s="8"/>
      <c r="LV38" s="8"/>
      <c r="LW38" s="5"/>
      <c r="LX38" s="21"/>
      <c r="LY38" s="22"/>
      <c r="MA38" s="16" t="str" cm="1">
        <f t="array" ref="MA38">_xll.BDP(MB38&amp;" Equity","DS520")</f>
        <v>Vodafone Group PLC</v>
      </c>
      <c r="MB38" s="44" t="s">
        <v>159</v>
      </c>
      <c r="MC38" s="44" t="s">
        <v>160</v>
      </c>
      <c r="MD38" s="32" t="str" cm="1">
        <f t="array" ref="MD38">_xll.BDP(MB38&amp;" Equity", "ID_ISIN")</f>
        <v>GB00BH4HKS39</v>
      </c>
      <c r="ME38" s="44"/>
      <c r="MF38" s="30" t="str">
        <f>_xll.BDP(MB38&amp;" Equity", "DS197")</f>
        <v>London</v>
      </c>
      <c r="MG38" s="30" t="s">
        <v>26</v>
      </c>
      <c r="MH38" s="30" t="s">
        <v>129</v>
      </c>
      <c r="MI38" s="30" t="s">
        <v>28</v>
      </c>
      <c r="MJ38" s="43" t="str">
        <f>_xll.BDP(MB38&amp;" Equity", "DS004")</f>
        <v>GBp</v>
      </c>
      <c r="MK38" s="17" cm="1">
        <f t="array" ref="MK38">_xll.BDP(MB38&amp;" Equity","PX_LAST")/100</f>
        <v>1.0979999999999999</v>
      </c>
      <c r="ML38" s="33">
        <f t="shared" si="20"/>
        <v>2.886996771290962E-2</v>
      </c>
      <c r="MM38" s="33">
        <f t="shared" si="21"/>
        <v>2.7409080399479112E-2</v>
      </c>
      <c r="MO38" s="1" cm="1">
        <f t="array" ref="MO38">IF(MJ38="USD",1,_xll.BDP(MJ38&amp;"USD CURNCY","PX_LAST"))</f>
        <v>1.3359000000000001</v>
      </c>
      <c r="MP38" s="18">
        <v>3535962.3531663101</v>
      </c>
      <c r="MQ38" s="11">
        <f>MP38*MK38*MO38</f>
        <v>5186613.9341391716</v>
      </c>
      <c r="MR38" s="5"/>
      <c r="MS38" s="11" cm="1">
        <f t="array" ref="MS38">IF(MF38="Hong Kong",_xll.BDP(MB38&amp;" Equity","PR414"),_xll.BDP(MB38&amp;" Equity","PR090"))</f>
        <v>1</v>
      </c>
      <c r="MT38" s="11">
        <f>MS38*MO38*MK38</f>
        <v>1.4668181999999998</v>
      </c>
      <c r="MU38" s="5">
        <f>($AJ$3*ML38)/MT38</f>
        <v>6298.2513225777257</v>
      </c>
      <c r="MV38" s="8">
        <f>(ROUND(MU38,0)*MT38)/$AJ$3</f>
        <v>2.8868815698749994E-2</v>
      </c>
      <c r="MW38" s="8">
        <f>MV38/ML38-1</f>
        <v>-3.9903548596953442E-5</v>
      </c>
      <c r="MX38" s="5"/>
      <c r="MY38" s="21">
        <f>IFERROR(MT38/ML38,0)</f>
        <v>50.807753392259286</v>
      </c>
      <c r="MZ38" s="22">
        <f>MT38/(1/COUNTA($P$6:$P$77))</f>
        <v>54.272273399999989</v>
      </c>
      <c r="NM38" s="64" t="s">
        <v>87</v>
      </c>
      <c r="NN38" s="66">
        <f>NN36+NN37</f>
        <v>5475</v>
      </c>
      <c r="ON38" s="64" t="s">
        <v>88</v>
      </c>
      <c r="OO38" s="66">
        <f>(OO36-OO37)*0.5%</f>
        <v>475</v>
      </c>
      <c r="RF38" s="16" t="str" cm="1">
        <f t="array" ref="RF38">_xll.BDP(RG38&amp;" Equity","DS520")</f>
        <v>WisdomTree Quantum Computing Fund</v>
      </c>
      <c r="RG38" s="34" t="s">
        <v>1319</v>
      </c>
      <c r="RH38" s="34"/>
      <c r="RI38" s="32" t="str" cm="1">
        <f t="array" ref="RI38">_xll.BDP(RG38&amp;" Equity", "ID_ISIN")</f>
        <v>US97717Y2954</v>
      </c>
      <c r="RJ38" s="34"/>
      <c r="RK38" s="30" t="str">
        <f>_xll.BDP(RG38&amp;" Equity", "DS197")</f>
        <v>Cboe BZX</v>
      </c>
      <c r="RL38" s="30" t="s">
        <v>26</v>
      </c>
      <c r="RM38" s="30"/>
      <c r="RN38" s="30" t="s">
        <v>28</v>
      </c>
      <c r="RO38" s="30" t="str">
        <f>_xll.BDP(RG38&amp;" Equity", "DS004")</f>
        <v>USD</v>
      </c>
      <c r="RP38" s="17" cm="1">
        <f t="array" ref="RP38">_xll.BDP(RG38&amp;" Equity","PX_LAST")</f>
        <v>26.46</v>
      </c>
      <c r="RQ38" s="33">
        <f t="shared" si="153"/>
        <v>2.8814401089664429E-2</v>
      </c>
      <c r="RR38" s="33">
        <f t="shared" si="154"/>
        <v>2.7399955008358561E-2</v>
      </c>
      <c r="RT38" s="1" cm="1">
        <f t="array" ref="RT38">IF(RO38="USD",1,_xll.BDP(RO38&amp;"USD CURNCY","PX_LAST"))</f>
        <v>1</v>
      </c>
      <c r="RU38" s="18">
        <v>109737.24884080399</v>
      </c>
      <c r="RV38" s="11">
        <f>RU38*RP38*RT38</f>
        <v>2903647.6043276736</v>
      </c>
      <c r="RW38" s="5"/>
      <c r="RX38" s="11" cm="1">
        <f t="array" ref="RX38">IF(RK38="Hong Kong",_xll.BDP(RG38&amp;" Equity","PR414"),_xll.BDP(RG38&amp;" Equity","PR090"))</f>
        <v>1</v>
      </c>
      <c r="RY38" s="11">
        <f>RX38*RT38*RP38</f>
        <v>26.46</v>
      </c>
      <c r="RZ38" s="5">
        <f>($AJ$3*RQ38)/RY38</f>
        <v>348.47348256585849</v>
      </c>
      <c r="SA38" s="8">
        <f>(ROUND(RZ38,0)*RY38)/$AJ$3</f>
        <v>2.8775249999999999E-2</v>
      </c>
      <c r="SB38" s="8">
        <f>SA38/RQ38-1</f>
        <v>-1.358733417453295E-3</v>
      </c>
      <c r="SC38" s="5"/>
      <c r="SD38" s="21">
        <f>IFERROR(RY38/RQ38,0)</f>
        <v>918.29081984601999</v>
      </c>
      <c r="SE38" s="22">
        <f>RY38/(1/COUNTA($P$6:$P$77))</f>
        <v>979.02</v>
      </c>
    </row>
    <row r="39" spans="15:499" ht="15" thickBot="1" x14ac:dyDescent="0.25">
      <c r="O39" s="16" t="str" cm="1">
        <f t="array" ref="O39">_xll.BDP(P39&amp;" Equity","DS520")</f>
        <v>Accenture PLC</v>
      </c>
      <c r="P39" s="32" t="s">
        <v>37</v>
      </c>
      <c r="Q39" s="32" t="s">
        <v>38</v>
      </c>
      <c r="R39" s="32" t="str" cm="1">
        <f t="array" ref="R39">_xll.BDP(P39&amp;" Equity", "ID_ISIN")</f>
        <v>IE00B4BNMY34</v>
      </c>
      <c r="S39" s="32"/>
      <c r="T39" s="30" t="str">
        <f>_xll.BDP(P39&amp;" Equity", "DS197")</f>
        <v>New York</v>
      </c>
      <c r="U39" s="30" t="s">
        <v>26</v>
      </c>
      <c r="V39" s="30" t="s">
        <v>33</v>
      </c>
      <c r="W39" s="30" t="s">
        <v>28</v>
      </c>
      <c r="X39" s="30" t="str">
        <f>_xll.BDP(P39&amp;" Equity", "DS004")</f>
        <v>USD</v>
      </c>
      <c r="Y39" s="17" cm="1">
        <f t="array" ref="Y39">_xll.BDP(P39&amp;" Equity","PX_LAST")</f>
        <v>214</v>
      </c>
      <c r="Z39" s="33">
        <f t="shared" si="0"/>
        <v>2.3301935175917849E-2</v>
      </c>
      <c r="AA39" s="33">
        <f t="shared" si="1"/>
        <v>2.2137621541385925E-2</v>
      </c>
      <c r="AB39" s="4"/>
      <c r="AC39" s="1" cm="1">
        <f t="array" ref="AC39">IF(X39="USD",1,_xll.BDP(X39&amp;"USD CURNCY","PX_LAST"))</f>
        <v>1</v>
      </c>
      <c r="AD39" s="18">
        <v>22408.069058685302</v>
      </c>
      <c r="AE39" s="11">
        <f t="shared" si="169"/>
        <v>4795326.7785586547</v>
      </c>
      <c r="AF39" s="5"/>
      <c r="AG39" s="11" cm="1">
        <f t="array" ref="AG39">IF(T39="Hong Kong",_xll.BDP(P39&amp;" Equity","PR414"),_xll.BDP(P39&amp;" Equity","PR090"))</f>
        <v>1</v>
      </c>
      <c r="AH39" s="11">
        <f t="shared" si="170"/>
        <v>214</v>
      </c>
      <c r="AI39" s="5">
        <f t="shared" si="171"/>
        <v>34.844015216325751</v>
      </c>
      <c r="AJ39" s="8">
        <f t="shared" si="172"/>
        <v>2.340625E-2</v>
      </c>
      <c r="AK39" s="8">
        <f t="shared" si="173"/>
        <v>4.4766592686240614E-3</v>
      </c>
      <c r="AL39" s="5"/>
      <c r="AM39" s="21">
        <f t="shared" si="174"/>
        <v>9183.7865990274204</v>
      </c>
      <c r="AN39" s="22">
        <f t="shared" si="175"/>
        <v>7918</v>
      </c>
      <c r="DF39" s="1"/>
      <c r="DG39" s="26"/>
      <c r="DH39" s="46"/>
      <c r="DI39" s="26"/>
      <c r="DJ39" s="46"/>
      <c r="DK39" s="46"/>
      <c r="DL39" s="26"/>
      <c r="DM39" s="47"/>
      <c r="DN39" s="47"/>
      <c r="DO39" s="26"/>
      <c r="DP39" s="21"/>
      <c r="DQ39" s="22"/>
      <c r="FE39" s="64" t="s">
        <v>85</v>
      </c>
      <c r="FF39" s="65">
        <v>5000</v>
      </c>
      <c r="GF39" s="62" t="s">
        <v>86</v>
      </c>
      <c r="GG39" s="63">
        <v>100000</v>
      </c>
      <c r="GI39" s="1"/>
      <c r="GJ39" s="26"/>
      <c r="GK39" s="46"/>
      <c r="GL39" s="26"/>
      <c r="GM39" s="46"/>
      <c r="GN39" s="46"/>
      <c r="GO39" s="26"/>
      <c r="GP39" s="47"/>
      <c r="GQ39" s="47"/>
      <c r="GR39" s="26"/>
      <c r="GS39" s="21"/>
      <c r="GT39" s="22"/>
      <c r="GV39" s="16" t="str" cm="1">
        <f t="array" ref="GV39">_xll.BDP(GW39&amp;" Equity","DS520")</f>
        <v>Yadea Group Holdings Ltd</v>
      </c>
      <c r="GW39" t="s">
        <v>734</v>
      </c>
      <c r="GX39" s="32">
        <v>1585</v>
      </c>
      <c r="GY39" s="32" t="str" cm="1">
        <f t="array" ref="GY39">_xll.BDP(GW39&amp;" Equity", "ID_ISIN")</f>
        <v>KYG9830F1063</v>
      </c>
      <c r="GZ39" s="45"/>
      <c r="HA39" s="30" t="str">
        <f>_xll.BDP(GW39&amp;" Equity", "DS197")</f>
        <v>Hong Kong</v>
      </c>
      <c r="HB39" s="30" t="s">
        <v>26</v>
      </c>
      <c r="HC39" s="30" t="s">
        <v>27</v>
      </c>
      <c r="HD39" s="30" t="s">
        <v>28</v>
      </c>
      <c r="HE39" s="30" t="str">
        <f>_xll.BDP(GW39&amp;" Equity", "DS004")</f>
        <v>HKD</v>
      </c>
      <c r="HF39" s="17" cm="1">
        <f t="array" ref="HF39">_xll.BDP(GW39&amp;" Equity","PX_LAST")</f>
        <v>11.2</v>
      </c>
      <c r="HG39" s="33">
        <f t="shared" si="14"/>
        <v>2.2300985116494604E-2</v>
      </c>
      <c r="HH39" s="33">
        <f t="shared" si="78"/>
        <v>2.1184255044855372E-2</v>
      </c>
      <c r="HJ39" s="1" cm="1">
        <f t="array" ref="HJ39">IF(HE39="USD",1,_xll.BDP(HE39&amp;"USD CURNCY","PX_LAST"))</f>
        <v>0.12784999999999999</v>
      </c>
      <c r="HK39" s="18">
        <v>2540016.9921251801</v>
      </c>
      <c r="HL39" s="11">
        <f t="shared" ref="HL39" si="296">HK39*HF39*HJ39</f>
        <v>3637101.1313638873</v>
      </c>
      <c r="HM39" s="5"/>
      <c r="HN39" s="11" cm="1">
        <f t="array" ref="HN39">IF(HA39="Hong Kong",_xll.BDP(GW39&amp;" Equity","PR414"),_xll.BDP(GW39&amp;" Equity","PR090"))</f>
        <v>2000</v>
      </c>
      <c r="HO39" s="11">
        <f t="shared" ref="HO39" si="297">HN39*HJ39*HF39</f>
        <v>2863.8399999999997</v>
      </c>
      <c r="HP39" s="5">
        <f t="shared" ref="HP39" si="298">($AJ$3*HG39)/HO39</f>
        <v>2.4918693911944363</v>
      </c>
      <c r="HQ39" s="8">
        <f t="shared" ref="HQ39" si="299">(ROUND(HP39,0)*HO39)/$AJ$3</f>
        <v>1.7898999999999998E-2</v>
      </c>
      <c r="HR39" s="8">
        <f t="shared" ref="HR39" si="300">HQ39/HG39-1</f>
        <v>-0.19738971590267285</v>
      </c>
      <c r="HS39" s="5"/>
      <c r="HT39" s="21">
        <f t="shared" ref="HT39" si="301">IFERROR(HO39/HG39,0)</f>
        <v>128417.64545557233</v>
      </c>
      <c r="HU39" s="22">
        <f t="shared" ref="HU39" si="302">HO39/(1/COUNTA($P$6:$P$77))</f>
        <v>105962.07999999999</v>
      </c>
      <c r="JI39" s="64" t="s">
        <v>87</v>
      </c>
      <c r="JJ39" s="66">
        <f>JJ37+JJ38</f>
        <v>5475</v>
      </c>
      <c r="JY39" s="16" t="str" cm="1">
        <f t="array" ref="JY39">_xll.BDP(JZ39&amp;" Equity","DS520")</f>
        <v>Waste Connections Inc</v>
      </c>
      <c r="JZ39" s="34" t="s">
        <v>251</v>
      </c>
      <c r="KA39" s="32" t="s">
        <v>404</v>
      </c>
      <c r="KB39" s="32" t="str" cm="1">
        <f t="array" ref="KB39">_xll.BDP(JZ39&amp;" Equity", "ID_ISIN")</f>
        <v>CA94106B1013</v>
      </c>
      <c r="KC39" s="34"/>
      <c r="KD39" s="30" t="str">
        <f>_xll.BDP(JZ39&amp;" Equity", "DS197")</f>
        <v>New York</v>
      </c>
      <c r="KE39" s="30" t="s">
        <v>26</v>
      </c>
      <c r="KF39" s="30" t="s">
        <v>33</v>
      </c>
      <c r="KG39" s="30" t="s">
        <v>28</v>
      </c>
      <c r="KH39" s="30" t="str">
        <f>_xll.BDP(JZ39&amp;" Equity", "DS004")</f>
        <v>USD</v>
      </c>
      <c r="KI39" s="17" cm="1">
        <f t="array" ref="KI39">_xll.BDP(JZ39&amp;" Equity","PX_LAST")</f>
        <v>170.73</v>
      </c>
      <c r="KJ39" s="33">
        <f t="shared" si="101"/>
        <v>3.0013027474407882E-2</v>
      </c>
      <c r="KK39" s="33">
        <f t="shared" si="102"/>
        <v>2.8517004539457005E-2</v>
      </c>
      <c r="KM39" s="1" cm="1">
        <f t="array" ref="KM39">IF(KH39="USD",1,_xll.BDP(KH39&amp;"USD CURNCY","PX_LAST"))</f>
        <v>1</v>
      </c>
      <c r="KN39" s="18">
        <v>17456.3474850368</v>
      </c>
      <c r="KO39" s="11">
        <f t="shared" si="263"/>
        <v>2980322.2061203327</v>
      </c>
      <c r="KP39" s="5"/>
      <c r="KQ39" s="11" cm="1">
        <f t="array" ref="KQ39">IF(KD39="Hong Kong",_xll.BDP(JZ39&amp;" Equity","PR414"),_xll.BDP(JZ39&amp;" Equity","PR090"))</f>
        <v>1</v>
      </c>
      <c r="KR39" s="11">
        <f t="shared" si="104"/>
        <v>170.73</v>
      </c>
      <c r="KS39" s="5">
        <f t="shared" si="105"/>
        <v>56.253551173259076</v>
      </c>
      <c r="KT39" s="8">
        <f t="shared" si="106"/>
        <v>2.9877749999999998E-2</v>
      </c>
      <c r="KU39" s="8">
        <f t="shared" si="107"/>
        <v>-4.5072918592846678E-3</v>
      </c>
      <c r="KV39" s="5"/>
      <c r="KW39" s="21">
        <f t="shared" si="108"/>
        <v>5688.5297608040883</v>
      </c>
      <c r="KX39" s="22">
        <f t="shared" si="109"/>
        <v>6317.0099999999993</v>
      </c>
      <c r="LN39" s="1"/>
      <c r="LO39" s="26"/>
      <c r="LP39" s="11"/>
      <c r="LQ39" s="5"/>
      <c r="LR39" s="11"/>
      <c r="LS39" s="11"/>
      <c r="LT39" s="5"/>
      <c r="LU39" s="8"/>
      <c r="LV39" s="8"/>
      <c r="LW39" s="5"/>
      <c r="LX39" s="21"/>
      <c r="LY39" s="22"/>
      <c r="MA39" s="16" t="str" cm="1">
        <f t="array" ref="MA39">_xll.BDP(MB39&amp;" Equity","DS520")</f>
        <v>Zurich Insurance Group AG</v>
      </c>
      <c r="MB39" s="44" t="s">
        <v>78</v>
      </c>
      <c r="MC39" s="44" t="s">
        <v>79</v>
      </c>
      <c r="MD39" s="32" t="str" cm="1">
        <f t="array" ref="MD39">_xll.BDP(MB39&amp;" Equity", "ID_ISIN")</f>
        <v>CH0011075394</v>
      </c>
      <c r="ME39" s="44"/>
      <c r="MF39" s="30" t="str">
        <f>_xll.BDP(MB39&amp;" Equity", "DS197")</f>
        <v>SIX Swiss Ex</v>
      </c>
      <c r="MG39" s="30" t="s">
        <v>26</v>
      </c>
      <c r="MH39" s="30" t="s">
        <v>61</v>
      </c>
      <c r="MI39" s="30" t="s">
        <v>28</v>
      </c>
      <c r="MJ39" s="51" t="str">
        <f>_xll.BDP(MB39&amp;" Equity", "DS004")</f>
        <v>CHF</v>
      </c>
      <c r="MK39" s="17" cm="1">
        <f t="array" ref="MK39">_xll.BDP(MB39&amp;" Equity","PX_LAST")</f>
        <v>535.20000000000005</v>
      </c>
      <c r="ML39" s="33">
        <f t="shared" si="20"/>
        <v>2.7505739870259824E-2</v>
      </c>
      <c r="MM39" s="33">
        <f t="shared" si="21"/>
        <v>2.6113885649203177E-2</v>
      </c>
      <c r="MO39" s="1" cm="1">
        <f t="array" ref="MO39">IF(MJ39="USD",1,_xll.BDP(MJ39&amp;"USD CURNCY","PX_LAST"))</f>
        <v>1.2806</v>
      </c>
      <c r="MP39" s="18">
        <v>7209.9350669918404</v>
      </c>
      <c r="MQ39" s="11">
        <f>MP39*MK39*MO39</f>
        <v>4941524.5316018751</v>
      </c>
      <c r="MR39" s="5"/>
      <c r="MS39" s="11" cm="1">
        <f t="array" ref="MS39">IF(MF39="Hong Kong",_xll.BDP(MB39&amp;" Equity","PR414"),_xll.BDP(MB39&amp;" Equity","PR090"))</f>
        <v>1</v>
      </c>
      <c r="MT39" s="11">
        <f>MS39*MO39*MK39</f>
        <v>685.37711999999999</v>
      </c>
      <c r="MU39" s="5">
        <f>($AJ$3*ML39)/MT39</f>
        <v>12.842326511400239</v>
      </c>
      <c r="MV39" s="8">
        <f>(ROUND(MU39,0)*MT39)/$AJ$3</f>
        <v>2.7843445500000001E-2</v>
      </c>
      <c r="MW39" s="8">
        <f>MV39/ML39-1</f>
        <v>1.2277642096997887E-2</v>
      </c>
      <c r="MX39" s="5"/>
      <c r="MY39" s="21">
        <f>IFERROR(MT39/ML39,0)</f>
        <v>24917.603497772256</v>
      </c>
      <c r="MZ39" s="22">
        <f>MT39/(1/COUNTA($P$6:$P$77))</f>
        <v>25358.953439999997</v>
      </c>
      <c r="NM39" s="67" t="s">
        <v>89</v>
      </c>
      <c r="NN39" s="68">
        <f>NN38/NN35</f>
        <v>5.475E-2</v>
      </c>
      <c r="ON39" s="64" t="s">
        <v>87</v>
      </c>
      <c r="OO39" s="66">
        <f>OO37+OO38</f>
        <v>5475</v>
      </c>
      <c r="RF39" s="16" t="str" cm="1">
        <f t="array" ref="RF39">_xll.BDP(RG39&amp;" Equity","DS520")</f>
        <v>XPeng Inc</v>
      </c>
      <c r="RG39" s="34" t="s">
        <v>1320</v>
      </c>
      <c r="RH39" s="34"/>
      <c r="RI39" s="32" t="str" cm="1">
        <f t="array" ref="RI39">_xll.BDP(RG39&amp;" Equity", "ID_ISIN")</f>
        <v>KYG982AW1003</v>
      </c>
      <c r="RJ39" s="34"/>
      <c r="RK39" s="30" t="str">
        <f>_xll.BDP(RG39&amp;" Equity", "DS197")</f>
        <v>Hong Kong</v>
      </c>
      <c r="RL39" s="30" t="s">
        <v>26</v>
      </c>
      <c r="RM39" s="30"/>
      <c r="RN39" s="30" t="s">
        <v>28</v>
      </c>
      <c r="RO39" s="30" t="str">
        <f>_xll.BDP(RG39&amp;" Equity", "DS004")</f>
        <v>HKD</v>
      </c>
      <c r="RP39" s="17" cm="1">
        <f t="array" ref="RP39">_xll.BDP(RG39&amp;" Equity","PX_LAST")</f>
        <v>66.45</v>
      </c>
      <c r="RQ39" s="33">
        <f t="shared" si="153"/>
        <v>2.3484414516822944E-2</v>
      </c>
      <c r="RR39" s="33">
        <f t="shared" si="154"/>
        <v>2.2331607697006803E-2</v>
      </c>
      <c r="RT39" s="1" cm="1">
        <f t="array" ref="RT39">IF(RO39="USD",1,_xll.BDP(RO39&amp;"USD CURNCY","PX_LAST"))</f>
        <v>0.12784999999999999</v>
      </c>
      <c r="RU39" s="18">
        <v>278559.728502349</v>
      </c>
      <c r="RV39" s="11">
        <f>RU39*RP39*RT39</f>
        <v>2366541.0826557325</v>
      </c>
      <c r="RW39" s="5"/>
      <c r="RX39" s="11" cm="1">
        <f t="array" ref="RX39">IF(RK39="Hong Kong",_xll.BDP(RG39&amp;" Equity","PR414"),_xll.BDP(RG39&amp;" Equity","PR090"))</f>
        <v>100</v>
      </c>
      <c r="RY39" s="11">
        <f>RX39*RT39*RP39</f>
        <v>849.56324999999993</v>
      </c>
      <c r="RZ39" s="5">
        <f>($AJ$3*RQ39)/RY39</f>
        <v>8.8457364950559505</v>
      </c>
      <c r="SA39" s="8">
        <f>(ROUND(RZ39,0)*RY39)/$AJ$3</f>
        <v>2.3893966406249998E-2</v>
      </c>
      <c r="SB39" s="8">
        <f>SA39/RQ39-1</f>
        <v>1.7439305933459437E-2</v>
      </c>
      <c r="SC39" s="5"/>
      <c r="SD39" s="21">
        <f>IFERROR(RY39/RQ39,0)</f>
        <v>36175.619766523007</v>
      </c>
      <c r="SE39" s="22">
        <f>RY39/(1/COUNTA($P$6:$P$77))</f>
        <v>31433.840249999994</v>
      </c>
    </row>
    <row r="40" spans="15:499" ht="15" thickBot="1" x14ac:dyDescent="0.25">
      <c r="O40" s="16" t="str" cm="1">
        <f t="array" ref="O40">_xll.BDP(P40&amp;" Equity","DS520")</f>
        <v>MercadoLibre Inc</v>
      </c>
      <c r="P40" s="32" t="s">
        <v>55</v>
      </c>
      <c r="Q40" s="32" t="s">
        <v>56</v>
      </c>
      <c r="R40" s="32" t="str" cm="1">
        <f t="array" ref="R40">_xll.BDP(P40&amp;" Equity", "ID_ISIN")</f>
        <v>US58733R1023</v>
      </c>
      <c r="S40" s="32"/>
      <c r="T40" s="30" t="str">
        <f>_xll.BDP(P40&amp;" Equity", "DS197")</f>
        <v>NASDAQ GS</v>
      </c>
      <c r="U40" s="30" t="s">
        <v>26</v>
      </c>
      <c r="V40" s="30" t="s">
        <v>33</v>
      </c>
      <c r="W40" s="30" t="s">
        <v>28</v>
      </c>
      <c r="X40" s="30" t="str">
        <f>_xll.BDP(P40&amp;" Equity", "DS004")</f>
        <v>USD</v>
      </c>
      <c r="Y40" s="17" cm="1">
        <f t="array" ref="Y40">_xll.BDP(P40&amp;" Equity","PX_LAST")</f>
        <v>1780.36</v>
      </c>
      <c r="Z40" s="33">
        <f t="shared" si="0"/>
        <v>1.9377010865075758E-2</v>
      </c>
      <c r="AA40" s="33">
        <f t="shared" si="1"/>
        <v>1.8408811538437975E-2</v>
      </c>
      <c r="AB40" s="4"/>
      <c r="AC40" s="1" cm="1">
        <f t="array" ref="AC40">IF(X40="USD",1,_xll.BDP(X40&amp;"USD CURNCY","PX_LAST"))</f>
        <v>1</v>
      </c>
      <c r="AD40" s="18">
        <v>2239.7790203668501</v>
      </c>
      <c r="AE40" s="11">
        <f t="shared" si="169"/>
        <v>3987612.976700325</v>
      </c>
      <c r="AF40" s="5"/>
      <c r="AG40" s="11" cm="1">
        <f t="array" ref="AG40">IF(T40="Hong Kong",_xll.BDP(P40&amp;" Equity","PR414"),_xll.BDP(P40&amp;" Equity","PR090"))</f>
        <v>1</v>
      </c>
      <c r="AH40" s="11">
        <f t="shared" si="170"/>
        <v>1780.36</v>
      </c>
      <c r="AI40" s="5">
        <f t="shared" si="171"/>
        <v>3.4828031840887479</v>
      </c>
      <c r="AJ40" s="8">
        <f t="shared" si="172"/>
        <v>1.6690875000000001E-2</v>
      </c>
      <c r="AK40" s="8">
        <f t="shared" si="173"/>
        <v>-0.13862488305237652</v>
      </c>
      <c r="AL40" s="5"/>
      <c r="AM40" s="21">
        <f t="shared" si="174"/>
        <v>91880.012474413161</v>
      </c>
      <c r="AN40" s="22">
        <f t="shared" si="175"/>
        <v>65873.319999999992</v>
      </c>
      <c r="DF40" s="1"/>
      <c r="DG40" s="26"/>
      <c r="DH40" s="46"/>
      <c r="DI40" s="26"/>
      <c r="DJ40" s="46"/>
      <c r="DK40" s="46"/>
      <c r="DL40" s="26"/>
      <c r="DM40" s="47"/>
      <c r="DN40" s="47"/>
      <c r="DO40" s="26"/>
      <c r="DP40" s="21"/>
      <c r="DQ40" s="22"/>
      <c r="FE40" s="64" t="s">
        <v>88</v>
      </c>
      <c r="FF40" s="66">
        <f>(FF38-FF39)*0.5%</f>
        <v>475</v>
      </c>
      <c r="GF40" s="64" t="s">
        <v>85</v>
      </c>
      <c r="GG40" s="65">
        <v>5000</v>
      </c>
      <c r="GV40" s="16" t="s">
        <v>34</v>
      </c>
      <c r="GW40" s="32" t="s">
        <v>34</v>
      </c>
      <c r="GX40" s="32"/>
      <c r="GY40" s="32"/>
      <c r="GZ40" s="32"/>
      <c r="HA40" s="30"/>
      <c r="HB40" s="30"/>
      <c r="HC40" s="30"/>
      <c r="HD40" s="30" t="s">
        <v>80</v>
      </c>
      <c r="HE40" s="30" t="str">
        <f>_xll.BDP(GW40&amp;" Curncy", "DS004")</f>
        <v>USD</v>
      </c>
      <c r="HF40" s="17">
        <v>1</v>
      </c>
      <c r="HG40" s="33">
        <f t="shared" si="14"/>
        <v>4.9210540218718951E-3</v>
      </c>
      <c r="HH40" s="33">
        <f>HH47</f>
        <v>5.475E-2</v>
      </c>
      <c r="HJ40" s="1" cm="1">
        <f t="array" ref="HJ40">IF(HE40="USD",1,_xll.BDP(HE40&amp;"USD CURNCY","PX_LAST"))</f>
        <v>1</v>
      </c>
      <c r="HK40" s="18">
        <v>802582.08581175201</v>
      </c>
      <c r="HL40" s="11">
        <f>HK40*HF40*HJ40</f>
        <v>802582.08581175201</v>
      </c>
      <c r="HM40" s="5"/>
      <c r="HN40" s="11">
        <v>1</v>
      </c>
      <c r="HO40" s="11">
        <f t="shared" ref="HO40" si="303">HN40*HJ40*HF40</f>
        <v>1</v>
      </c>
      <c r="HP40" s="5">
        <f t="shared" ref="HP40" si="304">($AJ$3*HG40)/HO40</f>
        <v>1574.7372869990065</v>
      </c>
      <c r="HQ40" s="8">
        <f t="shared" ref="HQ40" si="305">(ROUND(HP40,0)*HO40)/$AJ$3</f>
        <v>4.921875E-3</v>
      </c>
      <c r="HR40" s="8">
        <f t="shared" ref="HR40" si="306">HQ40/HG40-1</f>
        <v>1.6682973291004544E-4</v>
      </c>
      <c r="HS40" s="5"/>
      <c r="HT40" s="21">
        <f t="shared" ref="HT40" si="307">IFERROR(HO40/HG40,0)</f>
        <v>203.20849873938491</v>
      </c>
      <c r="HU40" s="22">
        <f t="shared" ref="HU40" si="308">HO40/(1/COUNTA($P$6:$P$77))</f>
        <v>37</v>
      </c>
      <c r="JI40" s="67" t="s">
        <v>89</v>
      </c>
      <c r="JJ40" s="68">
        <f>JJ39/JJ36</f>
        <v>5.475E-2</v>
      </c>
      <c r="JY40" s="16" t="s">
        <v>34</v>
      </c>
      <c r="JZ40" s="32" t="s">
        <v>34</v>
      </c>
      <c r="KA40" s="32"/>
      <c r="KB40" s="32"/>
      <c r="KC40" s="32"/>
      <c r="KD40" s="30"/>
      <c r="KE40" s="30"/>
      <c r="KF40" s="30"/>
      <c r="KG40" s="30" t="s">
        <v>80</v>
      </c>
      <c r="KH40" s="30" t="str">
        <f>_xll.BDP(JZ40&amp;" Curncy", "DS004")</f>
        <v>USD</v>
      </c>
      <c r="KI40" s="17">
        <v>1</v>
      </c>
      <c r="KJ40" s="33">
        <f t="shared" si="101"/>
        <v>5.1614929986526174E-3</v>
      </c>
      <c r="KK40" s="33">
        <f>KK47</f>
        <v>5.475E-2</v>
      </c>
      <c r="KM40" s="1" cm="1">
        <f t="array" ref="KM40">IF(KH40="USD",1,_xll.BDP(KH40&amp;"USD CURNCY","PX_LAST"))</f>
        <v>1</v>
      </c>
      <c r="KN40" s="18">
        <v>512541.16945503198</v>
      </c>
      <c r="KO40" s="11">
        <f t="shared" si="263"/>
        <v>512541.16945503198</v>
      </c>
      <c r="KP40" s="5"/>
      <c r="KQ40" s="11">
        <v>1</v>
      </c>
      <c r="KR40" s="11">
        <f t="shared" ref="KR40" si="309">KQ40*KM40*KI40</f>
        <v>1</v>
      </c>
      <c r="KS40" s="5">
        <f t="shared" ref="KS40" si="310">($AJ$3*KJ40)/KR40</f>
        <v>1651.6777595688375</v>
      </c>
      <c r="KT40" s="8">
        <f t="shared" ref="KT40" si="311">(ROUND(KS40,0)*KR40)/$AJ$3</f>
        <v>5.1625000000000004E-3</v>
      </c>
      <c r="KU40" s="8">
        <f t="shared" ref="KU40" si="312">KT40/KJ40-1</f>
        <v>1.9509884981849801E-4</v>
      </c>
      <c r="KV40" s="5"/>
      <c r="KW40" s="21">
        <f t="shared" ref="KW40" si="313">IFERROR(KR40/KJ40,0)</f>
        <v>193.74239202902049</v>
      </c>
      <c r="KX40" s="22">
        <f t="shared" ref="KX40" si="314">KR40/(1/COUNTA($P$6:$P$77))</f>
        <v>37</v>
      </c>
      <c r="LN40" s="1"/>
      <c r="LO40" s="26"/>
      <c r="LP40" s="11"/>
      <c r="LQ40" s="5"/>
      <c r="LR40" s="11"/>
      <c r="LS40" s="11"/>
      <c r="LT40" s="5"/>
      <c r="LU40" s="8"/>
      <c r="LV40" s="8"/>
      <c r="LW40" s="5"/>
      <c r="LX40" s="21"/>
      <c r="LY40" s="22"/>
      <c r="MA40" s="16" t="s">
        <v>34</v>
      </c>
      <c r="MB40" s="32" t="s">
        <v>34</v>
      </c>
      <c r="MC40" s="32"/>
      <c r="MD40" s="32"/>
      <c r="ME40" s="32"/>
      <c r="MF40" s="30"/>
      <c r="MG40" s="30"/>
      <c r="MH40" s="30"/>
      <c r="MI40" s="30" t="s">
        <v>80</v>
      </c>
      <c r="MJ40" s="30" t="str">
        <f>_xll.BDP(MB40&amp;" Curncy", "DS004")</f>
        <v>USD</v>
      </c>
      <c r="MK40" s="17">
        <v>1</v>
      </c>
      <c r="ML40" s="33">
        <f t="shared" si="20"/>
        <v>4.3687499582644946E-3</v>
      </c>
      <c r="MM40" s="33">
        <f>MM47</f>
        <v>5.475E-2</v>
      </c>
      <c r="MO40" s="1" cm="1">
        <f t="array" ref="MO40">IF(MJ40="USD",1,_xll.BDP(MJ40&amp;"USD CURNCY","PX_LAST"))</f>
        <v>1</v>
      </c>
      <c r="MP40" s="18">
        <v>784864.72979920404</v>
      </c>
      <c r="MQ40" s="11">
        <f>MP40*MK40*MO40</f>
        <v>784864.72979920404</v>
      </c>
      <c r="MR40" s="5"/>
      <c r="MS40" s="11">
        <v>1</v>
      </c>
      <c r="MT40" s="11">
        <f t="shared" ref="MT40" si="315">MS40*MO40*MK40</f>
        <v>1</v>
      </c>
      <c r="MU40" s="5">
        <f t="shared" ref="MU40" si="316">($AJ$3*ML40)/MT40</f>
        <v>1397.9999866446383</v>
      </c>
      <c r="MV40" s="8">
        <f t="shared" ref="MV40" si="317">(ROUND(MU40,0)*MT40)/$AJ$3</f>
        <v>4.3687500000000002E-3</v>
      </c>
      <c r="MW40" s="8">
        <f t="shared" ref="MW40" si="318">MV40/ML40-1</f>
        <v>9.5531915711433157E-9</v>
      </c>
      <c r="MX40" s="5"/>
      <c r="MY40" s="21">
        <f t="shared" ref="MY40" si="319">IFERROR(MT40/ML40,0)</f>
        <v>228.89842851002956</v>
      </c>
      <c r="MZ40" s="22">
        <f t="shared" ref="MZ40" si="320">MT40/(1/COUNTA($P$6:$P$77))</f>
        <v>37</v>
      </c>
      <c r="ON40" s="67" t="s">
        <v>89</v>
      </c>
      <c r="OO40" s="68">
        <f>OO39/OO36</f>
        <v>5.475E-2</v>
      </c>
      <c r="RF40" s="16" t="str" cm="1">
        <f t="array" ref="RF40">_xll.BDP(RG40&amp;" Equity","DS520")</f>
        <v>Zhejiang Sanhua Intelligent Controls Co Ltd</v>
      </c>
      <c r="RG40" s="34" t="s">
        <v>1321</v>
      </c>
      <c r="RH40" s="34"/>
      <c r="RI40" s="32" t="str" cm="1">
        <f t="array" ref="RI40">_xll.BDP(RG40&amp;" Equity", "ID_ISIN")</f>
        <v>CNE100006Z79</v>
      </c>
      <c r="RJ40" s="34"/>
      <c r="RK40" s="30" t="str">
        <f>_xll.BDP(RG40&amp;" Equity", "DS197")</f>
        <v>Hong Kong</v>
      </c>
      <c r="RL40" s="30" t="s">
        <v>26</v>
      </c>
      <c r="RM40" s="30"/>
      <c r="RN40" s="30" t="s">
        <v>28</v>
      </c>
      <c r="RO40" s="30" t="str">
        <f>_xll.BDP(RG40&amp;" Equity", "DS004")</f>
        <v>HKD</v>
      </c>
      <c r="RP40" s="17" cm="1">
        <f t="array" ref="RP40">_xll.BDP(RG40&amp;" Equity","PX_LAST")</f>
        <v>31.3</v>
      </c>
      <c r="RQ40" s="33">
        <f t="shared" si="153"/>
        <v>2.2906073943776299E-2</v>
      </c>
      <c r="RR40" s="33">
        <f t="shared" si="154"/>
        <v>2.1781656801561314E-2</v>
      </c>
      <c r="RT40" s="1" cm="1">
        <f t="array" ref="RT40">IF(RO40="USD",1,_xll.BDP(RO40&amp;"USD CURNCY","PX_LAST"))</f>
        <v>0.12784999999999999</v>
      </c>
      <c r="RU40" s="18">
        <v>576819.45408913202</v>
      </c>
      <c r="RV40" s="11">
        <f>RU40*RP40*RT40</f>
        <v>2308261.2935257498</v>
      </c>
      <c r="RW40" s="5"/>
      <c r="RX40" s="11" cm="1">
        <f t="array" ref="RX40">IF(RK40="Hong Kong",_xll.BDP(RG40&amp;" Equity","PR414"),_xll.BDP(RG40&amp;" Equity","PR090"))</f>
        <v>100</v>
      </c>
      <c r="RY40" s="11">
        <f>RX40*RT40*RP40</f>
        <v>400.17049999999995</v>
      </c>
      <c r="RZ40" s="5">
        <f>($AJ$3*RQ40)/RY40</f>
        <v>18.317051511814132</v>
      </c>
      <c r="SA40" s="8">
        <f>(ROUND(RZ40,0)*RY40)/$AJ$3</f>
        <v>2.2509590624999999E-2</v>
      </c>
      <c r="SB40" s="8">
        <f>SA40/RQ40-1</f>
        <v>-1.7309091018804956E-2</v>
      </c>
      <c r="SC40" s="5"/>
      <c r="SD40" s="21">
        <f>IFERROR(RY40/RQ40,0)</f>
        <v>17470.060604110135</v>
      </c>
      <c r="SE40" s="22">
        <f>RY40/(1/COUNTA($P$6:$P$77))</f>
        <v>14806.308499999997</v>
      </c>
    </row>
    <row r="41" spans="15:499" ht="15" thickBot="1" x14ac:dyDescent="0.25">
      <c r="O41" s="16" t="str" cm="1">
        <f t="array" ref="O41">_xll.BDP(P41&amp;" Equity","DS520")</f>
        <v>Adobe Inc</v>
      </c>
      <c r="P41" s="32" t="s">
        <v>224</v>
      </c>
      <c r="Q41" s="32" t="s">
        <v>357</v>
      </c>
      <c r="R41" s="32" t="str" cm="1">
        <f t="array" ref="R41">_xll.BDP(P41&amp;" Equity", "ID_ISIN")</f>
        <v>US00724F1012</v>
      </c>
      <c r="S41" s="32"/>
      <c r="T41" s="30" t="str">
        <f>_xll.BDP(P41&amp;" Equity", "DS197")</f>
        <v>NASDAQ GS</v>
      </c>
      <c r="U41" s="30" t="s">
        <v>26</v>
      </c>
      <c r="V41" s="30" t="s">
        <v>33</v>
      </c>
      <c r="W41" s="30" t="s">
        <v>28</v>
      </c>
      <c r="X41" s="30" t="str">
        <f>_xll.BDP(P41&amp;" Equity", "DS004")</f>
        <v>USD</v>
      </c>
      <c r="Y41" s="17" cm="1">
        <f t="array" ref="Y41">_xll.BDP(P41&amp;" Equity","PX_LAST")</f>
        <v>281.74</v>
      </c>
      <c r="Z41" s="33">
        <f t="shared" si="0"/>
        <v>2.1579558582114591E-2</v>
      </c>
      <c r="AA41" s="33">
        <f t="shared" si="1"/>
        <v>2.0501305892170495E-2</v>
      </c>
      <c r="AB41" s="4"/>
      <c r="AC41" s="1" cm="1">
        <f t="array" ref="AC41">IF(X41="USD",1,_xll.BDP(X41&amp;"USD CURNCY","PX_LAST"))</f>
        <v>1</v>
      </c>
      <c r="AD41" s="18">
        <v>15762.324509382401</v>
      </c>
      <c r="AE41" s="11">
        <f t="shared" si="169"/>
        <v>4440877.3072733982</v>
      </c>
      <c r="AF41" s="5"/>
      <c r="AG41" s="11">
        <v>1</v>
      </c>
      <c r="AH41" s="11">
        <f t="shared" si="170"/>
        <v>281.74</v>
      </c>
      <c r="AI41" s="5">
        <f t="shared" si="171"/>
        <v>24.510040272154004</v>
      </c>
      <c r="AJ41" s="8">
        <f t="shared" si="172"/>
        <v>2.2010937500000001E-2</v>
      </c>
      <c r="AK41" s="8">
        <f t="shared" si="173"/>
        <v>1.9990164128887322E-2</v>
      </c>
      <c r="AL41" s="5"/>
      <c r="AM41" s="21">
        <f t="shared" si="174"/>
        <v>13055.874100849758</v>
      </c>
      <c r="AN41" s="22">
        <f t="shared" si="175"/>
        <v>10424.379999999999</v>
      </c>
      <c r="DF41" s="1"/>
      <c r="DG41" s="26"/>
      <c r="DH41" s="46"/>
      <c r="DI41" s="26"/>
      <c r="DJ41" s="46"/>
      <c r="DK41" s="46"/>
      <c r="DL41" s="26"/>
      <c r="DM41" s="48"/>
      <c r="DN41" s="49"/>
      <c r="DO41" s="26"/>
      <c r="DP41" s="1"/>
      <c r="DQ41" s="1"/>
      <c r="FE41" s="64" t="s">
        <v>87</v>
      </c>
      <c r="FF41" s="66">
        <f>FF39+FF40</f>
        <v>5475</v>
      </c>
      <c r="GF41" s="64" t="s">
        <v>88</v>
      </c>
      <c r="GG41" s="66">
        <f>(GG39-GG40)*0.5%</f>
        <v>475</v>
      </c>
      <c r="GV41" s="35" t="s">
        <v>81</v>
      </c>
      <c r="GW41" s="36"/>
      <c r="GX41" s="36"/>
      <c r="GY41" s="36"/>
      <c r="GZ41" s="36"/>
      <c r="HA41" s="36"/>
      <c r="HB41" s="36"/>
      <c r="HC41" s="36"/>
      <c r="HD41" s="36"/>
      <c r="HE41" s="36"/>
      <c r="HF41" s="25" t="s">
        <v>81</v>
      </c>
      <c r="HG41" s="37">
        <f>SUM(HG6:HG40)</f>
        <v>0.99999999999999956</v>
      </c>
      <c r="HH41" s="37">
        <f>SUM(HH6:HH40)</f>
        <v>0.99999999999999956</v>
      </c>
      <c r="HK41" s="58"/>
      <c r="HL41" s="56">
        <f>SUM(HL6:HL40)</f>
        <v>163091500.77293032</v>
      </c>
      <c r="JY41" s="35" t="s">
        <v>81</v>
      </c>
      <c r="JZ41" s="25"/>
      <c r="KA41" s="25"/>
      <c r="KB41" s="25"/>
      <c r="KC41" s="25"/>
      <c r="KD41" s="25"/>
      <c r="KE41" s="25"/>
      <c r="KF41" s="25"/>
      <c r="KG41" s="25"/>
      <c r="KH41" s="25"/>
      <c r="KI41" s="25" t="s">
        <v>81</v>
      </c>
      <c r="KJ41" s="37">
        <f>SUM(KJ6:KJ40)</f>
        <v>1.0000000000000002</v>
      </c>
      <c r="KK41" s="37">
        <f>SUM(KK6:KK40)</f>
        <v>1.0000000000000002</v>
      </c>
      <c r="KO41" s="56">
        <f>SUM(KO6:KO40)</f>
        <v>99300952.183569431</v>
      </c>
      <c r="MA41" s="35" t="s">
        <v>81</v>
      </c>
      <c r="MB41" s="36"/>
      <c r="MC41" s="36"/>
      <c r="MD41" s="36"/>
      <c r="ME41" s="36"/>
      <c r="MF41" s="36"/>
      <c r="MG41" s="36"/>
      <c r="MH41" s="36"/>
      <c r="MI41" s="36"/>
      <c r="MJ41" s="36"/>
      <c r="MK41" s="25" t="s">
        <v>81</v>
      </c>
      <c r="ML41" s="37">
        <f>SUM(ML6:ML40)</f>
        <v>0.99999999999999989</v>
      </c>
      <c r="MM41" s="37">
        <f>SUM(MM6:MM40)</f>
        <v>1</v>
      </c>
      <c r="MQ41" s="56">
        <f>SUM(MQ6:MQ40)</f>
        <v>179654303.24398676</v>
      </c>
      <c r="RF41" s="16" t="str" cm="1">
        <f t="array" ref="RF41">_xll.BDP(RG41&amp;" Curncy","DS520")</f>
        <v>USDUSD Spot Exchange Rate - Price of 1 USD in USD</v>
      </c>
      <c r="RG41" s="32" t="s">
        <v>34</v>
      </c>
      <c r="RH41" s="32"/>
      <c r="RI41" s="32"/>
      <c r="RJ41" s="32"/>
      <c r="RK41" s="30"/>
      <c r="RL41" s="30"/>
      <c r="RM41" s="30"/>
      <c r="RN41" s="30"/>
      <c r="RO41" s="30" t="str">
        <f>_xll.BDP(RG41&amp;" Curncy", "DS004")</f>
        <v>USD</v>
      </c>
      <c r="RP41" s="17" cm="1">
        <f t="array" ref="RP41">_xll.BDP(RG41&amp;" Curncy","PX_LAST")</f>
        <v>1</v>
      </c>
      <c r="RQ41" s="33">
        <f t="shared" si="153"/>
        <v>5.9541111765874094E-3</v>
      </c>
      <c r="RR41" s="33">
        <f>RR48</f>
        <v>5.475E-2</v>
      </c>
      <c r="RT41" s="1" cm="1">
        <f t="array" ref="RT41">IF(RO41="USD",1,_xll.BDP(RO41&amp;"USD CURNCY","PX_LAST"))</f>
        <v>1</v>
      </c>
      <c r="RU41" s="18">
        <v>600000</v>
      </c>
      <c r="RV41" s="11">
        <f>RU41*RP41*RT41</f>
        <v>600000</v>
      </c>
      <c r="RW41" s="5"/>
      <c r="RX41" s="11">
        <v>1</v>
      </c>
      <c r="RY41" s="11">
        <f>RX41*RT41*RP41</f>
        <v>1</v>
      </c>
      <c r="RZ41" s="5">
        <f>($AJ$3*RQ41)/RY41</f>
        <v>1905.3155765079709</v>
      </c>
      <c r="SA41" s="8">
        <f>(ROUND(RZ41,0)*RY41)/$AJ$3</f>
        <v>5.9531250000000001E-3</v>
      </c>
      <c r="SB41" s="8">
        <f>SA41/RQ41-1</f>
        <v>-1.6562952188181601E-4</v>
      </c>
      <c r="SC41" s="5"/>
      <c r="SD41" s="21">
        <f t="shared" ref="SD41" si="321">IFERROR(RY41/RQ41,0)</f>
        <v>167.95118034278102</v>
      </c>
      <c r="SE41" s="22">
        <f t="shared" ref="SE41" si="322">RY41/(1/COUNTA($P$6:$P$77))</f>
        <v>37</v>
      </c>
    </row>
    <row r="42" spans="15:499" ht="15" thickBot="1" x14ac:dyDescent="0.25">
      <c r="O42" s="16" t="s">
        <v>34</v>
      </c>
      <c r="P42" s="32" t="s">
        <v>34</v>
      </c>
      <c r="R42" s="32"/>
      <c r="S42" s="32"/>
      <c r="T42" s="30"/>
      <c r="U42" s="30"/>
      <c r="V42" s="34"/>
      <c r="W42" s="30" t="s">
        <v>80</v>
      </c>
      <c r="X42" s="30" t="str">
        <f>_xll.BDP(P42&amp;" Curncy", "DS004")</f>
        <v>USD</v>
      </c>
      <c r="Y42" s="17">
        <v>1</v>
      </c>
      <c r="Z42" s="33">
        <f t="shared" si="0"/>
        <v>5.0351983902693189E-3</v>
      </c>
      <c r="AA42" s="33">
        <f>AA49</f>
        <v>5.475E-2</v>
      </c>
      <c r="AB42" s="4"/>
      <c r="AC42" s="1" cm="1">
        <f t="array" ref="AC42">IF(X42="USD",1,_xll.BDP(X42&amp;"USD CURNCY","PX_LAST"))</f>
        <v>1</v>
      </c>
      <c r="AD42" s="18">
        <v>1036198.13092467</v>
      </c>
      <c r="AE42" s="11">
        <f t="shared" si="169"/>
        <v>1036198.13092467</v>
      </c>
      <c r="AF42" s="5"/>
      <c r="AG42" s="11"/>
      <c r="AH42" s="11"/>
      <c r="AI42" s="5"/>
      <c r="AJ42" s="19"/>
      <c r="AK42" s="20"/>
      <c r="AL42" s="5"/>
      <c r="DF42" s="23"/>
      <c r="DG42" s="5"/>
      <c r="DH42" s="24"/>
      <c r="DI42" s="5"/>
      <c r="DJ42" s="11"/>
      <c r="DK42" s="11"/>
      <c r="DL42" s="5"/>
      <c r="DM42" s="19"/>
      <c r="DN42" s="20"/>
      <c r="DO42" s="5"/>
      <c r="DP42" s="1"/>
      <c r="DQ42" s="1"/>
      <c r="FE42" s="67" t="s">
        <v>89</v>
      </c>
      <c r="FF42" s="68">
        <f>FF41/FF38</f>
        <v>5.475E-2</v>
      </c>
      <c r="GF42" s="64" t="s">
        <v>87</v>
      </c>
      <c r="GG42" s="66">
        <f>GG40+GG41</f>
        <v>5475</v>
      </c>
      <c r="RF42" s="35" t="s">
        <v>81</v>
      </c>
      <c r="RG42" s="36"/>
      <c r="RH42" s="36"/>
      <c r="RI42" s="36"/>
      <c r="RJ42" s="36"/>
      <c r="RK42" s="36"/>
      <c r="RL42" s="36"/>
      <c r="RM42" s="36"/>
      <c r="RN42" s="36"/>
      <c r="RO42" s="36"/>
      <c r="RP42" s="25" t="s">
        <v>81</v>
      </c>
      <c r="RQ42" s="37">
        <f>SUM(RQ6:RQ41)</f>
        <v>1.0000000000000002</v>
      </c>
      <c r="RR42" s="37">
        <f>SUM(RR6:RR41)</f>
        <v>1</v>
      </c>
      <c r="RT42" s="1"/>
      <c r="RU42" s="26"/>
      <c r="RV42" s="46">
        <f>SUM(RV6:RV41)</f>
        <v>100770708.2056686</v>
      </c>
      <c r="RW42" s="5"/>
      <c r="RX42" s="11"/>
      <c r="RY42" s="11"/>
      <c r="RZ42" s="5"/>
      <c r="SA42" s="8"/>
      <c r="SB42" s="8"/>
      <c r="SC42" s="5"/>
      <c r="SD42" s="21"/>
      <c r="SE42" s="22"/>
    </row>
    <row r="43" spans="15:499" ht="15" thickBot="1" x14ac:dyDescent="0.25">
      <c r="O43" s="35" t="s">
        <v>81</v>
      </c>
      <c r="P43" s="36"/>
      <c r="Q43" s="36"/>
      <c r="R43" s="36"/>
      <c r="S43" s="36"/>
      <c r="T43" s="36"/>
      <c r="U43" s="36"/>
      <c r="V43" s="36"/>
      <c r="W43" s="36"/>
      <c r="X43" s="36"/>
      <c r="Y43" s="25" t="s">
        <v>81</v>
      </c>
      <c r="Z43" s="37">
        <f>SUM(Z6:Z42)</f>
        <v>0.99999999999999989</v>
      </c>
      <c r="AA43" s="37">
        <f>SUM(AA6:AA42)</f>
        <v>0.99999999999999967</v>
      </c>
      <c r="AB43" s="4"/>
      <c r="AC43" s="23"/>
      <c r="AD43" s="5"/>
      <c r="AE43" s="24">
        <f>SUM(AE6:AE42)</f>
        <v>205790924.33123505</v>
      </c>
      <c r="AF43" s="5"/>
      <c r="AG43" s="11"/>
      <c r="AH43" s="11"/>
      <c r="AI43" s="5"/>
      <c r="AJ43" s="19"/>
      <c r="AK43" s="20"/>
      <c r="AL43" s="5"/>
      <c r="GF43" s="67" t="s">
        <v>89</v>
      </c>
      <c r="GG43" s="68">
        <f>GG42/GG39</f>
        <v>5.475E-2</v>
      </c>
      <c r="HG43" s="62" t="s">
        <v>86</v>
      </c>
      <c r="HH43" s="63">
        <v>100000</v>
      </c>
      <c r="KJ43" s="62" t="s">
        <v>86</v>
      </c>
      <c r="KK43" s="63">
        <v>100000</v>
      </c>
      <c r="ML43" s="62" t="s">
        <v>86</v>
      </c>
      <c r="MM43" s="63">
        <v>100000</v>
      </c>
      <c r="RT43" s="1"/>
      <c r="RU43" s="26"/>
      <c r="RV43" s="46"/>
      <c r="RW43" s="5"/>
      <c r="RX43" s="11"/>
      <c r="RY43" s="11"/>
      <c r="RZ43" s="5"/>
      <c r="SA43" s="8"/>
      <c r="SB43" s="8"/>
      <c r="SC43" s="5"/>
      <c r="SD43" s="21"/>
      <c r="SE43" s="22"/>
    </row>
    <row r="44" spans="15:499" ht="15" thickBot="1" x14ac:dyDescent="0.25">
      <c r="O44" s="11"/>
      <c r="P44" s="5"/>
      <c r="Q44" s="5"/>
      <c r="R44" s="5"/>
      <c r="S44" s="5"/>
      <c r="T44" s="11"/>
      <c r="U44" s="11"/>
      <c r="V44" s="11"/>
      <c r="W44" s="11"/>
      <c r="X44" s="5"/>
      <c r="AF44" s="5"/>
      <c r="AG44" s="11"/>
      <c r="AH44" s="11"/>
      <c r="AI44" s="5"/>
      <c r="AJ44" s="19"/>
      <c r="AK44" s="20"/>
      <c r="AL44" s="5"/>
      <c r="HG44" s="64" t="s">
        <v>85</v>
      </c>
      <c r="HH44" s="65">
        <v>5000</v>
      </c>
      <c r="KJ44" s="64" t="s">
        <v>85</v>
      </c>
      <c r="KK44" s="65">
        <v>5000</v>
      </c>
      <c r="ML44" s="64" t="s">
        <v>85</v>
      </c>
      <c r="MM44" s="65">
        <v>5000</v>
      </c>
      <c r="RQ44" s="62" t="s">
        <v>86</v>
      </c>
      <c r="RR44" s="63">
        <v>100000</v>
      </c>
      <c r="RT44" s="1"/>
      <c r="RU44" s="26"/>
      <c r="RV44" s="46"/>
      <c r="RW44" s="5"/>
      <c r="RX44" s="11"/>
      <c r="RY44" s="11"/>
      <c r="RZ44" s="5"/>
      <c r="SA44" s="8"/>
      <c r="SB44" s="8"/>
      <c r="SC44" s="5"/>
      <c r="SD44" s="21"/>
      <c r="SE44" s="22"/>
    </row>
    <row r="45" spans="15:499" x14ac:dyDescent="0.2">
      <c r="Z45" s="62" t="s">
        <v>86</v>
      </c>
      <c r="AA45" s="63">
        <v>100000</v>
      </c>
      <c r="AC45" s="26"/>
      <c r="AE45" s="22"/>
      <c r="AF45" s="5"/>
      <c r="AG45" s="11"/>
      <c r="AH45" s="11"/>
      <c r="AI45" s="5"/>
      <c r="AJ45" s="19"/>
      <c r="AK45" s="20"/>
      <c r="AL45" s="5"/>
      <c r="HG45" s="64" t="s">
        <v>88</v>
      </c>
      <c r="HH45" s="66">
        <f>(HH43-HH44)*0.5%</f>
        <v>475</v>
      </c>
      <c r="KJ45" s="64" t="s">
        <v>88</v>
      </c>
      <c r="KK45" s="66">
        <f>(KK43-KK44)*0.5%</f>
        <v>475</v>
      </c>
      <c r="ML45" s="64" t="s">
        <v>88</v>
      </c>
      <c r="MM45" s="66">
        <f>(MM43-MM44)*0.5%</f>
        <v>475</v>
      </c>
      <c r="RQ45" s="64" t="s">
        <v>85</v>
      </c>
      <c r="RR45" s="65">
        <v>5000</v>
      </c>
    </row>
    <row r="46" spans="15:499" x14ac:dyDescent="0.2">
      <c r="Z46" s="64" t="s">
        <v>85</v>
      </c>
      <c r="AA46" s="65">
        <v>5000</v>
      </c>
      <c r="AC46" s="26"/>
      <c r="AE46" s="22"/>
      <c r="AF46" s="5"/>
      <c r="AG46" s="11"/>
      <c r="AH46" s="11"/>
      <c r="AI46" s="5"/>
      <c r="AJ46" s="19"/>
      <c r="AK46" s="20"/>
      <c r="AL46" s="5"/>
      <c r="HG46" s="64" t="s">
        <v>87</v>
      </c>
      <c r="HH46" s="66">
        <f>HH44+HH45</f>
        <v>5475</v>
      </c>
      <c r="KJ46" s="64" t="s">
        <v>87</v>
      </c>
      <c r="KK46" s="66">
        <f>KK44+KK45</f>
        <v>5475</v>
      </c>
      <c r="ML46" s="64" t="s">
        <v>87</v>
      </c>
      <c r="MM46" s="66">
        <f>MM44+MM45</f>
        <v>5475</v>
      </c>
      <c r="RQ46" s="64" t="s">
        <v>88</v>
      </c>
      <c r="RR46" s="66">
        <f>(RR44-RR45)*0.5%</f>
        <v>475</v>
      </c>
    </row>
    <row r="47" spans="15:499" ht="15" thickBot="1" x14ac:dyDescent="0.25">
      <c r="Z47" s="64" t="s">
        <v>88</v>
      </c>
      <c r="AA47" s="66">
        <f>(AA45-AA46)*0.5%</f>
        <v>475</v>
      </c>
      <c r="AC47" s="26"/>
      <c r="AE47" s="22"/>
      <c r="AF47" s="5"/>
      <c r="AG47" s="11"/>
      <c r="AH47" s="11"/>
      <c r="AI47" s="5"/>
      <c r="AJ47" s="19"/>
      <c r="AK47" s="20"/>
      <c r="AL47" s="5"/>
      <c r="HG47" s="67" t="s">
        <v>89</v>
      </c>
      <c r="HH47" s="68">
        <f>HH46/HH43</f>
        <v>5.475E-2</v>
      </c>
      <c r="KJ47" s="67" t="s">
        <v>89</v>
      </c>
      <c r="KK47" s="68">
        <f>KK46/KK43</f>
        <v>5.475E-2</v>
      </c>
      <c r="ML47" s="67" t="s">
        <v>89</v>
      </c>
      <c r="MM47" s="68">
        <f>MM46/MM43</f>
        <v>5.475E-2</v>
      </c>
      <c r="RQ47" s="64" t="s">
        <v>87</v>
      </c>
      <c r="RR47" s="66">
        <f>RR45+RR46</f>
        <v>5475</v>
      </c>
    </row>
    <row r="48" spans="15:499" ht="15" thickBot="1" x14ac:dyDescent="0.25">
      <c r="Z48" s="64" t="s">
        <v>87</v>
      </c>
      <c r="AA48" s="66">
        <f>AA46+AA47</f>
        <v>5475</v>
      </c>
      <c r="AC48" s="26"/>
      <c r="AE48" s="22"/>
      <c r="AF48" s="5"/>
      <c r="AG48" s="11"/>
      <c r="AH48" s="11"/>
      <c r="AI48" s="5"/>
      <c r="AJ48" s="19"/>
      <c r="AK48" s="20"/>
      <c r="AL48" s="5"/>
      <c r="RQ48" s="67" t="s">
        <v>89</v>
      </c>
      <c r="RR48" s="68">
        <f>RR47/RR44</f>
        <v>5.475E-2</v>
      </c>
    </row>
    <row r="49" spans="15:499" ht="15" thickBot="1" x14ac:dyDescent="0.25">
      <c r="Z49" s="67" t="s">
        <v>89</v>
      </c>
      <c r="AA49" s="68">
        <f>AA48/AA45</f>
        <v>5.475E-2</v>
      </c>
      <c r="AC49" s="26"/>
      <c r="AE49" s="22"/>
      <c r="AF49" s="5"/>
      <c r="AG49" s="11"/>
      <c r="AH49" s="11"/>
      <c r="AI49" s="5"/>
      <c r="AJ49" s="19"/>
      <c r="AK49" s="20"/>
      <c r="AL49" s="5"/>
      <c r="RF49" s="55"/>
      <c r="RG49" s="1"/>
      <c r="RH49" s="1"/>
      <c r="RI49" s="1"/>
      <c r="RJ49" s="1"/>
      <c r="RK49" s="51"/>
      <c r="RL49" s="51"/>
      <c r="RM49" s="51"/>
      <c r="RN49" s="51"/>
      <c r="RO49" s="51"/>
      <c r="RP49" s="60"/>
      <c r="RQ49" s="54"/>
      <c r="RR49" s="54"/>
      <c r="RT49" s="1"/>
      <c r="RU49" s="26"/>
      <c r="RV49" s="46"/>
      <c r="RW49" s="26"/>
      <c r="RX49" s="46"/>
      <c r="RY49" s="46"/>
      <c r="RZ49" s="26"/>
      <c r="SA49" s="47"/>
      <c r="SB49" s="47"/>
      <c r="SC49" s="26"/>
      <c r="SD49" s="21"/>
      <c r="SE49" s="22"/>
    </row>
    <row r="50" spans="15:499" x14ac:dyDescent="0.2">
      <c r="AC50" s="26"/>
      <c r="AE50" s="22"/>
      <c r="AF50" s="5"/>
      <c r="AG50" s="11"/>
      <c r="AH50" s="11"/>
      <c r="AI50" s="5"/>
      <c r="AJ50" s="19"/>
      <c r="AK50" s="20"/>
      <c r="AL50" s="5"/>
      <c r="RF50" s="55"/>
      <c r="RG50" s="1"/>
      <c r="RH50" s="1"/>
      <c r="RI50" s="1"/>
      <c r="RJ50" s="1"/>
      <c r="RK50" s="51"/>
      <c r="RL50" s="51"/>
      <c r="RM50" s="51"/>
      <c r="RN50" s="51"/>
      <c r="RO50" s="51"/>
      <c r="RP50" s="60"/>
      <c r="RQ50" s="54"/>
      <c r="RR50" s="54"/>
      <c r="RT50" s="1"/>
      <c r="RU50" s="26"/>
      <c r="RV50" s="46"/>
      <c r="RW50" s="26"/>
      <c r="RX50" s="46"/>
      <c r="RY50" s="46"/>
      <c r="RZ50" s="26"/>
      <c r="SA50" s="47"/>
      <c r="SB50" s="47"/>
    </row>
    <row r="51" spans="15:499" x14ac:dyDescent="0.2">
      <c r="AC51" s="26"/>
      <c r="AE51" s="22"/>
      <c r="AF51" s="5"/>
      <c r="AG51" s="11"/>
      <c r="AH51" s="11"/>
      <c r="AI51" s="5"/>
      <c r="AJ51" s="19"/>
      <c r="AK51" s="20"/>
      <c r="AL51" s="5"/>
    </row>
    <row r="52" spans="15:499" x14ac:dyDescent="0.2">
      <c r="AC52" s="26"/>
      <c r="AE52" s="22"/>
      <c r="AF52" s="5"/>
      <c r="AG52" s="11"/>
      <c r="AH52" s="11"/>
      <c r="AI52" s="5"/>
      <c r="AJ52" s="19"/>
      <c r="AK52" s="20"/>
      <c r="AL52" s="5"/>
    </row>
    <row r="53" spans="15:499" x14ac:dyDescent="0.2">
      <c r="AC53" s="26"/>
      <c r="AE53" s="22"/>
      <c r="AF53" s="5"/>
      <c r="AG53" s="11"/>
      <c r="AH53" s="11"/>
      <c r="AI53" s="5"/>
      <c r="AJ53" s="19"/>
      <c r="AK53" s="20"/>
      <c r="AL53" s="5"/>
    </row>
    <row r="54" spans="15:499" x14ac:dyDescent="0.2">
      <c r="AC54" s="26"/>
      <c r="AE54" s="22"/>
      <c r="AF54" s="5"/>
      <c r="AG54" s="11"/>
      <c r="AH54" s="11"/>
      <c r="AI54" s="5"/>
      <c r="AJ54" s="19"/>
      <c r="AK54" s="20"/>
      <c r="AL54" s="5"/>
    </row>
    <row r="55" spans="15:499" x14ac:dyDescent="0.2">
      <c r="AC55" s="26"/>
      <c r="AE55" s="22"/>
      <c r="AF55" s="5"/>
      <c r="AG55" s="11"/>
      <c r="AH55" s="11"/>
      <c r="AI55" s="5"/>
      <c r="AJ55" s="19"/>
      <c r="AK55" s="20"/>
      <c r="AL55" s="5"/>
    </row>
    <row r="56" spans="15:499" x14ac:dyDescent="0.2">
      <c r="AC56" s="26"/>
      <c r="AE56" s="22"/>
      <c r="AF56" s="5"/>
      <c r="AG56" s="5"/>
      <c r="AH56" s="5"/>
      <c r="AI56" s="5"/>
      <c r="AJ56" s="5"/>
      <c r="AK56" s="5"/>
      <c r="AL56" s="5"/>
    </row>
    <row r="57" spans="15:499" x14ac:dyDescent="0.2">
      <c r="AC57" s="26"/>
      <c r="AE57" s="22"/>
      <c r="AF57" s="5"/>
      <c r="AG57" s="5"/>
      <c r="AH57" s="5"/>
      <c r="AI57" s="5"/>
      <c r="AJ57" s="5"/>
      <c r="AK57" s="5"/>
      <c r="AL57" s="5"/>
    </row>
    <row r="58" spans="15:499" x14ac:dyDescent="0.2">
      <c r="AC58" s="26"/>
      <c r="AE58" s="22"/>
    </row>
    <row r="59" spans="15:499" x14ac:dyDescent="0.2">
      <c r="AC59" s="26"/>
      <c r="AE59" s="22"/>
    </row>
    <row r="60" spans="15:499" x14ac:dyDescent="0.2">
      <c r="AC60" s="26"/>
      <c r="AE60" s="22"/>
    </row>
    <row r="61" spans="15:499" x14ac:dyDescent="0.2">
      <c r="AC61" s="26"/>
      <c r="AE61" s="22"/>
    </row>
    <row r="62" spans="15:499" x14ac:dyDescent="0.2">
      <c r="AC62" s="26"/>
      <c r="AE62" s="22"/>
    </row>
    <row r="63" spans="15:499" x14ac:dyDescent="0.2"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5:499" x14ac:dyDescent="0.2">
      <c r="AC64" s="26"/>
      <c r="AE64" s="22"/>
    </row>
    <row r="65" spans="29:31" x14ac:dyDescent="0.2">
      <c r="AC65" s="26"/>
      <c r="AE65" s="22"/>
    </row>
    <row r="66" spans="29:31" x14ac:dyDescent="0.2">
      <c r="AC66" s="26"/>
      <c r="AE66" s="22"/>
    </row>
    <row r="67" spans="29:31" x14ac:dyDescent="0.2">
      <c r="AC67" s="26"/>
      <c r="AE67" s="22"/>
    </row>
    <row r="68" spans="29:31" x14ac:dyDescent="0.2">
      <c r="AC68" s="26"/>
      <c r="AE68" s="22"/>
    </row>
    <row r="69" spans="29:31" x14ac:dyDescent="0.2">
      <c r="AC69" s="26"/>
      <c r="AE69" s="22"/>
    </row>
    <row r="70" spans="29:31" x14ac:dyDescent="0.2">
      <c r="AC70" s="26"/>
      <c r="AE70" s="22"/>
    </row>
    <row r="71" spans="29:31" x14ac:dyDescent="0.2">
      <c r="AC71" s="26"/>
      <c r="AE71" s="22"/>
    </row>
    <row r="72" spans="29:31" x14ac:dyDescent="0.2">
      <c r="AC72" s="26"/>
      <c r="AE72" s="22"/>
    </row>
    <row r="73" spans="29:31" x14ac:dyDescent="0.2">
      <c r="AC73" s="26"/>
      <c r="AE73" s="22"/>
    </row>
    <row r="74" spans="29:31" x14ac:dyDescent="0.2">
      <c r="AC74" s="26"/>
      <c r="AE74" s="22"/>
    </row>
    <row r="75" spans="29:31" x14ac:dyDescent="0.2">
      <c r="AC75" s="26"/>
      <c r="AE75" s="22"/>
    </row>
    <row r="76" spans="29:31" x14ac:dyDescent="0.2">
      <c r="AC76" s="26"/>
      <c r="AE76" s="22"/>
    </row>
  </sheetData>
  <conditionalFormatting sqref="AE3">
    <cfRule type="cellIs" dxfId="168" priority="160" operator="lessThan">
      <formula>TODAY()-31</formula>
    </cfRule>
  </conditionalFormatting>
  <conditionalFormatting sqref="BF3">
    <cfRule type="cellIs" dxfId="167" priority="151" operator="lessThan">
      <formula>TODAY()-14</formula>
    </cfRule>
  </conditionalFormatting>
  <conditionalFormatting sqref="BL6:BL27 OY6:OY33 HR6:HR40 RA6:RA30 NX6:NX32 MW6:MW40 DN6:DN42 LV32:LV40 LV6:LV30 CM6:CM22 GQ6:GQ39 SB49:SB50 SB6:SB44 AK6:AK55 FP6:FP35 IS6:IS28 PZ6:PZ36">
    <cfRule type="cellIs" dxfId="166" priority="156" operator="greaterThan">
      <formula>0.1</formula>
    </cfRule>
    <cfRule type="cellIs" dxfId="165" priority="157" operator="lessThan">
      <formula>-0.1</formula>
    </cfRule>
    <cfRule type="cellIs" dxfId="164" priority="158" operator="greaterThan">
      <formula>0.05</formula>
    </cfRule>
    <cfRule type="cellIs" dxfId="163" priority="159" operator="lessThan">
      <formula>-0.05</formula>
    </cfRule>
  </conditionalFormatting>
  <conditionalFormatting sqref="CG3">
    <cfRule type="cellIs" dxfId="162" priority="141" operator="lessThan">
      <formula>TODAY()-14</formula>
    </cfRule>
  </conditionalFormatting>
  <conditionalFormatting sqref="DH3">
    <cfRule type="cellIs" dxfId="161" priority="135" operator="lessThan">
      <formula>TODAY()-31</formula>
    </cfRule>
  </conditionalFormatting>
  <conditionalFormatting sqref="EI3">
    <cfRule type="cellIs" dxfId="160" priority="125" operator="lessThan">
      <formula>TODAY()-14</formula>
    </cfRule>
  </conditionalFormatting>
  <conditionalFormatting sqref="EO6:EO27">
    <cfRule type="cellIs" dxfId="159" priority="121" operator="greaterThan">
      <formula>0.1</formula>
    </cfRule>
    <cfRule type="cellIs" dxfId="158" priority="122" operator="lessThan">
      <formula>-0.1</formula>
    </cfRule>
    <cfRule type="cellIs" dxfId="157" priority="123" operator="greaterThan">
      <formula>0.05</formula>
    </cfRule>
    <cfRule type="cellIs" dxfId="156" priority="124" operator="lessThan">
      <formula>-0.05</formula>
    </cfRule>
  </conditionalFormatting>
  <conditionalFormatting sqref="EO27">
    <cfRule type="cellIs" dxfId="155" priority="126" operator="greaterThan">
      <formula>0.1</formula>
    </cfRule>
    <cfRule type="cellIs" dxfId="154" priority="127" operator="lessThan">
      <formula>-0.1</formula>
    </cfRule>
    <cfRule type="cellIs" dxfId="153" priority="128" operator="greaterThan">
      <formula>0.05</formula>
    </cfRule>
    <cfRule type="cellIs" dxfId="152" priority="129" operator="lessThan">
      <formula>-0.05</formula>
    </cfRule>
  </conditionalFormatting>
  <conditionalFormatting sqref="FJ3">
    <cfRule type="cellIs" dxfId="151" priority="110" operator="lessThan">
      <formula>TODAY()-14</formula>
    </cfRule>
  </conditionalFormatting>
  <conditionalFormatting sqref="GK3">
    <cfRule type="cellIs" dxfId="150" priority="105" operator="lessThan">
      <formula>TODAY()-14</formula>
    </cfRule>
  </conditionalFormatting>
  <conditionalFormatting sqref="HL3">
    <cfRule type="cellIs" dxfId="149" priority="100" operator="lessThan">
      <formula>TODAY()-14</formula>
    </cfRule>
  </conditionalFormatting>
  <conditionalFormatting sqref="IM3">
    <cfRule type="cellIs" dxfId="148" priority="95" operator="lessThan">
      <formula>TODAY()-14</formula>
    </cfRule>
  </conditionalFormatting>
  <conditionalFormatting sqref="JN3">
    <cfRule type="cellIs" dxfId="147" priority="90" operator="lessThan">
      <formula>TODAY()-14</formula>
    </cfRule>
  </conditionalFormatting>
  <conditionalFormatting sqref="JT6:JT33">
    <cfRule type="cellIs" dxfId="146" priority="34" operator="greaterThan">
      <formula>0.1</formula>
    </cfRule>
    <cfRule type="cellIs" dxfId="145" priority="35" operator="lessThan">
      <formula>-0.1</formula>
    </cfRule>
    <cfRule type="cellIs" dxfId="144" priority="36" operator="greaterThan">
      <formula>0.05</formula>
    </cfRule>
    <cfRule type="cellIs" dxfId="143" priority="37" operator="lessThan">
      <formula>-0.05</formula>
    </cfRule>
  </conditionalFormatting>
  <conditionalFormatting sqref="KO3">
    <cfRule type="cellIs" dxfId="142" priority="85" operator="lessThan">
      <formula>TODAY()-14</formula>
    </cfRule>
  </conditionalFormatting>
  <conditionalFormatting sqref="KU6:KU40">
    <cfRule type="cellIs" dxfId="141" priority="30" operator="greaterThan">
      <formula>0.1</formula>
    </cfRule>
    <cfRule type="cellIs" dxfId="140" priority="31" operator="lessThan">
      <formula>-0.1</formula>
    </cfRule>
    <cfRule type="cellIs" dxfId="139" priority="32" operator="greaterThan">
      <formula>0.05</formula>
    </cfRule>
    <cfRule type="cellIs" dxfId="138" priority="33" operator="lessThan">
      <formula>-0.05</formula>
    </cfRule>
  </conditionalFormatting>
  <conditionalFormatting sqref="LP3">
    <cfRule type="cellIs" dxfId="137" priority="79" operator="lessThan">
      <formula>TODAY()-14</formula>
    </cfRule>
  </conditionalFormatting>
  <conditionalFormatting sqref="MQ3">
    <cfRule type="cellIs" dxfId="136" priority="74" operator="lessThan">
      <formula>TODAY()-14</formula>
    </cfRule>
  </conditionalFormatting>
  <conditionalFormatting sqref="NR3">
    <cfRule type="cellIs" dxfId="135" priority="69" operator="lessThan">
      <formula>TODAY()-14</formula>
    </cfRule>
  </conditionalFormatting>
  <conditionalFormatting sqref="OS3">
    <cfRule type="cellIs" dxfId="134" priority="60" operator="lessThan">
      <formula>TODAY()-14</formula>
    </cfRule>
  </conditionalFormatting>
  <conditionalFormatting sqref="PT3">
    <cfRule type="cellIs" dxfId="133" priority="55" operator="lessThan">
      <formula>TODAY()-14</formula>
    </cfRule>
  </conditionalFormatting>
  <conditionalFormatting sqref="QU3">
    <cfRule type="cellIs" dxfId="132" priority="50" operator="lessThan">
      <formula>TODAY()-14</formula>
    </cfRule>
  </conditionalFormatting>
  <conditionalFormatting sqref="RV3">
    <cfRule type="cellIs" dxfId="131" priority="1" operator="lessThan">
      <formula>TODAY()-14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3954-FE29-4516-9A70-00AE92179317}">
  <sheetPr codeName="Sheet6"/>
  <dimension ref="A1:AJ36"/>
  <sheetViews>
    <sheetView zoomScale="90" zoomScaleNormal="90" workbookViewId="0">
      <selection activeCell="H5" sqref="H5"/>
    </sheetView>
  </sheetViews>
  <sheetFormatPr defaultColWidth="8.796875" defaultRowHeight="14.25" x14ac:dyDescent="0.2"/>
  <cols>
    <col min="1" max="1" width="11" style="1" bestFit="1" customWidth="1"/>
    <col min="2" max="2" width="8.796875" style="1"/>
    <col min="3" max="3" width="51" style="1" bestFit="1" customWidth="1"/>
    <col min="4" max="4" width="8.19921875" style="1" bestFit="1" customWidth="1"/>
    <col min="5" max="5" width="7.296875" style="1" bestFit="1" customWidth="1"/>
    <col min="6" max="6" width="12" style="1" bestFit="1" customWidth="1"/>
    <col min="7" max="7" width="11.09765625" style="1" bestFit="1" customWidth="1"/>
    <col min="8" max="8" width="9.5" style="1" bestFit="1" customWidth="1"/>
    <col min="9" max="9" width="13.3984375" style="1" bestFit="1" customWidth="1"/>
    <col min="10" max="10" width="10.3984375" style="1" bestFit="1" customWidth="1"/>
    <col min="11" max="11" width="5.8984375" style="1" bestFit="1" customWidth="1"/>
    <col min="12" max="12" width="5.8984375" style="1" customWidth="1"/>
    <col min="13" max="13" width="11.796875" style="1" bestFit="1" customWidth="1"/>
    <col min="14" max="14" width="4.09765625" style="1" bestFit="1" customWidth="1"/>
    <col min="15" max="15" width="10.3984375" style="1" bestFit="1" customWidth="1"/>
    <col min="16" max="16" width="5.3984375" style="1" bestFit="1" customWidth="1"/>
    <col min="17" max="17" width="24" style="1" bestFit="1" customWidth="1"/>
    <col min="18" max="18" width="8" style="1" bestFit="1" customWidth="1"/>
    <col min="19" max="19" width="24" style="1" bestFit="1" customWidth="1"/>
    <col min="20" max="20" width="8" style="1" bestFit="1" customWidth="1"/>
    <col min="21" max="21" width="24" style="1" bestFit="1" customWidth="1"/>
    <col min="22" max="22" width="8" style="1" bestFit="1" customWidth="1"/>
    <col min="23" max="23" width="24" style="1" bestFit="1" customWidth="1"/>
    <col min="24" max="24" width="8" style="1" bestFit="1" customWidth="1"/>
    <col min="25" max="25" width="8.796875" style="1"/>
    <col min="26" max="26" width="8" style="1" bestFit="1" customWidth="1"/>
    <col min="27" max="27" width="11.19921875" style="1" bestFit="1" customWidth="1"/>
    <col min="28" max="28" width="8" style="1" bestFit="1" customWidth="1"/>
    <col min="29" max="29" width="11.09765625" style="1" bestFit="1" customWidth="1"/>
    <col min="30" max="30" width="11.5" style="1" bestFit="1" customWidth="1"/>
    <col min="31" max="31" width="12.09765625" style="1" bestFit="1" customWidth="1"/>
    <col min="32" max="32" width="11.5" style="1" bestFit="1" customWidth="1"/>
    <col min="33" max="33" width="9.69921875" style="1" bestFit="1" customWidth="1"/>
    <col min="34" max="34" width="11.5" style="1" bestFit="1" customWidth="1"/>
    <col min="35" max="35" width="12.5" style="1" bestFit="1" customWidth="1"/>
    <col min="36" max="36" width="11.5" style="1" bestFit="1" customWidth="1"/>
    <col min="37" max="16384" width="8.796875" style="1"/>
  </cols>
  <sheetData>
    <row r="1" spans="1:36" x14ac:dyDescent="0.2">
      <c r="A1" s="76" t="s">
        <v>0</v>
      </c>
      <c r="C1" s="95" t="s">
        <v>499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6"/>
    </row>
    <row r="2" spans="1:36" x14ac:dyDescent="0.2">
      <c r="A2" s="85" t="s">
        <v>433</v>
      </c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1426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554</v>
      </c>
      <c r="Q2" s="99" t="s">
        <v>470</v>
      </c>
      <c r="R2" s="99" t="s">
        <v>536</v>
      </c>
      <c r="S2" s="100" t="s">
        <v>500</v>
      </c>
      <c r="T2" s="100" t="s">
        <v>537</v>
      </c>
      <c r="U2" s="101" t="s">
        <v>501</v>
      </c>
      <c r="V2" s="101" t="s">
        <v>538</v>
      </c>
      <c r="W2" s="102" t="s">
        <v>502</v>
      </c>
      <c r="X2" s="102" t="s">
        <v>539</v>
      </c>
      <c r="AC2" s="163" t="s">
        <v>470</v>
      </c>
      <c r="AD2" s="163"/>
      <c r="AE2" s="164" t="s">
        <v>500</v>
      </c>
      <c r="AF2" s="164"/>
      <c r="AG2" s="165" t="s">
        <v>501</v>
      </c>
      <c r="AH2" s="165"/>
      <c r="AI2" s="166" t="s">
        <v>502</v>
      </c>
      <c r="AJ2" s="166"/>
    </row>
    <row r="3" spans="1:36" x14ac:dyDescent="0.2">
      <c r="C3" s="106" t="s">
        <v>16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AB3" s="13" t="s">
        <v>162</v>
      </c>
      <c r="AC3" s="14" t="s">
        <v>18</v>
      </c>
      <c r="AD3" s="15" t="s">
        <v>19</v>
      </c>
      <c r="AE3" s="14" t="s">
        <v>18</v>
      </c>
      <c r="AF3" s="15" t="s">
        <v>19</v>
      </c>
      <c r="AG3" s="14" t="s">
        <v>18</v>
      </c>
      <c r="AH3" s="15" t="s">
        <v>19</v>
      </c>
      <c r="AI3" s="14" t="s">
        <v>18</v>
      </c>
      <c r="AJ3" s="15" t="s">
        <v>19</v>
      </c>
    </row>
    <row r="4" spans="1:36" x14ac:dyDescent="0.2">
      <c r="C4" s="86" t="str" cm="1">
        <f t="array" ref="C4">_xll.BDP(D4&amp;" Equity","DS520")</f>
        <v>SS SPDR S&amp;P 500 UCITS ETF</v>
      </c>
      <c r="D4" s="86" t="s">
        <v>1349</v>
      </c>
      <c r="E4" s="86" t="s">
        <v>1354</v>
      </c>
      <c r="F4" s="86" t="s">
        <v>552</v>
      </c>
      <c r="G4" s="86" t="s">
        <v>26</v>
      </c>
      <c r="H4" s="86" t="str" cm="1">
        <f t="array" ref="H4">_xll.BDP(D4&amp;" Equity", "ID_ISIN")</f>
        <v>IE00BYYW2S15</v>
      </c>
      <c r="I4" s="86"/>
      <c r="J4" s="34" t="str" cm="1">
        <f t="array" ref="J4">_xll.BDP(D4&amp;" Equity","FD121")</f>
        <v>Equity</v>
      </c>
      <c r="K4" s="34" t="s">
        <v>453</v>
      </c>
      <c r="L4" s="34" t="s">
        <v>1284</v>
      </c>
      <c r="M4" s="34" t="str">
        <f>_xll.BDP(D4&amp;" Equity", "DS197")</f>
        <v>London</v>
      </c>
      <c r="N4" s="1" t="str">
        <f>_xll.BDP(D4&amp;" Equity", "DS004")</f>
        <v>GBP</v>
      </c>
      <c r="O4" s="111">
        <f>_xll.BDP(D4&amp;" Equity", "FUND_EXPENSE_RATIO")</f>
        <v>0.05</v>
      </c>
      <c r="P4" s="111">
        <f>_xll.BDP(D4&amp;" Equity", "PX_LAST")</f>
        <v>7.5895000000000001</v>
      </c>
      <c r="Q4" s="112">
        <f t="shared" ref="Q4:Q12" si="0">AD4/$AD$21</f>
        <v>0.25690494236454303</v>
      </c>
      <c r="R4" s="112">
        <f t="shared" ref="R4:R12" si="1">Q4*(1-$R$36)/(1-$Q$20)</f>
        <v>0.25692142588775907</v>
      </c>
      <c r="S4" s="113">
        <f t="shared" ref="S4:S12" si="2">AF4/$AF$21</f>
        <v>0.1857321296922281</v>
      </c>
      <c r="T4" s="113">
        <f t="shared" ref="T4:T12" si="3">S4*(1-$T$36)/(1-$S$20)</f>
        <v>0.17643316250366339</v>
      </c>
      <c r="U4" s="114">
        <f t="shared" ref="U4:U12" si="4">AH4/$AH$21</f>
        <v>0.12319496207759675</v>
      </c>
      <c r="V4" s="114">
        <f t="shared" ref="V4:V12" si="5">U4*(1-$V$36)/(1-$U$20)</f>
        <v>0.1170183464189532</v>
      </c>
      <c r="W4" s="115">
        <f t="shared" ref="W4:W12" si="6">AJ4/$AJ$21</f>
        <v>8.6018120351617114E-2</v>
      </c>
      <c r="X4" s="115">
        <f t="shared" ref="X4:X12" si="7">W4*(1-$X$36)/(1-$W$20)</f>
        <v>8.1691997467115238E-2</v>
      </c>
      <c r="AB4" s="1" cm="1">
        <f t="array" ref="AB4">IF(N4="GBP",1,_xll.BDP(N4&amp;"GBP CURNCY","PX_LAST"))</f>
        <v>1</v>
      </c>
      <c r="AC4" s="18">
        <v>4044159.5234049698</v>
      </c>
      <c r="AD4" s="11">
        <f t="shared" ref="AD4:AD12" si="8">AC4*P4*AB4</f>
        <v>30693148.702882018</v>
      </c>
      <c r="AE4" s="18">
        <v>14379070.468897101</v>
      </c>
      <c r="AF4" s="11">
        <f t="shared" ref="AF4:AF12" si="9">AE4*P4*AB4</f>
        <v>109129955.32369454</v>
      </c>
      <c r="AG4" s="18">
        <v>8.4763312795087398</v>
      </c>
      <c r="AH4" s="11">
        <f t="shared" ref="AH4:AH12" si="10">AG4*P4*AB4</f>
        <v>64.331116245831581</v>
      </c>
      <c r="AI4" s="18">
        <v>5888866.2609102698</v>
      </c>
      <c r="AJ4" s="11">
        <f t="shared" ref="AJ4:AJ12" si="11">AI4*P4*AB4</f>
        <v>44693550.487178497</v>
      </c>
    </row>
    <row r="5" spans="1:36" x14ac:dyDescent="0.2">
      <c r="C5" s="86" t="str" cm="1">
        <f t="array" ref="C5">_xll.BDP(D5&amp;" Equity","DS520")</f>
        <v>Xtrackers MSCI World ex USA UCITS ETF</v>
      </c>
      <c r="D5" s="86" t="s">
        <v>1350</v>
      </c>
      <c r="E5" s="86" t="s">
        <v>1355</v>
      </c>
      <c r="F5" s="86" t="s">
        <v>552</v>
      </c>
      <c r="G5" s="86" t="s">
        <v>26</v>
      </c>
      <c r="H5" s="86" t="str" cm="1">
        <f t="array" ref="H5">_xll.BDP(D5&amp;" Equity", "ID_ISIN")</f>
        <v>IE0006WW1TQ4</v>
      </c>
      <c r="I5" s="86"/>
      <c r="J5" s="34" t="str" cm="1">
        <f t="array" ref="J5">_xll.BDP(D5&amp;" Equity","FD121")</f>
        <v>Equity</v>
      </c>
      <c r="K5" s="34" t="s">
        <v>453</v>
      </c>
      <c r="L5" s="34" t="s">
        <v>444</v>
      </c>
      <c r="M5" s="34" t="str">
        <f>_xll.BDP(D5&amp;" Equity", "DS197")</f>
        <v>London</v>
      </c>
      <c r="N5" s="1" t="str">
        <f>_xll.BDP(D5&amp;" Equity", "DS004")</f>
        <v>GBP</v>
      </c>
      <c r="O5" s="111">
        <f>_xll.BDP(D5&amp;" Equity", "FUND_EXPENSE_RATIO")</f>
        <v>0.15</v>
      </c>
      <c r="P5" s="111">
        <f>_xll.BDP(D5&amp;" Equity", "PX_LAST")</f>
        <v>31.83</v>
      </c>
      <c r="Q5" s="112">
        <f t="shared" si="0"/>
        <v>8.6739248669566199E-2</v>
      </c>
      <c r="R5" s="112">
        <f t="shared" si="1"/>
        <v>8.6744814029290421E-2</v>
      </c>
      <c r="S5" s="113">
        <f t="shared" si="2"/>
        <v>6.2654461331296443E-2</v>
      </c>
      <c r="T5" s="113">
        <f t="shared" si="3"/>
        <v>5.9517568532498684E-2</v>
      </c>
      <c r="U5" s="114">
        <f t="shared" si="4"/>
        <v>4.1594522674941188E-2</v>
      </c>
      <c r="V5" s="114">
        <f t="shared" si="5"/>
        <v>3.9509101520251236E-2</v>
      </c>
      <c r="W5" s="115">
        <f t="shared" si="6"/>
        <v>2.9075333595252356E-2</v>
      </c>
      <c r="X5" s="115">
        <f t="shared" si="7"/>
        <v>2.7613043260067385E-2</v>
      </c>
      <c r="AB5" s="1" cm="1">
        <f t="array" ref="AB5">IF(N5="GBP",1,_xll.BDP(N5&amp;"GBP CURNCY","PX_LAST"))</f>
        <v>1</v>
      </c>
      <c r="AC5" s="18">
        <v>325572.71522977302</v>
      </c>
      <c r="AD5" s="11">
        <f t="shared" si="8"/>
        <v>10362979.525763676</v>
      </c>
      <c r="AE5" s="18">
        <v>1156571.00575299</v>
      </c>
      <c r="AF5" s="11">
        <f t="shared" si="9"/>
        <v>36813655.113117673</v>
      </c>
      <c r="AG5" s="18">
        <v>0.682382130053373</v>
      </c>
      <c r="AH5" s="11">
        <f t="shared" si="10"/>
        <v>21.720223199598863</v>
      </c>
      <c r="AI5" s="18">
        <v>474616.65714871202</v>
      </c>
      <c r="AJ5" s="11">
        <f t="shared" si="11"/>
        <v>15107048.197043503</v>
      </c>
    </row>
    <row r="6" spans="1:36" x14ac:dyDescent="0.2">
      <c r="C6" s="86" t="str" cm="1">
        <f t="array" ref="C6">_xll.BDP(D6&amp;" Equity","DS520")</f>
        <v>Xtrackers MSCI Emerging Markets UCITS ETF</v>
      </c>
      <c r="D6" s="86" t="s">
        <v>1351</v>
      </c>
      <c r="E6" s="86" t="s">
        <v>1356</v>
      </c>
      <c r="F6" s="86" t="s">
        <v>552</v>
      </c>
      <c r="G6" s="86" t="s">
        <v>26</v>
      </c>
      <c r="H6" s="86" t="str" cm="1">
        <f t="array" ref="H6">_xll.BDP(D6&amp;" Equity", "ID_ISIN")</f>
        <v>IE00BTJRMP35</v>
      </c>
      <c r="I6" s="86"/>
      <c r="J6" s="34" t="str" cm="1">
        <f t="array" ref="J6">_xll.BDP(D6&amp;" Equity","FD121")</f>
        <v>Equity</v>
      </c>
      <c r="K6" s="34" t="s">
        <v>446</v>
      </c>
      <c r="L6" s="34" t="s">
        <v>450</v>
      </c>
      <c r="M6" s="34" t="str">
        <f>_xll.BDP(D6&amp;" Equity", "DS197")</f>
        <v>London</v>
      </c>
      <c r="N6" s="139" t="str">
        <f>_xll.BDP(D6&amp;" Equity", "DS004")</f>
        <v>GBp</v>
      </c>
      <c r="O6" s="111">
        <f>_xll.BDP(D6&amp;" Equity", "FUND_EXPENSE_RATIO")</f>
        <v>0.18</v>
      </c>
      <c r="P6" s="111">
        <f>_xll.BDP(D6&amp;" Equity", "PX_LAST")/100</f>
        <v>59.645000000000003</v>
      </c>
      <c r="Q6" s="112">
        <f t="shared" si="0"/>
        <v>0.16012329265748024</v>
      </c>
      <c r="R6" s="112">
        <f t="shared" si="1"/>
        <v>0.16013356648089389</v>
      </c>
      <c r="S6" s="113">
        <f t="shared" si="2"/>
        <v>0.11573222557069263</v>
      </c>
      <c r="T6" s="113">
        <f t="shared" si="3"/>
        <v>0.10993791216878006</v>
      </c>
      <c r="U6" s="114">
        <f t="shared" si="4"/>
        <v>7.6784754645501746E-2</v>
      </c>
      <c r="V6" s="114">
        <f t="shared" si="5"/>
        <v>7.2935003731257525E-2</v>
      </c>
      <c r="W6" s="115">
        <f t="shared" si="6"/>
        <v>5.3575285275122328E-2</v>
      </c>
      <c r="X6" s="115">
        <f t="shared" si="7"/>
        <v>5.0880815008566851E-2</v>
      </c>
      <c r="AB6" s="1" cm="1">
        <f t="array" ref="AB6">IF(N6="GBP",1,_xll.BDP(N6&amp;"GBP CURNCY","PX_LAST"))</f>
        <v>1</v>
      </c>
      <c r="AC6" s="18">
        <v>320737.28839850402</v>
      </c>
      <c r="AD6" s="11">
        <f t="shared" si="8"/>
        <v>19130375.566528775</v>
      </c>
      <c r="AE6" s="18">
        <v>1140084.9186301201</v>
      </c>
      <c r="AF6" s="11">
        <f t="shared" si="9"/>
        <v>68000364.971693516</v>
      </c>
      <c r="AG6" s="18">
        <v>0.67224734692663002</v>
      </c>
      <c r="AH6" s="11">
        <f t="shared" si="10"/>
        <v>40.096193007438849</v>
      </c>
      <c r="AI6" s="18">
        <v>466708.12083869398</v>
      </c>
      <c r="AJ6" s="11">
        <f t="shared" si="11"/>
        <v>27836805.867423903</v>
      </c>
    </row>
    <row r="7" spans="1:36" x14ac:dyDescent="0.2">
      <c r="C7" s="86" t="str" cm="1">
        <f t="array" ref="C7">_xll.BDP(D7&amp;" Equity","DS520")</f>
        <v>JPMorgan Global Research Enhanced Index Equity Active UCITS ETF</v>
      </c>
      <c r="D7" s="86" t="s">
        <v>503</v>
      </c>
      <c r="E7" s="86" t="s">
        <v>655</v>
      </c>
      <c r="F7" s="86" t="s">
        <v>552</v>
      </c>
      <c r="G7" s="86" t="s">
        <v>26</v>
      </c>
      <c r="H7" s="86" t="str" cm="1">
        <f t="array" ref="H7">_xll.BDP(D7&amp;" Equity", "ID_ISIN")</f>
        <v>IE000D9DX847</v>
      </c>
      <c r="I7" s="86"/>
      <c r="J7" s="34" t="str" cm="1">
        <f t="array" ref="J7">_xll.BDP(D7&amp;" Equity","FD121")</f>
        <v>Equity</v>
      </c>
      <c r="K7" s="34" t="s">
        <v>443</v>
      </c>
      <c r="L7" s="34" t="s">
        <v>444</v>
      </c>
      <c r="M7" s="34" t="str">
        <f>_xll.BDP(D7&amp;" Equity", "DS197")</f>
        <v>London</v>
      </c>
      <c r="N7" s="139" t="str">
        <f>_xll.BDP(D7&amp;" Equity", "DS004")</f>
        <v>GBp</v>
      </c>
      <c r="O7" s="111">
        <f>_xll.BDP(D7&amp;" Equity", "FUND_EXPENSE_RATIO")</f>
        <v>0.25</v>
      </c>
      <c r="P7" s="111">
        <f>_xll.BDP(D7&amp;" Equity", "PX_LAST")/100</f>
        <v>44.91</v>
      </c>
      <c r="Q7" s="112">
        <f t="shared" si="0"/>
        <v>0.18444599098784409</v>
      </c>
      <c r="R7" s="112">
        <f t="shared" si="1"/>
        <v>0.18445782540312072</v>
      </c>
      <c r="S7" s="113">
        <f t="shared" si="2"/>
        <v>0.1333243106083711</v>
      </c>
      <c r="T7" s="113">
        <f t="shared" si="3"/>
        <v>0.12664922217946192</v>
      </c>
      <c r="U7" s="114">
        <f t="shared" si="4"/>
        <v>8.8448344574348636E-2</v>
      </c>
      <c r="V7" s="114">
        <f t="shared" si="5"/>
        <v>8.4013817213279135E-2</v>
      </c>
      <c r="W7" s="115">
        <f t="shared" si="6"/>
        <v>6.1728719588859386E-2</v>
      </c>
      <c r="X7" s="115">
        <f t="shared" si="7"/>
        <v>5.8624187365267928E-2</v>
      </c>
      <c r="AB7" s="1" cm="1">
        <f t="array" ref="AB7">IF(N7="GBP",1,_xll.BDP(N7&amp;"GBP CURNCY","PX_LAST"))</f>
        <v>1</v>
      </c>
      <c r="AC7" s="18">
        <v>490676.37612762098</v>
      </c>
      <c r="AD7" s="11">
        <f t="shared" si="8"/>
        <v>22036276.051891457</v>
      </c>
      <c r="AE7" s="18">
        <v>1744308.2323711801</v>
      </c>
      <c r="AF7" s="11">
        <f t="shared" si="9"/>
        <v>78336882.715789691</v>
      </c>
      <c r="AG7" s="18">
        <v>1.02843013264343</v>
      </c>
      <c r="AH7" s="11">
        <f t="shared" si="10"/>
        <v>46.186797257016437</v>
      </c>
      <c r="AI7" s="18">
        <v>714165.92045753798</v>
      </c>
      <c r="AJ7" s="11">
        <f t="shared" si="11"/>
        <v>32073191.487748027</v>
      </c>
    </row>
    <row r="8" spans="1:36" x14ac:dyDescent="0.2">
      <c r="C8" s="86" t="str" cm="1">
        <f t="array" ref="C8">_xll.BDP(D8&amp;" Equity","DS520")</f>
        <v>Invesco Global Enhanced Equity UCITS ETF</v>
      </c>
      <c r="D8" s="86" t="s">
        <v>1352</v>
      </c>
      <c r="E8" s="86" t="s">
        <v>1357</v>
      </c>
      <c r="F8" s="86" t="s">
        <v>552</v>
      </c>
      <c r="G8" s="86" t="s">
        <v>26</v>
      </c>
      <c r="H8" s="86" t="str" cm="1">
        <f t="array" ref="H8">_xll.BDP(D8&amp;" Equity", "ID_ISIN")</f>
        <v>IE000HGM78N6</v>
      </c>
      <c r="I8" s="86"/>
      <c r="J8" s="34" t="str" cm="1">
        <f t="array" ref="J8">_xll.BDP(D8&amp;" Equity","FD121")</f>
        <v>Equity</v>
      </c>
      <c r="K8" s="34" t="s">
        <v>1402</v>
      </c>
      <c r="L8" s="34"/>
      <c r="M8" s="34" t="str">
        <f>_xll.BDP(D8&amp;" Equity", "DS197")</f>
        <v>London</v>
      </c>
      <c r="N8" s="139" t="str">
        <f>_xll.BDP(D8&amp;" Equity", "DS004")</f>
        <v>GBp</v>
      </c>
      <c r="O8" s="111">
        <f>_xll.BDP(D8&amp;" Equity", "FUND_EXPENSE_RATIO")</f>
        <v>0.28999999999999998</v>
      </c>
      <c r="P8" s="111">
        <f>_xll.BDP(D8&amp;" Equity", "PX_LAST")/100</f>
        <v>5.9589999999999996</v>
      </c>
      <c r="Q8" s="112">
        <f t="shared" si="0"/>
        <v>0.18478814697595256</v>
      </c>
      <c r="R8" s="112">
        <f t="shared" si="1"/>
        <v>0.18480000334462612</v>
      </c>
      <c r="S8" s="113">
        <f t="shared" si="2"/>
        <v>0.13357163347503137</v>
      </c>
      <c r="T8" s="113">
        <f t="shared" si="3"/>
        <v>0.12688416244314515</v>
      </c>
      <c r="U8" s="114">
        <f t="shared" si="4"/>
        <v>8.8612420413418297E-2</v>
      </c>
      <c r="V8" s="114">
        <f t="shared" si="5"/>
        <v>8.4169666795530229E-2</v>
      </c>
      <c r="W8" s="115">
        <f t="shared" si="6"/>
        <v>6.1843229266909237E-2</v>
      </c>
      <c r="X8" s="115">
        <f t="shared" si="7"/>
        <v>5.8732937990031292E-2</v>
      </c>
      <c r="AB8" s="1" cm="1">
        <f t="array" ref="AB8">IF(N8="GBP",1,_xll.BDP(N8&amp;"GBP CURNCY","PX_LAST"))</f>
        <v>1</v>
      </c>
      <c r="AC8" s="18">
        <v>3704842.1514303298</v>
      </c>
      <c r="AD8" s="11">
        <f t="shared" si="8"/>
        <v>22077154.380373333</v>
      </c>
      <c r="AE8" s="18">
        <v>13170364.3761624</v>
      </c>
      <c r="AF8" s="11">
        <f t="shared" si="9"/>
        <v>78482201.317551747</v>
      </c>
      <c r="AG8" s="18">
        <v>7.7651411206873799</v>
      </c>
      <c r="AH8" s="11">
        <f t="shared" si="10"/>
        <v>46.272475938176093</v>
      </c>
      <c r="AI8" s="18">
        <v>5392295.48018419</v>
      </c>
      <c r="AJ8" s="11">
        <f t="shared" si="11"/>
        <v>32132688.766417585</v>
      </c>
    </row>
    <row r="9" spans="1:36" x14ac:dyDescent="0.2">
      <c r="C9" s="86" t="str" cm="1">
        <f t="array" ref="C9">_xll.BDP(D9&amp;" Equity","DS520")</f>
        <v>Xtrackers MSCI Europe UCITS ETF</v>
      </c>
      <c r="D9" s="86" t="s">
        <v>504</v>
      </c>
      <c r="E9" s="86" t="s">
        <v>603</v>
      </c>
      <c r="F9" s="86" t="s">
        <v>552</v>
      </c>
      <c r="G9" s="86" t="s">
        <v>26</v>
      </c>
      <c r="H9" s="86" t="str" cm="1">
        <f t="array" ref="H9">_xll.BDP(D9&amp;" Equity", "ID_ISIN")</f>
        <v>LU0274209237</v>
      </c>
      <c r="I9" s="86"/>
      <c r="J9" s="34" t="str" cm="1">
        <f t="array" ref="J9">_xll.BDP(D9&amp;" Equity","FD121")</f>
        <v>Equity</v>
      </c>
      <c r="K9" s="34" t="s">
        <v>446</v>
      </c>
      <c r="L9" s="34" t="s">
        <v>452</v>
      </c>
      <c r="M9" s="34" t="str">
        <f>_xll.BDP(D9&amp;" Equity", "DS197")</f>
        <v>London</v>
      </c>
      <c r="N9" s="139" t="str">
        <f>_xll.BDP(D9&amp;" Equity", "DS004")</f>
        <v>GBp</v>
      </c>
      <c r="O9" s="111">
        <f>_xll.BDP(D9&amp;" Equity", "FUND_EXPENSE_RATIO")</f>
        <v>0.12</v>
      </c>
      <c r="P9" s="111">
        <f>_xll.BDP(D9&amp;" Equity", "PX_LAST")/100</f>
        <v>95.4</v>
      </c>
      <c r="Q9" s="112">
        <f t="shared" si="0"/>
        <v>4.0069677922630449E-2</v>
      </c>
      <c r="R9" s="112">
        <f t="shared" si="1"/>
        <v>4.00722488714811E-2</v>
      </c>
      <c r="S9" s="113">
        <f t="shared" si="2"/>
        <v>2.8961139425271735E-2</v>
      </c>
      <c r="T9" s="113">
        <f t="shared" si="3"/>
        <v>2.7511155054202957E-2</v>
      </c>
      <c r="U9" s="114">
        <f t="shared" si="4"/>
        <v>1.9214820885521806E-2</v>
      </c>
      <c r="V9" s="114">
        <f t="shared" si="5"/>
        <v>1.8251448994674589E-2</v>
      </c>
      <c r="W9" s="115">
        <f t="shared" si="6"/>
        <v>1.3431511922509564E-2</v>
      </c>
      <c r="X9" s="115">
        <f t="shared" si="7"/>
        <v>1.2755998776396786E-2</v>
      </c>
      <c r="AB9" s="1" cm="1">
        <f t="array" ref="AB9">IF(N9="GBP",1,_xll.BDP(N9&amp;"GBP CURNCY","PX_LAST"))</f>
        <v>1</v>
      </c>
      <c r="AC9" s="18">
        <v>50180.670626577703</v>
      </c>
      <c r="AD9" s="11">
        <f t="shared" si="8"/>
        <v>4787235.9777755132</v>
      </c>
      <c r="AE9" s="18">
        <v>178370.98415892699</v>
      </c>
      <c r="AF9" s="11">
        <f t="shared" si="9"/>
        <v>17016591.888761636</v>
      </c>
      <c r="AG9" s="18">
        <v>0.105175867963949</v>
      </c>
      <c r="AH9" s="11">
        <f t="shared" si="10"/>
        <v>10.033777803760735</v>
      </c>
      <c r="AI9" s="18">
        <v>73152.881160383302</v>
      </c>
      <c r="AJ9" s="11">
        <f t="shared" si="11"/>
        <v>6978784.8627005676</v>
      </c>
    </row>
    <row r="10" spans="1:36" x14ac:dyDescent="0.2">
      <c r="C10" s="86" t="str" cm="1">
        <f t="array" ref="C10">_xll.BDP(D10&amp;" Equity","DS520")</f>
        <v>Xtrackers MSCI World Health Care UCITS ETF</v>
      </c>
      <c r="D10" s="86" t="s">
        <v>505</v>
      </c>
      <c r="E10" s="86" t="s">
        <v>604</v>
      </c>
      <c r="F10" s="86" t="s">
        <v>552</v>
      </c>
      <c r="G10" s="86" t="s">
        <v>26</v>
      </c>
      <c r="H10" s="86" t="str" cm="1">
        <f t="array" ref="H10">_xll.BDP(D10&amp;" Equity", "ID_ISIN")</f>
        <v>IE00BM67HK77</v>
      </c>
      <c r="I10" s="86"/>
      <c r="J10" s="34" t="str" cm="1">
        <f t="array" ref="J10">_xll.BDP(D10&amp;" Equity","FD121")</f>
        <v>Equity</v>
      </c>
      <c r="K10" s="34" t="s">
        <v>446</v>
      </c>
      <c r="L10" s="34" t="s">
        <v>455</v>
      </c>
      <c r="M10" s="34" t="str">
        <f>_xll.BDP(D10&amp;" Equity", "DS197")</f>
        <v>London</v>
      </c>
      <c r="N10" s="1" t="str">
        <f>_xll.BDP(D10&amp;" Equity", "DS004")</f>
        <v>GBP</v>
      </c>
      <c r="O10" s="111">
        <f>_xll.BDP(D10&amp;" Equity", "FUND_EXPENSE_RATIO")</f>
        <v>0.25</v>
      </c>
      <c r="P10" s="111">
        <f>_xll.BDP(D10&amp;" Equity", "PX_LAST")</f>
        <v>43.615000000000002</v>
      </c>
      <c r="Q10" s="112">
        <f t="shared" si="0"/>
        <v>4.0515341047107266E-2</v>
      </c>
      <c r="R10" s="112">
        <f t="shared" si="1"/>
        <v>4.0517940590575015E-2</v>
      </c>
      <c r="S10" s="113">
        <f t="shared" si="2"/>
        <v>2.9283251120544009E-2</v>
      </c>
      <c r="T10" s="113">
        <f t="shared" si="3"/>
        <v>2.7817139727778158E-2</v>
      </c>
      <c r="U10" s="114">
        <f t="shared" si="4"/>
        <v>1.9428532039592848E-2</v>
      </c>
      <c r="V10" s="114">
        <f t="shared" si="5"/>
        <v>1.8454445330230322E-2</v>
      </c>
      <c r="W10" s="115">
        <f t="shared" si="6"/>
        <v>1.3580899935594944E-2</v>
      </c>
      <c r="X10" s="115">
        <f t="shared" si="7"/>
        <v>1.2897873594594425E-2</v>
      </c>
      <c r="AB10" s="1" cm="1">
        <f t="array" ref="AB10">IF(N10="GBP",1,_xll.BDP(N10&amp;"GBP CURNCY","PX_LAST"))</f>
        <v>1</v>
      </c>
      <c r="AC10" s="18">
        <v>110982.015178478</v>
      </c>
      <c r="AD10" s="11">
        <f t="shared" si="8"/>
        <v>4840480.5920093181</v>
      </c>
      <c r="AE10" s="18">
        <v>394493.95602220797</v>
      </c>
      <c r="AF10" s="11">
        <f t="shared" si="9"/>
        <v>17205853.891908601</v>
      </c>
      <c r="AG10" s="18">
        <v>0.23261207211930399</v>
      </c>
      <c r="AH10" s="11">
        <f t="shared" si="10"/>
        <v>10.145375525483443</v>
      </c>
      <c r="AI10" s="18">
        <v>161788.47484336101</v>
      </c>
      <c r="AJ10" s="11">
        <f t="shared" si="11"/>
        <v>7056404.3302931907</v>
      </c>
    </row>
    <row r="11" spans="1:36" x14ac:dyDescent="0.2">
      <c r="C11" s="86" t="str" cm="1">
        <f t="array" ref="C11">_xll.BDP(D11&amp;" Equity","DS520")</f>
        <v>Ishares III PLC - Ishares Msci World Small Cap UCITS ETF</v>
      </c>
      <c r="D11" s="86" t="s">
        <v>1353</v>
      </c>
      <c r="E11" s="86" t="s">
        <v>1358</v>
      </c>
      <c r="F11" s="86" t="s">
        <v>552</v>
      </c>
      <c r="G11" s="86" t="s">
        <v>26</v>
      </c>
      <c r="H11" s="86" t="str" cm="1">
        <f t="array" ref="H11">_xll.BDP(D11&amp;" Equity", "ID_ISIN")</f>
        <v>IE00BF4RFH31</v>
      </c>
      <c r="I11" s="86"/>
      <c r="J11" s="34" t="str" cm="1">
        <f t="array" ref="J11">_xll.BDP(D11&amp;" Equity","FD121")</f>
        <v>Equity</v>
      </c>
      <c r="K11" s="34" t="s">
        <v>446</v>
      </c>
      <c r="L11" s="34" t="s">
        <v>1283</v>
      </c>
      <c r="M11" s="34" t="str">
        <f>_xll.BDP(D11&amp;" Equity", "DS197")</f>
        <v>London</v>
      </c>
      <c r="N11" s="1" t="str">
        <f>_xll.BDP(D11&amp;" Equity", "DS004")</f>
        <v>GBP</v>
      </c>
      <c r="O11" s="111">
        <f>_xll.BDP(D11&amp;" Equity", "FUND_EXPENSE_RATIO")</f>
        <v>0.35</v>
      </c>
      <c r="P11" s="111">
        <f>_xll.BDP(D11&amp;" Equity", "PX_LAST")</f>
        <v>7.1970000000000001</v>
      </c>
      <c r="Q11" s="112">
        <f t="shared" si="0"/>
        <v>4.1349522326084569E-2</v>
      </c>
      <c r="R11" s="112">
        <f t="shared" si="1"/>
        <v>4.1352175392253568E-2</v>
      </c>
      <c r="S11" s="113">
        <f t="shared" si="2"/>
        <v>2.988617187206739E-2</v>
      </c>
      <c r="T11" s="113">
        <f t="shared" si="3"/>
        <v>2.8389874316600391E-2</v>
      </c>
      <c r="U11" s="114">
        <f t="shared" si="4"/>
        <v>1.9828551323315471E-2</v>
      </c>
      <c r="V11" s="114">
        <f t="shared" si="5"/>
        <v>1.8834408880098796E-2</v>
      </c>
      <c r="W11" s="115">
        <f t="shared" si="6"/>
        <v>1.3860520745518854E-2</v>
      </c>
      <c r="X11" s="115">
        <f t="shared" si="7"/>
        <v>1.3163431391052685E-2</v>
      </c>
      <c r="AB11" s="1" cm="1">
        <f t="array" ref="AB11">IF(N11="GBP",1,_xll.BDP(N11&amp;"GBP CURNCY","PX_LAST"))</f>
        <v>1</v>
      </c>
      <c r="AC11" s="18">
        <v>686416.91702360299</v>
      </c>
      <c r="AD11" s="11">
        <f t="shared" si="8"/>
        <v>4940142.5518188709</v>
      </c>
      <c r="AE11" s="18">
        <v>2439920.7803330701</v>
      </c>
      <c r="AF11" s="11">
        <f t="shared" si="9"/>
        <v>17560109.856057104</v>
      </c>
      <c r="AG11" s="18">
        <v>1.43869131543368</v>
      </c>
      <c r="AH11" s="11">
        <f t="shared" si="10"/>
        <v>10.354261397176195</v>
      </c>
      <c r="AI11" s="18">
        <v>1000651.73562884</v>
      </c>
      <c r="AJ11" s="11">
        <f t="shared" si="11"/>
        <v>7201690.5413207617</v>
      </c>
    </row>
    <row r="12" spans="1:36" x14ac:dyDescent="0.2">
      <c r="C12" s="86" t="str" cm="1">
        <f t="array" ref="C12">_xll.BDP(D12&amp;" Equity","DS520")</f>
        <v>Wisdomtree Enhanced Commodity EX-Agriculture UCITS ETF</v>
      </c>
      <c r="D12" s="86" t="s">
        <v>1267</v>
      </c>
      <c r="E12" s="86" t="s">
        <v>1266</v>
      </c>
      <c r="F12" s="86" t="s">
        <v>552</v>
      </c>
      <c r="G12" s="86" t="s">
        <v>26</v>
      </c>
      <c r="H12" s="86" t="str" cm="1">
        <f t="array" ref="H12">_xll.BDP(D12&amp;" Equity", "ID_ISIN")</f>
        <v>IE00BDVPNS35</v>
      </c>
      <c r="I12" s="86"/>
      <c r="J12" s="34" t="str" cm="1">
        <f t="array" ref="J12">_xll.BDP(D12&amp;" Equity","FD121")</f>
        <v>Commodity</v>
      </c>
      <c r="K12" s="34" t="s">
        <v>446</v>
      </c>
      <c r="L12" s="34" t="s">
        <v>447</v>
      </c>
      <c r="M12" s="34" t="str">
        <f>_xll.BDP(D12&amp;" Equity", "DS197")</f>
        <v>London</v>
      </c>
      <c r="N12" s="1" t="str">
        <f>_xll.BDP(D12&amp;" Equity", "DS004")</f>
        <v>USD</v>
      </c>
      <c r="O12" s="111">
        <f>_xll.BDP(D12&amp;" Equity", "FUND_EXPENSE_RATIO")</f>
        <v>0.35</v>
      </c>
      <c r="P12" s="111">
        <f>_xll.BDP(D12&amp;" Equity", "PX_LAST")</f>
        <v>17.422000000000001</v>
      </c>
      <c r="Q12" s="112">
        <f t="shared" si="0"/>
        <v>0</v>
      </c>
      <c r="R12" s="112">
        <f t="shared" si="1"/>
        <v>0</v>
      </c>
      <c r="S12" s="113">
        <f t="shared" si="2"/>
        <v>3.1490355863386839E-2</v>
      </c>
      <c r="T12" s="113">
        <f t="shared" si="3"/>
        <v>2.9913742347916477E-2</v>
      </c>
      <c r="U12" s="114">
        <f t="shared" si="4"/>
        <v>3.1339316729799477E-2</v>
      </c>
      <c r="V12" s="114">
        <f t="shared" si="5"/>
        <v>2.9768059990237798E-2</v>
      </c>
      <c r="W12" s="115">
        <f t="shared" si="6"/>
        <v>3.1249344125560349E-2</v>
      </c>
      <c r="X12" s="115">
        <f t="shared" si="7"/>
        <v>2.9677715936120154E-2</v>
      </c>
      <c r="AB12" s="1" cm="1">
        <f t="array" ref="AB12">IF(N12="GBP",1,_xll.BDP(N12&amp;"GBP CURNCY","PX_LAST"))</f>
        <v>0.74850000000000005</v>
      </c>
      <c r="AC12" s="18"/>
      <c r="AD12" s="11">
        <f t="shared" si="8"/>
        <v>0</v>
      </c>
      <c r="AE12" s="18">
        <v>1418876.8183198799</v>
      </c>
      <c r="AF12" s="11">
        <f t="shared" si="9"/>
        <v>18502674.438683558</v>
      </c>
      <c r="AG12" s="18">
        <v>1.25495411939664</v>
      </c>
      <c r="AH12" s="11">
        <f t="shared" si="10"/>
        <v>16.365062285094005</v>
      </c>
      <c r="AI12" s="18">
        <v>1245105.0684562901</v>
      </c>
      <c r="AJ12" s="11">
        <f t="shared" si="11"/>
        <v>16236627.046230147</v>
      </c>
    </row>
    <row r="13" spans="1:36" x14ac:dyDescent="0.2">
      <c r="C13" s="116" t="s">
        <v>456</v>
      </c>
      <c r="D13" s="86"/>
      <c r="E13" s="86"/>
      <c r="F13" s="86"/>
      <c r="G13" s="86"/>
      <c r="H13" s="86"/>
      <c r="I13" s="86"/>
      <c r="J13" s="45"/>
      <c r="K13" s="45"/>
      <c r="L13" s="45"/>
      <c r="M13" s="34"/>
      <c r="N13" s="34"/>
      <c r="O13" s="111"/>
      <c r="P13" s="111"/>
      <c r="Q13" s="112"/>
      <c r="R13" s="112"/>
      <c r="S13" s="113"/>
      <c r="T13" s="113"/>
      <c r="U13" s="114"/>
      <c r="V13" s="114"/>
      <c r="W13" s="115"/>
      <c r="X13" s="115"/>
      <c r="AC13" s="18"/>
      <c r="AD13" s="11"/>
      <c r="AE13" s="18"/>
      <c r="AF13" s="11"/>
      <c r="AG13" s="18"/>
      <c r="AH13" s="11"/>
      <c r="AI13" s="18"/>
      <c r="AJ13" s="11"/>
    </row>
    <row r="14" spans="1:36" x14ac:dyDescent="0.2">
      <c r="C14" s="86" t="str" cm="1">
        <f t="array" ref="C14">_xll.BDP(D14&amp;" Equity","DS520")</f>
        <v>iShares Asia Investment Grade Corp Bond UCITS ETF</v>
      </c>
      <c r="D14" s="86" t="s">
        <v>457</v>
      </c>
      <c r="E14" s="86" t="s">
        <v>544</v>
      </c>
      <c r="F14" s="86" t="s">
        <v>551</v>
      </c>
      <c r="G14" s="86" t="s">
        <v>26</v>
      </c>
      <c r="H14" s="86" t="str" cm="1">
        <f t="array" ref="H14">_xll.BDP(D14&amp;" Equity", "ID_ISIN")</f>
        <v>IE0007G78AC4</v>
      </c>
      <c r="I14" s="86"/>
      <c r="J14" s="34" t="str" cm="1">
        <f t="array" ref="J14">_xll.BDP(D14&amp;" Equity","FD121")</f>
        <v>Fixed Income</v>
      </c>
      <c r="K14" s="34" t="s">
        <v>458</v>
      </c>
      <c r="L14" s="34" t="s">
        <v>459</v>
      </c>
      <c r="M14" s="34" t="str">
        <f>_xll.BDP(D14&amp;" Equity", "DS197")</f>
        <v>EN Amsterdam</v>
      </c>
      <c r="N14" s="34" t="str">
        <f>_xll.BDP(D14&amp;" Equity", "DS004")</f>
        <v>USD</v>
      </c>
      <c r="O14" s="111">
        <f>_xll.BDP(D14&amp;" Equity", "FUND_EXPENSE_RATIO")</f>
        <v>0.2</v>
      </c>
      <c r="P14" s="111">
        <f>_xll.BDP(D14&amp;" Equity", "PX_LAST")</f>
        <v>5.4771999999999998</v>
      </c>
      <c r="Q14" s="112"/>
      <c r="R14" s="112"/>
      <c r="S14" s="113">
        <f t="shared" ref="S14:S20" si="12">AF14/$AF$21</f>
        <v>2.7774394817198334E-2</v>
      </c>
      <c r="T14" s="113">
        <f t="shared" ref="T14:T19" si="13">S14*(1-$T$36)/(1-$S$20)</f>
        <v>2.6383826655861104E-2</v>
      </c>
      <c r="U14" s="114">
        <f t="shared" ref="U14:U20" si="14">AH14/$AH$21</f>
        <v>5.5230595045877358E-2</v>
      </c>
      <c r="V14" s="114">
        <f t="shared" ref="V14:V19" si="15">U14*(1-$V$36)/(1-$U$20)</f>
        <v>5.2461503254756105E-2</v>
      </c>
      <c r="W14" s="115">
        <f t="shared" ref="W14:W20" si="16">AJ14/$AJ$21</f>
        <v>7.1640094818159916E-2</v>
      </c>
      <c r="X14" s="115">
        <f t="shared" ref="X14:X19" si="17">W14*(1-$X$36)/(1-$W$20)</f>
        <v>6.8037088237989984E-2</v>
      </c>
      <c r="AB14" s="1" cm="1">
        <f t="array" ref="AB14">IF(N14="GBP",1,_xll.BDP(N14&amp;"GBP CURNCY","PX_LAST"))</f>
        <v>0.74850000000000005</v>
      </c>
      <c r="AC14" s="18"/>
      <c r="AD14" s="11">
        <f t="shared" ref="AD14:AD20" si="18">AC14*P14*AB14</f>
        <v>0</v>
      </c>
      <c r="AE14" s="18">
        <v>3980623.8377914801</v>
      </c>
      <c r="AF14" s="11">
        <f t="shared" ref="AF14:AF20" si="19">AE14*P14*AB14</f>
        <v>16319300.653937096</v>
      </c>
      <c r="AG14" s="18">
        <v>7.0348923653467299</v>
      </c>
      <c r="AH14" s="11">
        <f t="shared" ref="AH14:AH20" si="20">AG14*P14*AB14</f>
        <v>28.840837078912617</v>
      </c>
      <c r="AI14" s="18">
        <v>9079473.3094086703</v>
      </c>
      <c r="AJ14" s="11">
        <f t="shared" ref="AJ14:AJ20" si="21">AI14*P14*AB14</f>
        <v>37222973.270904437</v>
      </c>
    </row>
    <row r="15" spans="1:36" x14ac:dyDescent="0.2">
      <c r="C15" s="86" t="str" cm="1">
        <f t="array" ref="C15">_xll.BDP(D15&amp;" Equity","DS520")</f>
        <v>iShares Core GBP Corp Bond UCITS ETF</v>
      </c>
      <c r="D15" s="117" t="s">
        <v>506</v>
      </c>
      <c r="E15" s="117" t="s">
        <v>605</v>
      </c>
      <c r="F15" s="86" t="s">
        <v>552</v>
      </c>
      <c r="G15" s="86" t="s">
        <v>26</v>
      </c>
      <c r="H15" s="86" t="str" cm="1">
        <f t="array" ref="H15">_xll.BDP(D15&amp;" Equity", "ID_ISIN")</f>
        <v>IE00B00FV011</v>
      </c>
      <c r="I15" s="117"/>
      <c r="J15" s="34" t="str" cm="1">
        <f t="array" ref="J15">_xll.BDP(D15&amp;" Equity","FD121")</f>
        <v>Fixed Income</v>
      </c>
      <c r="K15" s="34" t="s">
        <v>458</v>
      </c>
      <c r="L15" s="34" t="s">
        <v>1403</v>
      </c>
      <c r="M15" s="34" t="str">
        <f>_xll.BDP(D15&amp;" Equity", "DS197")</f>
        <v>London</v>
      </c>
      <c r="N15" s="34" t="str">
        <f>_xll.BDP(D15&amp;" Equity", "DS004")</f>
        <v>GBP</v>
      </c>
      <c r="O15" s="111">
        <f>_xll.BDP(D15&amp;" Equity", "FUND_EXPENSE_RATIO")</f>
        <v>0.2</v>
      </c>
      <c r="P15" s="111">
        <f>_xll.BDP(D15&amp;" Equity", "PX_LAST")</f>
        <v>123.29</v>
      </c>
      <c r="Q15" s="112"/>
      <c r="R15" s="112"/>
      <c r="S15" s="113">
        <f t="shared" si="12"/>
        <v>5.3555650864767386E-2</v>
      </c>
      <c r="T15" s="113">
        <f t="shared" si="13"/>
        <v>5.0874304126435455E-2</v>
      </c>
      <c r="U15" s="114">
        <f t="shared" si="14"/>
        <v>0.10669755490358887</v>
      </c>
      <c r="V15" s="114">
        <f t="shared" si="15"/>
        <v>0.10134806838853652</v>
      </c>
      <c r="W15" s="115">
        <f t="shared" si="16"/>
        <v>0.13829863442102547</v>
      </c>
      <c r="X15" s="115">
        <f t="shared" si="17"/>
        <v>0.1313431594022911</v>
      </c>
      <c r="AB15" s="1" cm="1">
        <f t="array" ref="AB15">IF(N15="GBP",1,_xll.BDP(N15&amp;"GBP CURNCY","PX_LAST"))</f>
        <v>1</v>
      </c>
      <c r="AC15" s="18"/>
      <c r="AD15" s="11">
        <f t="shared" si="18"/>
        <v>0</v>
      </c>
      <c r="AE15" s="18">
        <v>255231.56763475799</v>
      </c>
      <c r="AF15" s="11">
        <f t="shared" si="19"/>
        <v>31467499.973689314</v>
      </c>
      <c r="AG15" s="18">
        <v>0.45191291558541802</v>
      </c>
      <c r="AH15" s="11">
        <f t="shared" si="20"/>
        <v>55.716343362526189</v>
      </c>
      <c r="AI15" s="18">
        <v>582834.09267133498</v>
      </c>
      <c r="AJ15" s="11">
        <f t="shared" si="21"/>
        <v>71857615.285448894</v>
      </c>
    </row>
    <row r="16" spans="1:36" x14ac:dyDescent="0.2">
      <c r="C16" s="86" t="str" cm="1">
        <f t="array" ref="C16">_xll.BDP(D16&amp;" Equity","DS520")</f>
        <v>iShares Core UK Gilts UCITS ETF</v>
      </c>
      <c r="D16" s="117" t="s">
        <v>507</v>
      </c>
      <c r="E16" s="117" t="s">
        <v>606</v>
      </c>
      <c r="F16" s="86" t="s">
        <v>552</v>
      </c>
      <c r="G16" s="86" t="s">
        <v>26</v>
      </c>
      <c r="H16" s="86" t="str" cm="1">
        <f t="array" ref="H16">_xll.BDP(D16&amp;" Equity", "ID_ISIN")</f>
        <v>IE00B1FZSB30</v>
      </c>
      <c r="I16" s="117"/>
      <c r="J16" s="34" t="str" cm="1">
        <f t="array" ref="J16">_xll.BDP(D16&amp;" Equity","FD121")</f>
        <v>Fixed Income</v>
      </c>
      <c r="K16" s="34" t="s">
        <v>458</v>
      </c>
      <c r="L16" s="34" t="s">
        <v>461</v>
      </c>
      <c r="M16" s="34" t="str">
        <f>_xll.BDP(D16&amp;" Equity", "DS197")</f>
        <v>London</v>
      </c>
      <c r="N16" s="34" t="str">
        <f>_xll.BDP(D16&amp;" Equity", "DS004")</f>
        <v>GBP</v>
      </c>
      <c r="O16" s="111">
        <f>_xll.BDP(D16&amp;" Equity", "FUND_EXPENSE_RATIO")</f>
        <v>7.0000000000000007E-2</v>
      </c>
      <c r="P16" s="111">
        <f>_xll.BDP(D16&amp;" Equity", "PX_LAST")</f>
        <v>9.98</v>
      </c>
      <c r="Q16" s="112"/>
      <c r="R16" s="112"/>
      <c r="S16" s="113">
        <f t="shared" si="12"/>
        <v>5.264627350071132E-2</v>
      </c>
      <c r="T16" s="113">
        <f t="shared" si="13"/>
        <v>5.0010456150775429E-2</v>
      </c>
      <c r="U16" s="114">
        <f t="shared" si="14"/>
        <v>0.10486294875567882</v>
      </c>
      <c r="V16" s="114">
        <f t="shared" si="15"/>
        <v>9.960544373783646E-2</v>
      </c>
      <c r="W16" s="115">
        <f t="shared" si="16"/>
        <v>0.1359730815275923</v>
      </c>
      <c r="X16" s="115">
        <f t="shared" si="17"/>
        <v>0.12913456590706704</v>
      </c>
      <c r="AB16" s="1" cm="1">
        <f t="array" ref="AB16">IF(N16="GBP",1,_xll.BDP(N16&amp;"GBP CURNCY","PX_LAST"))</f>
        <v>1</v>
      </c>
      <c r="AC16" s="18"/>
      <c r="AD16" s="11">
        <f t="shared" si="18"/>
        <v>0</v>
      </c>
      <c r="AE16" s="18">
        <v>3099517.0748203602</v>
      </c>
      <c r="AF16" s="11">
        <f t="shared" si="19"/>
        <v>30933180.406707197</v>
      </c>
      <c r="AG16" s="18">
        <v>5.48680674214192</v>
      </c>
      <c r="AH16" s="11">
        <f t="shared" si="20"/>
        <v>54.758331286576365</v>
      </c>
      <c r="AI16" s="18">
        <v>7079087.9363804096</v>
      </c>
      <c r="AJ16" s="11">
        <f t="shared" si="21"/>
        <v>70649297.605076492</v>
      </c>
    </row>
    <row r="17" spans="3:36" x14ac:dyDescent="0.2">
      <c r="C17" s="86" t="str" cm="1">
        <f t="array" ref="C17">_xll.BDP(D17&amp;" Equity","DS520")</f>
        <v>iShares Global Corp Bond UCITS ETF</v>
      </c>
      <c r="D17" s="117" t="s">
        <v>508</v>
      </c>
      <c r="E17" s="117" t="s">
        <v>607</v>
      </c>
      <c r="F17" s="86" t="s">
        <v>552</v>
      </c>
      <c r="G17" s="86" t="s">
        <v>26</v>
      </c>
      <c r="H17" s="86" t="str" cm="1">
        <f t="array" ref="H17">_xll.BDP(D17&amp;" Equity", "ID_ISIN")</f>
        <v>IE00BDFK3G24</v>
      </c>
      <c r="I17" s="117"/>
      <c r="J17" s="34" t="str" cm="1">
        <f t="array" ref="J17">_xll.BDP(D17&amp;" Equity","FD121")</f>
        <v>Fixed Income</v>
      </c>
      <c r="K17" s="34" t="s">
        <v>458</v>
      </c>
      <c r="L17" s="34" t="s">
        <v>1403</v>
      </c>
      <c r="M17" s="34" t="str">
        <f>_xll.BDP(D17&amp;" Equity", "DS197")</f>
        <v>London</v>
      </c>
      <c r="N17" s="34" t="str">
        <f>_xll.BDP(D17&amp;" Equity", "DS004")</f>
        <v>GBP</v>
      </c>
      <c r="O17" s="111">
        <f>_xll.BDP(D17&amp;" Equity", "FUND_EXPENSE_RATIO")</f>
        <v>0.25</v>
      </c>
      <c r="P17" s="111">
        <f>_xll.BDP(D17&amp;" Equity", "PX_LAST")</f>
        <v>4.6695000000000002</v>
      </c>
      <c r="Q17" s="112"/>
      <c r="R17" s="112"/>
      <c r="S17" s="113">
        <f t="shared" si="12"/>
        <v>7.0871186749481049E-2</v>
      </c>
      <c r="T17" s="113">
        <f t="shared" si="13"/>
        <v>6.7322910846490405E-2</v>
      </c>
      <c r="U17" s="114">
        <f t="shared" si="14"/>
        <v>0.14111269030469406</v>
      </c>
      <c r="V17" s="114">
        <f t="shared" si="15"/>
        <v>0.13403773498289853</v>
      </c>
      <c r="W17" s="115">
        <f t="shared" si="16"/>
        <v>0.18287481915139295</v>
      </c>
      <c r="X17" s="115">
        <f t="shared" si="17"/>
        <v>0.17367746704818451</v>
      </c>
      <c r="AB17" s="1" cm="1">
        <f t="array" ref="AB17">IF(N17="GBP",1,_xll.BDP(N17&amp;"GBP CURNCY","PX_LAST"))</f>
        <v>1</v>
      </c>
      <c r="AC17" s="18"/>
      <c r="AD17" s="11">
        <f t="shared" si="18"/>
        <v>0</v>
      </c>
      <c r="AE17" s="18">
        <v>8917769.9395529106</v>
      </c>
      <c r="AF17" s="11">
        <f t="shared" si="19"/>
        <v>41641526.732742317</v>
      </c>
      <c r="AG17" s="18">
        <v>15.7806116022188</v>
      </c>
      <c r="AH17" s="11">
        <f t="shared" si="20"/>
        <v>73.687565876560683</v>
      </c>
      <c r="AI17" s="18">
        <v>20348782.901853301</v>
      </c>
      <c r="AJ17" s="11">
        <f t="shared" si="21"/>
        <v>95018641.760203987</v>
      </c>
    </row>
    <row r="18" spans="3:36" x14ac:dyDescent="0.2">
      <c r="C18" s="86" t="str" cm="1">
        <f t="array" ref="C18">_xll.BDP(D18&amp;" Equity","DS520")</f>
        <v>iShares USD Treasury Bond 20+yr UCITS ETF</v>
      </c>
      <c r="D18" s="86" t="s">
        <v>509</v>
      </c>
      <c r="E18" s="86" t="s">
        <v>608</v>
      </c>
      <c r="F18" s="86" t="s">
        <v>552</v>
      </c>
      <c r="G18" s="86" t="s">
        <v>26</v>
      </c>
      <c r="H18" s="86" t="str" cm="1">
        <f t="array" ref="H18">_xll.BDP(D18&amp;" Equity", "ID_ISIN")</f>
        <v>IE00BK5MT033</v>
      </c>
      <c r="I18" s="86"/>
      <c r="J18" s="34" t="str" cm="1">
        <f t="array" ref="J18">_xll.BDP(D18&amp;" Equity","FD121")</f>
        <v>Fixed Income</v>
      </c>
      <c r="K18" s="34" t="s">
        <v>458</v>
      </c>
      <c r="L18" s="34" t="s">
        <v>464</v>
      </c>
      <c r="M18" s="34" t="str">
        <f>_xll.BDP(D18&amp;" Equity", "DS197")</f>
        <v>London</v>
      </c>
      <c r="N18" s="34" t="str">
        <f>_xll.BDP(D18&amp;" Equity", "DS004")</f>
        <v>GBP</v>
      </c>
      <c r="O18" s="111">
        <f>_xll.BDP(D18&amp;" Equity", "FUND_EXPENSE_RATIO")</f>
        <v>0.1</v>
      </c>
      <c r="P18" s="111">
        <f>_xll.BDP(D18&amp;" Equity", "PX_LAST")</f>
        <v>3.0249999999999999</v>
      </c>
      <c r="Q18" s="112"/>
      <c r="R18" s="112"/>
      <c r="S18" s="113">
        <f t="shared" si="12"/>
        <v>1.2362797589532862E-2</v>
      </c>
      <c r="T18" s="113">
        <f t="shared" si="13"/>
        <v>1.1743834950519179E-2</v>
      </c>
      <c r="U18" s="114">
        <f t="shared" si="14"/>
        <v>2.465784319765757E-2</v>
      </c>
      <c r="V18" s="114">
        <f t="shared" si="15"/>
        <v>2.3421574945818677E-2</v>
      </c>
      <c r="W18" s="115">
        <f t="shared" si="16"/>
        <v>3.1937820844818943E-2</v>
      </c>
      <c r="X18" s="115">
        <f t="shared" si="17"/>
        <v>3.0331566987223519E-2</v>
      </c>
      <c r="AB18" s="1" cm="1">
        <f t="array" ref="AB18">IF(N18="GBP",1,_xll.BDP(N18&amp;"GBP CURNCY","PX_LAST"))</f>
        <v>1</v>
      </c>
      <c r="AC18" s="18"/>
      <c r="AD18" s="11">
        <f t="shared" si="18"/>
        <v>0</v>
      </c>
      <c r="AE18" s="18">
        <v>2401310.4931283598</v>
      </c>
      <c r="AF18" s="11">
        <f t="shared" si="19"/>
        <v>7263964.2417132882</v>
      </c>
      <c r="AG18" s="18">
        <v>4.2565510511592999</v>
      </c>
      <c r="AH18" s="11">
        <f t="shared" si="20"/>
        <v>12.876066929756881</v>
      </c>
      <c r="AI18" s="18">
        <v>5485734.8182238303</v>
      </c>
      <c r="AJ18" s="11">
        <f t="shared" si="21"/>
        <v>16594347.825127086</v>
      </c>
    </row>
    <row r="19" spans="3:36" x14ac:dyDescent="0.2">
      <c r="C19" s="86" t="str" cm="1">
        <f t="array" ref="C19">_xll.BDP(D19&amp;" Equity","DS520")</f>
        <v>iShares JP Morgan EM Local Government Bond UCITS ETF</v>
      </c>
      <c r="D19" s="117" t="s">
        <v>510</v>
      </c>
      <c r="E19" s="117" t="s">
        <v>609</v>
      </c>
      <c r="F19" s="86" t="s">
        <v>552</v>
      </c>
      <c r="G19" s="86" t="s">
        <v>26</v>
      </c>
      <c r="H19" s="86" t="str" cm="1">
        <f t="array" ref="H19">_xll.BDP(D19&amp;" Equity", "ID_ISIN")</f>
        <v>IE00B5M4WH52</v>
      </c>
      <c r="I19" s="117"/>
      <c r="J19" s="34" t="str" cm="1">
        <f t="array" ref="J19">_xll.BDP(D19&amp;" Equity","FD121")</f>
        <v>Fixed Income</v>
      </c>
      <c r="K19" s="34" t="s">
        <v>458</v>
      </c>
      <c r="L19" s="34" t="s">
        <v>450</v>
      </c>
      <c r="M19" s="34" t="str">
        <f>_xll.BDP(D19&amp;" Equity", "DS197")</f>
        <v>London</v>
      </c>
      <c r="N19" s="34" t="str">
        <f>_xll.BDP(D19&amp;" Equity", "DS004")</f>
        <v>GBP</v>
      </c>
      <c r="O19" s="111">
        <f>_xll.BDP(D19&amp;" Equity", "FUND_EXPENSE_RATIO")</f>
        <v>0.5</v>
      </c>
      <c r="P19" s="111">
        <f>_xll.BDP(D19&amp;" Equity", "PX_LAST")</f>
        <v>34.914999999999999</v>
      </c>
      <c r="Q19" s="112"/>
      <c r="R19" s="112"/>
      <c r="S19" s="113">
        <f t="shared" si="12"/>
        <v>2.7223726072273254E-2</v>
      </c>
      <c r="T19" s="113">
        <f t="shared" si="13"/>
        <v>2.5860727995871309E-2</v>
      </c>
      <c r="U19" s="114">
        <f t="shared" si="14"/>
        <v>5.413556623766913E-2</v>
      </c>
      <c r="V19" s="114">
        <f t="shared" si="15"/>
        <v>5.1421375815641074E-2</v>
      </c>
      <c r="W19" s="115">
        <f t="shared" si="16"/>
        <v>7.0219723236367673E-2</v>
      </c>
      <c r="X19" s="115">
        <f t="shared" si="17"/>
        <v>6.6688151628031239E-2</v>
      </c>
      <c r="AB19" s="1" cm="1">
        <f t="array" ref="AB19">IF(N19="GBP",1,_xll.BDP(N19&amp;"GBP CURNCY","PX_LAST"))</f>
        <v>1</v>
      </c>
      <c r="AC19" s="18"/>
      <c r="AD19" s="11">
        <f t="shared" si="18"/>
        <v>0</v>
      </c>
      <c r="AE19" s="18">
        <v>458133.93132516701</v>
      </c>
      <c r="AF19" s="11">
        <f t="shared" si="19"/>
        <v>15995746.212218206</v>
      </c>
      <c r="AG19" s="18">
        <v>0.80965271452874299</v>
      </c>
      <c r="AH19" s="11">
        <f t="shared" si="20"/>
        <v>28.269024527771062</v>
      </c>
      <c r="AI19" s="18">
        <v>1044965.5559288301</v>
      </c>
      <c r="AJ19" s="11">
        <f t="shared" si="21"/>
        <v>36484972.385255098</v>
      </c>
    </row>
    <row r="20" spans="3:36" x14ac:dyDescent="0.2">
      <c r="C20" s="86" t="str" cm="1">
        <f t="array" ref="C20">_xll.BDP(D20&amp;" Curncy","DS520")</f>
        <v>GBPUSD Spot Exchange Rate - Price of 1 GBP in USD</v>
      </c>
      <c r="D20" s="118" t="s">
        <v>161</v>
      </c>
      <c r="E20" s="118"/>
      <c r="F20" s="118"/>
      <c r="G20" s="118"/>
      <c r="H20" s="118"/>
      <c r="I20" s="118"/>
      <c r="J20" s="34" t="s">
        <v>80</v>
      </c>
      <c r="K20" s="34"/>
      <c r="L20" s="34"/>
      <c r="M20" s="34"/>
      <c r="N20" s="34" t="str">
        <f>_xll.BDP(D20&amp;" Curncy", "DS004")</f>
        <v>GBP</v>
      </c>
      <c r="O20" s="111"/>
      <c r="P20" s="111">
        <v>1</v>
      </c>
      <c r="Q20" s="112">
        <f>AD20/AD21</f>
        <v>5.0638370487915496E-3</v>
      </c>
      <c r="R20" s="112">
        <f>$R$36</f>
        <v>5.0000000000000001E-3</v>
      </c>
      <c r="S20" s="113">
        <f t="shared" si="12"/>
        <v>4.9302914471462365E-3</v>
      </c>
      <c r="T20" s="113">
        <f>T36</f>
        <v>5.475E-2</v>
      </c>
      <c r="U20" s="114">
        <f t="shared" si="14"/>
        <v>4.8565761907981408E-3</v>
      </c>
      <c r="V20" s="114">
        <f>V36</f>
        <v>5.475E-2</v>
      </c>
      <c r="W20" s="115">
        <f t="shared" si="16"/>
        <v>4.6928611936986817E-3</v>
      </c>
      <c r="X20" s="115">
        <f>X36</f>
        <v>5.475E-2</v>
      </c>
      <c r="AB20" s="1">
        <v>1</v>
      </c>
      <c r="AC20" s="18">
        <v>604990.71024167805</v>
      </c>
      <c r="AD20" s="11">
        <f t="shared" si="18"/>
        <v>604990.71024167805</v>
      </c>
      <c r="AE20" s="18">
        <v>2896873.5040697502</v>
      </c>
      <c r="AF20" s="11">
        <f t="shared" si="19"/>
        <v>2896873.5040697502</v>
      </c>
      <c r="AG20" s="18">
        <v>2.5360531162807098</v>
      </c>
      <c r="AH20" s="11">
        <f t="shared" si="20"/>
        <v>2.5360531162807098</v>
      </c>
      <c r="AI20" s="18">
        <v>2438330.7590602301</v>
      </c>
      <c r="AJ20" s="11">
        <f t="shared" si="21"/>
        <v>2438330.7590602301</v>
      </c>
    </row>
    <row r="21" spans="3:36" x14ac:dyDescent="0.2">
      <c r="C21" s="119"/>
      <c r="D21" s="120"/>
      <c r="E21" s="120"/>
      <c r="F21" s="120"/>
      <c r="G21" s="120"/>
      <c r="H21" s="120"/>
      <c r="I21" s="120"/>
      <c r="J21" s="77"/>
      <c r="K21" s="77"/>
      <c r="L21" s="77"/>
      <c r="M21" s="77"/>
      <c r="N21" s="77"/>
      <c r="O21" s="121" t="s">
        <v>81</v>
      </c>
      <c r="P21" s="121"/>
      <c r="Q21" s="107">
        <f t="shared" ref="Q21:X21" si="22">SUM(Q4:Q20)</f>
        <v>1.0000000000000002</v>
      </c>
      <c r="R21" s="107">
        <f t="shared" si="22"/>
        <v>0.99999999999999989</v>
      </c>
      <c r="S21" s="108">
        <f t="shared" si="22"/>
        <v>1.0000000000000002</v>
      </c>
      <c r="T21" s="108">
        <f t="shared" si="22"/>
        <v>1</v>
      </c>
      <c r="U21" s="109">
        <f t="shared" si="22"/>
        <v>1</v>
      </c>
      <c r="V21" s="109">
        <f t="shared" si="22"/>
        <v>1</v>
      </c>
      <c r="W21" s="110">
        <f t="shared" si="22"/>
        <v>1.0000000000000002</v>
      </c>
      <c r="X21" s="110">
        <f t="shared" si="22"/>
        <v>1.0000000000000002</v>
      </c>
      <c r="AC21" s="5"/>
      <c r="AD21" s="24">
        <f>SUM(AD4:AD20)</f>
        <v>119472784.05928464</v>
      </c>
      <c r="AE21" s="5"/>
      <c r="AF21" s="24">
        <f>SUM(AF4:AF20)</f>
        <v>587566381.2423352</v>
      </c>
      <c r="AG21" s="5"/>
      <c r="AH21" s="24">
        <f>SUM(AH4:AH20)</f>
        <v>522.18950483796061</v>
      </c>
      <c r="AI21" s="5"/>
      <c r="AJ21" s="24">
        <f>SUM(AJ4:AJ20)</f>
        <v>519582970.47743237</v>
      </c>
    </row>
    <row r="22" spans="3:36" x14ac:dyDescent="0.2">
      <c r="C22" s="119"/>
      <c r="D22" s="120"/>
      <c r="E22" s="120"/>
      <c r="F22" s="120"/>
      <c r="G22" s="120"/>
      <c r="H22" s="120"/>
      <c r="I22" s="120"/>
      <c r="J22" s="77"/>
      <c r="K22" s="77"/>
      <c r="L22" s="77"/>
      <c r="M22" s="77"/>
      <c r="N22" s="77"/>
      <c r="O22" s="122" t="s">
        <v>470</v>
      </c>
      <c r="P22" s="122"/>
      <c r="Q22" s="112">
        <f>SUMIF($J$4:$J$20,$O22,Q$4:Q$20)</f>
        <v>0.99493616295120857</v>
      </c>
      <c r="R22" s="112"/>
      <c r="S22" s="113">
        <f>SUMIF($J$4:$J$20,$O22,S$4:S$20)</f>
        <v>0.71914532309550294</v>
      </c>
      <c r="T22" s="113"/>
      <c r="U22" s="114">
        <f>SUMIF($J$4:$J$20,$O22,U$4:U$20)</f>
        <v>0.47710690863423666</v>
      </c>
      <c r="V22" s="114"/>
      <c r="W22" s="115">
        <f>SUMIF($J$4:$J$20,$O22,W$4:W$20)</f>
        <v>0.33311362068138384</v>
      </c>
      <c r="X22" s="115"/>
    </row>
    <row r="23" spans="3:36" x14ac:dyDescent="0.2">
      <c r="C23" s="119"/>
      <c r="D23" s="120"/>
      <c r="E23" s="120"/>
      <c r="F23" s="120"/>
      <c r="G23" s="120"/>
      <c r="H23" s="120"/>
      <c r="I23" s="120"/>
      <c r="J23" s="77"/>
      <c r="K23" s="77"/>
      <c r="L23" s="77"/>
      <c r="M23" s="77"/>
      <c r="N23" s="77"/>
      <c r="O23" s="123" t="s">
        <v>453</v>
      </c>
      <c r="P23" s="123"/>
      <c r="Q23" s="112">
        <f>SUMIF($K$4:$K$20,$O23,Q$4:Q$20)</f>
        <v>0.34364419103410926</v>
      </c>
      <c r="R23" s="112"/>
      <c r="S23" s="113">
        <f>SUMIF($K$4:$K$20,$O23,S$4:S$20)</f>
        <v>0.24838659102352456</v>
      </c>
      <c r="T23" s="113"/>
      <c r="U23" s="114">
        <f>SUMIF($K$4:$K$20,$O23,U$4:U$20)</f>
        <v>0.16478948475253793</v>
      </c>
      <c r="V23" s="114"/>
      <c r="W23" s="115">
        <f>SUMIF($K$4:$K$20,$O23,W$4:W$20)</f>
        <v>0.11509345394686947</v>
      </c>
      <c r="X23" s="115"/>
    </row>
    <row r="24" spans="3:36" x14ac:dyDescent="0.2">
      <c r="C24" s="119"/>
      <c r="D24" s="120"/>
      <c r="E24" s="120"/>
      <c r="F24" s="120"/>
      <c r="G24" s="120"/>
      <c r="H24" s="120"/>
      <c r="I24" s="120"/>
      <c r="J24" s="77"/>
      <c r="K24" s="77"/>
      <c r="L24" s="77"/>
      <c r="M24" s="77"/>
      <c r="N24" s="77"/>
      <c r="O24" s="123" t="s">
        <v>443</v>
      </c>
      <c r="P24" s="123"/>
      <c r="Q24" s="112">
        <f>SUMIF($K$4:$K$20,$O24,Q$4:Q$20)</f>
        <v>0.18444599098784409</v>
      </c>
      <c r="R24" s="112"/>
      <c r="S24" s="113">
        <f>SUMIF($K$4:$K$20,$O24,S$4:S$20)</f>
        <v>0.1333243106083711</v>
      </c>
      <c r="T24" s="113"/>
      <c r="U24" s="114">
        <f>SUMIF($K$4:$K$20,$O24,U$4:U$20)</f>
        <v>8.8448344574348636E-2</v>
      </c>
      <c r="V24" s="114"/>
      <c r="W24" s="115">
        <f>SUMIF($K$4:$K$20,$O24,W$4:W$20)</f>
        <v>6.1728719588859386E-2</v>
      </c>
      <c r="X24" s="115"/>
    </row>
    <row r="25" spans="3:36" x14ac:dyDescent="0.2">
      <c r="C25" s="119"/>
      <c r="D25" s="120"/>
      <c r="E25" s="120"/>
      <c r="F25" s="120"/>
      <c r="G25" s="120"/>
      <c r="H25" s="120"/>
      <c r="I25" s="120"/>
      <c r="J25" s="77"/>
      <c r="K25" s="77"/>
      <c r="L25" s="77"/>
      <c r="M25" s="77"/>
      <c r="N25" s="77"/>
      <c r="O25" s="123" t="s">
        <v>446</v>
      </c>
      <c r="P25" s="123"/>
      <c r="Q25" s="112">
        <f>SUMIF($K$4:$K$20,$O25,Q$4:Q$20)</f>
        <v>0.28205783395330253</v>
      </c>
      <c r="R25" s="112"/>
      <c r="S25" s="113">
        <f>SUMIF($K$4:$K$20,$O25,S$4:S$20)</f>
        <v>0.23535314385196257</v>
      </c>
      <c r="T25" s="113"/>
      <c r="U25" s="114">
        <f>SUMIF($K$4:$K$20,$O25,U$4:U$20)</f>
        <v>0.16659597562373132</v>
      </c>
      <c r="V25" s="114"/>
      <c r="W25" s="115">
        <f>SUMIF($K$4:$K$20,$O25,W$4:W$20)</f>
        <v>0.12569756200430604</v>
      </c>
      <c r="X25" s="115"/>
    </row>
    <row r="26" spans="3:36" x14ac:dyDescent="0.2">
      <c r="C26" s="119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124" t="s">
        <v>447</v>
      </c>
      <c r="P26" s="124"/>
      <c r="Q26" s="112">
        <f>SUMIF($J$4:$J$20,$O26,Q$4:Q$20)</f>
        <v>0</v>
      </c>
      <c r="R26" s="112"/>
      <c r="S26" s="113">
        <f>SUMIF($J$4:$J$20,$O26,S$4:S$20)</f>
        <v>3.1490355863386839E-2</v>
      </c>
      <c r="T26" s="113"/>
      <c r="U26" s="114">
        <f>SUMIF($J$4:$J$20,$O26,U$4:U$20)</f>
        <v>3.1339316729799477E-2</v>
      </c>
      <c r="V26" s="114"/>
      <c r="W26" s="115">
        <f>SUMIF($J$4:$J$20,$O26,W$4:W$20)</f>
        <v>3.1249344125560349E-2</v>
      </c>
      <c r="X26" s="115"/>
    </row>
    <row r="27" spans="3:36" x14ac:dyDescent="0.2">
      <c r="C27" s="119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122" t="s">
        <v>458</v>
      </c>
      <c r="P27" s="122"/>
      <c r="Q27" s="112">
        <f>SUMIF($J$4:$J$20,$O27,Q$4:Q$20)</f>
        <v>0</v>
      </c>
      <c r="R27" s="112"/>
      <c r="S27" s="113">
        <f>SUMIF($J$4:$J$20,$O27,S$4:S$20)</f>
        <v>0.24443402959396421</v>
      </c>
      <c r="T27" s="113"/>
      <c r="U27" s="114">
        <f>SUMIF($J$4:$J$20,$O27,U$4:U$20)</f>
        <v>0.48669719844516585</v>
      </c>
      <c r="V27" s="114"/>
      <c r="W27" s="115">
        <f>SUMIF($J$4:$J$20,$O27,W$4:W$20)</f>
        <v>0.63094417399935732</v>
      </c>
      <c r="X27" s="115"/>
    </row>
    <row r="28" spans="3:36" x14ac:dyDescent="0.2">
      <c r="C28" s="119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122" t="s">
        <v>80</v>
      </c>
      <c r="P28" s="122"/>
      <c r="Q28" s="112">
        <f>Q20</f>
        <v>5.0638370487915496E-3</v>
      </c>
      <c r="R28" s="112"/>
      <c r="S28" s="113">
        <f t="shared" ref="S28:W28" si="23">S20</f>
        <v>4.9302914471462365E-3</v>
      </c>
      <c r="T28" s="113"/>
      <c r="U28" s="114">
        <f t="shared" si="23"/>
        <v>4.8565761907981408E-3</v>
      </c>
      <c r="V28" s="114"/>
      <c r="W28" s="115">
        <f t="shared" si="23"/>
        <v>4.6928611936986817E-3</v>
      </c>
      <c r="X28" s="115"/>
    </row>
    <row r="29" spans="3:36" x14ac:dyDescent="0.2">
      <c r="C29" s="119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122"/>
      <c r="P29" s="122"/>
      <c r="Q29" s="112"/>
      <c r="R29" s="112"/>
      <c r="S29" s="113"/>
      <c r="T29" s="113"/>
      <c r="U29" s="114"/>
      <c r="V29" s="114"/>
      <c r="W29" s="115"/>
      <c r="X29" s="115"/>
    </row>
    <row r="30" spans="3:36" x14ac:dyDescent="0.2">
      <c r="C30" s="119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121" t="s">
        <v>437</v>
      </c>
      <c r="P30" s="121"/>
      <c r="Q30" s="125">
        <f>SUMPRODUCT(Q4:Q20,$O4:$O20)/Q21</f>
        <v>0.18378791689361784</v>
      </c>
      <c r="R30" s="125"/>
      <c r="S30" s="126">
        <f>SUMPRODUCT(S4:S20,$O4:$O20)/S21</f>
        <v>0.19637854962936305</v>
      </c>
      <c r="T30" s="126"/>
      <c r="U30" s="127">
        <f>SUMPRODUCT(U4:U20,$O4:$O20)/U21</f>
        <v>0.20363931215710546</v>
      </c>
      <c r="V30" s="127"/>
      <c r="W30" s="128">
        <f>SUMPRODUCT(W4:W20,$O4:$O20)/W21</f>
        <v>0.20799614295576932</v>
      </c>
      <c r="X30" s="128"/>
    </row>
    <row r="31" spans="3:36" ht="15" thickBot="1" x14ac:dyDescent="0.25"/>
    <row r="32" spans="3:36" x14ac:dyDescent="0.2">
      <c r="Q32" s="129" t="s">
        <v>86</v>
      </c>
      <c r="R32" s="130">
        <v>100000</v>
      </c>
      <c r="S32" s="129" t="s">
        <v>86</v>
      </c>
      <c r="T32" s="130">
        <v>100000</v>
      </c>
      <c r="U32" s="129" t="s">
        <v>86</v>
      </c>
      <c r="V32" s="130">
        <v>100000</v>
      </c>
      <c r="W32" s="129" t="s">
        <v>86</v>
      </c>
      <c r="X32" s="130">
        <v>100000</v>
      </c>
      <c r="Z32" s="131"/>
    </row>
    <row r="33" spans="17:26" x14ac:dyDescent="0.2">
      <c r="Q33" s="132" t="s">
        <v>85</v>
      </c>
      <c r="R33" s="133"/>
      <c r="S33" s="132" t="s">
        <v>85</v>
      </c>
      <c r="T33" s="133">
        <v>5000</v>
      </c>
      <c r="U33" s="132" t="s">
        <v>85</v>
      </c>
      <c r="V33" s="133">
        <v>5000</v>
      </c>
      <c r="W33" s="132" t="s">
        <v>85</v>
      </c>
      <c r="X33" s="133">
        <v>5000</v>
      </c>
      <c r="Z33" s="131"/>
    </row>
    <row r="34" spans="17:26" x14ac:dyDescent="0.2">
      <c r="Q34" s="132" t="s">
        <v>88</v>
      </c>
      <c r="R34" s="134">
        <f>(R32-R33)*0.5%</f>
        <v>500</v>
      </c>
      <c r="S34" s="132" t="s">
        <v>88</v>
      </c>
      <c r="T34" s="134">
        <f>(T32-T33)*0.5%</f>
        <v>475</v>
      </c>
      <c r="U34" s="132" t="s">
        <v>88</v>
      </c>
      <c r="V34" s="134">
        <f>(V32-V33)*0.5%</f>
        <v>475</v>
      </c>
      <c r="W34" s="132" t="s">
        <v>88</v>
      </c>
      <c r="X34" s="134">
        <f>(X32-X33)*0.5%</f>
        <v>475</v>
      </c>
      <c r="Z34" s="135"/>
    </row>
    <row r="35" spans="17:26" x14ac:dyDescent="0.2">
      <c r="Q35" s="132" t="s">
        <v>87</v>
      </c>
      <c r="R35" s="134">
        <f>R33+R34</f>
        <v>500</v>
      </c>
      <c r="S35" s="132" t="s">
        <v>87</v>
      </c>
      <c r="T35" s="134">
        <f>T33+T34</f>
        <v>5475</v>
      </c>
      <c r="U35" s="132" t="s">
        <v>87</v>
      </c>
      <c r="V35" s="134">
        <f>V33+V34</f>
        <v>5475</v>
      </c>
      <c r="W35" s="132" t="s">
        <v>87</v>
      </c>
      <c r="X35" s="134">
        <f>X33+X34</f>
        <v>5475</v>
      </c>
      <c r="Z35" s="135"/>
    </row>
    <row r="36" spans="17:26" ht="15" thickBot="1" x14ac:dyDescent="0.25">
      <c r="Q36" s="136" t="s">
        <v>89</v>
      </c>
      <c r="R36" s="137">
        <f>R35/R32</f>
        <v>5.0000000000000001E-3</v>
      </c>
      <c r="S36" s="136" t="s">
        <v>89</v>
      </c>
      <c r="T36" s="137">
        <f>T35/T32</f>
        <v>5.475E-2</v>
      </c>
      <c r="U36" s="136" t="s">
        <v>89</v>
      </c>
      <c r="V36" s="137">
        <f>V35/V32</f>
        <v>5.475E-2</v>
      </c>
      <c r="W36" s="136" t="s">
        <v>89</v>
      </c>
      <c r="X36" s="137">
        <f>X35/X32</f>
        <v>5.475E-2</v>
      </c>
      <c r="Z36" s="138"/>
    </row>
  </sheetData>
  <conditionalFormatting sqref="A2">
    <cfRule type="cellIs" dxfId="130" priority="1" operator="lessThan">
      <formula>TODAY()-14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26EF2-632D-4642-8F18-98114E741B07}">
  <sheetPr codeName="Sheet5"/>
  <dimension ref="A1:AL422"/>
  <sheetViews>
    <sheetView topLeftCell="B1" zoomScale="80" zoomScaleNormal="80" workbookViewId="0">
      <selection activeCell="E22" sqref="E22"/>
    </sheetView>
  </sheetViews>
  <sheetFormatPr defaultColWidth="8.796875" defaultRowHeight="14.25" x14ac:dyDescent="0.2"/>
  <cols>
    <col min="1" max="1" width="11" style="1" bestFit="1" customWidth="1"/>
    <col min="2" max="2" width="1.3984375" style="1" customWidth="1"/>
    <col min="3" max="3" width="53.19921875" style="1" bestFit="1" customWidth="1"/>
    <col min="4" max="4" width="11.5" style="1" bestFit="1" customWidth="1"/>
    <col min="5" max="5" width="8.69921875" style="1" bestFit="1" customWidth="1"/>
    <col min="6" max="6" width="12.3984375" style="1" bestFit="1" customWidth="1"/>
    <col min="7" max="7" width="11.09765625" style="1" bestFit="1" customWidth="1"/>
    <col min="8" max="8" width="9.59765625" style="1" bestFit="1" customWidth="1"/>
    <col min="9" max="9" width="13.3984375" style="1" bestFit="1" customWidth="1"/>
    <col min="10" max="11" width="10.59765625" style="1" bestFit="1" customWidth="1"/>
    <col min="12" max="12" width="12.19921875" style="1" bestFit="1" customWidth="1"/>
    <col min="13" max="13" width="11.8984375" style="1" bestFit="1" customWidth="1"/>
    <col min="14" max="15" width="4.19921875" style="1" bestFit="1" customWidth="1"/>
    <col min="16" max="16" width="10.59765625" style="1" bestFit="1" customWidth="1"/>
    <col min="17" max="17" width="24" style="1" bestFit="1" customWidth="1"/>
    <col min="18" max="18" width="8" style="1" bestFit="1" customWidth="1"/>
    <col min="19" max="19" width="24" style="1" bestFit="1" customWidth="1"/>
    <col min="20" max="20" width="8" style="1" bestFit="1" customWidth="1"/>
    <col min="21" max="21" width="24" style="1" bestFit="1" customWidth="1"/>
    <col min="22" max="22" width="8" style="1" bestFit="1" customWidth="1"/>
    <col min="23" max="23" width="24" style="1" bestFit="1" customWidth="1"/>
    <col min="24" max="24" width="8" style="1" bestFit="1" customWidth="1"/>
    <col min="25" max="25" width="24" style="1" bestFit="1" customWidth="1"/>
    <col min="26" max="26" width="8" style="1" bestFit="1" customWidth="1"/>
    <col min="27" max="27" width="11.5" style="1" bestFit="1" customWidth="1"/>
    <col min="28" max="28" width="8" style="1" bestFit="1" customWidth="1"/>
    <col min="29" max="29" width="12.3984375" style="1" bestFit="1" customWidth="1"/>
    <col min="30" max="30" width="12.09765625" style="1" bestFit="1" customWidth="1"/>
    <col min="31" max="31" width="11.3984375" style="1" bestFit="1" customWidth="1"/>
    <col min="32" max="32" width="11.59765625" style="1" bestFit="1" customWidth="1"/>
    <col min="33" max="33" width="12.296875" style="1" bestFit="1" customWidth="1"/>
    <col min="34" max="34" width="13.69921875" style="1" bestFit="1" customWidth="1"/>
    <col min="35" max="35" width="14.796875" style="1" bestFit="1" customWidth="1"/>
    <col min="36" max="36" width="15.8984375" style="1" bestFit="1" customWidth="1"/>
    <col min="37" max="37" width="12.3984375" style="1" bestFit="1" customWidth="1"/>
    <col min="38" max="38" width="13.09765625" style="1" bestFit="1" customWidth="1"/>
    <col min="39" max="40" width="5.8984375" style="1" bestFit="1" customWidth="1"/>
    <col min="41" max="16384" width="8.796875" style="1"/>
  </cols>
  <sheetData>
    <row r="1" spans="1:38" x14ac:dyDescent="0.2">
      <c r="A1" s="76" t="s">
        <v>0</v>
      </c>
      <c r="C1" s="95" t="s">
        <v>432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38" x14ac:dyDescent="0.2">
      <c r="A2" s="89" t="s">
        <v>433</v>
      </c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1426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14</v>
      </c>
      <c r="Q2" s="99" t="s">
        <v>438</v>
      </c>
      <c r="R2" s="99" t="s">
        <v>536</v>
      </c>
      <c r="S2" s="100" t="s">
        <v>439</v>
      </c>
      <c r="T2" s="100" t="s">
        <v>537</v>
      </c>
      <c r="U2" s="101" t="s">
        <v>440</v>
      </c>
      <c r="V2" s="101" t="s">
        <v>538</v>
      </c>
      <c r="W2" s="102" t="s">
        <v>441</v>
      </c>
      <c r="X2" s="102" t="s">
        <v>539</v>
      </c>
      <c r="Y2" s="140" t="s">
        <v>442</v>
      </c>
      <c r="Z2" s="140" t="s">
        <v>540</v>
      </c>
      <c r="AC2" s="141" t="s">
        <v>438</v>
      </c>
      <c r="AD2" s="141"/>
      <c r="AE2" s="103" t="s">
        <v>439</v>
      </c>
      <c r="AF2" s="103"/>
      <c r="AG2" s="104" t="s">
        <v>440</v>
      </c>
      <c r="AH2" s="104"/>
      <c r="AI2" s="105" t="s">
        <v>441</v>
      </c>
      <c r="AJ2" s="105"/>
      <c r="AK2" s="142" t="s">
        <v>458</v>
      </c>
      <c r="AL2" s="142"/>
    </row>
    <row r="3" spans="1:38" x14ac:dyDescent="0.2">
      <c r="A3" s="90"/>
      <c r="C3" s="106" t="s">
        <v>16</v>
      </c>
      <c r="D3" s="45"/>
      <c r="E3" s="45"/>
      <c r="F3" s="45"/>
      <c r="G3" s="45"/>
      <c r="H3" s="45"/>
      <c r="I3" s="45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Y3" s="143"/>
      <c r="Z3" s="143"/>
      <c r="AB3" s="13" t="s">
        <v>17</v>
      </c>
      <c r="AC3" s="78" t="s">
        <v>18</v>
      </c>
      <c r="AD3" s="79" t="s">
        <v>19</v>
      </c>
      <c r="AE3" s="78" t="s">
        <v>18</v>
      </c>
      <c r="AF3" s="79" t="s">
        <v>19</v>
      </c>
      <c r="AG3" s="78" t="s">
        <v>18</v>
      </c>
      <c r="AH3" s="79" t="s">
        <v>19</v>
      </c>
      <c r="AI3" s="78" t="s">
        <v>18</v>
      </c>
      <c r="AJ3" s="79" t="s">
        <v>19</v>
      </c>
      <c r="AK3" s="78" t="s">
        <v>18</v>
      </c>
      <c r="AL3" s="79" t="s">
        <v>19</v>
      </c>
    </row>
    <row r="4" spans="1:38" x14ac:dyDescent="0.2">
      <c r="A4" s="91"/>
      <c r="C4" s="86" t="str" cm="1">
        <f t="array" ref="C4">_xll.BDP(D4&amp;" Equity","DS520")</f>
        <v>Xtrackers MSCI USA UCITS ETF</v>
      </c>
      <c r="D4" s="45" t="s">
        <v>1256</v>
      </c>
      <c r="E4" s="45" t="s">
        <v>1261</v>
      </c>
      <c r="F4" s="45" t="s">
        <v>552</v>
      </c>
      <c r="G4" s="45" t="s">
        <v>26</v>
      </c>
      <c r="H4" s="45" t="str" cm="1">
        <f t="array" ref="H4">_xll.BDP(D4&amp;" Equity", "ID_ISIN")</f>
        <v>IE00BJ0KDR00</v>
      </c>
      <c r="I4" s="45"/>
      <c r="J4" s="34" t="str" cm="1">
        <f t="array" ref="J4">_xll.BDP(D4&amp;" Equity","FD121")</f>
        <v>Equity</v>
      </c>
      <c r="K4" s="34" t="s">
        <v>453</v>
      </c>
      <c r="L4" s="34" t="s">
        <v>1284</v>
      </c>
      <c r="M4" s="34" t="str">
        <f>_xll.BDP(D4&amp;" Equity", "DS197")</f>
        <v>London</v>
      </c>
      <c r="N4" s="34" t="str">
        <f>_xll.BDP(D4&amp;" Equity", "DS004")</f>
        <v>USD</v>
      </c>
      <c r="O4" s="111">
        <f>_xll.BDP(D4&amp;" Equity", "FUND_EXPENSE_RATIO")</f>
        <v>0.03</v>
      </c>
      <c r="P4" s="45">
        <f>_xll.BDP(D4&amp;" Equity","PX_LAST")</f>
        <v>200.42</v>
      </c>
      <c r="Q4" s="112">
        <f t="shared" ref="Q4:Q12" si="0">AD4/$AD$22</f>
        <v>0.25996763369425474</v>
      </c>
      <c r="R4" s="112">
        <f t="shared" ref="R4:R12" si="1">Q4*(1-$R$39)/(1-$Q$21)</f>
        <v>0.24699423746475194</v>
      </c>
      <c r="S4" s="113">
        <f t="shared" ref="S4:S12" si="2">AF4/$AF$22</f>
        <v>0.1881615439962914</v>
      </c>
      <c r="T4" s="113">
        <f t="shared" ref="T4:T12" si="3">S4*(1-$T$39)/(1-$S$21)</f>
        <v>0.1787301791527941</v>
      </c>
      <c r="U4" s="114">
        <f t="shared" ref="U4:U12" si="4">AH4/$AH$22</f>
        <v>0.12474857223237022</v>
      </c>
      <c r="V4" s="114">
        <f t="shared" ref="V4:V12" si="5">U4*(1-$V$39)/(1-$U$21)</f>
        <v>0.11851669618533513</v>
      </c>
      <c r="W4" s="115">
        <f t="shared" ref="W4:W12" si="6">AJ4/$AJ$22</f>
        <v>8.7061852472624573E-2</v>
      </c>
      <c r="X4" s="115">
        <f t="shared" ref="X4:X12" si="7">W4*(1-$X$39)/(1-$W$21)</f>
        <v>8.2711233435375064E-2</v>
      </c>
      <c r="Y4" s="144"/>
      <c r="Z4" s="144"/>
      <c r="AB4" s="1" cm="1">
        <f t="array" ref="AB4">IF(N4="USD",1,_xll.BDP(N4&amp;"USD CURNCY","PX_LAST"))</f>
        <v>1</v>
      </c>
      <c r="AC4" s="80">
        <v>347972.03018865502</v>
      </c>
      <c r="AD4" s="81">
        <f t="shared" ref="AD4:AD11" si="8">AC4*P4*AB4</f>
        <v>69740554.290410236</v>
      </c>
      <c r="AE4" s="80">
        <v>110925.80074918301</v>
      </c>
      <c r="AF4" s="81">
        <f t="shared" ref="AF4:AF12" si="9">AE4*P4*AB4</f>
        <v>22231748.986151256</v>
      </c>
      <c r="AG4" s="80">
        <v>322289.092985811</v>
      </c>
      <c r="AH4" s="81">
        <f t="shared" ref="AH4:AH12" si="10">AG4*P4*AB4</f>
        <v>64593180.016216241</v>
      </c>
      <c r="AI4" s="80">
        <v>49204.805754756198</v>
      </c>
      <c r="AJ4" s="81">
        <f t="shared" ref="AJ4:AJ12" si="11">AI4*P4*AB4</f>
        <v>9861627.1693682373</v>
      </c>
      <c r="AK4" s="80"/>
      <c r="AL4" s="81">
        <f t="shared" ref="AL4:AL11" si="12">AK4*P4*AB4</f>
        <v>0</v>
      </c>
    </row>
    <row r="5" spans="1:38" x14ac:dyDescent="0.2">
      <c r="A5" s="91"/>
      <c r="C5" s="86" t="str" cm="1">
        <f t="array" ref="C5">_xll.BDP(D5&amp;" Equity","DS520")</f>
        <v>Invesco Global Enhanced Equity UCITS ETF</v>
      </c>
      <c r="D5" s="45" t="s">
        <v>1257</v>
      </c>
      <c r="E5" s="45" t="s">
        <v>1262</v>
      </c>
      <c r="F5" s="45" t="s">
        <v>552</v>
      </c>
      <c r="G5" s="45" t="s">
        <v>26</v>
      </c>
      <c r="H5" s="45" t="str" cm="1">
        <f t="array" ref="H5">_xll.BDP(D5&amp;" Equity", "ID_ISIN")</f>
        <v>IE000TZ4SIN6</v>
      </c>
      <c r="I5" s="45"/>
      <c r="J5" s="34" t="str" cm="1">
        <f t="array" ref="J5">_xll.BDP(D5&amp;" Equity","FD121")</f>
        <v>Equity</v>
      </c>
      <c r="K5" s="34" t="s">
        <v>443</v>
      </c>
      <c r="L5" s="34" t="s">
        <v>444</v>
      </c>
      <c r="M5" s="34" t="str">
        <f>_xll.BDP(D5&amp;" Equity", "DS197")</f>
        <v>London</v>
      </c>
      <c r="N5" s="34" t="str">
        <f>_xll.BDP(D5&amp;" Equity", "DS004")</f>
        <v>USD</v>
      </c>
      <c r="O5" s="111">
        <f>_xll.BDP(D5&amp;" Equity", "FUND_EXPENSE_RATIO")</f>
        <v>0.24</v>
      </c>
      <c r="P5" s="45">
        <f>_xll.BDP(D5&amp;" Equity","PX_LAST")</f>
        <v>5.9720000000000004</v>
      </c>
      <c r="Q5" s="112">
        <f t="shared" si="0"/>
        <v>0.18589155958001061</v>
      </c>
      <c r="R5" s="112">
        <f t="shared" si="1"/>
        <v>0.17661484761444332</v>
      </c>
      <c r="S5" s="113">
        <f t="shared" si="2"/>
        <v>0.13452308098804769</v>
      </c>
      <c r="T5" s="113">
        <f t="shared" si="3"/>
        <v>0.12778027781092974</v>
      </c>
      <c r="U5" s="114">
        <f t="shared" si="4"/>
        <v>8.9177429474907213E-2</v>
      </c>
      <c r="V5" s="114">
        <f t="shared" si="5"/>
        <v>8.4722527292574831E-2</v>
      </c>
      <c r="W5" s="115">
        <f t="shared" si="6"/>
        <v>6.2225565675667602E-2</v>
      </c>
      <c r="X5" s="115">
        <f t="shared" si="7"/>
        <v>5.911605533395619E-2</v>
      </c>
      <c r="Y5" s="144"/>
      <c r="Z5" s="144"/>
      <c r="AB5" s="1" cm="1">
        <f t="array" ref="AB5">IF(N5="USD",1,_xll.BDP(N5&amp;"USD CURNCY","PX_LAST"))</f>
        <v>1</v>
      </c>
      <c r="AC5" s="80">
        <v>8350375.1224962203</v>
      </c>
      <c r="AD5" s="81">
        <f t="shared" si="8"/>
        <v>49868440.23154743</v>
      </c>
      <c r="AE5" s="80">
        <v>2661458.9284553798</v>
      </c>
      <c r="AF5" s="81">
        <f t="shared" si="9"/>
        <v>15894232.720735529</v>
      </c>
      <c r="AG5" s="80">
        <v>7731900.0794543196</v>
      </c>
      <c r="AH5" s="81">
        <f t="shared" si="10"/>
        <v>46174907.274501197</v>
      </c>
      <c r="AI5" s="80">
        <v>1180238.37129918</v>
      </c>
      <c r="AJ5" s="81">
        <f t="shared" si="11"/>
        <v>7048383.5533987032</v>
      </c>
      <c r="AK5" s="80"/>
      <c r="AL5" s="81">
        <f t="shared" si="12"/>
        <v>0</v>
      </c>
    </row>
    <row r="6" spans="1:38" x14ac:dyDescent="0.2">
      <c r="A6" s="92"/>
      <c r="C6" s="86" t="str" cm="1">
        <f t="array" ref="C6">_xll.BDP(D6&amp;" Equity","DS520")</f>
        <v>JPMorgan Global Research Enhanced Index Equity Active UCITS ETF</v>
      </c>
      <c r="D6" s="45" t="s">
        <v>445</v>
      </c>
      <c r="E6" s="45" t="s">
        <v>541</v>
      </c>
      <c r="F6" s="45" t="s">
        <v>552</v>
      </c>
      <c r="G6" s="45" t="s">
        <v>26</v>
      </c>
      <c r="H6" s="45" t="str" cm="1">
        <f t="array" ref="H6">_xll.BDP(D6&amp;" Equity", "ID_ISIN")</f>
        <v>IE00BF4G6Y48</v>
      </c>
      <c r="I6" s="45"/>
      <c r="J6" s="34" t="str" cm="1">
        <f t="array" ref="J6">_xll.BDP(D6&amp;" Equity","FD121")</f>
        <v>Equity</v>
      </c>
      <c r="K6" s="34" t="s">
        <v>443</v>
      </c>
      <c r="L6" s="34" t="s">
        <v>444</v>
      </c>
      <c r="M6" s="34" t="str">
        <f>_xll.BDP(D6&amp;" Equity", "DS197")</f>
        <v>London</v>
      </c>
      <c r="N6" s="34" t="str">
        <f>_xll.BDP(D6&amp;" Equity", "DS004")</f>
        <v>USD</v>
      </c>
      <c r="O6" s="111">
        <f>_xll.BDP(D6&amp;" Equity", "FUND_EXPENSE_RATIO")</f>
        <v>0.25</v>
      </c>
      <c r="P6" s="45">
        <f>_xll.BDP(D6&amp;" Equity","PX_LAST")</f>
        <v>60.84</v>
      </c>
      <c r="Q6" s="112">
        <f t="shared" si="0"/>
        <v>0.18576243790558933</v>
      </c>
      <c r="R6" s="112">
        <f t="shared" si="1"/>
        <v>0.17649216961387593</v>
      </c>
      <c r="S6" s="113">
        <f t="shared" si="2"/>
        <v>0.13442964024493553</v>
      </c>
      <c r="T6" s="113">
        <f t="shared" si="3"/>
        <v>0.12769152066958242</v>
      </c>
      <c r="U6" s="114">
        <f t="shared" si="4"/>
        <v>8.9115486162148053E-2</v>
      </c>
      <c r="V6" s="114">
        <f t="shared" si="5"/>
        <v>8.466367838835398E-2</v>
      </c>
      <c r="W6" s="115">
        <f t="shared" si="6"/>
        <v>6.2182343330069702E-2</v>
      </c>
      <c r="X6" s="115">
        <f t="shared" si="7"/>
        <v>5.9074992877612337E-2</v>
      </c>
      <c r="Y6" s="144"/>
      <c r="Z6" s="144"/>
      <c r="AB6" s="1" cm="1">
        <f t="array" ref="AB6">IF(N6="USD",1,_xll.BDP(N6&amp;"USD CURNCY","PX_LAST"))</f>
        <v>1</v>
      </c>
      <c r="AC6" s="80">
        <v>819096.00983165402</v>
      </c>
      <c r="AD6" s="81">
        <f t="shared" si="8"/>
        <v>49833801.238157831</v>
      </c>
      <c r="AE6" s="80">
        <v>261064.96494458799</v>
      </c>
      <c r="AF6" s="81">
        <f t="shared" si="9"/>
        <v>15883192.467228735</v>
      </c>
      <c r="AG6" s="80">
        <v>758429.22151321103</v>
      </c>
      <c r="AH6" s="81">
        <f t="shared" si="10"/>
        <v>46142833.836863764</v>
      </c>
      <c r="AI6" s="80">
        <v>115770.67214345399</v>
      </c>
      <c r="AJ6" s="81">
        <f t="shared" si="11"/>
        <v>7043487.6932077417</v>
      </c>
      <c r="AK6" s="80"/>
      <c r="AL6" s="81">
        <f t="shared" si="12"/>
        <v>0</v>
      </c>
    </row>
    <row r="7" spans="1:38" x14ac:dyDescent="0.2">
      <c r="A7" s="90"/>
      <c r="C7" s="86" t="str" cm="1">
        <f t="array" ref="C7">_xll.BDP(D7&amp;" Equity","DS520")</f>
        <v>Xtrackers MSCI Emerging Markets UCITS ETF</v>
      </c>
      <c r="D7" s="45" t="s">
        <v>1258</v>
      </c>
      <c r="E7" s="45" t="s">
        <v>1263</v>
      </c>
      <c r="F7" s="45" t="s">
        <v>552</v>
      </c>
      <c r="G7" s="45" t="s">
        <v>26</v>
      </c>
      <c r="H7" s="45" t="str" cm="1">
        <f t="array" ref="H7">_xll.BDP(D7&amp;" Equity", "ID_ISIN")</f>
        <v>IE00BTJRMP35</v>
      </c>
      <c r="I7" s="45"/>
      <c r="J7" s="34" t="str" cm="1">
        <f t="array" ref="J7">_xll.BDP(D7&amp;" Equity","FD121")</f>
        <v>Equity</v>
      </c>
      <c r="K7" s="34" t="s">
        <v>453</v>
      </c>
      <c r="L7" s="34" t="s">
        <v>450</v>
      </c>
      <c r="M7" s="34" t="str">
        <f>_xll.BDP(D7&amp;" Equity", "DS197")</f>
        <v>London</v>
      </c>
      <c r="N7" s="34" t="str">
        <f>_xll.BDP(D7&amp;" Equity", "DS004")</f>
        <v>USD</v>
      </c>
      <c r="O7" s="111">
        <f>_xll.BDP(D7&amp;" Equity", "FUND_EXPENSE_RATIO")</f>
        <v>0.18</v>
      </c>
      <c r="P7" s="45">
        <f>_xll.BDP(D7&amp;" Equity","PX_LAST")</f>
        <v>79.55</v>
      </c>
      <c r="Q7" s="112">
        <f t="shared" si="0"/>
        <v>0.15855684931289624</v>
      </c>
      <c r="R7" s="112">
        <f t="shared" si="1"/>
        <v>0.15064424572526267</v>
      </c>
      <c r="S7" s="113">
        <f t="shared" si="2"/>
        <v>0.114731271831365</v>
      </c>
      <c r="T7" s="113">
        <f t="shared" si="3"/>
        <v>0.10898050862747996</v>
      </c>
      <c r="U7" s="114">
        <f t="shared" si="4"/>
        <v>7.6085396817934789E-2</v>
      </c>
      <c r="V7" s="114">
        <f t="shared" si="5"/>
        <v>7.2284513541486267E-2</v>
      </c>
      <c r="W7" s="115">
        <f t="shared" si="6"/>
        <v>5.306230618061035E-2</v>
      </c>
      <c r="X7" s="115">
        <f t="shared" si="7"/>
        <v>5.0410698468698702E-2</v>
      </c>
      <c r="Y7" s="144"/>
      <c r="Z7" s="144"/>
      <c r="AB7" s="1" cm="1">
        <f t="array" ref="AB7">IF(N7="USD",1,_xll.BDP(N7&amp;"USD CURNCY","PX_LAST"))</f>
        <v>1</v>
      </c>
      <c r="AC7" s="80">
        <v>534700.927006969</v>
      </c>
      <c r="AD7" s="81">
        <f t="shared" si="8"/>
        <v>42535458.743404381</v>
      </c>
      <c r="AE7" s="80">
        <v>170405.80533116401</v>
      </c>
      <c r="AF7" s="81">
        <f t="shared" si="9"/>
        <v>13555781.814094096</v>
      </c>
      <c r="AG7" s="80">
        <v>495236.00126803201</v>
      </c>
      <c r="AH7" s="81">
        <f t="shared" si="10"/>
        <v>39396023.900871947</v>
      </c>
      <c r="AI7" s="80">
        <v>75555.592054443303</v>
      </c>
      <c r="AJ7" s="81">
        <f t="shared" si="11"/>
        <v>6010447.3479309641</v>
      </c>
      <c r="AK7" s="80"/>
      <c r="AL7" s="81">
        <f t="shared" si="12"/>
        <v>0</v>
      </c>
    </row>
    <row r="8" spans="1:38" x14ac:dyDescent="0.2">
      <c r="A8" s="91"/>
      <c r="B8" s="3"/>
      <c r="C8" s="86" t="str" cm="1">
        <f t="array" ref="C8">_xll.BDP(D8&amp;" Equity","DS520")</f>
        <v>Xtrackers MSCI World ex USA UCITS ETF</v>
      </c>
      <c r="D8" s="45" t="s">
        <v>1259</v>
      </c>
      <c r="E8" s="45" t="s">
        <v>1264</v>
      </c>
      <c r="F8" s="45" t="s">
        <v>552</v>
      </c>
      <c r="G8" s="45" t="s">
        <v>26</v>
      </c>
      <c r="H8" s="45" t="str" cm="1">
        <f t="array" ref="H8">_xll.BDP(D8&amp;" Equity", "ID_ISIN")</f>
        <v>IE0006WW1TQ4</v>
      </c>
      <c r="I8" s="45"/>
      <c r="J8" s="34" t="str" cm="1">
        <f t="array" ref="J8">_xll.BDP(D8&amp;" Equity","FD121")</f>
        <v>Equity</v>
      </c>
      <c r="K8" s="34" t="s">
        <v>453</v>
      </c>
      <c r="L8" s="34" t="s">
        <v>444</v>
      </c>
      <c r="M8" s="34" t="str">
        <f>_xll.BDP(D8&amp;" Equity", "DS197")</f>
        <v>London</v>
      </c>
      <c r="N8" s="34" t="str">
        <f>_xll.BDP(D8&amp;" Equity", "DS004")</f>
        <v>USD</v>
      </c>
      <c r="O8" s="111">
        <f>_xll.BDP(D8&amp;" Equity", "FUND_EXPENSE_RATIO")</f>
        <v>0.15</v>
      </c>
      <c r="P8" s="45">
        <f>_xll.BDP(D8&amp;" Equity","PX_LAST")</f>
        <v>42.405000000000001</v>
      </c>
      <c r="Q8" s="112">
        <f t="shared" si="0"/>
        <v>8.5511248922108846E-2</v>
      </c>
      <c r="R8" s="112">
        <f t="shared" si="1"/>
        <v>8.1243904950932491E-2</v>
      </c>
      <c r="S8" s="113">
        <f t="shared" si="2"/>
        <v>6.1838166142511496E-2</v>
      </c>
      <c r="T8" s="113">
        <f t="shared" si="3"/>
        <v>5.8738604490560321E-2</v>
      </c>
      <c r="U8" s="114">
        <f t="shared" si="4"/>
        <v>4.100870960762875E-2</v>
      </c>
      <c r="V8" s="114">
        <f t="shared" si="5"/>
        <v>3.8960099426763803E-2</v>
      </c>
      <c r="W8" s="115">
        <f t="shared" si="6"/>
        <v>2.8669718814742721E-2</v>
      </c>
      <c r="X8" s="115">
        <f t="shared" si="7"/>
        <v>2.7237047433126646E-2</v>
      </c>
      <c r="Y8" s="144"/>
      <c r="Z8" s="144"/>
      <c r="AB8" s="1" cm="1">
        <f t="array" ref="AB8">IF(N8="USD",1,_xll.BDP(N8&amp;"USD CURNCY","PX_LAST"))</f>
        <v>1</v>
      </c>
      <c r="AC8" s="80">
        <v>540968.89644928195</v>
      </c>
      <c r="AD8" s="81">
        <f t="shared" si="8"/>
        <v>22939786.053931803</v>
      </c>
      <c r="AE8" s="80">
        <v>172298.81731630399</v>
      </c>
      <c r="AF8" s="81">
        <f t="shared" si="9"/>
        <v>7306331.3482978707</v>
      </c>
      <c r="AG8" s="80">
        <v>500737.50213563</v>
      </c>
      <c r="AH8" s="81">
        <f t="shared" si="10"/>
        <v>21233773.77806139</v>
      </c>
      <c r="AI8" s="80">
        <v>76582.059541512994</v>
      </c>
      <c r="AJ8" s="81">
        <f t="shared" si="11"/>
        <v>3247462.2348578586</v>
      </c>
      <c r="AK8" s="80"/>
      <c r="AL8" s="81">
        <f t="shared" si="12"/>
        <v>0</v>
      </c>
    </row>
    <row r="9" spans="1:38" x14ac:dyDescent="0.2">
      <c r="A9" s="90"/>
      <c r="C9" s="86" t="str" cm="1">
        <f t="array" ref="C9">_xll.BDP(D9&amp;" Equity","DS520")</f>
        <v>Ishares III PLC - Ishares Msci World Small Cap UCITS ETF</v>
      </c>
      <c r="D9" s="45" t="s">
        <v>1260</v>
      </c>
      <c r="E9" s="45" t="s">
        <v>1265</v>
      </c>
      <c r="F9" s="45" t="s">
        <v>552</v>
      </c>
      <c r="G9" s="45" t="s">
        <v>26</v>
      </c>
      <c r="H9" s="45" t="str" cm="1">
        <f t="array" ref="H9">_xll.BDP(D9&amp;" Equity", "ID_ISIN")</f>
        <v>IE00BF4RFH31</v>
      </c>
      <c r="I9" s="45"/>
      <c r="J9" s="34" t="str" cm="1">
        <f t="array" ref="J9">_xll.BDP(D9&amp;" Equity","FD121")</f>
        <v>Equity</v>
      </c>
      <c r="K9" s="34" t="s">
        <v>446</v>
      </c>
      <c r="L9" s="34" t="s">
        <v>1283</v>
      </c>
      <c r="M9" s="34" t="str">
        <f>_xll.BDP(D9&amp;" Equity", "DS197")</f>
        <v>London</v>
      </c>
      <c r="N9" s="34" t="str">
        <f>_xll.BDP(D9&amp;" Equity", "DS004")</f>
        <v>USD</v>
      </c>
      <c r="O9" s="111">
        <f>_xll.BDP(D9&amp;" Equity", "FUND_EXPENSE_RATIO")</f>
        <v>0.35</v>
      </c>
      <c r="P9" s="45">
        <f>_xll.BDP(D9&amp;" Equity","PX_LAST")</f>
        <v>9.5820000000000007</v>
      </c>
      <c r="Q9" s="112">
        <f t="shared" si="0"/>
        <v>4.0371254471610989E-2</v>
      </c>
      <c r="R9" s="112">
        <f t="shared" si="1"/>
        <v>3.8356571824007729E-2</v>
      </c>
      <c r="S9" s="113">
        <f t="shared" si="2"/>
        <v>2.9212521509021146E-2</v>
      </c>
      <c r="T9" s="113">
        <f t="shared" si="3"/>
        <v>2.7748279972208922E-2</v>
      </c>
      <c r="U9" s="114">
        <f t="shared" si="4"/>
        <v>1.9372628365292015E-2</v>
      </c>
      <c r="V9" s="114">
        <f t="shared" si="5"/>
        <v>1.8404859223590777E-2</v>
      </c>
      <c r="W9" s="115">
        <f t="shared" si="6"/>
        <v>1.3535441576274988E-2</v>
      </c>
      <c r="X9" s="115">
        <f t="shared" si="7"/>
        <v>1.2859054064099816E-2</v>
      </c>
      <c r="Y9" s="144"/>
      <c r="Z9" s="144"/>
      <c r="AB9" s="1" cm="1">
        <f t="array" ref="AB9">IF(N9="USD",1,_xll.BDP(N9&amp;"USD CURNCY","PX_LAST"))</f>
        <v>1</v>
      </c>
      <c r="AC9" s="80">
        <v>1130269.97709346</v>
      </c>
      <c r="AD9" s="81">
        <f t="shared" si="8"/>
        <v>10830246.920509536</v>
      </c>
      <c r="AE9" s="80">
        <v>360209.89671060903</v>
      </c>
      <c r="AF9" s="81">
        <f t="shared" si="9"/>
        <v>3451531.2302810559</v>
      </c>
      <c r="AG9" s="80">
        <v>1046847.60309342</v>
      </c>
      <c r="AH9" s="81">
        <f t="shared" si="10"/>
        <v>10030893.732841151</v>
      </c>
      <c r="AI9" s="80">
        <v>160006.246665738</v>
      </c>
      <c r="AJ9" s="81">
        <f t="shared" si="11"/>
        <v>1533179.8555511017</v>
      </c>
      <c r="AK9" s="80"/>
      <c r="AL9" s="81">
        <f t="shared" si="12"/>
        <v>0</v>
      </c>
    </row>
    <row r="10" spans="1:38" x14ac:dyDescent="0.2">
      <c r="A10" s="90"/>
      <c r="C10" s="86" t="str" cm="1">
        <f t="array" ref="C10">_xll.BDP(D10&amp;" Equity","DS520")</f>
        <v>Xtrackers MSCI Europe UCITS ETF</v>
      </c>
      <c r="D10" s="45" t="s">
        <v>451</v>
      </c>
      <c r="E10" s="45" t="s">
        <v>542</v>
      </c>
      <c r="F10" s="45" t="s">
        <v>552</v>
      </c>
      <c r="G10" s="45" t="s">
        <v>26</v>
      </c>
      <c r="H10" s="45" t="str" cm="1">
        <f t="array" ref="H10">_xll.BDP(D10&amp;" Equity", "ID_ISIN")</f>
        <v>LU0274209237</v>
      </c>
      <c r="I10" s="45"/>
      <c r="J10" s="34" t="str" cm="1">
        <f t="array" ref="J10">_xll.BDP(D10&amp;" Equity","FD121")</f>
        <v>Equity</v>
      </c>
      <c r="K10" s="34" t="s">
        <v>453</v>
      </c>
      <c r="L10" s="34" t="s">
        <v>452</v>
      </c>
      <c r="M10" s="34" t="str">
        <f>_xll.BDP(D10&amp;" Equity", "DS197")</f>
        <v>London</v>
      </c>
      <c r="N10" s="34" t="str">
        <f>_xll.BDP(D10&amp;" Equity", "DS004")</f>
        <v>USD</v>
      </c>
      <c r="O10" s="111">
        <f>_xll.BDP(D10&amp;" Equity", "FUND_EXPENSE_RATIO")</f>
        <v>0.12</v>
      </c>
      <c r="P10" s="45">
        <f>_xll.BDP(D10&amp;" Equity","PX_LAST")</f>
        <v>127.08</v>
      </c>
      <c r="Q10" s="112">
        <f t="shared" si="0"/>
        <v>3.9566054574080585E-2</v>
      </c>
      <c r="R10" s="112">
        <f t="shared" si="1"/>
        <v>3.7591554533697204E-2</v>
      </c>
      <c r="S10" s="113">
        <f t="shared" si="2"/>
        <v>2.862988122118441E-2</v>
      </c>
      <c r="T10" s="113">
        <f t="shared" si="3"/>
        <v>2.7194843808713433E-2</v>
      </c>
      <c r="U10" s="114">
        <f t="shared" si="4"/>
        <v>1.8986243582882135E-2</v>
      </c>
      <c r="V10" s="114">
        <f t="shared" si="5"/>
        <v>1.8037776482297277E-2</v>
      </c>
      <c r="W10" s="115">
        <f t="shared" si="6"/>
        <v>1.3265478794268622E-2</v>
      </c>
      <c r="X10" s="115">
        <f t="shared" si="7"/>
        <v>1.2602581751057627E-2</v>
      </c>
      <c r="Y10" s="144"/>
      <c r="Z10" s="144"/>
      <c r="AB10" s="1" cm="1">
        <f t="array" ref="AB10">IF(N10="USD",1,_xll.BDP(N10&amp;"USD CURNCY","PX_LAST"))</f>
        <v>1</v>
      </c>
      <c r="AC10" s="80">
        <v>83524.070869450399</v>
      </c>
      <c r="AD10" s="81">
        <f t="shared" si="8"/>
        <v>10614238.926089756</v>
      </c>
      <c r="AE10" s="80">
        <v>26618.593389609701</v>
      </c>
      <c r="AF10" s="81">
        <f t="shared" si="9"/>
        <v>3382690.8479516008</v>
      </c>
      <c r="AG10" s="80">
        <v>77359.370028687496</v>
      </c>
      <c r="AH10" s="81">
        <f t="shared" si="10"/>
        <v>9830828.7432456072</v>
      </c>
      <c r="AI10" s="80">
        <v>11824.0538605042</v>
      </c>
      <c r="AJ10" s="81">
        <f t="shared" si="11"/>
        <v>1502600.7645928736</v>
      </c>
      <c r="AK10" s="80"/>
      <c r="AL10" s="81">
        <f t="shared" si="12"/>
        <v>0</v>
      </c>
    </row>
    <row r="11" spans="1:38" x14ac:dyDescent="0.2">
      <c r="A11" s="90"/>
      <c r="C11" s="86" t="str" cm="1">
        <f t="array" ref="C11">_xll.BDP(D11&amp;" Equity","DS520")</f>
        <v>Xtrackers MSCI World Health Care UCITS ETF</v>
      </c>
      <c r="D11" s="45" t="s">
        <v>454</v>
      </c>
      <c r="E11" s="45" t="s">
        <v>543</v>
      </c>
      <c r="F11" s="45" t="s">
        <v>552</v>
      </c>
      <c r="G11" s="45" t="s">
        <v>26</v>
      </c>
      <c r="H11" s="45" t="str" cm="1">
        <f t="array" ref="H11">_xll.BDP(D11&amp;" Equity", "ID_ISIN")</f>
        <v>IE00BM67HK77</v>
      </c>
      <c r="I11" s="45"/>
      <c r="J11" s="34" t="str" cm="1">
        <f t="array" ref="J11">_xll.BDP(D11&amp;" Equity","FD121")</f>
        <v>Equity</v>
      </c>
      <c r="K11" s="34" t="s">
        <v>446</v>
      </c>
      <c r="L11" s="34" t="s">
        <v>455</v>
      </c>
      <c r="M11" s="34" t="str">
        <f>_xll.BDP(D11&amp;" Equity", "DS197")</f>
        <v>London</v>
      </c>
      <c r="N11" s="34" t="str">
        <f>_xll.BDP(D11&amp;" Equity", "DS004")</f>
        <v>USD</v>
      </c>
      <c r="O11" s="111">
        <f>_xll.BDP(D11&amp;" Equity", "FUND_EXPENSE_RATIO")</f>
        <v>0.25</v>
      </c>
      <c r="P11" s="45">
        <f>_xll.BDP(D11&amp;" Equity","PX_LAST")</f>
        <v>57.9</v>
      </c>
      <c r="Q11" s="112">
        <f t="shared" si="0"/>
        <v>3.9272309280557485E-2</v>
      </c>
      <c r="R11" s="112">
        <f t="shared" si="1"/>
        <v>3.7312468273028587E-2</v>
      </c>
      <c r="S11" s="113">
        <f t="shared" si="2"/>
        <v>2.8417327987019909E-2</v>
      </c>
      <c r="T11" s="113">
        <f t="shared" si="3"/>
        <v>2.6992944542716359E-2</v>
      </c>
      <c r="U11" s="114">
        <f t="shared" si="4"/>
        <v>1.8845286397380749E-2</v>
      </c>
      <c r="V11" s="114">
        <f t="shared" si="5"/>
        <v>1.7903860882060269E-2</v>
      </c>
      <c r="W11" s="115">
        <f t="shared" si="6"/>
        <v>1.3166993564844149E-2</v>
      </c>
      <c r="X11" s="115">
        <f t="shared" si="7"/>
        <v>1.2509017984958975E-2</v>
      </c>
      <c r="Y11" s="144"/>
      <c r="Z11" s="144"/>
      <c r="AB11" s="1" cm="1">
        <f t="array" ref="AB11">IF(N11="USD",1,_xll.BDP(N11&amp;"USD CURNCY","PX_LAST"))</f>
        <v>1</v>
      </c>
      <c r="AC11" s="80">
        <v>181959.18763547501</v>
      </c>
      <c r="AD11" s="81">
        <f t="shared" si="8"/>
        <v>10535436.964094004</v>
      </c>
      <c r="AE11" s="80">
        <v>57989.242846446898</v>
      </c>
      <c r="AF11" s="81">
        <f t="shared" si="9"/>
        <v>3357577.1608092752</v>
      </c>
      <c r="AG11" s="80">
        <v>168529.23929454401</v>
      </c>
      <c r="AH11" s="81">
        <f t="shared" si="10"/>
        <v>9757842.9551540986</v>
      </c>
      <c r="AI11" s="80">
        <v>25758.9843576741</v>
      </c>
      <c r="AJ11" s="81">
        <f t="shared" si="11"/>
        <v>1491445.1943093303</v>
      </c>
      <c r="AK11" s="80"/>
      <c r="AL11" s="81">
        <f t="shared" si="12"/>
        <v>0</v>
      </c>
    </row>
    <row r="12" spans="1:38" x14ac:dyDescent="0.2">
      <c r="A12" s="90"/>
      <c r="C12" s="86" t="str" cm="1">
        <f t="array" ref="C12">_xll.BDP(D12&amp;" Equity","DS520")</f>
        <v>Wisdomtree Enhanced Commodity EX-Agriculture UCITS ETF</v>
      </c>
      <c r="D12" s="45" t="s">
        <v>1267</v>
      </c>
      <c r="E12" s="45" t="s">
        <v>1266</v>
      </c>
      <c r="F12" s="45" t="s">
        <v>552</v>
      </c>
      <c r="G12" s="45" t="s">
        <v>26</v>
      </c>
      <c r="H12" s="45" t="str" cm="1">
        <f t="array" ref="H12">_xll.BDP(D12&amp;" Equity", "ID_ISIN")</f>
        <v>IE00BDVPNS35</v>
      </c>
      <c r="I12" s="45"/>
      <c r="J12" s="34" t="str" cm="1">
        <f t="array" ref="J12">_xll.BDP(D12&amp;" Equity","FD121")</f>
        <v>Commodity</v>
      </c>
      <c r="K12" s="34" t="s">
        <v>446</v>
      </c>
      <c r="L12" s="34" t="s">
        <v>447</v>
      </c>
      <c r="M12" s="34" t="str">
        <f>_xll.BDP(D12&amp;" Equity", "DS197")</f>
        <v>London</v>
      </c>
      <c r="N12" s="34" t="str">
        <f>_xll.BDP(D12&amp;" Equity", "DS004")</f>
        <v>USD</v>
      </c>
      <c r="O12" s="111">
        <f>_xll.BDP(D12&amp;" Equity", "FUND_EXPENSE_RATIO")</f>
        <v>0.35</v>
      </c>
      <c r="P12" s="45">
        <f>_xll.BDP(D12&amp;" Equity","PX_LAST")</f>
        <v>17.422000000000001</v>
      </c>
      <c r="Q12" s="112">
        <f t="shared" si="0"/>
        <v>0</v>
      </c>
      <c r="R12" s="112">
        <f t="shared" si="1"/>
        <v>0</v>
      </c>
      <c r="S12" s="113">
        <f t="shared" si="2"/>
        <v>2.9921064303121605E-2</v>
      </c>
      <c r="T12" s="113">
        <f t="shared" si="3"/>
        <v>2.8421307934444882E-2</v>
      </c>
      <c r="U12" s="114">
        <f t="shared" si="4"/>
        <v>2.9763760320692209E-2</v>
      </c>
      <c r="V12" s="114">
        <f t="shared" si="5"/>
        <v>2.8276897090973536E-2</v>
      </c>
      <c r="W12" s="115">
        <f t="shared" si="6"/>
        <v>2.9664327115608357E-2</v>
      </c>
      <c r="X12" s="115">
        <f t="shared" si="7"/>
        <v>2.8181953577589014E-2</v>
      </c>
      <c r="Y12" s="144"/>
      <c r="Z12" s="144"/>
      <c r="AB12" s="1">
        <v>1</v>
      </c>
      <c r="AC12" s="80"/>
      <c r="AD12" s="81"/>
      <c r="AE12" s="80">
        <v>202918.56866234401</v>
      </c>
      <c r="AF12" s="81">
        <f t="shared" si="9"/>
        <v>3535247.3032353576</v>
      </c>
      <c r="AG12" s="80">
        <v>884587.64945310703</v>
      </c>
      <c r="AH12" s="81">
        <f t="shared" si="10"/>
        <v>15411286.028772032</v>
      </c>
      <c r="AI12" s="80">
        <v>192866.66371590801</v>
      </c>
      <c r="AJ12" s="81">
        <f t="shared" si="11"/>
        <v>3360123.0152585497</v>
      </c>
      <c r="AK12" s="80"/>
      <c r="AL12" s="81"/>
    </row>
    <row r="13" spans="1:38" x14ac:dyDescent="0.2">
      <c r="A13" s="90"/>
      <c r="C13" s="116" t="s">
        <v>456</v>
      </c>
      <c r="D13" s="45"/>
      <c r="E13" s="45"/>
      <c r="F13" s="45"/>
      <c r="G13" s="45"/>
      <c r="H13" s="45"/>
      <c r="I13" s="45"/>
      <c r="J13" s="45"/>
      <c r="K13" s="45"/>
      <c r="L13" s="45"/>
      <c r="M13" s="34"/>
      <c r="N13" s="34"/>
      <c r="O13" s="111"/>
      <c r="P13" s="45"/>
      <c r="Q13" s="112"/>
      <c r="R13" s="112"/>
      <c r="S13" s="113"/>
      <c r="T13" s="113"/>
      <c r="U13" s="114"/>
      <c r="V13" s="114"/>
      <c r="W13" s="115"/>
      <c r="X13" s="115"/>
      <c r="Y13" s="144"/>
      <c r="Z13" s="144"/>
      <c r="AB13" s="1" cm="1">
        <f t="array" ref="AB13">IF(N13="USD",1,_xll.BDP(N13&amp;"USD CURNCY","PX_LAST"))</f>
        <v>1</v>
      </c>
      <c r="AC13" s="80"/>
      <c r="AD13" s="81"/>
      <c r="AE13" s="80"/>
      <c r="AF13" s="81"/>
      <c r="AG13" s="80"/>
      <c r="AH13" s="81"/>
      <c r="AI13" s="80"/>
      <c r="AJ13" s="81"/>
      <c r="AK13" s="80"/>
      <c r="AL13" s="81"/>
    </row>
    <row r="14" spans="1:38" x14ac:dyDescent="0.2">
      <c r="A14" s="90"/>
      <c r="C14" s="86" t="str" cm="1">
        <f t="array" ref="C14">_xll.BDP(D14&amp;" Equity","DS520")</f>
        <v>iShares Asia Investment Grade Corp Bond UCITS ETF</v>
      </c>
      <c r="D14" s="45" t="s">
        <v>457</v>
      </c>
      <c r="E14" s="45" t="s">
        <v>544</v>
      </c>
      <c r="F14" s="45" t="s">
        <v>551</v>
      </c>
      <c r="G14" s="45" t="s">
        <v>26</v>
      </c>
      <c r="H14" s="45" t="str" cm="1">
        <f t="array" ref="H14">_xll.BDP(D14&amp;" Equity", "ID_ISIN")</f>
        <v>IE0007G78AC4</v>
      </c>
      <c r="I14" s="45"/>
      <c r="J14" s="34" t="str" cm="1">
        <f t="array" ref="J14">_xll.BDP(D14&amp;" Equity","FD121")</f>
        <v>Fixed Income</v>
      </c>
      <c r="K14" s="34" t="s">
        <v>458</v>
      </c>
      <c r="L14" s="34" t="s">
        <v>459</v>
      </c>
      <c r="M14" s="34" t="str">
        <f>_xll.BDP(D14&amp;" Equity", "DS197")</f>
        <v>EN Amsterdam</v>
      </c>
      <c r="N14" s="34" t="str">
        <f>_xll.BDP(D14&amp;" Equity", "DS004")</f>
        <v>USD</v>
      </c>
      <c r="O14" s="111">
        <f>_xll.BDP(D14&amp;" Equity", "FUND_EXPENSE_RATIO")</f>
        <v>0.2</v>
      </c>
      <c r="P14" s="45">
        <f>_xll.BDP(D14&amp;" Equity","PX_LAST")</f>
        <v>5.4771999999999998</v>
      </c>
      <c r="Q14" s="112"/>
      <c r="R14" s="112"/>
      <c r="S14" s="113">
        <f t="shared" ref="S14:S21" si="13">AF14/$AF$22</f>
        <v>2.7258576364324719E-2</v>
      </c>
      <c r="T14" s="113">
        <f t="shared" ref="T14:T20" si="14">S14*(1-$T$39)/(1-$S$21)</f>
        <v>2.5892273913004776E-2</v>
      </c>
      <c r="U14" s="114">
        <f t="shared" ref="U14:U21" si="15">AH14/$AH$22</f>
        <v>5.4128984436430959E-2</v>
      </c>
      <c r="V14" s="114">
        <f t="shared" ref="V14:V20" si="16">U14*(1-$V$39)/(1-$U$21)</f>
        <v>5.1424944498151014E-2</v>
      </c>
      <c r="W14" s="115">
        <f t="shared" ref="W14:W21" si="17">AJ14/$AJ$22</f>
        <v>7.014272072843443E-2</v>
      </c>
      <c r="X14" s="115">
        <f t="shared" ref="X14:X20" si="18">W14*(1-$X$39)/(1-$W$21)</f>
        <v>6.6637577574932647E-2</v>
      </c>
      <c r="Y14" s="144">
        <f t="shared" ref="Y14:Y21" si="19">AL14/$AL$22</f>
        <v>0.11468033051553676</v>
      </c>
      <c r="Z14" s="144">
        <f t="shared" ref="Z14:Z20" si="20">Y14*(1-$Z$39)/(1-$Y$21)</f>
        <v>0.10893227396047508</v>
      </c>
      <c r="AB14" s="1" cm="1">
        <f t="array" ref="AB14">IF(N14="USD",1,_xll.BDP(N14&amp;"USD CURNCY","PX_LAST"))</f>
        <v>1</v>
      </c>
      <c r="AC14" s="80"/>
      <c r="AD14" s="81">
        <f t="shared" ref="AD14:AD21" si="21">AC14*P14*AB14</f>
        <v>0</v>
      </c>
      <c r="AE14" s="80">
        <v>588013.54852754402</v>
      </c>
      <c r="AF14" s="81">
        <f t="shared" ref="AF14:AF21" si="22">AE14*P14*AB14</f>
        <v>3220667.8079950642</v>
      </c>
      <c r="AG14" s="80">
        <v>5117081.8263143003</v>
      </c>
      <c r="AH14" s="81">
        <f t="shared" ref="AH14:AH21" si="23">AG14*P14*AB14</f>
        <v>28027280.579088684</v>
      </c>
      <c r="AI14" s="80">
        <v>1450590.0152819301</v>
      </c>
      <c r="AJ14" s="81">
        <f t="shared" ref="AJ14:AJ21" si="24">AI14*P14*AB14</f>
        <v>7945171.6317021875</v>
      </c>
      <c r="AK14" s="80">
        <v>99379759.429381698</v>
      </c>
      <c r="AL14" s="81">
        <f t="shared" ref="AL14:AL21" si="25">AK14*P14*AB14</f>
        <v>544322818.34660947</v>
      </c>
    </row>
    <row r="15" spans="1:38" x14ac:dyDescent="0.2">
      <c r="A15" s="90"/>
      <c r="C15" s="86" t="str" cm="1">
        <f t="array" ref="C15">_xll.BDP(D15&amp;" Equity","DS520")</f>
        <v>iShares Global Corp Bond UCITS ETF</v>
      </c>
      <c r="D15" s="145" t="s">
        <v>460</v>
      </c>
      <c r="E15" s="145" t="s">
        <v>545</v>
      </c>
      <c r="F15" s="45" t="s">
        <v>552</v>
      </c>
      <c r="G15" s="45" t="s">
        <v>26</v>
      </c>
      <c r="H15" s="45" t="str" cm="1">
        <f t="array" ref="H15">_xll.BDP(D15&amp;" Equity", "ID_ISIN")</f>
        <v>IE00B7J7TB45</v>
      </c>
      <c r="I15" s="45"/>
      <c r="J15" s="34" t="str" cm="1">
        <f t="array" ref="J15">_xll.BDP(D15&amp;" Equity","FD121")</f>
        <v>Fixed Income</v>
      </c>
      <c r="K15" s="34" t="s">
        <v>458</v>
      </c>
      <c r="L15" s="34" t="s">
        <v>1403</v>
      </c>
      <c r="M15" s="34" t="str">
        <f>_xll.BDP(D15&amp;" Equity", "DS197")</f>
        <v>London</v>
      </c>
      <c r="N15" s="34" t="str">
        <f>_xll.BDP(D15&amp;" Equity", "DS004")</f>
        <v>USD</v>
      </c>
      <c r="O15" s="111">
        <f>_xll.BDP(D15&amp;" Equity", "FUND_EXPENSE_RATIO")</f>
        <v>0.2</v>
      </c>
      <c r="P15" s="45">
        <f>_xll.BDP(D15&amp;" Equity","PX_LAST")</f>
        <v>91.7</v>
      </c>
      <c r="Q15" s="112"/>
      <c r="R15" s="112"/>
      <c r="S15" s="113">
        <f t="shared" si="13"/>
        <v>4.154339763881007E-2</v>
      </c>
      <c r="T15" s="113">
        <f t="shared" si="14"/>
        <v>3.9461086175752433E-2</v>
      </c>
      <c r="U15" s="114">
        <f t="shared" si="15"/>
        <v>8.2649983149145775E-2</v>
      </c>
      <c r="V15" s="114">
        <f t="shared" si="16"/>
        <v>7.8521162746170742E-2</v>
      </c>
      <c r="W15" s="115">
        <f t="shared" si="17"/>
        <v>0.1071660061935229</v>
      </c>
      <c r="X15" s="115">
        <f t="shared" si="18"/>
        <v>0.10181075066598698</v>
      </c>
      <c r="Y15" s="144">
        <f t="shared" si="19"/>
        <v>0.1823555395331625</v>
      </c>
      <c r="Z15" s="144">
        <f t="shared" si="20"/>
        <v>0.17321543721872598</v>
      </c>
      <c r="AB15" s="1" cm="1">
        <f t="array" ref="AB15">IF(N15="USD",1,_xll.BDP(N15&amp;"USD CURNCY","PX_LAST"))</f>
        <v>1</v>
      </c>
      <c r="AC15" s="80"/>
      <c r="AD15" s="81">
        <f t="shared" si="21"/>
        <v>0</v>
      </c>
      <c r="AE15" s="80">
        <v>53527.312523081797</v>
      </c>
      <c r="AF15" s="81">
        <f t="shared" si="22"/>
        <v>4908454.5583666014</v>
      </c>
      <c r="AG15" s="80">
        <v>466685.72401695198</v>
      </c>
      <c r="AH15" s="81">
        <f t="shared" si="23"/>
        <v>42795080.892354496</v>
      </c>
      <c r="AI15" s="80">
        <v>132375.73548397701</v>
      </c>
      <c r="AJ15" s="81">
        <f t="shared" si="24"/>
        <v>12138854.943880692</v>
      </c>
      <c r="AK15" s="80">
        <v>9438809.6891840007</v>
      </c>
      <c r="AL15" s="81">
        <f t="shared" si="25"/>
        <v>865538848.49817288</v>
      </c>
    </row>
    <row r="16" spans="1:38" x14ac:dyDescent="0.2">
      <c r="A16" s="90"/>
      <c r="C16" s="86" t="str" cm="1">
        <f t="array" ref="C16">_xll.BDP(D16&amp;" Equity","DS520")</f>
        <v>iShares JP Morgan EM Local Government Bond UCITS ETF</v>
      </c>
      <c r="D16" s="145" t="s">
        <v>462</v>
      </c>
      <c r="E16" s="145" t="s">
        <v>546</v>
      </c>
      <c r="F16" s="45" t="s">
        <v>552</v>
      </c>
      <c r="G16" s="45" t="s">
        <v>26</v>
      </c>
      <c r="H16" s="45" t="str" cm="1">
        <f t="array" ref="H16">_xll.BDP(D16&amp;" Equity", "ID_ISIN")</f>
        <v>IE00BFZPF546</v>
      </c>
      <c r="I16" s="45"/>
      <c r="J16" s="34" t="str" cm="1">
        <f t="array" ref="J16">_xll.BDP(D16&amp;" Equity","FD121")</f>
        <v>Fixed Income</v>
      </c>
      <c r="K16" s="34" t="s">
        <v>458</v>
      </c>
      <c r="L16" s="34" t="s">
        <v>450</v>
      </c>
      <c r="M16" s="34" t="str">
        <f>_xll.BDP(D16&amp;" Equity", "DS197")</f>
        <v>London</v>
      </c>
      <c r="N16" s="34" t="str">
        <f>_xll.BDP(D16&amp;" Equity", "DS004")</f>
        <v>USD</v>
      </c>
      <c r="O16" s="111">
        <f>_xll.BDP(D16&amp;" Equity", "FUND_EXPENSE_RATIO")</f>
        <v>0.5</v>
      </c>
      <c r="P16" s="45">
        <f>_xll.BDP(D16&amp;" Equity","PX_LAST")</f>
        <v>5.65</v>
      </c>
      <c r="Q16" s="112"/>
      <c r="R16" s="112"/>
      <c r="S16" s="113">
        <f t="shared" si="13"/>
        <v>2.6643372144023771E-2</v>
      </c>
      <c r="T16" s="113">
        <f t="shared" si="14"/>
        <v>2.5307906043913996E-2</v>
      </c>
      <c r="U16" s="114">
        <f t="shared" si="15"/>
        <v>5.3006599938826171E-2</v>
      </c>
      <c r="V16" s="114">
        <f t="shared" si="16"/>
        <v>5.0358629268041799E-2</v>
      </c>
      <c r="W16" s="115">
        <f t="shared" si="17"/>
        <v>6.8658587424420825E-2</v>
      </c>
      <c r="X16" s="115">
        <f t="shared" si="18"/>
        <v>6.522760876917949E-2</v>
      </c>
      <c r="Y16" s="144">
        <f t="shared" si="19"/>
        <v>6.9757546777957244E-2</v>
      </c>
      <c r="Z16" s="144">
        <f t="shared" si="20"/>
        <v>6.6261129195103005E-2</v>
      </c>
      <c r="AB16" s="1" cm="1">
        <f t="array" ref="AB16">IF(N16="USD",1,_xll.BDP(N16&amp;"USD CURNCY","PX_LAST"))</f>
        <v>1</v>
      </c>
      <c r="AC16" s="80"/>
      <c r="AD16" s="81">
        <f t="shared" si="21"/>
        <v>0</v>
      </c>
      <c r="AE16" s="80">
        <v>557164.58707824803</v>
      </c>
      <c r="AF16" s="81">
        <f t="shared" si="22"/>
        <v>3147979.9169921018</v>
      </c>
      <c r="AG16" s="80">
        <v>4857721.1606708802</v>
      </c>
      <c r="AH16" s="81">
        <f t="shared" si="23"/>
        <v>27446124.557790477</v>
      </c>
      <c r="AI16" s="80">
        <v>1376471.0826250799</v>
      </c>
      <c r="AJ16" s="81">
        <f t="shared" si="24"/>
        <v>7777061.6168317022</v>
      </c>
      <c r="AK16" s="80">
        <v>58601719.026585601</v>
      </c>
      <c r="AL16" s="81">
        <f t="shared" si="25"/>
        <v>331099712.50020868</v>
      </c>
    </row>
    <row r="17" spans="1:38" x14ac:dyDescent="0.2">
      <c r="A17" s="91"/>
      <c r="B17" s="3"/>
      <c r="C17" s="86" t="str" cm="1">
        <f t="array" ref="C17">_xll.BDP(D17&amp;" Equity","DS520")</f>
        <v>iShares USD Treasury Bond 20+yr UCITS ETF</v>
      </c>
      <c r="D17" s="145" t="s">
        <v>463</v>
      </c>
      <c r="E17" s="145" t="s">
        <v>547</v>
      </c>
      <c r="F17" s="45" t="s">
        <v>552</v>
      </c>
      <c r="G17" s="45" t="s">
        <v>26</v>
      </c>
      <c r="H17" s="45" t="str" cm="1">
        <f t="array" ref="H17">_xll.BDP(D17&amp;" Equity", "ID_ISIN")</f>
        <v>IE00BSKRJZ44</v>
      </c>
      <c r="I17" s="45"/>
      <c r="J17" s="34" t="str" cm="1">
        <f t="array" ref="J17">_xll.BDP(D17&amp;" Equity","FD121")</f>
        <v>Fixed Income</v>
      </c>
      <c r="K17" s="34" t="s">
        <v>458</v>
      </c>
      <c r="L17" s="34" t="s">
        <v>464</v>
      </c>
      <c r="M17" s="34" t="str">
        <f>_xll.BDP(D17&amp;" Equity", "DS197")</f>
        <v>London</v>
      </c>
      <c r="N17" s="34" t="str">
        <f>_xll.BDP(D17&amp;" Equity", "DS004")</f>
        <v>USD</v>
      </c>
      <c r="O17" s="111">
        <f>_xll.BDP(D17&amp;" Equity", "FUND_EXPENSE_RATIO")</f>
        <v>7.0000000000000007E-2</v>
      </c>
      <c r="P17" s="45">
        <f>_xll.BDP(D17&amp;" Equity","PX_LAST")</f>
        <v>3.2989999999999999</v>
      </c>
      <c r="Q17" s="112"/>
      <c r="R17" s="112"/>
      <c r="S17" s="113">
        <f t="shared" si="13"/>
        <v>1.1204106947841659E-2</v>
      </c>
      <c r="T17" s="113">
        <f t="shared" si="14"/>
        <v>1.0642514934264536E-2</v>
      </c>
      <c r="U17" s="114">
        <f t="shared" si="15"/>
        <v>2.2290407214436588E-2</v>
      </c>
      <c r="V17" s="114">
        <f t="shared" si="16"/>
        <v>2.1176879000746454E-2</v>
      </c>
      <c r="W17" s="115">
        <f t="shared" si="17"/>
        <v>2.8941867563290053E-2</v>
      </c>
      <c r="X17" s="115">
        <f t="shared" si="18"/>
        <v>2.7495596476490056E-2</v>
      </c>
      <c r="Y17" s="144">
        <f t="shared" si="19"/>
        <v>5.2383163837728466E-2</v>
      </c>
      <c r="Z17" s="144">
        <f t="shared" si="20"/>
        <v>4.9757592504625865E-2</v>
      </c>
      <c r="AB17" s="1" cm="1">
        <f t="array" ref="AB17">IF(N17="USD",1,_xll.BDP(N17&amp;"USD CURNCY","PX_LAST"))</f>
        <v>1</v>
      </c>
      <c r="AC17" s="80"/>
      <c r="AD17" s="81">
        <f t="shared" si="21"/>
        <v>0</v>
      </c>
      <c r="AE17" s="80">
        <v>401270.92430101999</v>
      </c>
      <c r="AF17" s="81">
        <f t="shared" si="22"/>
        <v>1323792.779269065</v>
      </c>
      <c r="AG17" s="80">
        <v>3498539.3999300902</v>
      </c>
      <c r="AH17" s="81">
        <f t="shared" si="23"/>
        <v>11541681.480369367</v>
      </c>
      <c r="AI17" s="80">
        <v>993722.01683506102</v>
      </c>
      <c r="AJ17" s="81">
        <f t="shared" si="24"/>
        <v>3278288.9335388662</v>
      </c>
      <c r="AK17" s="80">
        <v>75366268.722945303</v>
      </c>
      <c r="AL17" s="81">
        <f t="shared" si="25"/>
        <v>248633320.51699656</v>
      </c>
    </row>
    <row r="18" spans="1:38" x14ac:dyDescent="0.2">
      <c r="A18" s="90"/>
      <c r="C18" s="86" t="str" cm="1">
        <f t="array" ref="C18">_xll.BDP(D18&amp;" Equity","DS520")</f>
        <v>iShares USD Treasury Bond 7-10yr UCITS ETF</v>
      </c>
      <c r="D18" s="45" t="s">
        <v>465</v>
      </c>
      <c r="E18" s="45" t="s">
        <v>548</v>
      </c>
      <c r="F18" s="45" t="s">
        <v>552</v>
      </c>
      <c r="G18" s="45" t="s">
        <v>26</v>
      </c>
      <c r="H18" s="45" t="str" cm="1">
        <f t="array" ref="H18">_xll.BDP(D18&amp;" Equity", "ID_ISIN")</f>
        <v>IE00B1FZS798</v>
      </c>
      <c r="I18" s="45"/>
      <c r="J18" s="34" t="str" cm="1">
        <f t="array" ref="J18">_xll.BDP(D18&amp;" Equity","FD121")</f>
        <v>Fixed Income</v>
      </c>
      <c r="K18" s="34" t="s">
        <v>458</v>
      </c>
      <c r="L18" s="34" t="s">
        <v>464</v>
      </c>
      <c r="M18" s="34" t="str">
        <f>_xll.BDP(D18&amp;" Equity", "DS197")</f>
        <v>London</v>
      </c>
      <c r="N18" s="34" t="str">
        <f>_xll.BDP(D18&amp;" Equity", "DS004")</f>
        <v>USD</v>
      </c>
      <c r="O18" s="111">
        <f>_xll.BDP(D18&amp;" Equity", "FUND_EXPENSE_RATIO")</f>
        <v>7.0000000000000007E-2</v>
      </c>
      <c r="P18" s="45">
        <f>_xll.BDP(D18&amp;" Equity","PX_LAST")</f>
        <v>176.43</v>
      </c>
      <c r="Q18" s="112"/>
      <c r="R18" s="112"/>
      <c r="S18" s="113">
        <f t="shared" si="13"/>
        <v>6.0898876626981735E-2</v>
      </c>
      <c r="T18" s="113">
        <f t="shared" si="14"/>
        <v>5.7846395701126263E-2</v>
      </c>
      <c r="U18" s="114">
        <f t="shared" si="15"/>
        <v>0.12115742604355059</v>
      </c>
      <c r="V18" s="114">
        <f t="shared" si="16"/>
        <v>0.11510494746387745</v>
      </c>
      <c r="W18" s="115">
        <f t="shared" si="17"/>
        <v>0.1569378131282714</v>
      </c>
      <c r="X18" s="115">
        <f t="shared" si="18"/>
        <v>0.14909538136201816</v>
      </c>
      <c r="Y18" s="144">
        <f t="shared" si="19"/>
        <v>0.27248823869612859</v>
      </c>
      <c r="Z18" s="144">
        <f t="shared" si="20"/>
        <v>0.25883046670006432</v>
      </c>
      <c r="AB18" s="1" cm="1">
        <f t="array" ref="AB18">IF(N18="USD",1,_xll.BDP(N18&amp;"USD CURNCY","PX_LAST"))</f>
        <v>1</v>
      </c>
      <c r="AC18" s="80"/>
      <c r="AD18" s="81">
        <f t="shared" si="21"/>
        <v>0</v>
      </c>
      <c r="AE18" s="80">
        <v>40783.041336254202</v>
      </c>
      <c r="AF18" s="81">
        <f t="shared" si="22"/>
        <v>7195351.9829553291</v>
      </c>
      <c r="AG18" s="80">
        <v>355572.92672625399</v>
      </c>
      <c r="AH18" s="81">
        <f t="shared" si="23"/>
        <v>62733731.462312996</v>
      </c>
      <c r="AI18" s="80">
        <v>100757.14156214699</v>
      </c>
      <c r="AJ18" s="81">
        <f t="shared" si="24"/>
        <v>17776582.485809594</v>
      </c>
      <c r="AK18" s="80">
        <v>7330657.5542331003</v>
      </c>
      <c r="AL18" s="81">
        <f t="shared" si="25"/>
        <v>1293347912.2933459</v>
      </c>
    </row>
    <row r="19" spans="1:38" x14ac:dyDescent="0.2">
      <c r="A19" s="90"/>
      <c r="C19" s="86" t="str" cm="1">
        <f t="array" ref="C19">_xll.BDP(D19&amp;" Equity","DS520")</f>
        <v>iShares US Mortgage Backed Securities UCITS ETF</v>
      </c>
      <c r="D19" s="45" t="s">
        <v>466</v>
      </c>
      <c r="E19" s="45" t="s">
        <v>549</v>
      </c>
      <c r="F19" s="45" t="s">
        <v>552</v>
      </c>
      <c r="G19" s="45" t="s">
        <v>26</v>
      </c>
      <c r="H19" s="45" t="str" cm="1">
        <f t="array" ref="H19">_xll.BDP(D19&amp;" Equity", "ID_ISIN")</f>
        <v>IE00BZ6V7883</v>
      </c>
      <c r="I19" s="45"/>
      <c r="J19" s="34" t="str" cm="1">
        <f t="array" ref="J19">_xll.BDP(D19&amp;" Equity","FD121")</f>
        <v>Fixed Income</v>
      </c>
      <c r="K19" s="34" t="s">
        <v>458</v>
      </c>
      <c r="L19" s="34" t="s">
        <v>1286</v>
      </c>
      <c r="M19" s="34" t="str">
        <f>_xll.BDP(D19&amp;" Equity", "DS197")</f>
        <v>London</v>
      </c>
      <c r="N19" s="34" t="str">
        <f>_xll.BDP(D19&amp;" Equity", "DS004")</f>
        <v>USD</v>
      </c>
      <c r="O19" s="111">
        <f>_xll.BDP(D19&amp;" Equity", "FUND_EXPENSE_RATIO")</f>
        <v>0.28000000000000003</v>
      </c>
      <c r="P19" s="45">
        <f>_xll.BDP(D19&amp;" Equity","PX_LAST")</f>
        <v>4.2510000000000003</v>
      </c>
      <c r="Q19" s="112"/>
      <c r="R19" s="112"/>
      <c r="S19" s="113">
        <f t="shared" si="13"/>
        <v>3.8417727435275086E-2</v>
      </c>
      <c r="T19" s="113">
        <f t="shared" si="14"/>
        <v>3.6492086328146121E-2</v>
      </c>
      <c r="U19" s="114">
        <f t="shared" si="15"/>
        <v>7.6431507907953306E-2</v>
      </c>
      <c r="V19" s="114">
        <f t="shared" si="16"/>
        <v>7.2613334482424088E-2</v>
      </c>
      <c r="W19" s="115">
        <f t="shared" si="17"/>
        <v>9.8968241551345593E-2</v>
      </c>
      <c r="X19" s="115">
        <f t="shared" si="18"/>
        <v>9.4022641342439178E-2</v>
      </c>
      <c r="Y19" s="144">
        <f t="shared" si="19"/>
        <v>0.13044336689906674</v>
      </c>
      <c r="Z19" s="144">
        <f t="shared" si="20"/>
        <v>0.1239052286952628</v>
      </c>
      <c r="AB19" s="1" cm="1">
        <f t="array" ref="AB19">IF(N19="USD",1,_xll.BDP(N19&amp;"USD CURNCY","PX_LAST"))</f>
        <v>1</v>
      </c>
      <c r="AC19" s="80"/>
      <c r="AD19" s="81">
        <f t="shared" si="21"/>
        <v>0</v>
      </c>
      <c r="AE19" s="80">
        <v>1067783.8014333299</v>
      </c>
      <c r="AF19" s="81">
        <f t="shared" si="22"/>
        <v>4539148.9398930855</v>
      </c>
      <c r="AG19" s="80">
        <v>9309629.66337239</v>
      </c>
      <c r="AH19" s="81">
        <f t="shared" si="23"/>
        <v>39575235.69899603</v>
      </c>
      <c r="AI19" s="80">
        <v>2637092.8710202798</v>
      </c>
      <c r="AJ19" s="81">
        <f t="shared" si="24"/>
        <v>11210281.794707211</v>
      </c>
      <c r="AK19" s="80">
        <v>145645979.171691</v>
      </c>
      <c r="AL19" s="81">
        <f t="shared" si="25"/>
        <v>619141057.45885849</v>
      </c>
    </row>
    <row r="20" spans="1:38" x14ac:dyDescent="0.2">
      <c r="A20" s="90"/>
      <c r="C20" s="86" t="str" cm="1">
        <f t="array" ref="C20">_xll.BDP(D20&amp;" Equity","DS520")</f>
        <v>Vanguard USD Corporate Bond UCITS ETF</v>
      </c>
      <c r="D20" s="45" t="s">
        <v>469</v>
      </c>
      <c r="E20" s="45" t="s">
        <v>550</v>
      </c>
      <c r="F20" s="45" t="s">
        <v>552</v>
      </c>
      <c r="G20" s="45" t="s">
        <v>26</v>
      </c>
      <c r="H20" s="45" t="str" cm="1">
        <f t="array" ref="H20">_xll.BDP(D20&amp;" Equity", "ID_ISIN")</f>
        <v>IE00BZ163K21</v>
      </c>
      <c r="I20" s="45"/>
      <c r="J20" s="34" t="str" cm="1">
        <f t="array" ref="J20">_xll.BDP(D20&amp;" Equity","FD121")</f>
        <v>Fixed Income</v>
      </c>
      <c r="K20" s="34" t="s">
        <v>458</v>
      </c>
      <c r="L20" s="34" t="s">
        <v>1403</v>
      </c>
      <c r="M20" s="34" t="str">
        <f>_xll.BDP(D20&amp;" Equity", "DS197")</f>
        <v>London</v>
      </c>
      <c r="N20" s="34" t="str">
        <f>_xll.BDP(D20&amp;" Equity", "DS004")</f>
        <v>USD</v>
      </c>
      <c r="O20" s="111">
        <f>_xll.BDP(D20&amp;" Equity", "FUND_EXPENSE_RATIO")</f>
        <v>7.0000000000000007E-2</v>
      </c>
      <c r="P20" s="45">
        <f>_xll.BDP(D20&amp;" Equity","PX_LAST")</f>
        <v>47.975999999999999</v>
      </c>
      <c r="Q20" s="112"/>
      <c r="R20" s="112"/>
      <c r="S20" s="113">
        <f t="shared" si="13"/>
        <v>3.9299088116354026E-2</v>
      </c>
      <c r="T20" s="113">
        <f t="shared" si="14"/>
        <v>3.7329269894361812E-2</v>
      </c>
      <c r="U20" s="114">
        <f t="shared" si="15"/>
        <v>7.8184962116798207E-2</v>
      </c>
      <c r="V20" s="114">
        <f t="shared" si="16"/>
        <v>7.4279194027152773E-2</v>
      </c>
      <c r="W20" s="115">
        <f t="shared" si="17"/>
        <v>0.10132097912446632</v>
      </c>
      <c r="X20" s="115">
        <f t="shared" si="18"/>
        <v>9.6257808882479215E-2</v>
      </c>
      <c r="Y20" s="144">
        <f t="shared" si="19"/>
        <v>0.17302005699313552</v>
      </c>
      <c r="Z20" s="144">
        <f t="shared" si="20"/>
        <v>0.16434787172574306</v>
      </c>
      <c r="AB20" s="1" cm="1">
        <f t="array" ref="AB20">IF(N20="USD",1,_xll.BDP(N20&amp;"USD CURNCY","PX_LAST"))</f>
        <v>1</v>
      </c>
      <c r="AC20" s="80"/>
      <c r="AD20" s="81">
        <f t="shared" si="21"/>
        <v>0</v>
      </c>
      <c r="AE20" s="80">
        <v>96783.472382798194</v>
      </c>
      <c r="AF20" s="81">
        <f t="shared" si="22"/>
        <v>4643283.8710371265</v>
      </c>
      <c r="AG20" s="80">
        <v>843820.89727303002</v>
      </c>
      <c r="AH20" s="81">
        <f t="shared" si="23"/>
        <v>40483151.367570885</v>
      </c>
      <c r="AI20" s="80">
        <v>239219.191335321</v>
      </c>
      <c r="AJ20" s="81">
        <f t="shared" si="24"/>
        <v>11476779.92350336</v>
      </c>
      <c r="AK20" s="80">
        <v>17117487.506431501</v>
      </c>
      <c r="AL20" s="81">
        <f t="shared" si="25"/>
        <v>821228580.6085577</v>
      </c>
    </row>
    <row r="21" spans="1:38" x14ac:dyDescent="0.2">
      <c r="A21" s="91"/>
      <c r="B21" s="3"/>
      <c r="C21" s="86" t="str" cm="1">
        <f t="array" ref="C21">_xll.BDP(D21&amp;" Curncy","DS520")</f>
        <v>USDUSD Spot Exchange Rate - Price of 1 USD in USD</v>
      </c>
      <c r="D21" s="146" t="s">
        <v>34</v>
      </c>
      <c r="E21" s="146"/>
      <c r="F21" s="146"/>
      <c r="G21" s="146"/>
      <c r="H21" s="146"/>
      <c r="I21" s="146"/>
      <c r="J21" s="34" t="s">
        <v>80</v>
      </c>
      <c r="K21" s="34" t="s">
        <v>80</v>
      </c>
      <c r="L21" s="34"/>
      <c r="M21" s="34"/>
      <c r="N21" s="34" t="str">
        <f>_xll.BDP(D21&amp;" Curncy", "DS004")</f>
        <v>USD</v>
      </c>
      <c r="O21" s="111"/>
      <c r="P21" s="45">
        <f>_xll.BDP(D21&amp;" Curncy","PX_LAST")</f>
        <v>1</v>
      </c>
      <c r="Q21" s="112">
        <f t="shared" ref="Q21" si="26">AD21/$AD$22</f>
        <v>5.1006522588910499E-3</v>
      </c>
      <c r="R21" s="112">
        <f>R39</f>
        <v>5.475E-2</v>
      </c>
      <c r="S21" s="113">
        <f t="shared" si="13"/>
        <v>4.8703565028908515E-3</v>
      </c>
      <c r="T21" s="113">
        <f>T39</f>
        <v>5.475E-2</v>
      </c>
      <c r="U21" s="114">
        <f t="shared" si="15"/>
        <v>5.0466162316223648E-3</v>
      </c>
      <c r="V21" s="114">
        <f>V39</f>
        <v>5.475E-2</v>
      </c>
      <c r="W21" s="115">
        <f t="shared" si="17"/>
        <v>5.0297567615375403E-3</v>
      </c>
      <c r="X21" s="115">
        <f>X39</f>
        <v>5.475E-2</v>
      </c>
      <c r="Y21" s="144">
        <f t="shared" si="19"/>
        <v>4.8717567472842454E-3</v>
      </c>
      <c r="Z21" s="144">
        <f>Z39</f>
        <v>5.475E-2</v>
      </c>
      <c r="AB21" s="1" cm="1">
        <f t="array" ref="AB21">IF(N21="USD",1,_xll.BDP(N21&amp;"USD CURNCY","PX_LAST"))</f>
        <v>1</v>
      </c>
      <c r="AC21" s="80">
        <v>1368333.0910187699</v>
      </c>
      <c r="AD21" s="81">
        <f t="shared" si="21"/>
        <v>1368333.0910187699</v>
      </c>
      <c r="AE21" s="80">
        <v>575444.59375542204</v>
      </c>
      <c r="AF21" s="81">
        <f t="shared" si="22"/>
        <v>575444.59375542204</v>
      </c>
      <c r="AG21" s="80">
        <v>2613071.9164844798</v>
      </c>
      <c r="AH21" s="81">
        <f t="shared" si="23"/>
        <v>2613071.9164844798</v>
      </c>
      <c r="AI21" s="80">
        <v>569728.12461679196</v>
      </c>
      <c r="AJ21" s="81">
        <f t="shared" si="24"/>
        <v>569728.12461679196</v>
      </c>
      <c r="AK21" s="80">
        <v>23123480.295704301</v>
      </c>
      <c r="AL21" s="81">
        <f t="shared" si="25"/>
        <v>23123480.295704301</v>
      </c>
    </row>
    <row r="22" spans="1:38" x14ac:dyDescent="0.2">
      <c r="A22" s="90"/>
      <c r="C22" s="86"/>
      <c r="D22" s="146"/>
      <c r="E22" s="146"/>
      <c r="F22" s="146"/>
      <c r="G22" s="146"/>
      <c r="H22" s="146"/>
      <c r="I22" s="146"/>
      <c r="J22" s="34"/>
      <c r="K22" s="34"/>
      <c r="L22" s="34"/>
      <c r="M22" s="34"/>
      <c r="N22" s="34"/>
      <c r="O22" s="111"/>
      <c r="P22" s="45"/>
      <c r="Q22" s="112"/>
      <c r="R22" s="112"/>
      <c r="S22" s="113"/>
      <c r="T22" s="113"/>
      <c r="U22" s="114"/>
      <c r="V22" s="114"/>
      <c r="W22" s="115"/>
      <c r="X22" s="115"/>
      <c r="Y22" s="144"/>
      <c r="Z22" s="144"/>
      <c r="AC22" s="40"/>
      <c r="AD22" s="82">
        <f>SUM(AD4:AD21)</f>
        <v>268266296.45916378</v>
      </c>
      <c r="AE22" s="40"/>
      <c r="AF22" s="82">
        <f>SUM(AF4:AF21)</f>
        <v>118152458.32904856</v>
      </c>
      <c r="AG22" s="40"/>
      <c r="AH22" s="82">
        <f>SUM(AH4:AH21)</f>
        <v>517786928.22149479</v>
      </c>
      <c r="AI22" s="40"/>
      <c r="AJ22" s="82">
        <f>SUM(AJ4:AJ21)</f>
        <v>113271506.28306575</v>
      </c>
      <c r="AK22" s="40"/>
      <c r="AL22" s="82">
        <f>SUM(AL4:AL21)</f>
        <v>4746435730.5184536</v>
      </c>
    </row>
    <row r="23" spans="1:38" x14ac:dyDescent="0.2">
      <c r="A23" s="90"/>
      <c r="C23" s="119"/>
      <c r="D23" s="122"/>
      <c r="E23" s="122"/>
      <c r="F23" s="122"/>
      <c r="G23" s="122"/>
      <c r="H23" s="122"/>
      <c r="I23" s="122"/>
      <c r="J23" s="77"/>
      <c r="K23" s="77"/>
      <c r="L23" s="77"/>
      <c r="M23" s="77"/>
      <c r="N23" s="77"/>
      <c r="O23" s="77"/>
      <c r="P23" s="121" t="s">
        <v>81</v>
      </c>
      <c r="Q23" s="107">
        <f t="shared" ref="Q23:Y23" si="27">SUM(Q4:Q21)</f>
        <v>0.99999999999999978</v>
      </c>
      <c r="R23" s="107">
        <f t="shared" si="27"/>
        <v>0.99999999999999989</v>
      </c>
      <c r="S23" s="108">
        <f t="shared" si="27"/>
        <v>1</v>
      </c>
      <c r="T23" s="108">
        <f t="shared" si="27"/>
        <v>1</v>
      </c>
      <c r="U23" s="109">
        <f t="shared" si="27"/>
        <v>1</v>
      </c>
      <c r="V23" s="109">
        <f t="shared" si="27"/>
        <v>1.0000000000000002</v>
      </c>
      <c r="W23" s="110">
        <f t="shared" si="27"/>
        <v>1</v>
      </c>
      <c r="X23" s="110">
        <f t="shared" si="27"/>
        <v>1.0000000000000002</v>
      </c>
      <c r="Y23" s="143">
        <f t="shared" si="27"/>
        <v>1</v>
      </c>
      <c r="Z23" s="143">
        <f>SUM(Z14:Z21)</f>
        <v>1.0000000000000002</v>
      </c>
    </row>
    <row r="24" spans="1:38" x14ac:dyDescent="0.2">
      <c r="A24" s="90"/>
      <c r="C24" s="119"/>
      <c r="D24" s="122"/>
      <c r="E24" s="122"/>
      <c r="F24" s="122"/>
      <c r="G24" s="122"/>
      <c r="H24" s="122"/>
      <c r="I24" s="122"/>
      <c r="J24" s="77"/>
      <c r="K24" s="77"/>
      <c r="L24" s="77"/>
      <c r="M24" s="77"/>
      <c r="N24" s="77"/>
      <c r="O24" s="77"/>
      <c r="P24" s="122" t="s">
        <v>470</v>
      </c>
      <c r="Q24" s="112">
        <f>SUMIF($J$4:$J$21,$P$24,Q$4:Q$21)</f>
        <v>0.99489934774110877</v>
      </c>
      <c r="R24" s="112"/>
      <c r="S24" s="113">
        <f>SUMIF($J$4:$J$21,$P$24,S$4:S$21)</f>
        <v>0.71994343392037652</v>
      </c>
      <c r="T24" s="113"/>
      <c r="U24" s="114">
        <f>SUMIF($J$4:$J$21,$P$24,U$4:U$21)</f>
        <v>0.47733975264054396</v>
      </c>
      <c r="V24" s="114"/>
      <c r="W24" s="115">
        <f>SUMIF($J$4:$J$21,$P$24,W$4:W$21)</f>
        <v>0.33316970040910271</v>
      </c>
      <c r="X24" s="115"/>
      <c r="Y24" s="144">
        <f>SUMIF($J$4:$J$21,$P$24,Y$4:Y$21)</f>
        <v>0</v>
      </c>
      <c r="Z24" s="144"/>
    </row>
    <row r="25" spans="1:38" x14ac:dyDescent="0.2">
      <c r="A25" s="90"/>
      <c r="C25" s="119"/>
      <c r="D25" s="122"/>
      <c r="E25" s="122"/>
      <c r="F25" s="122"/>
      <c r="G25" s="122"/>
      <c r="H25" s="122"/>
      <c r="I25" s="122"/>
      <c r="J25" s="77"/>
      <c r="K25" s="77"/>
      <c r="L25" s="77"/>
      <c r="M25" s="77"/>
      <c r="N25" s="77"/>
      <c r="O25" s="77"/>
      <c r="P25" s="123" t="s">
        <v>453</v>
      </c>
      <c r="Q25" s="112">
        <f>SUMIF($K$4:$K$21,$P$25,Q$4:Q$21)</f>
        <v>0.54360178650334035</v>
      </c>
      <c r="R25" s="112"/>
      <c r="S25" s="113">
        <f>SUMIF($K$4:$K$21,$P$25,S$4:S$21)</f>
        <v>0.39336086319135227</v>
      </c>
      <c r="T25" s="113"/>
      <c r="U25" s="114">
        <f>SUMIF($K$4:$K$21,$P$25,U$4:U$21)</f>
        <v>0.26082892224081589</v>
      </c>
      <c r="V25" s="114"/>
      <c r="W25" s="115">
        <f>SUMIF($K$4:$K$21,$P$25,W$4:W$21)</f>
        <v>0.18205935626224626</v>
      </c>
      <c r="X25" s="115"/>
      <c r="Y25" s="144">
        <f>SUMIF($K$4:$K$21,$P$25,Y$4:Y$21)</f>
        <v>0</v>
      </c>
      <c r="Z25" s="144"/>
    </row>
    <row r="26" spans="1:38" x14ac:dyDescent="0.2">
      <c r="A26" s="90"/>
      <c r="C26" s="119"/>
      <c r="D26" s="122"/>
      <c r="E26" s="122"/>
      <c r="F26" s="122"/>
      <c r="G26" s="122"/>
      <c r="H26" s="122"/>
      <c r="I26" s="122"/>
      <c r="J26" s="77"/>
      <c r="K26" s="77"/>
      <c r="L26" s="77"/>
      <c r="M26" s="77"/>
      <c r="N26" s="77"/>
      <c r="O26" s="77"/>
      <c r="P26" s="123" t="s">
        <v>443</v>
      </c>
      <c r="Q26" s="112">
        <f>SUMIF($K$4:$K$21,$P$26,Q$4:Q$21)</f>
        <v>0.37165399748559991</v>
      </c>
      <c r="R26" s="112"/>
      <c r="S26" s="113">
        <f>SUMIF($K$4:$K$21,$P$26,S$4:S$21)</f>
        <v>0.26895272123298319</v>
      </c>
      <c r="T26" s="113"/>
      <c r="U26" s="114">
        <f>SUMIF($K$4:$K$21,$P$26,U$4:U$21)</f>
        <v>0.17829291563705527</v>
      </c>
      <c r="V26" s="114"/>
      <c r="W26" s="115">
        <f>SUMIF($K$4:$K$21,$P$26,W$4:W$21)</f>
        <v>0.12440790900573731</v>
      </c>
      <c r="X26" s="115"/>
      <c r="Y26" s="144">
        <f>SUMIF($K$4:$K$21,$P$26,Y$4:Y$21)</f>
        <v>0</v>
      </c>
      <c r="Z26" s="144"/>
    </row>
    <row r="27" spans="1:38" x14ac:dyDescent="0.2">
      <c r="A27" s="90"/>
      <c r="C27" s="119"/>
      <c r="D27" s="122"/>
      <c r="E27" s="122"/>
      <c r="F27" s="122"/>
      <c r="G27" s="122"/>
      <c r="H27" s="122"/>
      <c r="I27" s="122"/>
      <c r="J27" s="77"/>
      <c r="K27" s="77"/>
      <c r="L27" s="77"/>
      <c r="M27" s="77"/>
      <c r="N27" s="77"/>
      <c r="O27" s="77"/>
      <c r="P27" s="123" t="s">
        <v>446</v>
      </c>
      <c r="Q27" s="112">
        <f>SUMIF($K$4:$K$21,$P$27,Q$4:Q$21)</f>
        <v>7.9643563752168467E-2</v>
      </c>
      <c r="R27" s="112"/>
      <c r="S27" s="113">
        <f>SUMIF($K$4:$K$21,$P$27,S$4:S$21)</f>
        <v>8.7550913799162661E-2</v>
      </c>
      <c r="T27" s="113"/>
      <c r="U27" s="114">
        <f>SUMIF($K$4:$K$21,$P$27,U$4:U$21)</f>
        <v>6.7981675083364973E-2</v>
      </c>
      <c r="V27" s="114"/>
      <c r="W27" s="115">
        <f>SUMIF($K$4:$K$21,$P$27,W$4:W$21)</f>
        <v>5.6366762256727494E-2</v>
      </c>
      <c r="X27" s="115"/>
      <c r="Y27" s="144">
        <f>SUMIF($K$4:$K$21,$P$27,Y$4:Y$21)</f>
        <v>0</v>
      </c>
      <c r="Z27" s="144"/>
    </row>
    <row r="28" spans="1:38" x14ac:dyDescent="0.2">
      <c r="A28" s="90"/>
      <c r="C28" s="119"/>
      <c r="D28" s="122"/>
      <c r="E28" s="122"/>
      <c r="F28" s="122"/>
      <c r="G28" s="122"/>
      <c r="H28" s="122"/>
      <c r="I28" s="122"/>
      <c r="J28" s="77" t="s">
        <v>471</v>
      </c>
      <c r="K28" s="77"/>
      <c r="L28" s="77"/>
      <c r="M28" s="77"/>
      <c r="N28" s="77"/>
      <c r="O28" s="77"/>
      <c r="P28" s="122" t="s">
        <v>458</v>
      </c>
      <c r="Q28" s="112">
        <f>SUMIF($J$4:$J$21,$P$28,Q$4:Q$21)</f>
        <v>0</v>
      </c>
      <c r="R28" s="112"/>
      <c r="S28" s="113">
        <f>SUMIF($J$4:$J$21,$P$28,S$4:S$21)</f>
        <v>0.24526514527361104</v>
      </c>
      <c r="T28" s="113"/>
      <c r="U28" s="114">
        <f>SUMIF($J$4:$J$21,$P$28,U$4:U$21)</f>
        <v>0.48784987080714154</v>
      </c>
      <c r="V28" s="114"/>
      <c r="W28" s="115">
        <f>SUMIF($J$4:$J$21,$P$28,W$4:W$21)</f>
        <v>0.63213621571375145</v>
      </c>
      <c r="X28" s="115"/>
      <c r="Y28" s="144">
        <f>SUMIF($J$4:$J$21,$P$28,Y$4:Y$21)</f>
        <v>0.99512824325271576</v>
      </c>
      <c r="Z28" s="144"/>
    </row>
    <row r="29" spans="1:38" x14ac:dyDescent="0.2">
      <c r="A29" s="90"/>
      <c r="C29" s="119"/>
      <c r="D29" s="122"/>
      <c r="E29" s="122"/>
      <c r="F29" s="122"/>
      <c r="G29" s="122"/>
      <c r="H29" s="122"/>
      <c r="I29" s="122"/>
      <c r="J29" s="77"/>
      <c r="K29" s="77"/>
      <c r="L29" s="77"/>
      <c r="M29" s="77"/>
      <c r="N29" s="77"/>
      <c r="O29" s="77"/>
      <c r="P29" s="122" t="s">
        <v>447</v>
      </c>
      <c r="Q29" s="112">
        <f>SUMIF($J$4:$J$21,$P$29,Q$4:Q$21)</f>
        <v>0</v>
      </c>
      <c r="R29" s="112"/>
      <c r="S29" s="113">
        <f>SUMIF($J$4:$J$21,$P$29,S$4:S$21)</f>
        <v>2.9921064303121605E-2</v>
      </c>
      <c r="T29" s="113"/>
      <c r="U29" s="114">
        <f>SUMIF($J$4:$J$21,$P$29,U$4:U$21)</f>
        <v>2.9763760320692209E-2</v>
      </c>
      <c r="V29" s="114"/>
      <c r="W29" s="115">
        <f>SUMIF($J$4:$J$21,$P$29,W$4:W$21)</f>
        <v>2.9664327115608357E-2</v>
      </c>
      <c r="X29" s="115"/>
      <c r="Y29" s="144">
        <f>SUMIF($J$4:$J$21,$P$29,Y$4:Y$21)</f>
        <v>0</v>
      </c>
      <c r="Z29" s="144"/>
    </row>
    <row r="30" spans="1:38" x14ac:dyDescent="0.2">
      <c r="A30" s="90"/>
      <c r="C30" s="119"/>
      <c r="D30" s="122"/>
      <c r="E30" s="122"/>
      <c r="F30" s="122"/>
      <c r="G30" s="122"/>
      <c r="H30" s="122"/>
      <c r="I30" s="122"/>
      <c r="J30" s="77"/>
      <c r="K30" s="77"/>
      <c r="L30" s="77"/>
      <c r="M30" s="77"/>
      <c r="N30" s="77"/>
      <c r="O30" s="77"/>
      <c r="P30" s="122" t="s">
        <v>80</v>
      </c>
      <c r="Q30" s="112">
        <f>Q21</f>
        <v>5.1006522588910499E-3</v>
      </c>
      <c r="R30" s="112"/>
      <c r="S30" s="113">
        <f t="shared" ref="S30:Y30" si="28">S21</f>
        <v>4.8703565028908515E-3</v>
      </c>
      <c r="T30" s="113"/>
      <c r="U30" s="114">
        <f t="shared" si="28"/>
        <v>5.0466162316223648E-3</v>
      </c>
      <c r="V30" s="114"/>
      <c r="W30" s="115">
        <f t="shared" si="28"/>
        <v>5.0297567615375403E-3</v>
      </c>
      <c r="X30" s="115"/>
      <c r="Y30" s="144">
        <f t="shared" si="28"/>
        <v>4.8717567472842454E-3</v>
      </c>
      <c r="Z30" s="144"/>
    </row>
    <row r="31" spans="1:38" x14ac:dyDescent="0.2">
      <c r="A31" s="90"/>
      <c r="C31" s="119"/>
      <c r="D31" s="122"/>
      <c r="E31" s="122"/>
      <c r="F31" s="122"/>
      <c r="G31" s="122"/>
      <c r="H31" s="122"/>
      <c r="I31" s="122"/>
      <c r="J31" s="77"/>
      <c r="K31" s="77"/>
      <c r="L31" s="77"/>
      <c r="M31" s="77"/>
      <c r="N31" s="77"/>
      <c r="O31" s="77"/>
      <c r="P31" s="121"/>
      <c r="Q31" s="107"/>
      <c r="R31" s="107"/>
      <c r="S31" s="108"/>
      <c r="T31" s="108"/>
      <c r="U31" s="109"/>
      <c r="V31" s="109"/>
      <c r="W31" s="110"/>
      <c r="X31" s="110"/>
      <c r="Y31" s="143"/>
      <c r="Z31" s="143"/>
    </row>
    <row r="32" spans="1:38" x14ac:dyDescent="0.2">
      <c r="A32" s="90"/>
      <c r="C32" s="119"/>
      <c r="D32" s="122"/>
      <c r="E32" s="122"/>
      <c r="F32" s="122"/>
      <c r="G32" s="122"/>
      <c r="H32" s="122"/>
      <c r="I32" s="122"/>
      <c r="J32" s="77"/>
      <c r="K32" s="77"/>
      <c r="L32" s="77"/>
      <c r="M32" s="77"/>
      <c r="N32" s="77"/>
      <c r="O32" s="77"/>
      <c r="P32" s="121" t="s">
        <v>437</v>
      </c>
      <c r="Q32" s="125">
        <f>SUMPRODUCT(Q4:Q21,$O4:$O21)/Q23</f>
        <v>0.16891647593515807</v>
      </c>
      <c r="R32" s="125"/>
      <c r="S32" s="126">
        <f>SUMPRODUCT(S4:S21,$O4:$O21)/S23</f>
        <v>0.17833901201972188</v>
      </c>
      <c r="T32" s="126"/>
      <c r="U32" s="127">
        <f>SUMPRODUCT(U4:U21,$O4:$O21)/U23</f>
        <v>0.18223220789623429</v>
      </c>
      <c r="V32" s="127"/>
      <c r="W32" s="128">
        <f>SUMPRODUCT(W4:W21,$O4:$O21)/W23</f>
        <v>0.18455296791036069</v>
      </c>
      <c r="X32" s="128"/>
      <c r="Y32" s="147">
        <f>SUMPRODUCT(Y4:Y21,$O4:$O21)/Y23</f>
        <v>0.16566249229734664</v>
      </c>
      <c r="Z32" s="147"/>
    </row>
    <row r="33" spans="1:38" x14ac:dyDescent="0.2">
      <c r="A33" s="90"/>
      <c r="C33" s="119"/>
      <c r="D33" s="122"/>
      <c r="E33" s="122"/>
      <c r="F33" s="122"/>
      <c r="G33" s="122"/>
      <c r="H33" s="122"/>
      <c r="I33" s="122"/>
      <c r="J33" s="77"/>
      <c r="K33" s="77"/>
      <c r="L33" s="77"/>
      <c r="M33" s="77"/>
      <c r="N33" s="77"/>
      <c r="O33" s="77"/>
      <c r="P33" s="121"/>
      <c r="Q33" s="125"/>
      <c r="R33" s="125"/>
      <c r="S33" s="126"/>
      <c r="T33" s="126"/>
      <c r="U33" s="127"/>
      <c r="V33" s="127"/>
      <c r="W33" s="128"/>
      <c r="X33" s="128"/>
      <c r="Y33" s="147"/>
      <c r="Z33" s="147"/>
    </row>
    <row r="34" spans="1:38" ht="15" thickBot="1" x14ac:dyDescent="0.25">
      <c r="A34" s="90"/>
      <c r="C34" s="3"/>
      <c r="D34" s="83"/>
      <c r="E34" s="83"/>
      <c r="F34" s="83"/>
      <c r="G34" s="83"/>
      <c r="H34" s="83"/>
      <c r="I34" s="83"/>
      <c r="P34" s="148"/>
      <c r="Q34" s="149"/>
      <c r="R34" s="149"/>
      <c r="S34" s="149"/>
      <c r="T34" s="149"/>
      <c r="U34" s="149"/>
      <c r="V34" s="149"/>
      <c r="W34" s="149"/>
      <c r="X34" s="149"/>
      <c r="Y34" s="149"/>
      <c r="Z34" s="149"/>
    </row>
    <row r="35" spans="1:38" x14ac:dyDescent="0.2">
      <c r="A35" s="90"/>
      <c r="C35" s="3"/>
      <c r="D35" s="83"/>
      <c r="E35" s="83"/>
      <c r="F35" s="83"/>
      <c r="G35" s="83"/>
      <c r="H35" s="83"/>
      <c r="I35" s="83"/>
      <c r="P35" s="148"/>
      <c r="Q35" s="129" t="s">
        <v>86</v>
      </c>
      <c r="R35" s="130">
        <v>100000</v>
      </c>
      <c r="S35" s="129" t="s">
        <v>86</v>
      </c>
      <c r="T35" s="130">
        <v>100000</v>
      </c>
      <c r="U35" s="129" t="s">
        <v>86</v>
      </c>
      <c r="V35" s="130">
        <v>100000</v>
      </c>
      <c r="W35" s="129" t="s">
        <v>86</v>
      </c>
      <c r="X35" s="130">
        <v>100000</v>
      </c>
      <c r="Y35" s="129" t="s">
        <v>86</v>
      </c>
      <c r="Z35" s="130">
        <v>100000</v>
      </c>
    </row>
    <row r="36" spans="1:38" x14ac:dyDescent="0.2">
      <c r="A36" s="90"/>
      <c r="C36" s="3"/>
      <c r="D36" s="83"/>
      <c r="E36" s="83"/>
      <c r="F36" s="83"/>
      <c r="G36" s="83"/>
      <c r="H36" s="83"/>
      <c r="I36" s="83"/>
      <c r="P36" s="148"/>
      <c r="Q36" s="132" t="s">
        <v>85</v>
      </c>
      <c r="R36" s="133">
        <v>5000</v>
      </c>
      <c r="S36" s="132" t="s">
        <v>85</v>
      </c>
      <c r="T36" s="133">
        <v>5000</v>
      </c>
      <c r="U36" s="132" t="s">
        <v>85</v>
      </c>
      <c r="V36" s="133">
        <v>5000</v>
      </c>
      <c r="W36" s="132" t="s">
        <v>85</v>
      </c>
      <c r="X36" s="133">
        <v>5000</v>
      </c>
      <c r="Y36" s="132" t="s">
        <v>85</v>
      </c>
      <c r="Z36" s="133">
        <v>5000</v>
      </c>
    </row>
    <row r="37" spans="1:38" x14ac:dyDescent="0.2">
      <c r="A37" s="90"/>
      <c r="C37" s="3"/>
      <c r="D37" s="83"/>
      <c r="E37" s="83"/>
      <c r="F37" s="83"/>
      <c r="G37" s="83"/>
      <c r="H37" s="83"/>
      <c r="I37" s="83"/>
      <c r="P37" s="148"/>
      <c r="Q37" s="132" t="s">
        <v>88</v>
      </c>
      <c r="R37" s="134">
        <f>(R35-R36)*0.5%</f>
        <v>475</v>
      </c>
      <c r="S37" s="132" t="s">
        <v>88</v>
      </c>
      <c r="T37" s="134">
        <f>(T35-T36)*0.5%</f>
        <v>475</v>
      </c>
      <c r="U37" s="132" t="s">
        <v>88</v>
      </c>
      <c r="V37" s="134">
        <f>(V35-V36)*0.5%</f>
        <v>475</v>
      </c>
      <c r="W37" s="132" t="s">
        <v>88</v>
      </c>
      <c r="X37" s="134">
        <f>(X35-X36)*0.5%</f>
        <v>475</v>
      </c>
      <c r="Y37" s="132" t="s">
        <v>88</v>
      </c>
      <c r="Z37" s="134">
        <f>(Z35-Z36)*0.5%</f>
        <v>475</v>
      </c>
    </row>
    <row r="38" spans="1:38" x14ac:dyDescent="0.2">
      <c r="A38" s="90"/>
      <c r="C38" s="3"/>
      <c r="D38" s="83"/>
      <c r="E38" s="83"/>
      <c r="F38" s="83"/>
      <c r="G38" s="83"/>
      <c r="H38" s="83"/>
      <c r="I38" s="83"/>
      <c r="P38" s="148"/>
      <c r="Q38" s="132" t="s">
        <v>87</v>
      </c>
      <c r="R38" s="134">
        <f>R36+R37</f>
        <v>5475</v>
      </c>
      <c r="S38" s="132" t="s">
        <v>87</v>
      </c>
      <c r="T38" s="134">
        <f>T36+T37</f>
        <v>5475</v>
      </c>
      <c r="U38" s="132" t="s">
        <v>87</v>
      </c>
      <c r="V38" s="134">
        <f>V36+V37</f>
        <v>5475</v>
      </c>
      <c r="W38" s="132" t="s">
        <v>87</v>
      </c>
      <c r="X38" s="134">
        <f>X36+X37</f>
        <v>5475</v>
      </c>
      <c r="Y38" s="132" t="s">
        <v>87</v>
      </c>
      <c r="Z38" s="134">
        <f>Z36+Z37</f>
        <v>5475</v>
      </c>
    </row>
    <row r="39" spans="1:38" ht="15" thickBot="1" x14ac:dyDescent="0.25">
      <c r="A39" s="90"/>
      <c r="C39" s="3"/>
      <c r="D39" s="83"/>
      <c r="E39" s="83"/>
      <c r="F39" s="83"/>
      <c r="G39" s="83"/>
      <c r="H39" s="83"/>
      <c r="I39" s="83"/>
      <c r="P39" s="148"/>
      <c r="Q39" s="136" t="s">
        <v>89</v>
      </c>
      <c r="R39" s="137">
        <f>R38/R35</f>
        <v>5.475E-2</v>
      </c>
      <c r="S39" s="136" t="s">
        <v>89</v>
      </c>
      <c r="T39" s="137">
        <f>T38/T35</f>
        <v>5.475E-2</v>
      </c>
      <c r="U39" s="136" t="s">
        <v>89</v>
      </c>
      <c r="V39" s="137">
        <f>V38/V35</f>
        <v>5.475E-2</v>
      </c>
      <c r="W39" s="136" t="s">
        <v>89</v>
      </c>
      <c r="X39" s="137">
        <f>X38/X35</f>
        <v>5.475E-2</v>
      </c>
      <c r="Y39" s="136" t="s">
        <v>89</v>
      </c>
      <c r="Z39" s="137">
        <f>Z38/Z35</f>
        <v>5.475E-2</v>
      </c>
    </row>
    <row r="40" spans="1:38" x14ac:dyDescent="0.2">
      <c r="A40" s="90"/>
    </row>
    <row r="41" spans="1:38" x14ac:dyDescent="0.2">
      <c r="A41" s="93" t="s">
        <v>0</v>
      </c>
      <c r="C41" s="95" t="s">
        <v>531</v>
      </c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6"/>
    </row>
    <row r="42" spans="1:38" x14ac:dyDescent="0.2">
      <c r="A42" s="89" t="s">
        <v>433</v>
      </c>
      <c r="C42" s="97" t="s">
        <v>5</v>
      </c>
      <c r="D42" s="98" t="s">
        <v>91</v>
      </c>
      <c r="E42" s="98" t="s">
        <v>533</v>
      </c>
      <c r="F42" s="98" t="s">
        <v>534</v>
      </c>
      <c r="G42" s="98" t="s">
        <v>535</v>
      </c>
      <c r="H42" s="98" t="s">
        <v>1426</v>
      </c>
      <c r="I42" s="98" t="s">
        <v>556</v>
      </c>
      <c r="J42" s="98" t="s">
        <v>434</v>
      </c>
      <c r="K42" s="98" t="s">
        <v>435</v>
      </c>
      <c r="L42" s="98" t="s">
        <v>436</v>
      </c>
      <c r="M42" s="98" t="s">
        <v>9</v>
      </c>
      <c r="N42" s="98" t="s">
        <v>13</v>
      </c>
      <c r="O42" s="98" t="s">
        <v>437</v>
      </c>
      <c r="P42" s="98" t="s">
        <v>14</v>
      </c>
      <c r="Q42" s="99" t="s">
        <v>438</v>
      </c>
      <c r="R42" s="99" t="s">
        <v>536</v>
      </c>
      <c r="S42" s="100" t="s">
        <v>439</v>
      </c>
      <c r="T42" s="100" t="s">
        <v>537</v>
      </c>
      <c r="U42" s="101" t="s">
        <v>440</v>
      </c>
      <c r="V42" s="101" t="s">
        <v>538</v>
      </c>
      <c r="W42" s="102" t="s">
        <v>441</v>
      </c>
      <c r="X42" s="102" t="s">
        <v>539</v>
      </c>
      <c r="Y42" s="140" t="s">
        <v>442</v>
      </c>
      <c r="Z42" s="140" t="s">
        <v>540</v>
      </c>
      <c r="AC42" s="141" t="s">
        <v>438</v>
      </c>
      <c r="AD42" s="141"/>
      <c r="AE42" s="103" t="s">
        <v>439</v>
      </c>
      <c r="AF42" s="103"/>
      <c r="AG42" s="104" t="s">
        <v>440</v>
      </c>
      <c r="AH42" s="104"/>
      <c r="AI42" s="105" t="s">
        <v>441</v>
      </c>
      <c r="AJ42" s="105"/>
      <c r="AK42" s="142" t="s">
        <v>458</v>
      </c>
      <c r="AL42" s="142"/>
    </row>
    <row r="43" spans="1:38" x14ac:dyDescent="0.2">
      <c r="A43" s="90"/>
      <c r="C43" s="106" t="s">
        <v>16</v>
      </c>
      <c r="D43" s="45"/>
      <c r="E43" s="45"/>
      <c r="F43" s="45"/>
      <c r="G43" s="45"/>
      <c r="H43" s="45"/>
      <c r="I43" s="45"/>
      <c r="J43" s="34"/>
      <c r="K43" s="34"/>
      <c r="L43" s="34"/>
      <c r="M43" s="34"/>
      <c r="N43" s="34"/>
      <c r="O43" s="34"/>
      <c r="P43" s="34"/>
      <c r="Q43" s="107"/>
      <c r="R43" s="107"/>
      <c r="S43" s="108"/>
      <c r="T43" s="108"/>
      <c r="U43" s="109"/>
      <c r="V43" s="109"/>
      <c r="W43" s="110"/>
      <c r="X43" s="110"/>
      <c r="Y43" s="143"/>
      <c r="Z43" s="143"/>
      <c r="AB43" s="13" t="s">
        <v>17</v>
      </c>
      <c r="AC43" s="78" t="s">
        <v>18</v>
      </c>
      <c r="AD43" s="79" t="s">
        <v>19</v>
      </c>
      <c r="AE43" s="78" t="s">
        <v>18</v>
      </c>
      <c r="AF43" s="79" t="s">
        <v>19</v>
      </c>
      <c r="AG43" s="78" t="s">
        <v>18</v>
      </c>
      <c r="AH43" s="79" t="s">
        <v>19</v>
      </c>
      <c r="AI43" s="78" t="s">
        <v>18</v>
      </c>
      <c r="AJ43" s="79" t="s">
        <v>19</v>
      </c>
      <c r="AK43" s="78" t="s">
        <v>18</v>
      </c>
      <c r="AL43" s="79" t="s">
        <v>19</v>
      </c>
    </row>
    <row r="44" spans="1:38" x14ac:dyDescent="0.2">
      <c r="A44" s="91"/>
      <c r="C44" s="86" t="str" cm="1">
        <f t="array" ref="C44">_xll.BDP(D44&amp;" Equity","DS520")</f>
        <v>Vanguard ESG US Stock ETF</v>
      </c>
      <c r="D44" s="45" t="s">
        <v>479</v>
      </c>
      <c r="E44" s="45" t="s">
        <v>594</v>
      </c>
      <c r="F44" s="45" t="s">
        <v>33</v>
      </c>
      <c r="G44" s="45" t="s">
        <v>26</v>
      </c>
      <c r="H44" s="45" t="str" cm="1">
        <f t="array" ref="H44">_xll.BDP(D44&amp;" Equity", "ID_ISIN")</f>
        <v>US9219107334</v>
      </c>
      <c r="I44" s="45"/>
      <c r="J44" s="34" t="str" cm="1">
        <f t="array" ref="J44">_xll.BDP(D44&amp;" Equity","FD121")</f>
        <v>Equity</v>
      </c>
      <c r="K44" s="34" t="s">
        <v>453</v>
      </c>
      <c r="L44" s="34" t="s">
        <v>1284</v>
      </c>
      <c r="M44" s="34" t="str">
        <f>_xll.BDP(D44&amp;" Equity", "DS197")</f>
        <v>Cboe BZX</v>
      </c>
      <c r="N44" s="34" t="str">
        <f>_xll.BDP(D44&amp;" Equity", "DS004")</f>
        <v>USD</v>
      </c>
      <c r="O44" s="111">
        <f>_xll.BDP(D44&amp;" Equity", "FUND_EXPENSE_RATIO")</f>
        <v>0.09</v>
      </c>
      <c r="P44" s="45">
        <f>_xll.BDP(D44&amp;" Equity","PX_LAST")</f>
        <v>118.43</v>
      </c>
      <c r="Q44" s="112">
        <f t="shared" ref="Q44:Q54" si="29">AD44/$AD$64</f>
        <v>0.23303222077189928</v>
      </c>
      <c r="R44" s="112">
        <f t="shared" ref="R44:R54" si="30">Q44*(1-$R$80)/(1-$Q$72)</f>
        <v>0.22141135232131076</v>
      </c>
      <c r="S44" s="113">
        <f t="shared" ref="S44:S54" si="31">AF44/$AF$64</f>
        <v>0.16869606530925602</v>
      </c>
      <c r="T44" s="113">
        <f t="shared" ref="T44:T54" si="32">S44*(1-$T$80)/(1-$S$63)</f>
        <v>0.16011472625123543</v>
      </c>
      <c r="U44" s="114">
        <f t="shared" ref="U44:U54" si="33">AH44/$AH$64</f>
        <v>0.11184232033518725</v>
      </c>
      <c r="V44" s="114">
        <f t="shared" ref="V44:V54" si="34">U44*(1-$V$80)/(1-$U$63)</f>
        <v>0.10622655289397968</v>
      </c>
      <c r="W44" s="115">
        <f t="shared" ref="W44:W54" si="35">AJ44/$AJ$64</f>
        <v>7.8039377516952779E-2</v>
      </c>
      <c r="X44" s="115">
        <f t="shared" ref="X44:X54" si="36">W44*(1-$X$80)/(1-$W$63)</f>
        <v>7.4119768024032348E-2</v>
      </c>
      <c r="Y44" s="144"/>
      <c r="Z44" s="144"/>
      <c r="AB44" s="1" cm="1">
        <f t="array" ref="AB44">IF(N44="USD",1,_xll.BDP(N44&amp;"USD CURNCY","PX_LAST"))</f>
        <v>1</v>
      </c>
      <c r="AC44" s="80">
        <v>2195761.49412621</v>
      </c>
      <c r="AD44" s="81">
        <f t="shared" ref="AD44:AD53" si="37">AC44*P44*AB44</f>
        <v>260044033.74936706</v>
      </c>
      <c r="AE44" s="80">
        <v>846975.53775010398</v>
      </c>
      <c r="AF44" s="81">
        <f t="shared" ref="AF44:AF53" si="38">AE44*P44*AB44</f>
        <v>100307312.93574482</v>
      </c>
      <c r="AG44" s="80">
        <v>9629686.7066767793</v>
      </c>
      <c r="AH44" s="81">
        <f t="shared" ref="AH44:AH53" si="39">AG44*P44*AB44</f>
        <v>1140443796.671731</v>
      </c>
      <c r="AI44" s="80">
        <v>701756478.80759799</v>
      </c>
      <c r="AJ44" s="81">
        <f t="shared" ref="AJ44:AJ53" si="40">AI44*P44*AB44</f>
        <v>83109019785.183838</v>
      </c>
      <c r="AK44" s="80"/>
      <c r="AL44" s="81">
        <f t="shared" ref="AL44:AL53" si="41">AK44*P44*AB44</f>
        <v>0</v>
      </c>
    </row>
    <row r="45" spans="1:38" x14ac:dyDescent="0.2">
      <c r="A45" s="91"/>
      <c r="C45" s="86" t="str" cm="1">
        <f t="array" ref="C45">_xll.BDP(D45&amp;" Equity","DS520")</f>
        <v>Vanguard ESG International Stock ETF</v>
      </c>
      <c r="D45" s="45" t="s">
        <v>478</v>
      </c>
      <c r="E45" s="45" t="s">
        <v>593</v>
      </c>
      <c r="F45" s="45" t="s">
        <v>33</v>
      </c>
      <c r="G45" s="45" t="s">
        <v>26</v>
      </c>
      <c r="H45" s="45" t="str" cm="1">
        <f t="array" ref="H45">_xll.BDP(D45&amp;" Equity", "ID_ISIN")</f>
        <v>US9219107250</v>
      </c>
      <c r="I45" s="45"/>
      <c r="J45" s="34" t="str" cm="1">
        <f t="array" ref="J45">_xll.BDP(D45&amp;" Equity","FD121")</f>
        <v>Equity</v>
      </c>
      <c r="K45" s="34" t="s">
        <v>453</v>
      </c>
      <c r="L45" s="34" t="s">
        <v>444</v>
      </c>
      <c r="M45" s="34" t="str">
        <f>_xll.BDP(D45&amp;" Equity", "DS197")</f>
        <v>Cboe BZX</v>
      </c>
      <c r="N45" s="34" t="str">
        <f>_xll.BDP(D45&amp;" Equity", "DS004")</f>
        <v>USD</v>
      </c>
      <c r="O45" s="111">
        <f>_xll.BDP(D45&amp;" Equity", "FUND_EXPENSE_RATIO")</f>
        <v>0.1</v>
      </c>
      <c r="P45" s="45">
        <f>_xll.BDP(D45&amp;" Equity","PX_LAST")</f>
        <v>74.13</v>
      </c>
      <c r="Q45" s="112">
        <f t="shared" si="29"/>
        <v>0.19327040111487245</v>
      </c>
      <c r="R45" s="112">
        <f t="shared" si="30"/>
        <v>0.18363237810110711</v>
      </c>
      <c r="S45" s="113">
        <f t="shared" si="31"/>
        <v>0.14001669173625197</v>
      </c>
      <c r="T45" s="113">
        <f t="shared" si="32"/>
        <v>0.13289423334714573</v>
      </c>
      <c r="U45" s="114">
        <f t="shared" si="33"/>
        <v>9.2763062602764651E-2</v>
      </c>
      <c r="V45" s="114">
        <f t="shared" si="34"/>
        <v>8.8105292760811443E-2</v>
      </c>
      <c r="W45" s="115">
        <f t="shared" si="35"/>
        <v>6.4707037908509984E-2</v>
      </c>
      <c r="X45" s="115">
        <f t="shared" si="36"/>
        <v>6.1457059139908697E-2</v>
      </c>
      <c r="Y45" s="144"/>
      <c r="Z45" s="144"/>
      <c r="AB45" s="1" cm="1">
        <f t="array" ref="AB45">IF(N45="USD",1,_xll.BDP(N45&amp;"USD CURNCY","PX_LAST"))</f>
        <v>1</v>
      </c>
      <c r="AC45" s="80">
        <v>2909392.18551283</v>
      </c>
      <c r="AD45" s="81">
        <f t="shared" si="37"/>
        <v>215673242.71206608</v>
      </c>
      <c r="AE45" s="80">
        <v>1123087.14258521</v>
      </c>
      <c r="AF45" s="81">
        <f t="shared" si="38"/>
        <v>83254449.879841611</v>
      </c>
      <c r="AG45" s="80">
        <v>12759944.8443157</v>
      </c>
      <c r="AH45" s="81">
        <f t="shared" si="39"/>
        <v>945894711.3091228</v>
      </c>
      <c r="AI45" s="80">
        <v>929590941.48273003</v>
      </c>
      <c r="AJ45" s="81">
        <f t="shared" si="40"/>
        <v>68910576492.114777</v>
      </c>
      <c r="AK45" s="80"/>
      <c r="AL45" s="81">
        <f t="shared" si="41"/>
        <v>0</v>
      </c>
    </row>
    <row r="46" spans="1:38" x14ac:dyDescent="0.2">
      <c r="A46" s="91"/>
      <c r="C46" s="86" t="str" cm="1">
        <f t="array" ref="C46">_xll.BDP(D46&amp;" Equity","DS520")</f>
        <v>Goldman Sachs ActiveBeta U.S. Large Cap Equity ETF</v>
      </c>
      <c r="D46" s="45" t="s">
        <v>474</v>
      </c>
      <c r="E46" s="45" t="s">
        <v>589</v>
      </c>
      <c r="F46" s="45" t="s">
        <v>33</v>
      </c>
      <c r="G46" s="45" t="s">
        <v>26</v>
      </c>
      <c r="H46" s="45" t="str" cm="1">
        <f t="array" ref="H46">_xll.BDP(D46&amp;" Equity", "ID_ISIN")</f>
        <v>US3814305039</v>
      </c>
      <c r="I46" s="45"/>
      <c r="J46" s="34" t="str" cm="1">
        <f t="array" ref="J46">_xll.BDP(D46&amp;" Equity","FD121")</f>
        <v>Equity</v>
      </c>
      <c r="K46" s="34" t="s">
        <v>443</v>
      </c>
      <c r="L46" s="34" t="s">
        <v>444</v>
      </c>
      <c r="M46" s="34" t="str">
        <f>_xll.BDP(D46&amp;" Equity", "DS197")</f>
        <v>NYSE Arca</v>
      </c>
      <c r="N46" s="34" t="str">
        <f>_xll.BDP(D46&amp;" Equity", "DS004")</f>
        <v>USD</v>
      </c>
      <c r="O46" s="111">
        <f>_xll.BDP(D46&amp;" Equity", "FUND_EXPENSE_RATIO")</f>
        <v>0.09</v>
      </c>
      <c r="P46" s="45">
        <f>_xll.BDP(D46&amp;" Equity","PX_LAST")</f>
        <v>131.27000000000001</v>
      </c>
      <c r="Q46" s="112">
        <f t="shared" si="29"/>
        <v>0.15577031920546147</v>
      </c>
      <c r="R46" s="112">
        <f t="shared" si="30"/>
        <v>0.14800235311906895</v>
      </c>
      <c r="S46" s="113">
        <f t="shared" si="31"/>
        <v>0.11297755877573973</v>
      </c>
      <c r="T46" s="113">
        <f t="shared" si="32"/>
        <v>0.10723054424979467</v>
      </c>
      <c r="U46" s="114">
        <f t="shared" si="33"/>
        <v>7.4769427931569127E-2</v>
      </c>
      <c r="V46" s="114">
        <f t="shared" si="34"/>
        <v>7.1015144957848317E-2</v>
      </c>
      <c r="W46" s="115">
        <f t="shared" si="35"/>
        <v>5.2131659426557675E-2</v>
      </c>
      <c r="X46" s="115">
        <f t="shared" si="36"/>
        <v>4.9513292216675185E-2</v>
      </c>
      <c r="Y46" s="144"/>
      <c r="Z46" s="144"/>
      <c r="AB46" s="1" cm="1">
        <f t="array" ref="AB46">IF(N46="USD",1,_xll.BDP(N46&amp;"USD CURNCY","PX_LAST"))</f>
        <v>1</v>
      </c>
      <c r="AC46" s="80">
        <v>1324189.5148843301</v>
      </c>
      <c r="AD46" s="81">
        <f t="shared" si="37"/>
        <v>173826357.61886603</v>
      </c>
      <c r="AE46" s="80">
        <v>511745.86761624302</v>
      </c>
      <c r="AF46" s="81">
        <f t="shared" si="38"/>
        <v>67176880.04198423</v>
      </c>
      <c r="AG46" s="80">
        <v>5807995.7681424804</v>
      </c>
      <c r="AH46" s="81">
        <f t="shared" si="39"/>
        <v>762415604.48406351</v>
      </c>
      <c r="AI46" s="80">
        <v>422931884.68053901</v>
      </c>
      <c r="AJ46" s="81">
        <f t="shared" si="40"/>
        <v>55518268502.014359</v>
      </c>
      <c r="AK46" s="80"/>
      <c r="AL46" s="81">
        <f t="shared" si="41"/>
        <v>0</v>
      </c>
    </row>
    <row r="47" spans="1:38" x14ac:dyDescent="0.2">
      <c r="A47" s="92"/>
      <c r="C47" s="86" t="str" cm="1">
        <f t="array" ref="C47">_xll.BDP(D47&amp;" Equity","DS520")</f>
        <v>Avantis US Equity ETF</v>
      </c>
      <c r="D47" s="45" t="s">
        <v>472</v>
      </c>
      <c r="E47" s="45" t="s">
        <v>587</v>
      </c>
      <c r="F47" s="45" t="s">
        <v>33</v>
      </c>
      <c r="G47" s="45" t="s">
        <v>26</v>
      </c>
      <c r="H47" s="45" t="str" cm="1">
        <f t="array" ref="H47">_xll.BDP(D47&amp;" Equity", "ID_ISIN")</f>
        <v>US0250728856</v>
      </c>
      <c r="I47" s="45"/>
      <c r="J47" s="34" t="str" cm="1">
        <f t="array" ref="J47">_xll.BDP(D47&amp;" Equity","FD121")</f>
        <v>Equity</v>
      </c>
      <c r="K47" s="34" t="s">
        <v>446</v>
      </c>
      <c r="L47" s="34" t="s">
        <v>1401</v>
      </c>
      <c r="M47" s="34" t="str">
        <f>_xll.BDP(D47&amp;" Equity", "DS197")</f>
        <v>NYSE Arca</v>
      </c>
      <c r="N47" s="34" t="str">
        <f>_xll.BDP(D47&amp;" Equity", "DS004")</f>
        <v>USD</v>
      </c>
      <c r="O47" s="111">
        <f>_xll.BDP(D47&amp;" Equity", "FUND_EXPENSE_RATIO")</f>
        <v>0.15</v>
      </c>
      <c r="P47" s="45">
        <f>_xll.BDP(D47&amp;" Equity","PX_LAST")</f>
        <v>114.98</v>
      </c>
      <c r="Q47" s="112">
        <f t="shared" si="29"/>
        <v>0.14770897170282923</v>
      </c>
      <c r="R47" s="112">
        <f t="shared" si="30"/>
        <v>0.14034300950479281</v>
      </c>
      <c r="S47" s="113">
        <f t="shared" si="31"/>
        <v>0.1064115826968544</v>
      </c>
      <c r="T47" s="113">
        <f t="shared" si="32"/>
        <v>0.1009985704303958</v>
      </c>
      <c r="U47" s="114">
        <f t="shared" si="33"/>
        <v>7.0851231458094771E-2</v>
      </c>
      <c r="V47" s="114">
        <f t="shared" si="34"/>
        <v>6.7293686893574053E-2</v>
      </c>
      <c r="W47" s="115">
        <f t="shared" si="35"/>
        <v>4.9427286494157584E-2</v>
      </c>
      <c r="X47" s="115">
        <f t="shared" si="36"/>
        <v>4.6944749248012695E-2</v>
      </c>
      <c r="Y47" s="144"/>
      <c r="Z47" s="144"/>
      <c r="AB47" s="1" cm="1">
        <f t="array" ref="AB47">IF(N47="USD",1,_xll.BDP(N47&amp;"USD CURNCY","PX_LAST"))</f>
        <v>1</v>
      </c>
      <c r="AC47" s="80">
        <v>1433558.7325116401</v>
      </c>
      <c r="AD47" s="81">
        <f t="shared" si="37"/>
        <v>164830583.06418839</v>
      </c>
      <c r="AE47" s="80">
        <v>550293.32098841795</v>
      </c>
      <c r="AF47" s="81">
        <f t="shared" si="38"/>
        <v>63272726.047248296</v>
      </c>
      <c r="AG47" s="80">
        <v>6283372.6516490402</v>
      </c>
      <c r="AH47" s="81">
        <f t="shared" si="39"/>
        <v>722462187.48660672</v>
      </c>
      <c r="AI47" s="80">
        <v>457803204.24386001</v>
      </c>
      <c r="AJ47" s="81">
        <f t="shared" si="40"/>
        <v>52638212423.959023</v>
      </c>
      <c r="AK47" s="80"/>
      <c r="AL47" s="81">
        <f t="shared" si="41"/>
        <v>0</v>
      </c>
    </row>
    <row r="48" spans="1:38" x14ac:dyDescent="0.2">
      <c r="A48" s="90"/>
      <c r="C48" s="86" t="str" cm="1">
        <f t="array" ref="C48">_xll.BDP(D48&amp;" Equity","DS520")</f>
        <v>JPMorgan International Research Enhanced Equity ETF</v>
      </c>
      <c r="D48" s="45" t="s">
        <v>477</v>
      </c>
      <c r="E48" s="45" t="s">
        <v>592</v>
      </c>
      <c r="F48" s="45" t="s">
        <v>33</v>
      </c>
      <c r="G48" s="45" t="s">
        <v>26</v>
      </c>
      <c r="H48" s="45" t="str" cm="1">
        <f t="array" ref="H48">_xll.BDP(D48&amp;" Equity", "ID_ISIN")</f>
        <v>US46641Q1343</v>
      </c>
      <c r="I48" s="45"/>
      <c r="J48" s="34" t="str" cm="1">
        <f t="array" ref="J48">_xll.BDP(D48&amp;" Equity","FD121")</f>
        <v>Equity</v>
      </c>
      <c r="K48" s="34" t="s">
        <v>443</v>
      </c>
      <c r="L48" s="34" t="s">
        <v>444</v>
      </c>
      <c r="M48" s="34" t="str">
        <f>_xll.BDP(D48&amp;" Equity", "DS197")</f>
        <v>NYSE Arca</v>
      </c>
      <c r="N48" s="34" t="str">
        <f>_xll.BDP(D48&amp;" Equity", "DS004")</f>
        <v>USD</v>
      </c>
      <c r="O48" s="111">
        <f>_xll.BDP(D48&amp;" Equity", "FUND_EXPENSE_RATIO")</f>
        <v>0.24</v>
      </c>
      <c r="P48" s="45">
        <f>_xll.BDP(D48&amp;" Equity","PX_LAST")</f>
        <v>77.48</v>
      </c>
      <c r="Q48" s="112">
        <f t="shared" si="29"/>
        <v>6.0694322317905787E-2</v>
      </c>
      <c r="R48" s="112">
        <f t="shared" si="30"/>
        <v>5.7667613251590026E-2</v>
      </c>
      <c r="S48" s="113">
        <f t="shared" si="31"/>
        <v>4.428026627941993E-2</v>
      </c>
      <c r="T48" s="113">
        <f t="shared" si="32"/>
        <v>4.202778944881605E-2</v>
      </c>
      <c r="U48" s="114">
        <f t="shared" si="33"/>
        <v>2.9123462745735882E-2</v>
      </c>
      <c r="V48" s="114">
        <f t="shared" si="34"/>
        <v>2.7661130836199577E-2</v>
      </c>
      <c r="W48" s="115">
        <f t="shared" si="35"/>
        <v>2.0351188515974485E-2</v>
      </c>
      <c r="X48" s="115">
        <f t="shared" si="36"/>
        <v>1.9329028752051482E-2</v>
      </c>
      <c r="Y48" s="144"/>
      <c r="Z48" s="144"/>
      <c r="AB48" s="1" cm="1">
        <f t="array" ref="AB48">IF(N48="USD",1,_xll.BDP(N48&amp;"USD CURNCY","PX_LAST"))</f>
        <v>1</v>
      </c>
      <c r="AC48" s="80">
        <v>874156.86943704297</v>
      </c>
      <c r="AD48" s="81">
        <f t="shared" si="37"/>
        <v>67729674.243982092</v>
      </c>
      <c r="AE48" s="80">
        <v>339819.467637519</v>
      </c>
      <c r="AF48" s="81">
        <f t="shared" si="38"/>
        <v>26329212.352554973</v>
      </c>
      <c r="AG48" s="80">
        <v>3832843.7703532898</v>
      </c>
      <c r="AH48" s="81">
        <f t="shared" si="39"/>
        <v>296968735.3269729</v>
      </c>
      <c r="AI48" s="80">
        <v>279727090.87207198</v>
      </c>
      <c r="AJ48" s="81">
        <f t="shared" si="40"/>
        <v>21673255000.768139</v>
      </c>
      <c r="AK48" s="80"/>
      <c r="AL48" s="81">
        <f t="shared" si="41"/>
        <v>0</v>
      </c>
    </row>
    <row r="49" spans="1:38" x14ac:dyDescent="0.2">
      <c r="A49" s="91"/>
      <c r="B49" s="3"/>
      <c r="C49" s="86" t="str" cm="1">
        <f t="array" ref="C49">_xll.BDP(D49&amp;" Equity","DS520")</f>
        <v>iShares MSCI Emerging Markets ex China ETF</v>
      </c>
      <c r="D49" s="45" t="s">
        <v>1275</v>
      </c>
      <c r="E49" s="45" t="s">
        <v>1277</v>
      </c>
      <c r="F49" s="45" t="s">
        <v>33</v>
      </c>
      <c r="G49" s="45" t="s">
        <v>26</v>
      </c>
      <c r="H49" s="45" t="str" cm="1">
        <f t="array" ref="H49">_xll.BDP(D49&amp;" Equity", "ID_ISIN")</f>
        <v>US46434G7640</v>
      </c>
      <c r="I49" s="45"/>
      <c r="J49" s="34" t="str" cm="1">
        <f t="array" ref="J49">_xll.BDP(D49&amp;" Equity","FD121")</f>
        <v>Equity</v>
      </c>
      <c r="K49" s="34" t="s">
        <v>446</v>
      </c>
      <c r="L49" s="34" t="s">
        <v>450</v>
      </c>
      <c r="M49" s="34" t="str">
        <f>_xll.BDP(D49&amp;" Equity", "DS197")</f>
        <v>NASDAQ GM</v>
      </c>
      <c r="N49" s="34" t="str">
        <f>_xll.BDP(D49&amp;" Equity", "DS004")</f>
        <v>USD</v>
      </c>
      <c r="O49" s="111">
        <f>_xll.BDP(D49&amp;" Equity", "FUND_EXPENSE_RATIO")</f>
        <v>0.25</v>
      </c>
      <c r="P49" s="45">
        <f>_xll.BDP(D49&amp;" Equity","PX_LAST")</f>
        <v>80.22</v>
      </c>
      <c r="Q49" s="112">
        <f t="shared" si="29"/>
        <v>6.0290012369702675E-2</v>
      </c>
      <c r="R49" s="112">
        <f t="shared" si="30"/>
        <v>5.7283465462532844E-2</v>
      </c>
      <c r="S49" s="113">
        <f t="shared" si="31"/>
        <v>4.3985297137626334E-2</v>
      </c>
      <c r="T49" s="113">
        <f t="shared" si="32"/>
        <v>4.1747824985482171E-2</v>
      </c>
      <c r="U49" s="114">
        <f t="shared" si="33"/>
        <v>2.8929459332162091E-2</v>
      </c>
      <c r="V49" s="114">
        <f t="shared" si="34"/>
        <v>2.7476868619430054E-2</v>
      </c>
      <c r="W49" s="115">
        <f t="shared" si="35"/>
        <v>2.0215620844064919E-2</v>
      </c>
      <c r="X49" s="115">
        <f t="shared" si="36"/>
        <v>1.9200270108489615E-2</v>
      </c>
      <c r="Y49" s="144"/>
      <c r="Z49" s="144"/>
      <c r="AB49" s="1" cm="1">
        <f t="array" ref="AB49">IF(N49="USD",1,_xll.BDP(N49&amp;"USD CURNCY","PX_LAST"))</f>
        <v>1</v>
      </c>
      <c r="AC49" s="80">
        <v>838674.88046550006</v>
      </c>
      <c r="AD49" s="81">
        <f t="shared" si="37"/>
        <v>67278498.91094242</v>
      </c>
      <c r="AE49" s="80">
        <v>326026.21035774099</v>
      </c>
      <c r="AF49" s="81">
        <f t="shared" si="38"/>
        <v>26153822.594897982</v>
      </c>
      <c r="AG49" s="80">
        <v>3677268.8099038</v>
      </c>
      <c r="AH49" s="81">
        <f t="shared" si="39"/>
        <v>294990503.9304828</v>
      </c>
      <c r="AI49" s="80">
        <v>268372980.52828801</v>
      </c>
      <c r="AJ49" s="81">
        <f t="shared" si="40"/>
        <v>21528880497.979263</v>
      </c>
      <c r="AK49" s="80"/>
      <c r="AL49" s="81">
        <f t="shared" si="41"/>
        <v>0</v>
      </c>
    </row>
    <row r="50" spans="1:38" x14ac:dyDescent="0.2">
      <c r="A50" s="91"/>
      <c r="B50" s="3"/>
      <c r="C50" s="86" t="str" cm="1">
        <f t="array" ref="C50">_xll.BDP(D50&amp;" Equity","DS520")</f>
        <v>Vanguard FTSE Europe ETF</v>
      </c>
      <c r="D50" s="45" t="s">
        <v>480</v>
      </c>
      <c r="E50" s="45" t="s">
        <v>595</v>
      </c>
      <c r="F50" s="45" t="s">
        <v>33</v>
      </c>
      <c r="G50" s="45" t="s">
        <v>26</v>
      </c>
      <c r="H50" s="45" t="str" cm="1">
        <f t="array" ref="H50">_xll.BDP(D50&amp;" Equity", "ID_ISIN")</f>
        <v>US9220428745</v>
      </c>
      <c r="I50" s="45"/>
      <c r="J50" s="34" t="str" cm="1">
        <f t="array" ref="J50">_xll.BDP(D50&amp;" Equity","FD121")</f>
        <v>Equity</v>
      </c>
      <c r="K50" s="34" t="s">
        <v>446</v>
      </c>
      <c r="L50" s="34" t="s">
        <v>452</v>
      </c>
      <c r="M50" s="34" t="str">
        <f>_xll.BDP(D50&amp;" Equity", "DS197")</f>
        <v>NYSE Arca</v>
      </c>
      <c r="N50" s="34" t="str">
        <f>_xll.BDP(D50&amp;" Equity", "DS004")</f>
        <v>USD</v>
      </c>
      <c r="O50" s="111">
        <f>_xll.BDP(D50&amp;" Equity", "FUND_EXPENSE_RATIO")</f>
        <v>0.06</v>
      </c>
      <c r="P50" s="45">
        <f>_xll.BDP(D50&amp;" Equity","PX_LAST")</f>
        <v>84.85</v>
      </c>
      <c r="Q50" s="112">
        <f t="shared" si="29"/>
        <v>3.9701524976932204E-2</v>
      </c>
      <c r="R50" s="112">
        <f t="shared" si="30"/>
        <v>3.7721686319786646E-2</v>
      </c>
      <c r="S50" s="113">
        <f t="shared" si="31"/>
        <v>2.8635576206267766E-2</v>
      </c>
      <c r="T50" s="113">
        <f t="shared" si="32"/>
        <v>2.717892344974205E-2</v>
      </c>
      <c r="U50" s="114">
        <f t="shared" si="33"/>
        <v>1.9050313760130368E-2</v>
      </c>
      <c r="V50" s="114">
        <f t="shared" si="34"/>
        <v>1.8093769480305815E-2</v>
      </c>
      <c r="W50" s="115">
        <f t="shared" si="35"/>
        <v>1.3312171358388336E-2</v>
      </c>
      <c r="X50" s="115">
        <f t="shared" si="36"/>
        <v>1.2643553605557243E-2</v>
      </c>
      <c r="Y50" s="144"/>
      <c r="Z50" s="144"/>
      <c r="AB50" s="1" cm="1">
        <f t="array" ref="AB50">IF(N50="USD",1,_xll.BDP(N50&amp;"USD CURNCY","PX_LAST"))</f>
        <v>1</v>
      </c>
      <c r="AC50" s="80">
        <v>522139.15532832203</v>
      </c>
      <c r="AD50" s="81">
        <f t="shared" ref="AD50" si="42">AC50*P50*AB50</f>
        <v>44303507.32960812</v>
      </c>
      <c r="AE50" s="80">
        <v>200669.66384713701</v>
      </c>
      <c r="AF50" s="81">
        <f t="shared" ref="AF50" si="43">AE50*P50*AB50</f>
        <v>17026820.977429572</v>
      </c>
      <c r="AG50" s="80">
        <v>2289380.63490425</v>
      </c>
      <c r="AH50" s="81">
        <f t="shared" ref="AH50" si="44">AG50*P50*AB50</f>
        <v>194253946.8716256</v>
      </c>
      <c r="AI50" s="80">
        <v>167082673.66754499</v>
      </c>
      <c r="AJ50" s="81">
        <f t="shared" ref="AJ50" si="45">AI50*P50*AB50</f>
        <v>14176964860.691191</v>
      </c>
      <c r="AK50" s="80"/>
      <c r="AL50" s="81">
        <f t="shared" ref="AL50" si="46">AK50*P50*AB50</f>
        <v>0</v>
      </c>
    </row>
    <row r="51" spans="1:38" x14ac:dyDescent="0.2">
      <c r="A51" s="90"/>
      <c r="C51" s="86" t="str" cm="1">
        <f t="array" ref="C51">_xll.BDP(D51&amp;" Equity","DS520")</f>
        <v>iShares Global Healthcare ETF</v>
      </c>
      <c r="D51" s="45" t="s">
        <v>476</v>
      </c>
      <c r="E51" s="45" t="s">
        <v>591</v>
      </c>
      <c r="F51" s="45" t="s">
        <v>33</v>
      </c>
      <c r="G51" s="45" t="s">
        <v>26</v>
      </c>
      <c r="H51" s="45" t="str" cm="1">
        <f t="array" ref="H51">_xll.BDP(D51&amp;" Equity", "ID_ISIN")</f>
        <v>US4642873255</v>
      </c>
      <c r="I51" s="45"/>
      <c r="J51" s="34" t="str" cm="1">
        <f t="array" ref="J51">_xll.BDP(D51&amp;" Equity","FD121")</f>
        <v>Equity</v>
      </c>
      <c r="K51" s="34" t="s">
        <v>446</v>
      </c>
      <c r="L51" s="34" t="s">
        <v>455</v>
      </c>
      <c r="M51" s="34" t="str">
        <f>_xll.BDP(D51&amp;" Equity", "DS197")</f>
        <v>NYSE Arca</v>
      </c>
      <c r="N51" s="34" t="str">
        <f>_xll.BDP(D51&amp;" Equity", "DS004")</f>
        <v>USD</v>
      </c>
      <c r="O51" s="111">
        <f>_xll.BDP(D51&amp;" Equity", "FUND_EXPENSE_RATIO")</f>
        <v>0.4</v>
      </c>
      <c r="P51" s="45">
        <f>_xll.BDP(D51&amp;" Equity","PX_LAST")</f>
        <v>97.08</v>
      </c>
      <c r="Q51" s="112">
        <f t="shared" si="29"/>
        <v>4.0574437839222474E-2</v>
      </c>
      <c r="R51" s="112">
        <f t="shared" si="30"/>
        <v>3.8551068697288582E-2</v>
      </c>
      <c r="S51" s="113">
        <f t="shared" si="31"/>
        <v>2.9265183325995994E-2</v>
      </c>
      <c r="T51" s="113">
        <f t="shared" si="32"/>
        <v>2.7776503312890066E-2</v>
      </c>
      <c r="U51" s="114">
        <f t="shared" si="33"/>
        <v>1.9469170817171481E-2</v>
      </c>
      <c r="V51" s="114">
        <f t="shared" si="34"/>
        <v>1.8491595108310027E-2</v>
      </c>
      <c r="W51" s="115">
        <f t="shared" si="35"/>
        <v>1.3604864538574804E-2</v>
      </c>
      <c r="X51" s="115">
        <f t="shared" si="36"/>
        <v>1.2921545964131921E-2</v>
      </c>
      <c r="Y51" s="144"/>
      <c r="Z51" s="144"/>
      <c r="AB51" s="1" cm="1">
        <f t="array" ref="AB51">IF(N51="USD",1,_xll.BDP(N51&amp;"USD CURNCY","PX_LAST"))</f>
        <v>1</v>
      </c>
      <c r="AC51" s="80">
        <v>466394.76152102801</v>
      </c>
      <c r="AD51" s="81">
        <f t="shared" si="37"/>
        <v>45277603.448461398</v>
      </c>
      <c r="AE51" s="80">
        <v>179245.856318973</v>
      </c>
      <c r="AF51" s="81">
        <f t="shared" si="38"/>
        <v>17401187.731445897</v>
      </c>
      <c r="AG51" s="80">
        <v>2044962.7735265701</v>
      </c>
      <c r="AH51" s="81">
        <f t="shared" si="39"/>
        <v>198524986.05395943</v>
      </c>
      <c r="AI51" s="80">
        <v>149244665.802683</v>
      </c>
      <c r="AJ51" s="81">
        <f t="shared" si="40"/>
        <v>14488672156.124464</v>
      </c>
      <c r="AK51" s="80"/>
      <c r="AL51" s="81">
        <f t="shared" si="41"/>
        <v>0</v>
      </c>
    </row>
    <row r="52" spans="1:38" x14ac:dyDescent="0.2">
      <c r="A52" s="90"/>
      <c r="C52" s="86" t="str" cm="1">
        <f t="array" ref="C52">_xll.BDP(D52&amp;" Equity","DS520")</f>
        <v>iShares MSCI World Small-Cap ETF</v>
      </c>
      <c r="D52" s="45" t="s">
        <v>1276</v>
      </c>
      <c r="E52" s="45" t="s">
        <v>1265</v>
      </c>
      <c r="F52" s="45" t="s">
        <v>33</v>
      </c>
      <c r="G52" s="45" t="s">
        <v>26</v>
      </c>
      <c r="H52" s="45" t="str" cm="1">
        <f t="array" ref="H52">_xll.BDP(D52&amp;" Equity", "ID_ISIN")</f>
        <v>US46438G4304</v>
      </c>
      <c r="I52" s="45"/>
      <c r="J52" s="34" t="str" cm="1">
        <f t="array" ref="J52">_xll.BDP(D52&amp;" Equity","FD121")</f>
        <v>Equity</v>
      </c>
      <c r="K52" s="34" t="s">
        <v>453</v>
      </c>
      <c r="L52" s="34" t="s">
        <v>1283</v>
      </c>
      <c r="M52" s="34" t="str">
        <f>_xll.BDP(D52&amp;" Equity", "DS197")</f>
        <v>NASDAQ GM</v>
      </c>
      <c r="N52" s="34" t="str">
        <f>_xll.BDP(D52&amp;" Equity", "DS004")</f>
        <v>USD</v>
      </c>
      <c r="O52" s="111">
        <f>_xll.BDP(D52&amp;" Equity", "FUND_EXPENSE_RATIO")</f>
        <v>0.3</v>
      </c>
      <c r="P52" s="45">
        <f>_xll.BDP(D52&amp;" Equity","PX_LAST")</f>
        <v>32.434600000000003</v>
      </c>
      <c r="Q52" s="112">
        <f t="shared" si="29"/>
        <v>4.0809053285367387E-2</v>
      </c>
      <c r="R52" s="112">
        <f t="shared" si="30"/>
        <v>3.8773984322579995E-2</v>
      </c>
      <c r="S52" s="113">
        <f t="shared" si="31"/>
        <v>2.9434404747368536E-2</v>
      </c>
      <c r="T52" s="113">
        <f t="shared" si="32"/>
        <v>2.7937116671057242E-2</v>
      </c>
      <c r="U52" s="114">
        <f t="shared" si="33"/>
        <v>1.9581748302913753E-2</v>
      </c>
      <c r="V52" s="114">
        <f t="shared" si="34"/>
        <v>1.8598519912874464E-2</v>
      </c>
      <c r="W52" s="115">
        <f t="shared" si="35"/>
        <v>1.3683532575236405E-2</v>
      </c>
      <c r="X52" s="115">
        <f t="shared" si="36"/>
        <v>1.2996262816236453E-2</v>
      </c>
      <c r="Y52" s="144"/>
      <c r="Z52" s="144"/>
      <c r="AB52" s="1" cm="1">
        <f t="array" ref="AB52">IF(N52="USD",1,_xll.BDP(N52&amp;"USD CURNCY","PX_LAST"))</f>
        <v>1</v>
      </c>
      <c r="AC52" s="80">
        <v>1404038.10209957</v>
      </c>
      <c r="AD52" s="81">
        <f t="shared" si="37"/>
        <v>45539414.226358719</v>
      </c>
      <c r="AE52" s="80">
        <v>539602.99874413805</v>
      </c>
      <c r="AF52" s="81">
        <f t="shared" si="38"/>
        <v>17501807.423066624</v>
      </c>
      <c r="AG52" s="80">
        <v>6156170.4553516498</v>
      </c>
      <c r="AH52" s="81">
        <f t="shared" si="39"/>
        <v>199672926.25114864</v>
      </c>
      <c r="AI52" s="80">
        <v>449287201.76595801</v>
      </c>
      <c r="AJ52" s="81">
        <f t="shared" si="40"/>
        <v>14572450674.398144</v>
      </c>
      <c r="AK52" s="80"/>
      <c r="AL52" s="81">
        <f t="shared" si="41"/>
        <v>0</v>
      </c>
    </row>
    <row r="53" spans="1:38" x14ac:dyDescent="0.2">
      <c r="A53" s="90"/>
      <c r="C53" s="86" t="str" cm="1">
        <f t="array" ref="C53">_xll.BDP(D53&amp;" Equity","DS520")</f>
        <v>Franklin FTSE China ETF</v>
      </c>
      <c r="D53" s="45" t="s">
        <v>473</v>
      </c>
      <c r="E53" s="45" t="s">
        <v>588</v>
      </c>
      <c r="F53" s="45" t="s">
        <v>33</v>
      </c>
      <c r="G53" s="45" t="s">
        <v>26</v>
      </c>
      <c r="H53" s="45" t="str" cm="1">
        <f t="array" ref="H53">_xll.BDP(D53&amp;" Equity", "ID_ISIN")</f>
        <v>US35473P8196</v>
      </c>
      <c r="I53" s="45"/>
      <c r="J53" s="34" t="str" cm="1">
        <f t="array" ref="J53">_xll.BDP(D53&amp;" Equity","FD121")</f>
        <v>Equity</v>
      </c>
      <c r="K53" s="34" t="s">
        <v>446</v>
      </c>
      <c r="L53" s="34" t="s">
        <v>449</v>
      </c>
      <c r="M53" s="34" t="str">
        <f>_xll.BDP(D53&amp;" Equity", "DS197")</f>
        <v>NYSE Arca</v>
      </c>
      <c r="N53" s="34" t="str">
        <f>_xll.BDP(D53&amp;" Equity", "DS004")</f>
        <v>USD</v>
      </c>
      <c r="O53" s="111">
        <f>_xll.BDP(D53&amp;" Equity", "FUND_EXPENSE_RATIO")</f>
        <v>0.19</v>
      </c>
      <c r="P53" s="45">
        <f>_xll.BDP(D53&amp;" Equity","PX_LAST")</f>
        <v>22.59</v>
      </c>
      <c r="Q53" s="112">
        <f t="shared" si="29"/>
        <v>2.3010582365684124E-2</v>
      </c>
      <c r="R53" s="112">
        <f t="shared" si="30"/>
        <v>2.1863088899942356E-2</v>
      </c>
      <c r="S53" s="113">
        <f t="shared" si="31"/>
        <v>1.6482414731928574E-2</v>
      </c>
      <c r="T53" s="113">
        <f t="shared" si="32"/>
        <v>1.5643976745539856E-2</v>
      </c>
      <c r="U53" s="114">
        <f t="shared" si="33"/>
        <v>1.1018593908366587E-2</v>
      </c>
      <c r="V53" s="114">
        <f t="shared" si="34"/>
        <v>1.0465334098188762E-2</v>
      </c>
      <c r="W53" s="115">
        <f t="shared" si="35"/>
        <v>7.7155931840471627E-3</v>
      </c>
      <c r="X53" s="115">
        <f t="shared" si="36"/>
        <v>7.3280694332185023E-3</v>
      </c>
      <c r="Y53" s="144"/>
      <c r="Z53" s="144"/>
      <c r="AB53" s="1" cm="1">
        <f t="array" ref="AB53">IF(N53="USD",1,_xll.BDP(N53&amp;"USD CURNCY","PX_LAST"))</f>
        <v>1</v>
      </c>
      <c r="AC53" s="80">
        <v>1136690.68074658</v>
      </c>
      <c r="AD53" s="81">
        <f t="shared" si="37"/>
        <v>25677842.478065241</v>
      </c>
      <c r="AE53" s="80">
        <v>433842.65596140199</v>
      </c>
      <c r="AF53" s="81">
        <f t="shared" si="38"/>
        <v>9800505.5981680714</v>
      </c>
      <c r="AG53" s="80">
        <v>4973677.9984995704</v>
      </c>
      <c r="AH53" s="81">
        <f t="shared" si="39"/>
        <v>112355385.98610529</v>
      </c>
      <c r="AI53" s="80">
        <v>363736977.267483</v>
      </c>
      <c r="AJ53" s="81">
        <f t="shared" si="40"/>
        <v>8216818316.4724407</v>
      </c>
      <c r="AK53" s="80"/>
      <c r="AL53" s="81">
        <f t="shared" si="41"/>
        <v>0</v>
      </c>
    </row>
    <row r="54" spans="1:38" x14ac:dyDescent="0.2">
      <c r="A54" s="90"/>
      <c r="C54" s="86" t="str" cm="1">
        <f t="array" ref="C54">_xll.BDP(D54&amp;" Equity","DS520")</f>
        <v>WisdomTree Enhanced Commodity Strategy Fund</v>
      </c>
      <c r="D54" s="45" t="s">
        <v>475</v>
      </c>
      <c r="E54" s="45" t="s">
        <v>590</v>
      </c>
      <c r="F54" s="45" t="s">
        <v>33</v>
      </c>
      <c r="G54" s="45" t="s">
        <v>26</v>
      </c>
      <c r="H54" s="45" t="str" cm="1">
        <f t="array" ref="H54">_xll.BDP(D54&amp;" Equity", "ID_ISIN")</f>
        <v>US97717Y6831</v>
      </c>
      <c r="I54" s="45"/>
      <c r="J54" s="34" t="str" cm="1">
        <f t="array" ref="J54">_xll.BDP(D54&amp;" Equity","FD121")</f>
        <v>Commodity</v>
      </c>
      <c r="K54" s="34" t="s">
        <v>446</v>
      </c>
      <c r="L54" s="34" t="s">
        <v>447</v>
      </c>
      <c r="M54" s="34" t="str">
        <f>_xll.BDP(D54&amp;" Equity", "DS197")</f>
        <v>NYSE Arca</v>
      </c>
      <c r="N54" s="34" t="str">
        <f>_xll.BDP(D54&amp;" Equity", "DS004")</f>
        <v>USD</v>
      </c>
      <c r="O54" s="111">
        <f>_xll.BDP(D54&amp;" Equity", "FUND_EXPENSE_RATIO")</f>
        <v>0.56999999999999995</v>
      </c>
      <c r="P54" s="45">
        <f>_xll.BDP(D54&amp;" Equity","PX_LAST")</f>
        <v>23.46</v>
      </c>
      <c r="Q54" s="112">
        <f t="shared" si="29"/>
        <v>0</v>
      </c>
      <c r="R54" s="112">
        <f t="shared" si="30"/>
        <v>0</v>
      </c>
      <c r="S54" s="113">
        <f t="shared" si="31"/>
        <v>2.9781747709096383E-2</v>
      </c>
      <c r="T54" s="113">
        <f t="shared" si="32"/>
        <v>2.8266790769444744E-2</v>
      </c>
      <c r="U54" s="114">
        <f t="shared" si="33"/>
        <v>2.9617108389424968E-2</v>
      </c>
      <c r="V54" s="114">
        <f t="shared" si="34"/>
        <v>2.8129989805890709E-2</v>
      </c>
      <c r="W54" s="115">
        <f t="shared" si="35"/>
        <v>2.9522439597308027E-2</v>
      </c>
      <c r="X54" s="115">
        <f t="shared" si="36"/>
        <v>2.8039644139660497E-2</v>
      </c>
      <c r="Y54" s="144"/>
      <c r="Z54" s="144"/>
      <c r="AB54" s="1" cm="1">
        <f t="array" ref="AB54">IF(N54="USD",1,_xll.BDP(N54&amp;"USD CURNCY","PX_LAST"))</f>
        <v>1</v>
      </c>
      <c r="AC54" s="80"/>
      <c r="AD54" s="81">
        <f t="shared" ref="AD54" si="47">AC54*P54*AB54</f>
        <v>0</v>
      </c>
      <c r="AE54" s="80">
        <v>754831.15304454404</v>
      </c>
      <c r="AF54" s="81">
        <f t="shared" ref="AF54" si="48">AE54*P54*AB54</f>
        <v>17708338.850425005</v>
      </c>
      <c r="AG54" s="80">
        <v>12873076.959638</v>
      </c>
      <c r="AH54" s="81">
        <f t="shared" ref="AH54" si="49">AG54*P54*AB54</f>
        <v>302002385.47310746</v>
      </c>
      <c r="AI54" s="80">
        <v>1340166008.6275799</v>
      </c>
      <c r="AJ54" s="81">
        <f t="shared" ref="AJ54" si="50">AI54*P54*AB54</f>
        <v>31440294562.403027</v>
      </c>
      <c r="AK54" s="80"/>
      <c r="AL54" s="81">
        <f t="shared" ref="AL54" si="51">AK54*P54*AB54</f>
        <v>0</v>
      </c>
    </row>
    <row r="55" spans="1:38" x14ac:dyDescent="0.2">
      <c r="A55" s="90"/>
      <c r="C55" s="116" t="s">
        <v>456</v>
      </c>
      <c r="D55" s="45"/>
      <c r="E55" s="45"/>
      <c r="F55" s="45"/>
      <c r="G55" s="45"/>
      <c r="H55" s="45"/>
      <c r="I55" s="45"/>
      <c r="J55" s="45"/>
      <c r="K55" s="45"/>
      <c r="L55" s="45"/>
      <c r="M55" s="34"/>
      <c r="N55" s="34"/>
      <c r="O55" s="111"/>
      <c r="P55" s="45"/>
      <c r="Q55" s="112"/>
      <c r="R55" s="112"/>
      <c r="S55" s="113"/>
      <c r="T55" s="113"/>
      <c r="U55" s="114"/>
      <c r="V55" s="114"/>
      <c r="W55" s="115"/>
      <c r="X55" s="115"/>
      <c r="Y55" s="144"/>
      <c r="Z55" s="144"/>
      <c r="AB55" s="1" cm="1">
        <f t="array" ref="AB55">IF(N55="USD",1,_xll.BDP(N55&amp;"USD CURNCY","PX_LAST"))</f>
        <v>1</v>
      </c>
      <c r="AC55" s="80"/>
      <c r="AD55" s="81"/>
      <c r="AE55" s="80"/>
      <c r="AF55" s="81"/>
      <c r="AG55" s="80"/>
      <c r="AH55" s="81"/>
      <c r="AI55" s="80"/>
      <c r="AJ55" s="81"/>
      <c r="AK55" s="80"/>
      <c r="AL55" s="81"/>
    </row>
    <row r="56" spans="1:38" x14ac:dyDescent="0.2">
      <c r="A56" s="90"/>
      <c r="C56" s="86" t="str" cm="1">
        <f t="array" ref="C56">_xll.BDP(D56&amp;" Equity","DS520")</f>
        <v>iShares 20+ Year Treasury Bond ETF</v>
      </c>
      <c r="D56" s="45" t="s">
        <v>481</v>
      </c>
      <c r="E56" s="45" t="s">
        <v>596</v>
      </c>
      <c r="F56" s="45" t="s">
        <v>33</v>
      </c>
      <c r="G56" s="45" t="s">
        <v>26</v>
      </c>
      <c r="H56" s="45" t="str" cm="1">
        <f t="array" ref="H56">_xll.BDP(D56&amp;" Equity", "ID_ISIN")</f>
        <v>US4642874329</v>
      </c>
      <c r="I56" s="45"/>
      <c r="J56" s="34" t="str" cm="1">
        <f t="array" ref="J56">_xll.BDP(D56&amp;" Equity","FD121")</f>
        <v>Fixed Income</v>
      </c>
      <c r="K56" s="34" t="s">
        <v>458</v>
      </c>
      <c r="L56" s="34" t="s">
        <v>464</v>
      </c>
      <c r="M56" s="34" t="str">
        <f>_xll.BDP(D56&amp;" Equity", "DS197")</f>
        <v>NASDAQ GM</v>
      </c>
      <c r="N56" s="34" t="str">
        <f>_xll.BDP(D56&amp;" Equity", "DS004")</f>
        <v>USD</v>
      </c>
      <c r="O56" s="111">
        <f>_xll.BDP(D56&amp;" Equity", "FUND_EXPENSE_RATIO")</f>
        <v>0.15</v>
      </c>
      <c r="P56" s="45">
        <f>_xll.BDP(D56&amp;" Equity","PX_LAST")</f>
        <v>88.79</v>
      </c>
      <c r="Q56" s="112"/>
      <c r="R56" s="112"/>
      <c r="S56" s="113">
        <f>AF56/$AF$64</f>
        <v>1.2434806844805319E-2</v>
      </c>
      <c r="T56" s="113">
        <f t="shared" ref="T56:T62" si="52">S56*(1-$T$80)/(1-$S$63)</f>
        <v>1.180226515830746E-2</v>
      </c>
      <c r="U56" s="114">
        <f>AH56/$AH$64</f>
        <v>2.5041281226542891E-2</v>
      </c>
      <c r="V56" s="114">
        <f t="shared" ref="V56:V62" si="53">U56*(1-$V$80)/(1-$U$63)</f>
        <v>2.3783921656599323E-2</v>
      </c>
      <c r="W56" s="115">
        <f>AJ56/$AJ$64</f>
        <v>3.2357161292554379E-2</v>
      </c>
      <c r="X56" s="115">
        <f t="shared" ref="X56:X62" si="54">W56*(1-$X$80)/(1-$W$63)</f>
        <v>3.0731988967996789E-2</v>
      </c>
      <c r="Y56" s="144">
        <f>AL56/$AL$64</f>
        <v>5.0979379258758437E-2</v>
      </c>
      <c r="Z56" s="144">
        <f>Y56*(1-$Z$80)/(1-$Y$72)</f>
        <v>4.8431851728520443E-2</v>
      </c>
      <c r="AB56" s="1" cm="1">
        <f t="array" ref="AB56">IF(N56="USD",1,_xll.BDP(N56&amp;"USD CURNCY","PX_LAST"))</f>
        <v>1</v>
      </c>
      <c r="AC56" s="80"/>
      <c r="AD56" s="81">
        <f t="shared" ref="AD56:AD63" si="55">AC56*P56*AB56</f>
        <v>0</v>
      </c>
      <c r="AE56" s="80">
        <v>83272.697066466004</v>
      </c>
      <c r="AF56" s="81">
        <f t="shared" ref="AF56:AF63" si="56">AE56*P56*AB56</f>
        <v>7393782.7725315168</v>
      </c>
      <c r="AG56" s="80">
        <v>2875810.1240791199</v>
      </c>
      <c r="AH56" s="81">
        <f t="shared" ref="AH56:AH63" si="57">AG56*P56*AB56</f>
        <v>255343180.91698506</v>
      </c>
      <c r="AI56" s="80">
        <v>388097389.347767</v>
      </c>
      <c r="AJ56" s="81">
        <f t="shared" ref="AJ56:AJ63" si="58">AI56*P56*AB56</f>
        <v>34459167200.188232</v>
      </c>
      <c r="AK56" s="80">
        <v>5924303.9272310501</v>
      </c>
      <c r="AL56" s="81">
        <f t="shared" ref="AL56:AL63" si="59">AK56*P56*AB56</f>
        <v>526018945.69884497</v>
      </c>
    </row>
    <row r="57" spans="1:38" x14ac:dyDescent="0.2">
      <c r="A57" s="90"/>
      <c r="C57" s="86" t="str" cm="1">
        <f t="array" ref="C57">_xll.BDP(D57&amp;" Equity","DS520")</f>
        <v>iShares iBoxx USD Investment Grade Corporate Bond ETF</v>
      </c>
      <c r="D57" s="145" t="s">
        <v>482</v>
      </c>
      <c r="E57" s="145" t="s">
        <v>597</v>
      </c>
      <c r="F57" s="45" t="s">
        <v>33</v>
      </c>
      <c r="G57" s="45" t="s">
        <v>26</v>
      </c>
      <c r="H57" s="45" t="str" cm="1">
        <f t="array" ref="H57">_xll.BDP(D57&amp;" Equity", "ID_ISIN")</f>
        <v>US4642872422</v>
      </c>
      <c r="I57" s="145"/>
      <c r="J57" s="34" t="str" cm="1">
        <f t="array" ref="J57">_xll.BDP(D57&amp;" Equity","FD121")</f>
        <v>Fixed Income</v>
      </c>
      <c r="K57" s="34" t="s">
        <v>458</v>
      </c>
      <c r="L57" s="34" t="s">
        <v>1403</v>
      </c>
      <c r="M57" s="34" t="str">
        <f>_xll.BDP(D57&amp;" Equity", "DS197")</f>
        <v>NYSE Arca</v>
      </c>
      <c r="N57" s="34" t="str">
        <f>_xll.BDP(D57&amp;" Equity", "DS004")</f>
        <v>USD</v>
      </c>
      <c r="O57" s="111">
        <f>_xll.BDP(D57&amp;" Equity", "FUND_EXPENSE_RATIO")</f>
        <v>0.14000000000000001</v>
      </c>
      <c r="P57" s="45">
        <f>_xll.BDP(D57&amp;" Equity","PX_LAST")</f>
        <v>110.53</v>
      </c>
      <c r="Q57" s="112"/>
      <c r="R57" s="112"/>
      <c r="S57" s="113">
        <f t="shared" ref="S57" si="60">AF57/$AF$64</f>
        <v>5.0040619718933838E-2</v>
      </c>
      <c r="T57" s="113">
        <f t="shared" si="52"/>
        <v>4.7495121555153723E-2</v>
      </c>
      <c r="U57" s="114">
        <f t="shared" ref="U57" si="61">AH57/$AH$64</f>
        <v>9.8512379255089239E-2</v>
      </c>
      <c r="V57" s="114">
        <f t="shared" si="53"/>
        <v>9.3565927765897713E-2</v>
      </c>
      <c r="W57" s="115">
        <f t="shared" ref="W57" si="62">AJ57/$AJ$64</f>
        <v>0.12765673968830477</v>
      </c>
      <c r="X57" s="115">
        <f t="shared" si="54"/>
        <v>0.12124504619922159</v>
      </c>
      <c r="Y57" s="144">
        <f t="shared" ref="Y57" si="63">AL57/$AL$64</f>
        <v>0.20096634606852376</v>
      </c>
      <c r="Z57" s="144">
        <f t="shared" ref="Z57" si="64">Y57*(1-$Z$80)/(1-$Y$72)</f>
        <v>0.19092371105207362</v>
      </c>
      <c r="AB57" s="1" cm="1">
        <f t="array" ref="AB57">IF(N57="USD",1,_xll.BDP(N57&amp;"USD CURNCY","PX_LAST"))</f>
        <v>1</v>
      </c>
      <c r="AC57" s="80"/>
      <c r="AD57" s="81">
        <f t="shared" si="55"/>
        <v>0</v>
      </c>
      <c r="AE57" s="80">
        <v>269196.961054452</v>
      </c>
      <c r="AF57" s="81">
        <f t="shared" si="56"/>
        <v>29754340.10534858</v>
      </c>
      <c r="AG57" s="80">
        <v>9088210.0667120796</v>
      </c>
      <c r="AH57" s="81">
        <f t="shared" si="57"/>
        <v>1004519858.6736861</v>
      </c>
      <c r="AI57" s="80">
        <v>1229979695.1048601</v>
      </c>
      <c r="AJ57" s="81">
        <f t="shared" si="58"/>
        <v>135949655699.94019</v>
      </c>
      <c r="AK57" s="80">
        <v>18760741.943983398</v>
      </c>
      <c r="AL57" s="81">
        <f t="shared" si="59"/>
        <v>2073624807.068485</v>
      </c>
    </row>
    <row r="58" spans="1:38" x14ac:dyDescent="0.2">
      <c r="A58" s="91"/>
      <c r="B58" s="3"/>
      <c r="C58" s="86" t="str" cm="1">
        <f t="array" ref="C58">_xll.BDP(D58&amp;" Equity","DS520")</f>
        <v>SPDR Bloomberg International Corporate Bond ETF</v>
      </c>
      <c r="D58" s="145" t="s">
        <v>1278</v>
      </c>
      <c r="E58" s="145" t="s">
        <v>1279</v>
      </c>
      <c r="F58" s="45" t="s">
        <v>33</v>
      </c>
      <c r="G58" s="45" t="s">
        <v>26</v>
      </c>
      <c r="H58" s="45" t="str" cm="1">
        <f t="array" ref="H58">_xll.BDP(D58&amp;" Equity", "ID_ISIN")</f>
        <v>US78464A1512</v>
      </c>
      <c r="I58" s="145"/>
      <c r="J58" s="34" t="str" cm="1">
        <f t="array" ref="J58">_xll.BDP(D58&amp;" Equity","FD121")</f>
        <v>Fixed Income</v>
      </c>
      <c r="K58" s="34" t="s">
        <v>458</v>
      </c>
      <c r="L58" s="34" t="s">
        <v>1403</v>
      </c>
      <c r="M58" s="34" t="str">
        <f>_xll.BDP(D58&amp;" Equity", "DS197")</f>
        <v>NYSE Arca</v>
      </c>
      <c r="N58" s="34" t="str">
        <f>_xll.BDP(D58&amp;" Equity", "DS004")</f>
        <v>USD</v>
      </c>
      <c r="O58" s="111">
        <f>_xll.BDP(D58&amp;" Equity", "FUND_EXPENSE_RATIO")</f>
        <v>0.5</v>
      </c>
      <c r="P58" s="45">
        <f>_xll.BDP(D58&amp;" Equity","PX_LAST")</f>
        <v>31.71</v>
      </c>
      <c r="Q58" s="112"/>
      <c r="R58" s="112"/>
      <c r="S58" s="113">
        <f t="shared" ref="S58:S63" si="65">AF58/$AF$64</f>
        <v>2.9588002067235344E-2</v>
      </c>
      <c r="T58" s="113">
        <f t="shared" si="52"/>
        <v>2.8082900704480388E-2</v>
      </c>
      <c r="U58" s="114">
        <f t="shared" ref="U58:U63" si="66">AH58/$AH$64</f>
        <v>5.9437356298873062E-2</v>
      </c>
      <c r="V58" s="114">
        <f t="shared" si="53"/>
        <v>5.6452919197654848E-2</v>
      </c>
      <c r="W58" s="115">
        <f t="shared" ref="W58:W63" si="67">AJ58/$AJ$64</f>
        <v>7.7041133800633751E-2</v>
      </c>
      <c r="X58" s="115">
        <f t="shared" si="54"/>
        <v>7.317166214416497E-2</v>
      </c>
      <c r="Y58" s="144">
        <f t="shared" ref="Y58:Y63" si="68">AL58/$AL$64</f>
        <v>0.12130288775049516</v>
      </c>
      <c r="Z58" s="144">
        <f>Y58*(1-$Z$80)/(1-$Y$72)</f>
        <v>0.11524117318011495</v>
      </c>
      <c r="AB58" s="1" cm="1">
        <f t="array" ref="AB58">IF(N58="USD",1,_xll.BDP(N58&amp;"USD CURNCY","PX_LAST"))</f>
        <v>1</v>
      </c>
      <c r="AC58" s="80"/>
      <c r="AD58" s="81">
        <f t="shared" si="55"/>
        <v>0</v>
      </c>
      <c r="AE58" s="80">
        <v>554813.52776258602</v>
      </c>
      <c r="AF58" s="81">
        <f t="shared" si="56"/>
        <v>17593136.965351604</v>
      </c>
      <c r="AG58" s="80">
        <v>19113092.469625901</v>
      </c>
      <c r="AH58" s="81">
        <f t="shared" si="57"/>
        <v>606076162.21183729</v>
      </c>
      <c r="AI58" s="80">
        <v>2587383397.7824302</v>
      </c>
      <c r="AJ58" s="81">
        <f t="shared" si="58"/>
        <v>82045927543.680862</v>
      </c>
      <c r="AK58" s="80">
        <v>39471328.264788598</v>
      </c>
      <c r="AL58" s="81">
        <f t="shared" si="59"/>
        <v>1251635819.2764466</v>
      </c>
    </row>
    <row r="59" spans="1:38" x14ac:dyDescent="0.2">
      <c r="A59" s="90"/>
      <c r="C59" s="86" t="str" cm="1">
        <f t="array" ref="C59">_xll.BDP(D59&amp;" Equity","DS520")</f>
        <v>Janus Henderson Mortgage-Backed Securities ETF</v>
      </c>
      <c r="D59" s="45" t="s">
        <v>483</v>
      </c>
      <c r="E59" s="45" t="s">
        <v>602</v>
      </c>
      <c r="F59" s="45" t="s">
        <v>33</v>
      </c>
      <c r="G59" s="45" t="s">
        <v>26</v>
      </c>
      <c r="H59" s="45" t="str" cm="1">
        <f t="array" ref="H59">_xll.BDP(D59&amp;" Equity", "ID_ISIN")</f>
        <v>US47103U8523</v>
      </c>
      <c r="I59" s="45"/>
      <c r="J59" s="34" t="str" cm="1">
        <f t="array" ref="J59">_xll.BDP(D59&amp;" Equity","FD121")</f>
        <v>Fixed Income</v>
      </c>
      <c r="K59" s="34" t="s">
        <v>458</v>
      </c>
      <c r="L59" s="34" t="s">
        <v>1286</v>
      </c>
      <c r="M59" s="34" t="str">
        <f>_xll.BDP(D59&amp;" Equity", "DS197")</f>
        <v>NYSE Arca</v>
      </c>
      <c r="N59" s="34" t="str">
        <f>_xll.BDP(D59&amp;" Equity", "DS004")</f>
        <v>USD</v>
      </c>
      <c r="O59" s="111">
        <f>_xll.BDP(D59&amp;" Equity", "FUND_EXPENSE_RATIO")</f>
        <v>0.21</v>
      </c>
      <c r="P59" s="45">
        <f>_xll.BDP(D59&amp;" Equity","PX_LAST")</f>
        <v>45.86</v>
      </c>
      <c r="Q59" s="112"/>
      <c r="R59" s="112"/>
      <c r="S59" s="113">
        <f t="shared" si="65"/>
        <v>3.8781491163775779E-2</v>
      </c>
      <c r="T59" s="113">
        <f t="shared" si="52"/>
        <v>3.6808729533313919E-2</v>
      </c>
      <c r="U59" s="114">
        <f t="shared" si="66"/>
        <v>7.6672990467557503E-2</v>
      </c>
      <c r="V59" s="114">
        <f t="shared" si="53"/>
        <v>7.2823126818472778E-2</v>
      </c>
      <c r="W59" s="115">
        <f t="shared" si="67"/>
        <v>9.9295304836409748E-2</v>
      </c>
      <c r="X59" s="115">
        <f t="shared" si="54"/>
        <v>9.4308094125321332E-2</v>
      </c>
      <c r="Y59" s="144">
        <f t="shared" si="68"/>
        <v>0.15564649548201365</v>
      </c>
      <c r="Z59" s="144">
        <f>Y59*(1-$Z$80)/(1-$Y$72)</f>
        <v>0.14786857158433556</v>
      </c>
      <c r="AB59" s="1" cm="1">
        <f t="array" ref="AB59">IF(N59="USD",1,_xll.BDP(N59&amp;"USD CURNCY","PX_LAST"))</f>
        <v>1</v>
      </c>
      <c r="AC59" s="80"/>
      <c r="AD59" s="81">
        <f t="shared" si="55"/>
        <v>0</v>
      </c>
      <c r="AE59" s="80">
        <v>502826.42939133302</v>
      </c>
      <c r="AF59" s="81">
        <f t="shared" si="56"/>
        <v>23059620.051886532</v>
      </c>
      <c r="AG59" s="80">
        <v>17048103.392315902</v>
      </c>
      <c r="AH59" s="81">
        <f t="shared" si="57"/>
        <v>781826021.57160723</v>
      </c>
      <c r="AI59" s="80">
        <v>2305839245.3268099</v>
      </c>
      <c r="AJ59" s="81">
        <f t="shared" si="58"/>
        <v>105745787790.6875</v>
      </c>
      <c r="AK59" s="80">
        <v>35019677.2851298</v>
      </c>
      <c r="AL59" s="81">
        <f t="shared" si="59"/>
        <v>1606002400.2960527</v>
      </c>
    </row>
    <row r="60" spans="1:38" x14ac:dyDescent="0.2">
      <c r="A60" s="90"/>
      <c r="C60" s="86" t="str" cm="1">
        <f t="array" ref="C60">_xll.BDP(D60&amp;" Equity","DS520")</f>
        <v>iShares J.P. Morgan EM Corporate Bond ETF</v>
      </c>
      <c r="D60" s="45" t="s">
        <v>484</v>
      </c>
      <c r="E60" s="45" t="s">
        <v>598</v>
      </c>
      <c r="F60" s="45" t="s">
        <v>33</v>
      </c>
      <c r="G60" s="45" t="s">
        <v>26</v>
      </c>
      <c r="H60" s="45" t="str" cm="1">
        <f t="array" ref="H60">_xll.BDP(D60&amp;" Equity", "ID_ISIN")</f>
        <v>US4642862514</v>
      </c>
      <c r="I60" s="45"/>
      <c r="J60" s="34" t="str" cm="1">
        <f t="array" ref="J60">_xll.BDP(D60&amp;" Equity","FD121")</f>
        <v>Fixed Income</v>
      </c>
      <c r="K60" s="34" t="s">
        <v>458</v>
      </c>
      <c r="L60" s="34" t="s">
        <v>1285</v>
      </c>
      <c r="M60" s="34" t="str">
        <f>_xll.BDP(D60&amp;" Equity", "DS197")</f>
        <v>Cboe BZX</v>
      </c>
      <c r="N60" s="34" t="str">
        <f>_xll.BDP(D60&amp;" Equity", "DS004")</f>
        <v>USD</v>
      </c>
      <c r="O60" s="111">
        <f>_xll.BDP(D60&amp;" Equity", "FUND_EXPENSE_RATIO")</f>
        <v>0.5</v>
      </c>
      <c r="P60" s="45">
        <f>_xll.BDP(D60&amp;" Equity","PX_LAST")</f>
        <v>45.81</v>
      </c>
      <c r="Q60" s="112"/>
      <c r="R60" s="112"/>
      <c r="S60" s="113">
        <f t="shared" si="65"/>
        <v>2.7376248941155555E-2</v>
      </c>
      <c r="T60" s="113">
        <f t="shared" si="52"/>
        <v>2.5983656447251414E-2</v>
      </c>
      <c r="U60" s="114">
        <f t="shared" si="66"/>
        <v>5.3844817428614876E-2</v>
      </c>
      <c r="V60" s="114">
        <f t="shared" si="53"/>
        <v>5.1141189931553296E-2</v>
      </c>
      <c r="W60" s="115">
        <f t="shared" si="67"/>
        <v>6.9754416497037008E-2</v>
      </c>
      <c r="X60" s="115">
        <f t="shared" si="54"/>
        <v>6.6250927850993957E-2</v>
      </c>
      <c r="Y60" s="144">
        <f t="shared" si="68"/>
        <v>0.10974117442068197</v>
      </c>
      <c r="Z60" s="144">
        <f>Y60*(1-$Z$80)/(1-$Y$72)</f>
        <v>0.10425721861144552</v>
      </c>
      <c r="AB60" s="1" cm="1">
        <f t="array" ref="AB60">IF(N60="USD",1,_xll.BDP(N60&amp;"USD CURNCY","PX_LAST"))</f>
        <v>1</v>
      </c>
      <c r="AC60" s="80"/>
      <c r="AD60" s="81">
        <f t="shared" si="55"/>
        <v>0</v>
      </c>
      <c r="AE60" s="80">
        <v>355337.70495346503</v>
      </c>
      <c r="AF60" s="81">
        <f t="shared" si="56"/>
        <v>16278020.263918234</v>
      </c>
      <c r="AG60" s="80">
        <v>11985366.963278599</v>
      </c>
      <c r="AH60" s="81">
        <f t="shared" si="57"/>
        <v>549049660.58779263</v>
      </c>
      <c r="AI60" s="80">
        <v>1621607640.41993</v>
      </c>
      <c r="AJ60" s="81">
        <f t="shared" si="58"/>
        <v>74285846007.636993</v>
      </c>
      <c r="AK60" s="80">
        <v>24718160.919159301</v>
      </c>
      <c r="AL60" s="81">
        <f t="shared" si="59"/>
        <v>1132338951.7066877</v>
      </c>
    </row>
    <row r="61" spans="1:38" x14ac:dyDescent="0.2">
      <c r="A61" s="90"/>
      <c r="C61" s="86" t="str" cm="1">
        <f t="array" ref="C61">_xll.BDP(D61&amp;" Equity","DS520")</f>
        <v>iShares J.P. Morgan EM Local Currency Bond ETF</v>
      </c>
      <c r="D61" s="45" t="s">
        <v>485</v>
      </c>
      <c r="E61" s="45" t="s">
        <v>599</v>
      </c>
      <c r="F61" s="45" t="s">
        <v>33</v>
      </c>
      <c r="G61" s="45" t="s">
        <v>26</v>
      </c>
      <c r="H61" s="45" t="str" cm="1">
        <f t="array" ref="H61">_xll.BDP(D61&amp;" Equity", "ID_ISIN")</f>
        <v>US4642865178</v>
      </c>
      <c r="I61" s="45"/>
      <c r="J61" s="34" t="str" cm="1">
        <f t="array" ref="J61">_xll.BDP(D61&amp;" Equity","FD121")</f>
        <v>Fixed Income</v>
      </c>
      <c r="K61" s="34" t="s">
        <v>458</v>
      </c>
      <c r="L61" s="34" t="s">
        <v>1285</v>
      </c>
      <c r="M61" s="34" t="str">
        <f>_xll.BDP(D61&amp;" Equity", "DS197")</f>
        <v>NYSE Arca</v>
      </c>
      <c r="N61" s="34" t="str">
        <f>_xll.BDP(D61&amp;" Equity", "DS004")</f>
        <v>USD</v>
      </c>
      <c r="O61" s="111">
        <f>_xll.BDP(D61&amp;" Equity", "FUND_EXPENSE_RATIO")</f>
        <v>0.3</v>
      </c>
      <c r="P61" s="45">
        <f>_xll.BDP(D61&amp;" Equity","PX_LAST")</f>
        <v>41.73</v>
      </c>
      <c r="Q61" s="112"/>
      <c r="R61" s="112"/>
      <c r="S61" s="113">
        <f t="shared" si="65"/>
        <v>2.7020579810981347E-2</v>
      </c>
      <c r="T61" s="113">
        <f t="shared" si="52"/>
        <v>2.5646079721265182E-2</v>
      </c>
      <c r="U61" s="114">
        <f t="shared" si="66"/>
        <v>5.3145271650068097E-2</v>
      </c>
      <c r="V61" s="114">
        <f t="shared" si="53"/>
        <v>5.0476769375686299E-2</v>
      </c>
      <c r="W61" s="115">
        <f t="shared" si="67"/>
        <v>6.8848175006661669E-2</v>
      </c>
      <c r="X61" s="115">
        <f t="shared" si="54"/>
        <v>6.5390203288887061E-2</v>
      </c>
      <c r="Y61" s="144">
        <f t="shared" si="68"/>
        <v>0.10831542949359561</v>
      </c>
      <c r="Z61" s="144">
        <f>Y61*(1-$Z$80)/(1-$Y$72)</f>
        <v>0.10290272061803432</v>
      </c>
      <c r="AB61" s="1" cm="1">
        <f t="array" ref="AB61">IF(N61="USD",1,_xll.BDP(N61&amp;"USD CURNCY","PX_LAST"))</f>
        <v>1</v>
      </c>
      <c r="AC61" s="80"/>
      <c r="AD61" s="81">
        <f t="shared" si="55"/>
        <v>0</v>
      </c>
      <c r="AE61" s="80">
        <v>385011.69579640101</v>
      </c>
      <c r="AF61" s="81">
        <f t="shared" si="56"/>
        <v>16066538.065583812</v>
      </c>
      <c r="AG61" s="80">
        <v>12986256.1584292</v>
      </c>
      <c r="AH61" s="81">
        <f t="shared" si="57"/>
        <v>541916469.49125051</v>
      </c>
      <c r="AI61" s="80">
        <v>1757026903.8469701</v>
      </c>
      <c r="AJ61" s="81">
        <f t="shared" si="58"/>
        <v>73320732697.534058</v>
      </c>
      <c r="AK61" s="80">
        <v>26782356.3888334</v>
      </c>
      <c r="AL61" s="81">
        <f t="shared" si="59"/>
        <v>1117627732.1060176</v>
      </c>
    </row>
    <row r="62" spans="1:38" x14ac:dyDescent="0.2">
      <c r="A62" s="90"/>
      <c r="C62" s="86" t="str" cm="1">
        <f t="array" ref="C62">_xll.BDP(D62&amp;" Equity","DS520")</f>
        <v>iShares 7-10 Year Treasury Bond ETF</v>
      </c>
      <c r="D62" s="45" t="s">
        <v>486</v>
      </c>
      <c r="E62" s="45" t="s">
        <v>600</v>
      </c>
      <c r="F62" s="45" t="s">
        <v>33</v>
      </c>
      <c r="G62" s="45" t="s">
        <v>26</v>
      </c>
      <c r="H62" s="45" t="str" cm="1">
        <f t="array" ref="H62">_xll.BDP(D62&amp;" Equity", "ID_ISIN")</f>
        <v>US4642874402</v>
      </c>
      <c r="I62" s="45"/>
      <c r="J62" s="34" t="str" cm="1">
        <f t="array" ref="J62">_xll.BDP(D62&amp;" Equity","FD121")</f>
        <v>Fixed Income</v>
      </c>
      <c r="K62" s="34" t="s">
        <v>458</v>
      </c>
      <c r="L62" s="34" t="s">
        <v>464</v>
      </c>
      <c r="M62" s="34" t="str">
        <f>_xll.BDP(D62&amp;" Equity", "DS197")</f>
        <v>NASDAQ GM</v>
      </c>
      <c r="N62" s="34" t="str">
        <f>_xll.BDP(D62&amp;" Equity", "DS004")</f>
        <v>USD</v>
      </c>
      <c r="O62" s="111">
        <f>_xll.BDP(D62&amp;" Equity", "FUND_EXPENSE_RATIO")</f>
        <v>0.15</v>
      </c>
      <c r="P62" s="45">
        <f>_xll.BDP(D62&amp;" Equity","PX_LAST")</f>
        <v>96.51</v>
      </c>
      <c r="Q62" s="112"/>
      <c r="R62" s="112"/>
      <c r="S62" s="113">
        <f t="shared" si="65"/>
        <v>6.0702079309658409E-2</v>
      </c>
      <c r="T62" s="113">
        <f t="shared" si="52"/>
        <v>5.7614247218684002E-2</v>
      </c>
      <c r="U62" s="114">
        <f t="shared" si="66"/>
        <v>0.12155154161198989</v>
      </c>
      <c r="V62" s="114">
        <f t="shared" si="53"/>
        <v>0.11544825988672294</v>
      </c>
      <c r="W62" s="115">
        <f t="shared" si="67"/>
        <v>0.15757310842593891</v>
      </c>
      <c r="X62" s="115">
        <f t="shared" si="54"/>
        <v>0.14965883397543961</v>
      </c>
      <c r="Y62" s="144">
        <f t="shared" si="68"/>
        <v>0.24801867425521698</v>
      </c>
      <c r="Z62" s="144">
        <f>Y62*(1-$Z$80)/(1-$Y$72)</f>
        <v>0.23562475322547549</v>
      </c>
      <c r="AB62" s="1" cm="1">
        <f t="array" ref="AB62">IF(N62="USD",1,_xll.BDP(N62&amp;"USD CURNCY","PX_LAST"))</f>
        <v>1</v>
      </c>
      <c r="AC62" s="80"/>
      <c r="AD62" s="81">
        <f t="shared" si="55"/>
        <v>0</v>
      </c>
      <c r="AE62" s="80">
        <v>373989.05762802099</v>
      </c>
      <c r="AF62" s="81">
        <f t="shared" si="56"/>
        <v>36093683.95168031</v>
      </c>
      <c r="AG62" s="80">
        <v>12842686.2962004</v>
      </c>
      <c r="AH62" s="81">
        <f t="shared" si="57"/>
        <v>1239447654.4463007</v>
      </c>
      <c r="AI62" s="80">
        <v>1738778054.8225</v>
      </c>
      <c r="AJ62" s="81">
        <f t="shared" si="58"/>
        <v>167809470070.91949</v>
      </c>
      <c r="AK62" s="80">
        <v>26516665.461153898</v>
      </c>
      <c r="AL62" s="81">
        <f t="shared" si="59"/>
        <v>2559123383.6559629</v>
      </c>
    </row>
    <row r="63" spans="1:38" x14ac:dyDescent="0.2">
      <c r="A63" s="91"/>
      <c r="B63" s="3"/>
      <c r="C63" s="86" t="str" cm="1">
        <f t="array" ref="C63">_xll.BDP(D63&amp;" Curncy","DS520")</f>
        <v>USDUSD Spot Exchange Rate - Price of 1 USD in USD</v>
      </c>
      <c r="D63" s="146" t="s">
        <v>34</v>
      </c>
      <c r="E63" s="146"/>
      <c r="F63" s="146"/>
      <c r="G63" s="146"/>
      <c r="H63" s="146"/>
      <c r="I63" s="146"/>
      <c r="J63" s="34" t="s">
        <v>80</v>
      </c>
      <c r="K63" s="34" t="s">
        <v>80</v>
      </c>
      <c r="L63" s="34"/>
      <c r="M63" s="34"/>
      <c r="N63" s="34" t="str">
        <f>_xll.BDP(D63&amp;" Curncy", "DS004")</f>
        <v>USD</v>
      </c>
      <c r="O63" s="111"/>
      <c r="P63" s="45">
        <f>_xll.BDP(D63&amp;" Curncy","PX_LAST")</f>
        <v>1</v>
      </c>
      <c r="Q63" s="112">
        <f t="shared" ref="Q63" si="69">AD63/$AD$64</f>
        <v>5.1381540501230063E-3</v>
      </c>
      <c r="R63" s="112">
        <f>R80</f>
        <v>5.475E-2</v>
      </c>
      <c r="S63" s="113">
        <f t="shared" si="65"/>
        <v>4.0893834876485936E-3</v>
      </c>
      <c r="T63" s="113">
        <f>T80</f>
        <v>5.475E-2</v>
      </c>
      <c r="U63" s="114">
        <f t="shared" si="66"/>
        <v>4.778462477743637E-3</v>
      </c>
      <c r="V63" s="114">
        <f>V80</f>
        <v>5.475E-2</v>
      </c>
      <c r="W63" s="115">
        <f t="shared" si="67"/>
        <v>4.763188492687578E-3</v>
      </c>
      <c r="X63" s="115">
        <f>X80</f>
        <v>5.475E-2</v>
      </c>
      <c r="Y63" s="144">
        <f t="shared" si="68"/>
        <v>5.0296132707143134E-3</v>
      </c>
      <c r="Z63" s="144">
        <f>Z80</f>
        <v>5.475E-2</v>
      </c>
      <c r="AB63" s="1" cm="1">
        <f t="array" ref="AB63">IF(N63="USD",1,_xll.BDP(N63&amp;"USD CURNCY","PX_LAST"))</f>
        <v>1</v>
      </c>
      <c r="AC63" s="80">
        <v>5733740.59944914</v>
      </c>
      <c r="AD63" s="81">
        <f t="shared" si="55"/>
        <v>5733740.59944914</v>
      </c>
      <c r="AE63" s="80">
        <v>2431562.7543408298</v>
      </c>
      <c r="AF63" s="81">
        <f t="shared" si="56"/>
        <v>2431562.7543408298</v>
      </c>
      <c r="AG63" s="80">
        <v>48725454.497360297</v>
      </c>
      <c r="AH63" s="81">
        <f t="shared" si="57"/>
        <v>48725454.497360297</v>
      </c>
      <c r="AI63" s="80">
        <v>5072617687.0559597</v>
      </c>
      <c r="AJ63" s="81">
        <f t="shared" si="58"/>
        <v>5072617687.0559597</v>
      </c>
      <c r="AK63" s="80">
        <v>51896902.402543999</v>
      </c>
      <c r="AL63" s="81">
        <f t="shared" si="59"/>
        <v>51896902.402543999</v>
      </c>
    </row>
    <row r="64" spans="1:38" x14ac:dyDescent="0.2">
      <c r="A64" s="90"/>
      <c r="C64" s="86"/>
      <c r="D64" s="146"/>
      <c r="E64" s="146"/>
      <c r="F64" s="146"/>
      <c r="G64" s="146"/>
      <c r="H64" s="146"/>
      <c r="I64" s="146"/>
      <c r="J64" s="34"/>
      <c r="K64" s="34"/>
      <c r="L64" s="34"/>
      <c r="M64" s="34"/>
      <c r="N64" s="34"/>
      <c r="O64" s="111"/>
      <c r="P64" s="45"/>
      <c r="Q64" s="112"/>
      <c r="R64" s="112"/>
      <c r="S64" s="113"/>
      <c r="T64" s="113"/>
      <c r="U64" s="114"/>
      <c r="V64" s="114"/>
      <c r="W64" s="115"/>
      <c r="X64" s="115"/>
      <c r="Y64" s="144"/>
      <c r="Z64" s="144"/>
      <c r="AC64" s="40"/>
      <c r="AD64" s="82">
        <f>SUM(AD44:AD63)</f>
        <v>1115914498.3813546</v>
      </c>
      <c r="AE64" s="40"/>
      <c r="AF64" s="82">
        <f>SUM(AF44:AF63)</f>
        <v>594603749.36344862</v>
      </c>
      <c r="AG64" s="40"/>
      <c r="AH64" s="82">
        <f>SUM(AH44:AH63)</f>
        <v>10196889632.241745</v>
      </c>
      <c r="AI64" s="40"/>
      <c r="AJ64" s="82">
        <f>SUM(AJ44:AJ63)</f>
        <v>1064962617969.752</v>
      </c>
      <c r="AK64" s="40"/>
      <c r="AL64" s="82">
        <f>SUM(AL44:AL63)</f>
        <v>10318268942.211042</v>
      </c>
    </row>
    <row r="65" spans="1:26" x14ac:dyDescent="0.2">
      <c r="A65" s="90"/>
      <c r="C65" s="119"/>
      <c r="D65" s="122"/>
      <c r="E65" s="122"/>
      <c r="F65" s="122"/>
      <c r="G65" s="122"/>
      <c r="H65" s="122"/>
      <c r="I65" s="122"/>
      <c r="J65" s="77"/>
      <c r="K65" s="77"/>
      <c r="L65" s="77"/>
      <c r="M65" s="77"/>
      <c r="N65" s="77"/>
      <c r="O65" s="77"/>
      <c r="P65" s="121" t="s">
        <v>81</v>
      </c>
      <c r="Q65" s="107">
        <f>SUM(Q44:Q63)</f>
        <v>1.0000000000000002</v>
      </c>
      <c r="R65" s="107"/>
      <c r="S65" s="108">
        <f>SUM(S44:S63)</f>
        <v>1</v>
      </c>
      <c r="T65" s="108"/>
      <c r="U65" s="109">
        <f>SUM(U44:U63)</f>
        <v>1.0000000000000002</v>
      </c>
      <c r="V65" s="109">
        <f>SUM(V44:V63)</f>
        <v>1.0000000000000002</v>
      </c>
      <c r="W65" s="110">
        <f>SUM(W44:W63)</f>
        <v>0.99999999999999978</v>
      </c>
      <c r="X65" s="110">
        <f>SUM(X44:X63)</f>
        <v>1.0000000000000002</v>
      </c>
      <c r="Y65" s="143">
        <f>SUM(Y44:Y63)</f>
        <v>0.99999999999999989</v>
      </c>
      <c r="Z65" s="143">
        <f>SUM(Z56:Z63)</f>
        <v>0.99999999999999989</v>
      </c>
    </row>
    <row r="66" spans="1:26" x14ac:dyDescent="0.2">
      <c r="A66" s="90"/>
      <c r="C66" s="119"/>
      <c r="D66" s="122"/>
      <c r="E66" s="122"/>
      <c r="F66" s="122"/>
      <c r="G66" s="122"/>
      <c r="H66" s="122"/>
      <c r="I66" s="122"/>
      <c r="J66" s="77"/>
      <c r="K66" s="77"/>
      <c r="L66" s="77"/>
      <c r="M66" s="77"/>
      <c r="N66" s="77"/>
      <c r="O66" s="77"/>
      <c r="P66" s="122" t="s">
        <v>470</v>
      </c>
      <c r="Q66" s="112">
        <f>SUMIF($J$44:$J$63,$P$66,Q$44:Q$63)</f>
        <v>0.99486184594987714</v>
      </c>
      <c r="R66" s="112"/>
      <c r="S66" s="113">
        <f>SUMIF($J$44:$J$63,$P$66,S$44:S$63)</f>
        <v>0.72018504094670932</v>
      </c>
      <c r="T66" s="113"/>
      <c r="U66" s="114">
        <f>SUMIF($J$44:$J$63,$P$66,U$44:U$63)</f>
        <v>0.47739879119409595</v>
      </c>
      <c r="V66" s="114"/>
      <c r="W66" s="115">
        <f>SUMIF($J$44:$J$63,$P$66,W$44:W$63)</f>
        <v>0.3331883323624642</v>
      </c>
      <c r="X66" s="115"/>
      <c r="Y66" s="144">
        <f>SUMIF($J$44:$J$63,$P$66,Y$44:Y$63)</f>
        <v>0</v>
      </c>
      <c r="Z66" s="144"/>
    </row>
    <row r="67" spans="1:26" x14ac:dyDescent="0.2">
      <c r="A67" s="90"/>
      <c r="C67" s="119"/>
      <c r="D67" s="122"/>
      <c r="E67" s="122"/>
      <c r="F67" s="122"/>
      <c r="G67" s="122"/>
      <c r="H67" s="122"/>
      <c r="I67" s="122"/>
      <c r="J67" s="77"/>
      <c r="K67" s="77"/>
      <c r="L67" s="77"/>
      <c r="M67" s="77"/>
      <c r="N67" s="77"/>
      <c r="O67" s="77"/>
      <c r="P67" s="123" t="s">
        <v>453</v>
      </c>
      <c r="Q67" s="112">
        <f>SUMIF($K$44:$K$63,$P$67,Q$44:Q$63)</f>
        <v>0.46711167517213908</v>
      </c>
      <c r="R67" s="112"/>
      <c r="S67" s="113">
        <f>SUMIF($K$44:$K$63,$P$67,S$44:S$63)</f>
        <v>0.33814716179287652</v>
      </c>
      <c r="T67" s="113"/>
      <c r="U67" s="114">
        <f>SUMIF($K$44:$K$63,$P$67,U$44:U$63)</f>
        <v>0.22418713124086564</v>
      </c>
      <c r="V67" s="114"/>
      <c r="W67" s="115">
        <f>SUMIF($K$44:$K$63,$P$67,W$44:W$63)</f>
        <v>0.15642994800069918</v>
      </c>
      <c r="X67" s="115"/>
      <c r="Y67" s="144">
        <f>SUMIF($K$44:$K$63,$P$67,Y$44:Y$63)</f>
        <v>0</v>
      </c>
      <c r="Z67" s="144"/>
    </row>
    <row r="68" spans="1:26" x14ac:dyDescent="0.2">
      <c r="A68" s="90"/>
      <c r="C68" s="119"/>
      <c r="D68" s="122"/>
      <c r="E68" s="122"/>
      <c r="F68" s="122"/>
      <c r="G68" s="122"/>
      <c r="H68" s="122"/>
      <c r="I68" s="122"/>
      <c r="J68" s="77"/>
      <c r="K68" s="77"/>
      <c r="L68" s="77"/>
      <c r="M68" s="77"/>
      <c r="N68" s="77"/>
      <c r="O68" s="77"/>
      <c r="P68" s="123" t="s">
        <v>443</v>
      </c>
      <c r="Q68" s="112">
        <f>SUMIF($K$44:$K$63,$P$68,Q$44:Q$63)</f>
        <v>0.21646464152336725</v>
      </c>
      <c r="R68" s="112"/>
      <c r="S68" s="113">
        <f>SUMIF($K$44:$K$63,$P$68,S$44:S$63)</f>
        <v>0.15725782505515967</v>
      </c>
      <c r="T68" s="113"/>
      <c r="U68" s="114">
        <f>SUMIF($K$44:$K$63,$P$68,U$44:U$63)</f>
        <v>0.10389289067730501</v>
      </c>
      <c r="V68" s="114"/>
      <c r="W68" s="115">
        <f>SUMIF($K$44:$K$63,$P$68,W$44:W$63)</f>
        <v>7.2482847942532153E-2</v>
      </c>
      <c r="X68" s="115"/>
      <c r="Y68" s="144">
        <f>SUMIF($K$44:$K$63,$P$68,Y$44:Y$63)</f>
        <v>0</v>
      </c>
      <c r="Z68" s="144"/>
    </row>
    <row r="69" spans="1:26" x14ac:dyDescent="0.2">
      <c r="A69" s="90"/>
      <c r="C69" s="119"/>
      <c r="D69" s="122"/>
      <c r="E69" s="122"/>
      <c r="F69" s="122"/>
      <c r="G69" s="122"/>
      <c r="H69" s="122"/>
      <c r="I69" s="122"/>
      <c r="J69" s="77"/>
      <c r="K69" s="77"/>
      <c r="L69" s="77"/>
      <c r="M69" s="77"/>
      <c r="N69" s="77"/>
      <c r="O69" s="77"/>
      <c r="P69" s="123" t="s">
        <v>446</v>
      </c>
      <c r="Q69" s="112">
        <f>SUMIF($K$44:$K$63,$P$69,Q$44:Q$63)</f>
        <v>0.3112855292543707</v>
      </c>
      <c r="R69" s="112"/>
      <c r="S69" s="113">
        <f>SUMIF($K$44:$K$63,$P$69,S$44:S$63)</f>
        <v>0.25456180180776944</v>
      </c>
      <c r="T69" s="113"/>
      <c r="U69" s="114">
        <f>SUMIF($K$44:$K$63,$P$69,U$44:U$63)</f>
        <v>0.17893587766535027</v>
      </c>
      <c r="V69" s="114"/>
      <c r="W69" s="115">
        <f>SUMIF($K$44:$K$63,$P$69,W$44:W$63)</f>
        <v>0.13379797601654084</v>
      </c>
      <c r="X69" s="115"/>
      <c r="Y69" s="144">
        <f>SUMIF($K$44:$K$63,$P$69,Y$44:Y$63)</f>
        <v>0</v>
      </c>
      <c r="Z69" s="144"/>
    </row>
    <row r="70" spans="1:26" x14ac:dyDescent="0.2">
      <c r="A70" s="90"/>
      <c r="C70" s="119"/>
      <c r="D70" s="122"/>
      <c r="E70" s="122"/>
      <c r="F70" s="122"/>
      <c r="G70" s="122"/>
      <c r="H70" s="122"/>
      <c r="I70" s="122"/>
      <c r="J70" s="77" t="s">
        <v>471</v>
      </c>
      <c r="K70" s="77"/>
      <c r="L70" s="77"/>
      <c r="M70" s="77"/>
      <c r="N70" s="77"/>
      <c r="O70" s="77"/>
      <c r="P70" s="122" t="s">
        <v>458</v>
      </c>
      <c r="Q70" s="112">
        <f>SUMIF($J$44:$J$63,$P$70,Q$44:Q$63)</f>
        <v>0</v>
      </c>
      <c r="R70" s="112"/>
      <c r="S70" s="113">
        <f>SUMIF($J$44:$J$63,$P$70,S$44:S$63)</f>
        <v>0.24594382785654559</v>
      </c>
      <c r="T70" s="113"/>
      <c r="U70" s="114">
        <f>SUMIF($J$44:$J$63,$P$70,U$44:U$63)</f>
        <v>0.48820563793873556</v>
      </c>
      <c r="V70" s="114"/>
      <c r="W70" s="115">
        <f>SUMIF($J$44:$J$63,$P$70,W$44:W$63)</f>
        <v>0.63252603954754028</v>
      </c>
      <c r="X70" s="115"/>
      <c r="Y70" s="144">
        <f>SUMIF($J$44:$J$63,$P$70,Y$44:Y$63)</f>
        <v>0.99497038672928562</v>
      </c>
      <c r="Z70" s="144"/>
    </row>
    <row r="71" spans="1:26" x14ac:dyDescent="0.2">
      <c r="A71" s="90"/>
      <c r="C71" s="119"/>
      <c r="D71" s="122"/>
      <c r="E71" s="122"/>
      <c r="F71" s="122"/>
      <c r="G71" s="122"/>
      <c r="H71" s="122"/>
      <c r="I71" s="122"/>
      <c r="J71" s="77"/>
      <c r="K71" s="77"/>
      <c r="L71" s="77"/>
      <c r="M71" s="77"/>
      <c r="N71" s="77"/>
      <c r="O71" s="77"/>
      <c r="P71" s="122" t="s">
        <v>447</v>
      </c>
      <c r="Q71" s="112">
        <f>SUMIF($J$44:$J$63,$P$71,Q$44:Q$63)</f>
        <v>0</v>
      </c>
      <c r="R71" s="112"/>
      <c r="S71" s="113">
        <f>SUMIF($J$44:$J$63,$P$71,S$44:S$63)</f>
        <v>2.9781747709096383E-2</v>
      </c>
      <c r="T71" s="113"/>
      <c r="U71" s="114">
        <f>SUMIF($J$44:$J$63,$P$71,U$44:U$63)</f>
        <v>2.9617108389424968E-2</v>
      </c>
      <c r="V71" s="114"/>
      <c r="W71" s="115">
        <f>SUMIF($J$44:$J$63,$P$71,W$44:W$63)</f>
        <v>2.9522439597308027E-2</v>
      </c>
      <c r="X71" s="115"/>
      <c r="Y71" s="144">
        <f>SUMIF($J$44:$J$63,$P$71,Y$44:Y$63)</f>
        <v>0</v>
      </c>
      <c r="Z71" s="144"/>
    </row>
    <row r="72" spans="1:26" x14ac:dyDescent="0.2">
      <c r="A72" s="90"/>
      <c r="C72" s="119"/>
      <c r="D72" s="122"/>
      <c r="E72" s="122"/>
      <c r="F72" s="122"/>
      <c r="G72" s="122"/>
      <c r="H72" s="122"/>
      <c r="I72" s="122"/>
      <c r="J72" s="77"/>
      <c r="K72" s="77"/>
      <c r="L72" s="77"/>
      <c r="M72" s="77"/>
      <c r="N72" s="77"/>
      <c r="O72" s="77"/>
      <c r="P72" s="122" t="s">
        <v>80</v>
      </c>
      <c r="Q72" s="112">
        <f>Q63</f>
        <v>5.1381540501230063E-3</v>
      </c>
      <c r="R72" s="112"/>
      <c r="S72" s="113">
        <f t="shared" ref="S72:Y72" si="70">S63</f>
        <v>4.0893834876485936E-3</v>
      </c>
      <c r="T72" s="113"/>
      <c r="U72" s="114">
        <f t="shared" si="70"/>
        <v>4.778462477743637E-3</v>
      </c>
      <c r="V72" s="114"/>
      <c r="W72" s="115">
        <f t="shared" si="70"/>
        <v>4.763188492687578E-3</v>
      </c>
      <c r="X72" s="115"/>
      <c r="Y72" s="144">
        <f t="shared" si="70"/>
        <v>5.0296132707143134E-3</v>
      </c>
      <c r="Z72" s="144"/>
    </row>
    <row r="73" spans="1:26" x14ac:dyDescent="0.2">
      <c r="A73" s="90"/>
      <c r="C73" s="119"/>
      <c r="D73" s="122"/>
      <c r="E73" s="122"/>
      <c r="F73" s="122"/>
      <c r="G73" s="122"/>
      <c r="H73" s="122"/>
      <c r="I73" s="122"/>
      <c r="J73" s="77"/>
      <c r="K73" s="77"/>
      <c r="L73" s="77"/>
      <c r="M73" s="77"/>
      <c r="N73" s="77"/>
      <c r="O73" s="77"/>
      <c r="P73" s="121"/>
      <c r="Q73" s="107"/>
      <c r="R73" s="107"/>
      <c r="S73" s="108"/>
      <c r="T73" s="108"/>
      <c r="U73" s="109"/>
      <c r="V73" s="109"/>
      <c r="W73" s="110"/>
      <c r="X73" s="110"/>
      <c r="Y73" s="143"/>
      <c r="Z73" s="143"/>
    </row>
    <row r="74" spans="1:26" x14ac:dyDescent="0.2">
      <c r="A74" s="90"/>
      <c r="C74" s="119"/>
      <c r="D74" s="122"/>
      <c r="E74" s="122"/>
      <c r="F74" s="122"/>
      <c r="G74" s="122"/>
      <c r="H74" s="122"/>
      <c r="I74" s="122"/>
      <c r="J74" s="77"/>
      <c r="K74" s="77"/>
      <c r="L74" s="77"/>
      <c r="M74" s="77"/>
      <c r="N74" s="77"/>
      <c r="O74" s="77"/>
      <c r="P74" s="121" t="s">
        <v>437</v>
      </c>
      <c r="Q74" s="125">
        <f>SUMPRODUCT(Q44:Q63,$O44:$O63)/Q65</f>
        <v>0.14134134818299224</v>
      </c>
      <c r="R74" s="125"/>
      <c r="S74" s="126">
        <f>SUMPRODUCT(S44:S63,$O44:$O63)/S65</f>
        <v>0.18200803753320979</v>
      </c>
      <c r="T74" s="126"/>
      <c r="U74" s="127">
        <f>SUMPRODUCT(U44:U63,$O44:$O63)/U65</f>
        <v>0.2091681933613721</v>
      </c>
      <c r="V74" s="127"/>
      <c r="W74" s="128">
        <f>SUMPRODUCT(W44:W63,$O44:$O63)/W65</f>
        <v>0.22544359537029598</v>
      </c>
      <c r="X74" s="128"/>
      <c r="Y74" s="147">
        <f>SUMPRODUCT(Y44:Y63,$O44:$O63)/Y65</f>
        <v>0.25368742046157983</v>
      </c>
      <c r="Z74" s="147"/>
    </row>
    <row r="75" spans="1:26" ht="15" thickBot="1" x14ac:dyDescent="0.25">
      <c r="A75" s="90"/>
      <c r="Q75" s="87"/>
    </row>
    <row r="76" spans="1:26" x14ac:dyDescent="0.2">
      <c r="A76" s="90"/>
      <c r="Q76" s="129" t="s">
        <v>86</v>
      </c>
      <c r="R76" s="130">
        <v>100000</v>
      </c>
      <c r="S76" s="129" t="s">
        <v>86</v>
      </c>
      <c r="T76" s="130">
        <v>100000</v>
      </c>
      <c r="U76" s="129" t="s">
        <v>86</v>
      </c>
      <c r="V76" s="130">
        <v>100000</v>
      </c>
      <c r="W76" s="129" t="s">
        <v>86</v>
      </c>
      <c r="X76" s="130">
        <v>100000</v>
      </c>
      <c r="Y76" s="129" t="s">
        <v>86</v>
      </c>
      <c r="Z76" s="130">
        <v>100000</v>
      </c>
    </row>
    <row r="77" spans="1:26" x14ac:dyDescent="0.2">
      <c r="A77" s="90"/>
      <c r="Q77" s="132" t="s">
        <v>85</v>
      </c>
      <c r="R77" s="133">
        <v>5000</v>
      </c>
      <c r="S77" s="132" t="s">
        <v>85</v>
      </c>
      <c r="T77" s="133">
        <v>5000</v>
      </c>
      <c r="U77" s="132" t="s">
        <v>85</v>
      </c>
      <c r="V77" s="133">
        <v>5000</v>
      </c>
      <c r="W77" s="132" t="s">
        <v>85</v>
      </c>
      <c r="X77" s="133">
        <v>5000</v>
      </c>
      <c r="Y77" s="132" t="s">
        <v>85</v>
      </c>
      <c r="Z77" s="133">
        <v>5000</v>
      </c>
    </row>
    <row r="78" spans="1:26" x14ac:dyDescent="0.2">
      <c r="A78" s="90"/>
      <c r="Q78" s="132" t="s">
        <v>88</v>
      </c>
      <c r="R78" s="134">
        <f>(R76-R77)*0.5%</f>
        <v>475</v>
      </c>
      <c r="S78" s="132" t="s">
        <v>88</v>
      </c>
      <c r="T78" s="134">
        <f>(T76-T77)*0.5%</f>
        <v>475</v>
      </c>
      <c r="U78" s="132" t="s">
        <v>88</v>
      </c>
      <c r="V78" s="134">
        <f>(V76-V77)*0.5%</f>
        <v>475</v>
      </c>
      <c r="W78" s="132" t="s">
        <v>88</v>
      </c>
      <c r="X78" s="134">
        <f>(X76-X77)*0.5%</f>
        <v>475</v>
      </c>
      <c r="Y78" s="132" t="s">
        <v>88</v>
      </c>
      <c r="Z78" s="134">
        <f>(Z76-Z77)*0.5%</f>
        <v>475</v>
      </c>
    </row>
    <row r="79" spans="1:26" x14ac:dyDescent="0.2">
      <c r="A79" s="90"/>
      <c r="Q79" s="132" t="s">
        <v>87</v>
      </c>
      <c r="R79" s="134">
        <f>R77+R78</f>
        <v>5475</v>
      </c>
      <c r="S79" s="132" t="s">
        <v>87</v>
      </c>
      <c r="T79" s="134">
        <f>T77+T78</f>
        <v>5475</v>
      </c>
      <c r="U79" s="132" t="s">
        <v>87</v>
      </c>
      <c r="V79" s="134">
        <f>V77+V78</f>
        <v>5475</v>
      </c>
      <c r="W79" s="132" t="s">
        <v>87</v>
      </c>
      <c r="X79" s="134">
        <f>X77+X78</f>
        <v>5475</v>
      </c>
      <c r="Y79" s="132" t="s">
        <v>87</v>
      </c>
      <c r="Z79" s="134">
        <f>Z77+Z78</f>
        <v>5475</v>
      </c>
    </row>
    <row r="80" spans="1:26" ht="15" thickBot="1" x14ac:dyDescent="0.25">
      <c r="A80" s="90"/>
      <c r="Q80" s="136" t="s">
        <v>89</v>
      </c>
      <c r="R80" s="137">
        <f>R79/R76</f>
        <v>5.475E-2</v>
      </c>
      <c r="S80" s="136" t="s">
        <v>89</v>
      </c>
      <c r="T80" s="137">
        <f>T79/T76</f>
        <v>5.475E-2</v>
      </c>
      <c r="U80" s="136" t="s">
        <v>89</v>
      </c>
      <c r="V80" s="137">
        <f>V79/V76</f>
        <v>5.475E-2</v>
      </c>
      <c r="W80" s="136" t="s">
        <v>89</v>
      </c>
      <c r="X80" s="137">
        <f>X79/X76</f>
        <v>5.475E-2</v>
      </c>
      <c r="Y80" s="136" t="s">
        <v>89</v>
      </c>
      <c r="Z80" s="137">
        <f>Z79/Z76</f>
        <v>5.475E-2</v>
      </c>
    </row>
    <row r="81" spans="1:38" x14ac:dyDescent="0.2">
      <c r="A81" s="90"/>
      <c r="Q81" s="87"/>
    </row>
    <row r="82" spans="1:38" x14ac:dyDescent="0.2">
      <c r="A82" s="93" t="s">
        <v>0</v>
      </c>
      <c r="C82" s="95" t="s">
        <v>487</v>
      </c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6"/>
    </row>
    <row r="83" spans="1:38" x14ac:dyDescent="0.2">
      <c r="A83" s="89" t="s">
        <v>433</v>
      </c>
      <c r="C83" s="97" t="s">
        <v>5</v>
      </c>
      <c r="D83" s="98" t="s">
        <v>91</v>
      </c>
      <c r="E83" s="98" t="s">
        <v>533</v>
      </c>
      <c r="F83" s="98" t="s">
        <v>534</v>
      </c>
      <c r="G83" s="98" t="s">
        <v>535</v>
      </c>
      <c r="H83" s="98" t="s">
        <v>1426</v>
      </c>
      <c r="I83" s="98" t="s">
        <v>556</v>
      </c>
      <c r="J83" s="98" t="s">
        <v>434</v>
      </c>
      <c r="K83" s="98" t="s">
        <v>435</v>
      </c>
      <c r="L83" s="98" t="s">
        <v>436</v>
      </c>
      <c r="M83" s="98" t="s">
        <v>9</v>
      </c>
      <c r="N83" s="98" t="s">
        <v>13</v>
      </c>
      <c r="O83" s="98" t="s">
        <v>437</v>
      </c>
      <c r="P83" s="98" t="s">
        <v>14</v>
      </c>
      <c r="Q83" s="99" t="s">
        <v>438</v>
      </c>
      <c r="R83" s="99" t="s">
        <v>536</v>
      </c>
      <c r="S83" s="100" t="s">
        <v>439</v>
      </c>
      <c r="T83" s="100" t="s">
        <v>537</v>
      </c>
      <c r="U83" s="101" t="s">
        <v>440</v>
      </c>
      <c r="V83" s="101" t="s">
        <v>538</v>
      </c>
      <c r="W83" s="102" t="s">
        <v>441</v>
      </c>
      <c r="X83" s="102" t="s">
        <v>539</v>
      </c>
      <c r="Y83" s="140" t="s">
        <v>442</v>
      </c>
      <c r="Z83" s="140" t="s">
        <v>540</v>
      </c>
      <c r="AC83" s="141" t="s">
        <v>438</v>
      </c>
      <c r="AD83" s="141"/>
      <c r="AE83" s="103" t="s">
        <v>439</v>
      </c>
      <c r="AF83" s="103"/>
      <c r="AG83" s="104" t="s">
        <v>440</v>
      </c>
      <c r="AH83" s="104"/>
      <c r="AI83" s="105" t="s">
        <v>441</v>
      </c>
      <c r="AJ83" s="105"/>
      <c r="AK83" s="142" t="s">
        <v>458</v>
      </c>
      <c r="AL83" s="142"/>
    </row>
    <row r="84" spans="1:38" x14ac:dyDescent="0.2">
      <c r="A84" s="90"/>
      <c r="C84" s="106" t="s">
        <v>16</v>
      </c>
      <c r="D84" s="45"/>
      <c r="E84" s="45"/>
      <c r="F84" s="45"/>
      <c r="G84" s="45"/>
      <c r="H84" s="45"/>
      <c r="I84" s="45"/>
      <c r="J84" s="34"/>
      <c r="K84" s="34"/>
      <c r="L84" s="34"/>
      <c r="M84" s="34"/>
      <c r="N84" s="34"/>
      <c r="O84" s="34"/>
      <c r="P84" s="34"/>
      <c r="Q84" s="107"/>
      <c r="R84" s="107"/>
      <c r="S84" s="108"/>
      <c r="T84" s="108"/>
      <c r="U84" s="109"/>
      <c r="V84" s="109"/>
      <c r="W84" s="110"/>
      <c r="X84" s="110"/>
      <c r="Y84" s="143"/>
      <c r="Z84" s="143"/>
      <c r="AB84" s="13" t="s">
        <v>17</v>
      </c>
      <c r="AC84" s="78" t="s">
        <v>18</v>
      </c>
      <c r="AD84" s="79" t="s">
        <v>19</v>
      </c>
      <c r="AE84" s="78" t="s">
        <v>18</v>
      </c>
      <c r="AF84" s="79" t="s">
        <v>19</v>
      </c>
      <c r="AG84" s="78" t="s">
        <v>18</v>
      </c>
      <c r="AH84" s="79" t="s">
        <v>19</v>
      </c>
      <c r="AI84" s="78" t="s">
        <v>18</v>
      </c>
      <c r="AJ84" s="79" t="s">
        <v>19</v>
      </c>
      <c r="AK84" s="78" t="s">
        <v>18</v>
      </c>
      <c r="AL84" s="79" t="s">
        <v>19</v>
      </c>
    </row>
    <row r="85" spans="1:38" x14ac:dyDescent="0.2">
      <c r="A85" s="91"/>
      <c r="C85" s="86" t="str" cm="1">
        <f t="array" ref="C85">_xll.BDP(D85&amp;" Equity","DS520")</f>
        <v>Avantis US Equity ETF</v>
      </c>
      <c r="D85" s="45" t="s">
        <v>472</v>
      </c>
      <c r="E85" s="45" t="s">
        <v>587</v>
      </c>
      <c r="F85" s="45" t="s">
        <v>33</v>
      </c>
      <c r="G85" s="45" t="s">
        <v>26</v>
      </c>
      <c r="H85" s="45" t="str" cm="1">
        <f t="array" ref="H85">_xll.BDP(D85&amp;" Equity", "ID_ISIN")</f>
        <v>US0250728856</v>
      </c>
      <c r="I85" s="45"/>
      <c r="J85" s="34" t="str" cm="1">
        <f t="array" ref="J85">_xll.BDP(D85&amp;" Equity","FD121")</f>
        <v>Equity</v>
      </c>
      <c r="K85" s="34" t="s">
        <v>443</v>
      </c>
      <c r="L85" s="34" t="s">
        <v>444</v>
      </c>
      <c r="M85" s="34" t="str">
        <f>_xll.BDP(D85&amp;" Equity", "DS197")</f>
        <v>NYSE Arca</v>
      </c>
      <c r="N85" s="34" t="str">
        <f>_xll.BDP(D85&amp;" Equity", "DS004")</f>
        <v>USD</v>
      </c>
      <c r="O85" s="111">
        <f>_xll.BDP(D85&amp;" Equity", "FUND_EXPENSE_RATIO")</f>
        <v>0.15</v>
      </c>
      <c r="P85" s="45">
        <f>_xll.BDP(D85&amp;" Equity","PX_LAST")</f>
        <v>114.98</v>
      </c>
      <c r="Q85" s="112">
        <f t="shared" ref="Q85:Q94" si="71">AD85/$AD$104</f>
        <v>0.19748148597524817</v>
      </c>
      <c r="R85" s="112">
        <f t="shared" ref="R85:R94" si="72">Q85*(1-$R$120)/(1-$Q$103)</f>
        <v>0.18763028922167613</v>
      </c>
      <c r="S85" s="113">
        <f t="shared" ref="S85:S94" si="73">AF85/$AF$104</f>
        <v>0.14302480416567503</v>
      </c>
      <c r="T85" s="113">
        <f t="shared" ref="T85:T94" si="74">S85*(1-$T$120)/(1-$S$103)</f>
        <v>0.13585897715604831</v>
      </c>
      <c r="U85" s="114">
        <f t="shared" ref="U85:U94" si="75">AH85/$AH$104</f>
        <v>9.4878685456701903E-2</v>
      </c>
      <c r="V85" s="114">
        <f t="shared" ref="V85:V94" si="76">U85*(1-$V$120)/(1-$U$103)</f>
        <v>9.0086153574803207E-2</v>
      </c>
      <c r="W85" s="115">
        <f t="shared" ref="W85:W94" si="77">AJ85/$AJ$104</f>
        <v>6.619784967026647E-2</v>
      </c>
      <c r="X85" s="115">
        <f t="shared" ref="X85:X94" si="78">W85*(1-$X$120)/(1-$W$103)</f>
        <v>6.2885155234290807E-2</v>
      </c>
      <c r="Y85" s="144"/>
      <c r="Z85" s="144"/>
      <c r="AB85" s="1" cm="1">
        <f t="array" ref="AB85">IF(N85="USD",1,_xll.BDP(N85&amp;"USD CURNCY","PX_LAST"))</f>
        <v>1</v>
      </c>
      <c r="AC85" s="80">
        <v>1038024.2623556</v>
      </c>
      <c r="AD85" s="81">
        <f t="shared" ref="AD85:AD94" si="79">AC85*P85*AB85</f>
        <v>119352029.68564689</v>
      </c>
      <c r="AE85" s="80">
        <v>738358.03523471195</v>
      </c>
      <c r="AF85" s="81">
        <f t="shared" ref="AF85:AF94" si="80">AE85*P85*AB85</f>
        <v>84896406.891287178</v>
      </c>
      <c r="AG85" s="80">
        <v>472001.94261071901</v>
      </c>
      <c r="AH85" s="81">
        <f t="shared" ref="AH85:AH94" si="81">AG85*P85*AB85</f>
        <v>54270783.361380473</v>
      </c>
      <c r="AI85" s="80">
        <v>321545.85336524399</v>
      </c>
      <c r="AJ85" s="81">
        <f t="shared" ref="AJ85:AJ94" si="82">AI85*P85*AB85</f>
        <v>36971342.219935752</v>
      </c>
      <c r="AK85" s="80"/>
      <c r="AL85" s="81">
        <f t="shared" ref="AL85:AL94" si="83">AK85*P85*AB85</f>
        <v>0</v>
      </c>
    </row>
    <row r="86" spans="1:38" x14ac:dyDescent="0.2">
      <c r="A86" s="91"/>
      <c r="C86" s="86" t="str" cm="1">
        <f t="array" ref="C86">_xll.BDP(D86&amp;" Equity","DS520")</f>
        <v>WisdomTree Enhanced Commodity Strategy Fund</v>
      </c>
      <c r="D86" s="45" t="s">
        <v>475</v>
      </c>
      <c r="E86" s="45" t="s">
        <v>590</v>
      </c>
      <c r="F86" s="45" t="s">
        <v>33</v>
      </c>
      <c r="G86" s="45" t="s">
        <v>26</v>
      </c>
      <c r="H86" s="45" t="str" cm="1">
        <f t="array" ref="H86">_xll.BDP(D86&amp;" Equity", "ID_ISIN")</f>
        <v>US97717Y6831</v>
      </c>
      <c r="I86" s="45"/>
      <c r="J86" s="34" t="str" cm="1">
        <f t="array" ref="J86">_xll.BDP(D86&amp;" Equity","FD121")</f>
        <v>Commodity</v>
      </c>
      <c r="K86" s="34" t="s">
        <v>443</v>
      </c>
      <c r="L86" s="34" t="s">
        <v>444</v>
      </c>
      <c r="M86" s="34" t="str">
        <f>_xll.BDP(D86&amp;" Equity", "DS197")</f>
        <v>NYSE Arca</v>
      </c>
      <c r="N86" s="34" t="str">
        <f>_xll.BDP(D86&amp;" Equity", "DS004")</f>
        <v>USD</v>
      </c>
      <c r="O86" s="111">
        <f>_xll.BDP(D86&amp;" Equity", "FUND_EXPENSE_RATIO")</f>
        <v>0.56999999999999995</v>
      </c>
      <c r="P86" s="45">
        <f>_xll.BDP(D86&amp;" Equity","PX_LAST")</f>
        <v>23.46</v>
      </c>
      <c r="Q86" s="112">
        <f t="shared" si="71"/>
        <v>0</v>
      </c>
      <c r="R86" s="112">
        <f t="shared" si="72"/>
        <v>0</v>
      </c>
      <c r="S86" s="113">
        <f t="shared" si="73"/>
        <v>2.962266698012796E-2</v>
      </c>
      <c r="T86" s="113">
        <f t="shared" si="74"/>
        <v>2.8138512477126568E-2</v>
      </c>
      <c r="U86" s="114">
        <f t="shared" si="75"/>
        <v>2.9476282654516354E-2</v>
      </c>
      <c r="V86" s="114">
        <f t="shared" si="76"/>
        <v>2.7987370537936766E-2</v>
      </c>
      <c r="W86" s="115">
        <f t="shared" si="77"/>
        <v>2.9388747853724275E-2</v>
      </c>
      <c r="X86" s="115">
        <f t="shared" si="78"/>
        <v>2.7918066525248243E-2</v>
      </c>
      <c r="Y86" s="144"/>
      <c r="Z86" s="144"/>
      <c r="AB86" s="1" cm="1">
        <f t="array" ref="AB86">IF(N86="USD",1,_xll.BDP(N86&amp;"USD CURNCY","PX_LAST"))</f>
        <v>1</v>
      </c>
      <c r="AC86" s="80"/>
      <c r="AD86" s="81">
        <f t="shared" si="79"/>
        <v>0</v>
      </c>
      <c r="AE86" s="80">
        <v>749504.24419429305</v>
      </c>
      <c r="AF86" s="81">
        <f t="shared" si="80"/>
        <v>17583369.568798117</v>
      </c>
      <c r="AG86" s="80">
        <v>718690.88377069298</v>
      </c>
      <c r="AH86" s="81">
        <f t="shared" si="81"/>
        <v>16860488.133260459</v>
      </c>
      <c r="AI86" s="80">
        <v>699639.64429494797</v>
      </c>
      <c r="AJ86" s="81">
        <f t="shared" si="82"/>
        <v>16413546.055159479</v>
      </c>
      <c r="AK86" s="80"/>
      <c r="AL86" s="81">
        <f t="shared" si="83"/>
        <v>0</v>
      </c>
    </row>
    <row r="87" spans="1:38" x14ac:dyDescent="0.2">
      <c r="A87" s="91"/>
      <c r="C87" s="86" t="str" cm="1">
        <f t="array" ref="C87">_xll.BDP(D87&amp;" Equity","DS520")</f>
        <v>Goldman Sachs ActiveBeta U.S. Large Cap Equity ETF</v>
      </c>
      <c r="D87" s="45" t="s">
        <v>474</v>
      </c>
      <c r="E87" s="45" t="s">
        <v>589</v>
      </c>
      <c r="F87" s="45" t="s">
        <v>33</v>
      </c>
      <c r="G87" s="45" t="s">
        <v>26</v>
      </c>
      <c r="H87" s="45" t="str" cm="1">
        <f t="array" ref="H87">_xll.BDP(D87&amp;" Equity", "ID_ISIN")</f>
        <v>US3814305039</v>
      </c>
      <c r="I87" s="45"/>
      <c r="J87" s="34" t="str" cm="1">
        <f t="array" ref="J87">_xll.BDP(D87&amp;" Equity","FD121")</f>
        <v>Equity</v>
      </c>
      <c r="K87" s="34" t="s">
        <v>443</v>
      </c>
      <c r="L87" s="34" t="s">
        <v>444</v>
      </c>
      <c r="M87" s="34" t="str">
        <f>_xll.BDP(D87&amp;" Equity", "DS197")</f>
        <v>NYSE Arca</v>
      </c>
      <c r="N87" s="34" t="str">
        <f>_xll.BDP(D87&amp;" Equity", "DS004")</f>
        <v>USD</v>
      </c>
      <c r="O87" s="111">
        <f>_xll.BDP(D87&amp;" Equity", "FUND_EXPENSE_RATIO")</f>
        <v>0.09</v>
      </c>
      <c r="P87" s="45">
        <f>_xll.BDP(D87&amp;" Equity","PX_LAST")</f>
        <v>131.27000000000001</v>
      </c>
      <c r="Q87" s="112">
        <f t="shared" si="71"/>
        <v>0.21094937634660907</v>
      </c>
      <c r="R87" s="112">
        <f t="shared" si="72"/>
        <v>0.20042634528285547</v>
      </c>
      <c r="S87" s="113">
        <f t="shared" si="73"/>
        <v>0.15276346358050796</v>
      </c>
      <c r="T87" s="113">
        <f t="shared" si="74"/>
        <v>0.14510971037458642</v>
      </c>
      <c r="U87" s="114">
        <f t="shared" si="75"/>
        <v>0.10137220249904667</v>
      </c>
      <c r="V87" s="114">
        <f t="shared" si="76"/>
        <v>9.6251668734519749E-2</v>
      </c>
      <c r="W87" s="115">
        <f t="shared" si="77"/>
        <v>7.072005644871257E-2</v>
      </c>
      <c r="X87" s="115">
        <f t="shared" si="78"/>
        <v>6.7181060262636122E-2</v>
      </c>
      <c r="Y87" s="144"/>
      <c r="Z87" s="144"/>
      <c r="AB87" s="1" cm="1">
        <f t="array" ref="AB87">IF(N87="USD",1,_xll.BDP(N87&amp;"USD CURNCY","PX_LAST"))</f>
        <v>1</v>
      </c>
      <c r="AC87" s="80">
        <v>971216.79294885404</v>
      </c>
      <c r="AD87" s="81">
        <f t="shared" si="79"/>
        <v>127491628.41039608</v>
      </c>
      <c r="AE87" s="80">
        <v>690767.600294395</v>
      </c>
      <c r="AF87" s="81">
        <f t="shared" si="80"/>
        <v>90677062.890645236</v>
      </c>
      <c r="AG87" s="80">
        <v>441723.82955596503</v>
      </c>
      <c r="AH87" s="81">
        <f t="shared" si="81"/>
        <v>57985087.105811536</v>
      </c>
      <c r="AI87" s="80">
        <v>300883.55292689003</v>
      </c>
      <c r="AJ87" s="81">
        <f t="shared" si="82"/>
        <v>39496983.992712855</v>
      </c>
      <c r="AK87" s="80"/>
      <c r="AL87" s="81">
        <f t="shared" si="83"/>
        <v>0</v>
      </c>
    </row>
    <row r="88" spans="1:38" x14ac:dyDescent="0.2">
      <c r="A88" s="92"/>
      <c r="C88" s="86" t="str" cm="1">
        <f t="array" ref="C88">_xll.BDP(D88&amp;" Equity","DS520")</f>
        <v>iShares Global Healthcare ETF</v>
      </c>
      <c r="D88" s="45" t="s">
        <v>476</v>
      </c>
      <c r="E88" s="45" t="s">
        <v>591</v>
      </c>
      <c r="F88" s="45" t="s">
        <v>33</v>
      </c>
      <c r="G88" s="45" t="s">
        <v>26</v>
      </c>
      <c r="H88" s="45" t="str" cm="1">
        <f t="array" ref="H88">_xll.BDP(D88&amp;" Equity", "ID_ISIN")</f>
        <v>US4642873255</v>
      </c>
      <c r="I88" s="45"/>
      <c r="J88" s="34" t="str" cm="1">
        <f t="array" ref="J88">_xll.BDP(D88&amp;" Equity","FD121")</f>
        <v>Equity</v>
      </c>
      <c r="K88" s="34" t="s">
        <v>447</v>
      </c>
      <c r="L88" s="34" t="s">
        <v>447</v>
      </c>
      <c r="M88" s="34" t="str">
        <f>_xll.BDP(D88&amp;" Equity", "DS197")</f>
        <v>NYSE Arca</v>
      </c>
      <c r="N88" s="34" t="str">
        <f>_xll.BDP(D88&amp;" Equity", "DS004")</f>
        <v>USD</v>
      </c>
      <c r="O88" s="111">
        <f>_xll.BDP(D88&amp;" Equity", "FUND_EXPENSE_RATIO")</f>
        <v>0.4</v>
      </c>
      <c r="P88" s="45">
        <f>_xll.BDP(D88&amp;" Equity","PX_LAST")</f>
        <v>97.08</v>
      </c>
      <c r="Q88" s="112">
        <f t="shared" si="71"/>
        <v>3.0315711487283431E-2</v>
      </c>
      <c r="R88" s="112">
        <f t="shared" si="72"/>
        <v>2.8803437882945732E-2</v>
      </c>
      <c r="S88" s="113">
        <f t="shared" si="73"/>
        <v>2.192502995402177E-2</v>
      </c>
      <c r="T88" s="113">
        <f t="shared" si="74"/>
        <v>2.082654236826418E-2</v>
      </c>
      <c r="U88" s="114">
        <f t="shared" si="75"/>
        <v>1.4611174036036643E-2</v>
      </c>
      <c r="V88" s="114">
        <f t="shared" si="76"/>
        <v>1.3873131375953291E-2</v>
      </c>
      <c r="W88" s="115">
        <f t="shared" si="77"/>
        <v>1.0177492712458752E-2</v>
      </c>
      <c r="X88" s="115">
        <f t="shared" si="78"/>
        <v>9.6681872947045489E-3</v>
      </c>
      <c r="Y88" s="144"/>
      <c r="Z88" s="144"/>
      <c r="AB88" s="1" cm="1">
        <f t="array" ref="AB88">IF(N88="USD",1,_xll.BDP(N88&amp;"USD CURNCY","PX_LAST"))</f>
        <v>1</v>
      </c>
      <c r="AC88" s="80">
        <v>188730.20867625499</v>
      </c>
      <c r="AD88" s="81">
        <f t="shared" si="79"/>
        <v>18321928.658290833</v>
      </c>
      <c r="AE88" s="80">
        <v>134056.65410488099</v>
      </c>
      <c r="AF88" s="81">
        <f t="shared" si="80"/>
        <v>13014219.980501845</v>
      </c>
      <c r="AG88" s="80">
        <v>86090.0138184018</v>
      </c>
      <c r="AH88" s="81">
        <f t="shared" si="81"/>
        <v>8357618.5414904468</v>
      </c>
      <c r="AI88" s="80">
        <v>58550.737223984099</v>
      </c>
      <c r="AJ88" s="81">
        <f t="shared" si="82"/>
        <v>5684105.5697043762</v>
      </c>
      <c r="AK88" s="80"/>
      <c r="AL88" s="81">
        <f t="shared" si="83"/>
        <v>0</v>
      </c>
    </row>
    <row r="89" spans="1:38" x14ac:dyDescent="0.2">
      <c r="A89" s="90"/>
      <c r="C89" s="86" t="str" cm="1">
        <f t="array" ref="C89">_xll.BDP(D89&amp;" Equity","DS520")</f>
        <v>JPMorgan International Research Enhanced Equity ETF</v>
      </c>
      <c r="D89" s="45" t="s">
        <v>477</v>
      </c>
      <c r="E89" s="45" t="s">
        <v>592</v>
      </c>
      <c r="F89" s="45" t="s">
        <v>33</v>
      </c>
      <c r="G89" s="45" t="s">
        <v>26</v>
      </c>
      <c r="H89" s="45" t="str" cm="1">
        <f t="array" ref="H89">_xll.BDP(D89&amp;" Equity", "ID_ISIN")</f>
        <v>US46641Q1343</v>
      </c>
      <c r="I89" s="45"/>
      <c r="J89" s="34" t="str" cm="1">
        <f t="array" ref="J89">_xll.BDP(D89&amp;" Equity","FD121")</f>
        <v>Equity</v>
      </c>
      <c r="K89" s="34" t="s">
        <v>446</v>
      </c>
      <c r="L89" s="34" t="s">
        <v>449</v>
      </c>
      <c r="M89" s="34" t="str">
        <f>_xll.BDP(D89&amp;" Equity", "DS197")</f>
        <v>NYSE Arca</v>
      </c>
      <c r="N89" s="34" t="str">
        <f>_xll.BDP(D89&amp;" Equity", "DS004")</f>
        <v>USD</v>
      </c>
      <c r="O89" s="111">
        <f>_xll.BDP(D89&amp;" Equity", "FUND_EXPENSE_RATIO")</f>
        <v>0.24</v>
      </c>
      <c r="P89" s="45">
        <f>_xll.BDP(D89&amp;" Equity","PX_LAST")</f>
        <v>77.48</v>
      </c>
      <c r="Q89" s="112">
        <f t="shared" si="71"/>
        <v>5.4993044371606875E-2</v>
      </c>
      <c r="R89" s="112">
        <f t="shared" si="72"/>
        <v>5.2249762906474907E-2</v>
      </c>
      <c r="S89" s="113">
        <f t="shared" si="73"/>
        <v>3.9805424119576445E-2</v>
      </c>
      <c r="T89" s="113">
        <f t="shared" si="74"/>
        <v>3.7811093241449198E-2</v>
      </c>
      <c r="U89" s="114">
        <f t="shared" si="75"/>
        <v>2.6438820835753774E-2</v>
      </c>
      <c r="V89" s="114">
        <f t="shared" si="76"/>
        <v>2.510333762195038E-2</v>
      </c>
      <c r="W89" s="115">
        <f t="shared" si="77"/>
        <v>1.8462087177558904E-2</v>
      </c>
      <c r="X89" s="115">
        <f t="shared" si="78"/>
        <v>1.7538201375010432E-2</v>
      </c>
      <c r="Y89" s="144"/>
      <c r="Z89" s="144"/>
      <c r="AB89" s="1" cm="1">
        <f t="array" ref="AB89">IF(N89="USD",1,_xll.BDP(N89&amp;"USD CURNCY","PX_LAST"))</f>
        <v>1</v>
      </c>
      <c r="AC89" s="80">
        <v>428964.71771697502</v>
      </c>
      <c r="AD89" s="81">
        <f t="shared" si="79"/>
        <v>33236186.328711227</v>
      </c>
      <c r="AE89" s="80">
        <v>304951.371960619</v>
      </c>
      <c r="AF89" s="81">
        <f t="shared" si="80"/>
        <v>23627632.299508762</v>
      </c>
      <c r="AG89" s="80">
        <v>195186.55603356799</v>
      </c>
      <c r="AH89" s="81">
        <f t="shared" si="81"/>
        <v>15123054.361480849</v>
      </c>
      <c r="AI89" s="80">
        <v>133079.91678476401</v>
      </c>
      <c r="AJ89" s="81">
        <f t="shared" si="82"/>
        <v>10311031.952483516</v>
      </c>
      <c r="AK89" s="80"/>
      <c r="AL89" s="81">
        <f t="shared" si="83"/>
        <v>0</v>
      </c>
    </row>
    <row r="90" spans="1:38" x14ac:dyDescent="0.2">
      <c r="A90" s="91"/>
      <c r="B90" s="3"/>
      <c r="C90" s="86" t="str" cm="1">
        <f t="array" ref="C90">_xll.BDP(D90&amp;" Equity","DS520")</f>
        <v>Vanguard ESG International Stock ETF</v>
      </c>
      <c r="D90" s="45" t="s">
        <v>478</v>
      </c>
      <c r="E90" s="45" t="s">
        <v>593</v>
      </c>
      <c r="F90" s="45" t="s">
        <v>33</v>
      </c>
      <c r="G90" s="45" t="s">
        <v>26</v>
      </c>
      <c r="H90" s="45" t="str" cm="1">
        <f t="array" ref="H90">_xll.BDP(D90&amp;" Equity", "ID_ISIN")</f>
        <v>US9219107250</v>
      </c>
      <c r="I90" s="45"/>
      <c r="J90" s="34" t="str" cm="1">
        <f t="array" ref="J90">_xll.BDP(D90&amp;" Equity","FD121")</f>
        <v>Equity</v>
      </c>
      <c r="K90" s="34" t="s">
        <v>446</v>
      </c>
      <c r="L90" s="34" t="s">
        <v>450</v>
      </c>
      <c r="M90" s="34" t="str">
        <f>_xll.BDP(D90&amp;" Equity", "DS197")</f>
        <v>Cboe BZX</v>
      </c>
      <c r="N90" s="34" t="str">
        <f>_xll.BDP(D90&amp;" Equity", "DS004")</f>
        <v>USD</v>
      </c>
      <c r="O90" s="111">
        <f>_xll.BDP(D90&amp;" Equity", "FUND_EXPENSE_RATIO")</f>
        <v>0.1</v>
      </c>
      <c r="P90" s="45">
        <f>_xll.BDP(D90&amp;" Equity","PX_LAST")</f>
        <v>74.13</v>
      </c>
      <c r="Q90" s="112">
        <f t="shared" si="71"/>
        <v>0.10384930631131098</v>
      </c>
      <c r="R90" s="112">
        <f t="shared" si="72"/>
        <v>9.8668871577682726E-2</v>
      </c>
      <c r="S90" s="113">
        <f t="shared" si="73"/>
        <v>7.5204677052385954E-2</v>
      </c>
      <c r="T90" s="113">
        <f t="shared" si="74"/>
        <v>7.1436773231675271E-2</v>
      </c>
      <c r="U90" s="114">
        <f t="shared" si="75"/>
        <v>4.985604579493845E-2</v>
      </c>
      <c r="V90" s="114">
        <f t="shared" si="76"/>
        <v>4.7337706846337785E-2</v>
      </c>
      <c r="W90" s="115">
        <f t="shared" si="77"/>
        <v>3.4766295451326028E-2</v>
      </c>
      <c r="X90" s="115">
        <f t="shared" si="78"/>
        <v>3.3026509127831234E-2</v>
      </c>
      <c r="Y90" s="144"/>
      <c r="Z90" s="144"/>
      <c r="AB90" s="1" cm="1">
        <f t="array" ref="AB90">IF(N90="USD",1,_xll.BDP(N90&amp;"USD CURNCY","PX_LAST"))</f>
        <v>1</v>
      </c>
      <c r="AC90" s="80">
        <v>846667.759125988</v>
      </c>
      <c r="AD90" s="81">
        <f t="shared" si="79"/>
        <v>62763480.984009489</v>
      </c>
      <c r="AE90" s="80">
        <v>602183.42646479595</v>
      </c>
      <c r="AF90" s="81">
        <f t="shared" si="80"/>
        <v>44639857.403835319</v>
      </c>
      <c r="AG90" s="80">
        <v>384699.181160498</v>
      </c>
      <c r="AH90" s="81">
        <f t="shared" si="81"/>
        <v>28517750.299427714</v>
      </c>
      <c r="AI90" s="80">
        <v>261930.30688190801</v>
      </c>
      <c r="AJ90" s="81">
        <f t="shared" si="82"/>
        <v>19416893.64915584</v>
      </c>
      <c r="AK90" s="80"/>
      <c r="AL90" s="81">
        <f t="shared" si="83"/>
        <v>0</v>
      </c>
    </row>
    <row r="91" spans="1:38" x14ac:dyDescent="0.2">
      <c r="A91" s="90"/>
      <c r="C91" s="86" t="str" cm="1">
        <f t="array" ref="C91">_xll.BDP(D91&amp;" Equity","DS520")</f>
        <v>Vanguard ESG US Stock ETF</v>
      </c>
      <c r="D91" s="45" t="s">
        <v>479</v>
      </c>
      <c r="E91" s="45" t="s">
        <v>594</v>
      </c>
      <c r="F91" s="45" t="s">
        <v>33</v>
      </c>
      <c r="G91" s="45" t="s">
        <v>26</v>
      </c>
      <c r="H91" s="45" t="str" cm="1">
        <f t="array" ref="H91">_xll.BDP(D91&amp;" Equity", "ID_ISIN")</f>
        <v>US9219107334</v>
      </c>
      <c r="I91" s="45"/>
      <c r="J91" s="34" t="str" cm="1">
        <f t="array" ref="J91">_xll.BDP(D91&amp;" Equity","FD121")</f>
        <v>Equity</v>
      </c>
      <c r="K91" s="34" t="s">
        <v>446</v>
      </c>
      <c r="L91" s="34" t="s">
        <v>452</v>
      </c>
      <c r="M91" s="34" t="str">
        <f>_xll.BDP(D91&amp;" Equity", "DS197")</f>
        <v>Cboe BZX</v>
      </c>
      <c r="N91" s="34" t="str">
        <f>_xll.BDP(D91&amp;" Equity", "DS004")</f>
        <v>USD</v>
      </c>
      <c r="O91" s="111">
        <f>_xll.BDP(D91&amp;" Equity", "FUND_EXPENSE_RATIO")</f>
        <v>0.09</v>
      </c>
      <c r="P91" s="45">
        <f>_xll.BDP(D91&amp;" Equity","PX_LAST")</f>
        <v>118.43</v>
      </c>
      <c r="Q91" s="112">
        <f t="shared" si="71"/>
        <v>0.30762521000915982</v>
      </c>
      <c r="R91" s="112">
        <f t="shared" si="72"/>
        <v>0.2922795868222906</v>
      </c>
      <c r="S91" s="113">
        <f t="shared" si="73"/>
        <v>0.22271217887416855</v>
      </c>
      <c r="T91" s="113">
        <f t="shared" si="74"/>
        <v>0.21155385598004536</v>
      </c>
      <c r="U91" s="114">
        <f t="shared" si="75"/>
        <v>0.14780659523788803</v>
      </c>
      <c r="V91" s="114">
        <f t="shared" si="76"/>
        <v>0.1403405577751774</v>
      </c>
      <c r="W91" s="115">
        <f t="shared" si="77"/>
        <v>0.10307897395654035</v>
      </c>
      <c r="X91" s="115">
        <f t="shared" si="78"/>
        <v>9.7920662241087655E-2</v>
      </c>
      <c r="Y91" s="144"/>
      <c r="Z91" s="144"/>
      <c r="AB91" s="1" cm="1">
        <f t="array" ref="AB91">IF(N91="USD",1,_xll.BDP(N91&amp;"USD CURNCY","PX_LAST"))</f>
        <v>1</v>
      </c>
      <c r="AC91" s="80">
        <v>1569869.7331643901</v>
      </c>
      <c r="AD91" s="81">
        <f t="shared" si="79"/>
        <v>185919672.49865872</v>
      </c>
      <c r="AE91" s="80">
        <v>1116246.69369928</v>
      </c>
      <c r="AF91" s="81">
        <f t="shared" si="80"/>
        <v>132197095.93480574</v>
      </c>
      <c r="AG91" s="80">
        <v>713887.06861390104</v>
      </c>
      <c r="AH91" s="81">
        <f t="shared" si="81"/>
        <v>84545645.535944298</v>
      </c>
      <c r="AI91" s="80">
        <v>486104.55765800801</v>
      </c>
      <c r="AJ91" s="81">
        <f t="shared" si="82"/>
        <v>57569362.76343789</v>
      </c>
      <c r="AK91" s="80"/>
      <c r="AL91" s="81">
        <f t="shared" si="83"/>
        <v>0</v>
      </c>
    </row>
    <row r="92" spans="1:38" x14ac:dyDescent="0.2">
      <c r="A92" s="90"/>
      <c r="C92" s="86" t="str" cm="1">
        <f t="array" ref="C92">_xll.BDP(D92&amp;" Equity","DS520")</f>
        <v>Vanguard FTSE Europe ETF</v>
      </c>
      <c r="D92" s="45" t="s">
        <v>480</v>
      </c>
      <c r="E92" s="45" t="s">
        <v>595</v>
      </c>
      <c r="F92" s="45" t="s">
        <v>33</v>
      </c>
      <c r="G92" s="45" t="s">
        <v>26</v>
      </c>
      <c r="H92" s="45" t="str" cm="1">
        <f t="array" ref="H92">_xll.BDP(D92&amp;" Equity", "ID_ISIN")</f>
        <v>US9220428745</v>
      </c>
      <c r="I92" s="45"/>
      <c r="J92" s="34" t="str" cm="1">
        <f t="array" ref="J92">_xll.BDP(D92&amp;" Equity","FD121")</f>
        <v>Equity</v>
      </c>
      <c r="K92" s="34" t="s">
        <v>453</v>
      </c>
      <c r="L92" s="34" t="s">
        <v>444</v>
      </c>
      <c r="M92" s="34" t="str">
        <f>_xll.BDP(D92&amp;" Equity", "DS197")</f>
        <v>NYSE Arca</v>
      </c>
      <c r="N92" s="34" t="str">
        <f>_xll.BDP(D92&amp;" Equity", "DS004")</f>
        <v>USD</v>
      </c>
      <c r="O92" s="111">
        <f>_xll.BDP(D92&amp;" Equity", "FUND_EXPENSE_RATIO")</f>
        <v>0.06</v>
      </c>
      <c r="P92" s="45">
        <f>_xll.BDP(D92&amp;" Equity","PX_LAST")</f>
        <v>84.85</v>
      </c>
      <c r="Q92" s="112">
        <f t="shared" si="71"/>
        <v>2.9520647725412411E-2</v>
      </c>
      <c r="R92" s="112">
        <f t="shared" si="72"/>
        <v>2.804803520378911E-2</v>
      </c>
      <c r="S92" s="113">
        <f t="shared" si="73"/>
        <v>2.1350021288904692E-2</v>
      </c>
      <c r="T92" s="113">
        <f t="shared" si="74"/>
        <v>2.0280342780336906E-2</v>
      </c>
      <c r="U92" s="114">
        <f t="shared" si="75"/>
        <v>1.4227979500117026E-2</v>
      </c>
      <c r="V92" s="114">
        <f t="shared" si="76"/>
        <v>1.350929284208539E-2</v>
      </c>
      <c r="W92" s="115">
        <f t="shared" si="77"/>
        <v>9.9105764751216893E-3</v>
      </c>
      <c r="X92" s="115">
        <f t="shared" si="78"/>
        <v>9.4146281669821082E-3</v>
      </c>
      <c r="Y92" s="144"/>
      <c r="Z92" s="144"/>
      <c r="AB92" s="1" cm="1">
        <f t="array" ref="AB92">IF(N92="USD",1,_xll.BDP(N92&amp;"USD CURNCY","PX_LAST"))</f>
        <v>1</v>
      </c>
      <c r="AC92" s="80">
        <v>210270.06944908801</v>
      </c>
      <c r="AD92" s="81">
        <f t="shared" si="79"/>
        <v>17841415.392755117</v>
      </c>
      <c r="AE92" s="80">
        <v>149356.59832337301</v>
      </c>
      <c r="AF92" s="81">
        <f t="shared" si="80"/>
        <v>12672907.367738198</v>
      </c>
      <c r="AG92" s="80">
        <v>95915.504525936805</v>
      </c>
      <c r="AH92" s="81">
        <f t="shared" si="81"/>
        <v>8138430.5590257375</v>
      </c>
      <c r="AI92" s="80">
        <v>65233.158320199698</v>
      </c>
      <c r="AJ92" s="81">
        <f t="shared" si="82"/>
        <v>5535033.4834689442</v>
      </c>
      <c r="AK92" s="80"/>
      <c r="AL92" s="81">
        <f t="shared" si="83"/>
        <v>0</v>
      </c>
    </row>
    <row r="93" spans="1:38" x14ac:dyDescent="0.2">
      <c r="A93" s="90"/>
      <c r="C93" s="86" t="str" cm="1">
        <f t="array" ref="C93">_xll.BDP(D93&amp;" Equity","DS520")</f>
        <v>iShares MSCI World Small-Cap ETF</v>
      </c>
      <c r="D93" s="45" t="s">
        <v>1276</v>
      </c>
      <c r="E93" s="45" t="s">
        <v>1265</v>
      </c>
      <c r="F93" s="45" t="s">
        <v>33</v>
      </c>
      <c r="G93" s="45" t="s">
        <v>26</v>
      </c>
      <c r="H93" s="45" t="str" cm="1">
        <f t="array" ref="H93">_xll.BDP(D93&amp;" Equity", "ID_ISIN")</f>
        <v>US46438G4304</v>
      </c>
      <c r="I93" s="45"/>
      <c r="J93" s="34" t="str" cm="1">
        <f t="array" ref="J93">_xll.BDP(D93&amp;" Equity","FD121")</f>
        <v>Equity</v>
      </c>
      <c r="K93" s="34" t="s">
        <v>453</v>
      </c>
      <c r="L93" s="34" t="s">
        <v>444</v>
      </c>
      <c r="M93" s="34" t="str">
        <f>_xll.BDP(D93&amp;" Equity", "DS197")</f>
        <v>NASDAQ GM</v>
      </c>
      <c r="N93" s="34" t="str">
        <f>_xll.BDP(D93&amp;" Equity", "DS004")</f>
        <v>USD</v>
      </c>
      <c r="O93" s="111">
        <f>_xll.BDP(D93&amp;" Equity", "FUND_EXPENSE_RATIO")</f>
        <v>0.3</v>
      </c>
      <c r="P93" s="45">
        <f>_xll.BDP(D93&amp;" Equity","PX_LAST")</f>
        <v>32.434600000000003</v>
      </c>
      <c r="Q93" s="112">
        <f t="shared" si="71"/>
        <v>3.0515475599163306E-2</v>
      </c>
      <c r="R93" s="112">
        <f t="shared" si="72"/>
        <v>2.89932369312111E-2</v>
      </c>
      <c r="S93" s="113">
        <f t="shared" si="73"/>
        <v>2.2069504021158409E-2</v>
      </c>
      <c r="T93" s="113">
        <f t="shared" si="74"/>
        <v>2.0963777997435339E-2</v>
      </c>
      <c r="U93" s="114">
        <f t="shared" si="75"/>
        <v>1.4707453755747554E-2</v>
      </c>
      <c r="V93" s="114">
        <f t="shared" si="76"/>
        <v>1.3964547794448825E-2</v>
      </c>
      <c r="W93" s="115">
        <f t="shared" si="77"/>
        <v>1.0244556874674519E-2</v>
      </c>
      <c r="X93" s="115">
        <f t="shared" si="78"/>
        <v>9.731895410188705E-3</v>
      </c>
      <c r="Y93" s="144"/>
      <c r="Z93" s="144"/>
      <c r="AB93" s="1" cm="1">
        <f t="array" ref="AB93">IF(N93="USD",1,_xll.BDP(N93&amp;"USD CURNCY","PX_LAST"))</f>
        <v>1</v>
      </c>
      <c r="AC93" s="80">
        <v>568610.68859363103</v>
      </c>
      <c r="AD93" s="81">
        <f t="shared" ref="AD93" si="84">AC93*P93*AB93</f>
        <v>18442660.240258988</v>
      </c>
      <c r="AE93" s="80">
        <v>403888.95310285001</v>
      </c>
      <c r="AF93" s="81">
        <f t="shared" ref="AF93" si="85">AE93*P93*AB93</f>
        <v>13099976.6383097</v>
      </c>
      <c r="AG93" s="80">
        <v>259373.96234371699</v>
      </c>
      <c r="AH93" s="81">
        <f t="shared" ref="AH93" si="86">AG93*P93*AB93</f>
        <v>8412690.7190335244</v>
      </c>
      <c r="AI93" s="80">
        <v>176403.00005021499</v>
      </c>
      <c r="AJ93" s="81">
        <f t="shared" ref="AJ93" si="87">AI93*P93*AB93</f>
        <v>5721560.7454287037</v>
      </c>
      <c r="AK93" s="80"/>
      <c r="AL93" s="81">
        <f t="shared" ref="AL93" si="88">AK93*P93*AB93</f>
        <v>0</v>
      </c>
    </row>
    <row r="94" spans="1:38" x14ac:dyDescent="0.2">
      <c r="A94" s="90"/>
      <c r="C94" s="86" t="str" cm="1">
        <f t="array" ref="C94">_xll.BDP(D94&amp;" Equity","DS520")</f>
        <v>Wisdomtree Emerging Markets EX-State-Owned Enterprises Fund</v>
      </c>
      <c r="D94" s="45" t="s">
        <v>488</v>
      </c>
      <c r="E94" s="45" t="s">
        <v>601</v>
      </c>
      <c r="F94" s="45" t="s">
        <v>33</v>
      </c>
      <c r="G94" s="45" t="s">
        <v>26</v>
      </c>
      <c r="H94" s="45" t="str" cm="1">
        <f t="array" ref="H94">_xll.BDP(D94&amp;" Equity", "ID_ISIN")</f>
        <v>US97717X5784</v>
      </c>
      <c r="I94" s="45"/>
      <c r="J94" s="34" t="str" cm="1">
        <f t="array" ref="J94">_xll.BDP(D94&amp;" Equity","FD121")</f>
        <v>Equity</v>
      </c>
      <c r="K94" s="34" t="s">
        <v>446</v>
      </c>
      <c r="L94" s="34" t="s">
        <v>455</v>
      </c>
      <c r="M94" s="34" t="str">
        <f>_xll.BDP(D94&amp;" Equity", "DS197")</f>
        <v>NYSE Arca</v>
      </c>
      <c r="N94" s="34" t="str">
        <f>_xll.BDP(D94&amp;" Equity", "DS004")</f>
        <v>USD</v>
      </c>
      <c r="O94" s="111">
        <f>_xll.BDP(D94&amp;" Equity", "FUND_EXPENSE_RATIO")</f>
        <v>0.32</v>
      </c>
      <c r="P94" s="45">
        <f>_xll.BDP(D94&amp;" Equity","PX_LAST")</f>
        <v>40.96</v>
      </c>
      <c r="Q94" s="112">
        <f t="shared" si="71"/>
        <v>2.9628422969514453E-2</v>
      </c>
      <c r="R94" s="112">
        <f t="shared" si="72"/>
        <v>2.8150434171074264E-2</v>
      </c>
      <c r="S94" s="113">
        <f t="shared" si="73"/>
        <v>2.1427966860336593E-2</v>
      </c>
      <c r="T94" s="113">
        <f t="shared" si="74"/>
        <v>2.0354383123691023E-2</v>
      </c>
      <c r="U94" s="114">
        <f t="shared" si="75"/>
        <v>1.427992361658652E-2</v>
      </c>
      <c r="V94" s="114">
        <f t="shared" si="76"/>
        <v>1.355861314654633E-2</v>
      </c>
      <c r="W94" s="115">
        <f t="shared" si="77"/>
        <v>9.9467584318569495E-3</v>
      </c>
      <c r="X94" s="115">
        <f t="shared" si="78"/>
        <v>9.4489994944090654E-3</v>
      </c>
      <c r="Y94" s="144"/>
      <c r="Z94" s="144"/>
      <c r="AB94" s="1" cm="1">
        <f t="array" ref="AB94">IF(N94="USD",1,_xll.BDP(N94&amp;"USD CURNCY","PX_LAST"))</f>
        <v>1</v>
      </c>
      <c r="AC94" s="80">
        <v>437171.669815053</v>
      </c>
      <c r="AD94" s="81">
        <f t="shared" si="79"/>
        <v>17906551.59562457</v>
      </c>
      <c r="AE94" s="80">
        <v>310526.71289831301</v>
      </c>
      <c r="AF94" s="81">
        <f t="shared" si="80"/>
        <v>12719174.160314901</v>
      </c>
      <c r="AG94" s="80">
        <v>199417.54613302101</v>
      </c>
      <c r="AH94" s="81">
        <f t="shared" si="81"/>
        <v>8168142.6896085404</v>
      </c>
      <c r="AI94" s="80">
        <v>135626.00147928501</v>
      </c>
      <c r="AJ94" s="81">
        <f t="shared" si="82"/>
        <v>5555241.0205915142</v>
      </c>
      <c r="AK94" s="80"/>
      <c r="AL94" s="81">
        <f t="shared" si="83"/>
        <v>0</v>
      </c>
    </row>
    <row r="95" spans="1:38" x14ac:dyDescent="0.2">
      <c r="A95" s="90"/>
      <c r="C95" s="116" t="s">
        <v>456</v>
      </c>
      <c r="D95" s="45"/>
      <c r="E95" s="45"/>
      <c r="F95" s="45"/>
      <c r="G95" s="45"/>
      <c r="H95" s="45"/>
      <c r="I95" s="45"/>
      <c r="J95" s="45"/>
      <c r="K95" s="45"/>
      <c r="L95" s="45"/>
      <c r="M95" s="34"/>
      <c r="N95" s="34"/>
      <c r="O95" s="111"/>
      <c r="P95" s="45"/>
      <c r="Q95" s="112"/>
      <c r="R95" s="112"/>
      <c r="S95" s="113"/>
      <c r="T95" s="113"/>
      <c r="U95" s="114"/>
      <c r="V95" s="114"/>
      <c r="W95" s="115"/>
      <c r="X95" s="115"/>
      <c r="Y95" s="144"/>
      <c r="Z95" s="144"/>
      <c r="AB95" s="1" cm="1">
        <f t="array" ref="AB95">IF(N95="USD",1,_xll.BDP(N95&amp;"USD CURNCY","PX_LAST"))</f>
        <v>1</v>
      </c>
      <c r="AC95" s="80"/>
      <c r="AD95" s="81"/>
      <c r="AE95" s="80"/>
      <c r="AF95" s="81"/>
      <c r="AG95" s="80"/>
      <c r="AH95" s="81"/>
      <c r="AI95" s="80"/>
      <c r="AJ95" s="81"/>
      <c r="AK95" s="80"/>
      <c r="AL95" s="81"/>
    </row>
    <row r="96" spans="1:38" x14ac:dyDescent="0.2">
      <c r="A96" s="90"/>
      <c r="C96" s="86" t="str" cm="1">
        <f t="array" ref="C96">_xll.BDP(D96&amp;" Equity","DS520")</f>
        <v>iShares iBoxx USD Investment Grade Corporate Bond ETF</v>
      </c>
      <c r="D96" s="45" t="s">
        <v>482</v>
      </c>
      <c r="E96" s="45" t="s">
        <v>597</v>
      </c>
      <c r="F96" s="45" t="s">
        <v>33</v>
      </c>
      <c r="G96" s="45" t="s">
        <v>26</v>
      </c>
      <c r="H96" s="45" t="str" cm="1">
        <f t="array" ref="H96">_xll.BDP(D96&amp;" Equity", "ID_ISIN")</f>
        <v>US4642872422</v>
      </c>
      <c r="I96" s="45"/>
      <c r="J96" s="34" t="str" cm="1">
        <f t="array" ref="J96">_xll.BDP(D96&amp;" Equity","FD121")</f>
        <v>Fixed Income</v>
      </c>
      <c r="K96" s="34" t="s">
        <v>458</v>
      </c>
      <c r="L96" s="34" t="s">
        <v>459</v>
      </c>
      <c r="M96" s="34" t="str">
        <f>_xll.BDP(D96&amp;" Equity", "DS197")</f>
        <v>NYSE Arca</v>
      </c>
      <c r="N96" s="34" t="str">
        <f>_xll.BDP(D96&amp;" Equity", "DS004")</f>
        <v>USD</v>
      </c>
      <c r="O96" s="111">
        <f>_xll.BDP(D96&amp;" Equity", "FUND_EXPENSE_RATIO")</f>
        <v>0.14000000000000001</v>
      </c>
      <c r="P96" s="45">
        <f>_xll.BDP(D96&amp;" Equity","PX_LAST")</f>
        <v>110.53</v>
      </c>
      <c r="Q96" s="112">
        <f t="shared" ref="Q96:Q103" si="89">AD96/$AD$104</f>
        <v>0</v>
      </c>
      <c r="R96" s="112"/>
      <c r="S96" s="113">
        <f t="shared" ref="S96:S103" si="90">AF96/$AF$104</f>
        <v>5.9249274487737348E-2</v>
      </c>
      <c r="T96" s="113">
        <f t="shared" ref="T96:T102" si="91">S96*(1-$T$120)/(1-$S$103)</f>
        <v>5.6280768053474317E-2</v>
      </c>
      <c r="U96" s="114">
        <f t="shared" ref="U96:U103" si="92">AH96/$AH$104</f>
        <v>0.11791297272775335</v>
      </c>
      <c r="V96" s="114">
        <f t="shared" ref="V96:V102" si="93">U96*(1-$V$120)/(1-$U$103)</f>
        <v>0.11195692813916032</v>
      </c>
      <c r="W96" s="115">
        <f t="shared" ref="W96:W103" si="94">AJ96/$AJ$104</f>
        <v>0.15281145351137701</v>
      </c>
      <c r="X96" s="115">
        <f t="shared" ref="X96:X102" si="95">W96*(1-$X$120)/(1-$W$103)</f>
        <v>0.14516441279446582</v>
      </c>
      <c r="Y96" s="144">
        <f t="shared" ref="Y96:Y103" si="96">AL96/$AL$104</f>
        <v>0.24053377631557021</v>
      </c>
      <c r="Z96" s="144">
        <f t="shared" ref="Z96:Z102" si="97">Y96*(1-$Z$120)/(1-$Y$103)</f>
        <v>0.22851120320919283</v>
      </c>
      <c r="AB96" s="1" cm="1">
        <f t="array" ref="AB96">IF(N96="USD",1,_xll.BDP(N96&amp;"USD CURNCY","PX_LAST"))</f>
        <v>1</v>
      </c>
      <c r="AC96" s="80"/>
      <c r="AD96" s="81">
        <f t="shared" ref="AD96:AD103" si="98">AC96*P96*AB96</f>
        <v>0</v>
      </c>
      <c r="AE96" s="80">
        <v>318185.81515276799</v>
      </c>
      <c r="AF96" s="81">
        <f t="shared" ref="AF96:AF103" si="99">AE96*P96*AB96</f>
        <v>35169078.148835443</v>
      </c>
      <c r="AG96" s="80">
        <v>610209.33895115298</v>
      </c>
      <c r="AH96" s="81">
        <f t="shared" ref="AH96:AH103" si="100">AG96*P96*AB96</f>
        <v>67446438.234270945</v>
      </c>
      <c r="AI96" s="80">
        <v>772141.81471022102</v>
      </c>
      <c r="AJ96" s="81">
        <f t="shared" ref="AJ96:AJ103" si="101">AI96*P96*AB96</f>
        <v>85344834.779920727</v>
      </c>
      <c r="AK96" s="80">
        <v>1144536.8947374199</v>
      </c>
      <c r="AL96" s="81">
        <f t="shared" ref="AL96:AL103" si="102">AK96*P96*AB96</f>
        <v>126505662.97532703</v>
      </c>
    </row>
    <row r="97" spans="1:38" x14ac:dyDescent="0.2">
      <c r="A97" s="90"/>
      <c r="C97" s="86" t="str" cm="1">
        <f t="array" ref="C97">_xll.BDP(D97&amp;" Equity","DS520")</f>
        <v>iShares J.P. Morgan EM Corporate Bond ETF</v>
      </c>
      <c r="D97" s="145" t="s">
        <v>484</v>
      </c>
      <c r="E97" s="145" t="s">
        <v>598</v>
      </c>
      <c r="F97" s="45" t="s">
        <v>33</v>
      </c>
      <c r="G97" s="45" t="s">
        <v>26</v>
      </c>
      <c r="H97" s="45" t="str" cm="1">
        <f t="array" ref="H97">_xll.BDP(D97&amp;" Equity", "ID_ISIN")</f>
        <v>US4642862514</v>
      </c>
      <c r="I97" s="145"/>
      <c r="J97" s="34" t="str" cm="1">
        <f t="array" ref="J97">_xll.BDP(D97&amp;" Equity","FD121")</f>
        <v>Fixed Income</v>
      </c>
      <c r="K97" s="34" t="s">
        <v>458</v>
      </c>
      <c r="L97" s="34" t="s">
        <v>450</v>
      </c>
      <c r="M97" s="34" t="str">
        <f>_xll.BDP(D97&amp;" Equity", "DS197")</f>
        <v>Cboe BZX</v>
      </c>
      <c r="N97" s="34" t="str">
        <f>_xll.BDP(D97&amp;" Equity", "DS004")</f>
        <v>USD</v>
      </c>
      <c r="O97" s="111">
        <f>_xll.BDP(D97&amp;" Equity", "FUND_EXPENSE_RATIO")</f>
        <v>0.5</v>
      </c>
      <c r="P97" s="45">
        <f>_xll.BDP(D97&amp;" Equity","PX_LAST")</f>
        <v>45.81</v>
      </c>
      <c r="Q97" s="112">
        <f t="shared" si="89"/>
        <v>0</v>
      </c>
      <c r="R97" s="112"/>
      <c r="S97" s="113">
        <f t="shared" si="90"/>
        <v>2.4597166049951703E-2</v>
      </c>
      <c r="T97" s="113">
        <f t="shared" si="91"/>
        <v>2.3364799133812841E-2</v>
      </c>
      <c r="U97" s="114">
        <f t="shared" si="92"/>
        <v>4.885050910413969E-2</v>
      </c>
      <c r="V97" s="114">
        <f t="shared" si="93"/>
        <v>4.6382962033882147E-2</v>
      </c>
      <c r="W97" s="115">
        <f t="shared" si="94"/>
        <v>6.336728283756142E-2</v>
      </c>
      <c r="X97" s="115">
        <f t="shared" si="95"/>
        <v>6.0196236552455692E-2</v>
      </c>
      <c r="Y97" s="144">
        <f t="shared" si="96"/>
        <v>9.9651439175285433E-2</v>
      </c>
      <c r="Z97" s="144">
        <f t="shared" si="97"/>
        <v>9.4670572325763327E-2</v>
      </c>
      <c r="AB97" s="1" cm="1">
        <f t="array" ref="AB97">IF(N97="USD",1,_xll.BDP(N97&amp;"USD CURNCY","PX_LAST"))</f>
        <v>1</v>
      </c>
      <c r="AC97" s="80"/>
      <c r="AD97" s="81">
        <f t="shared" si="98"/>
        <v>0</v>
      </c>
      <c r="AE97" s="80">
        <v>318715.16556741</v>
      </c>
      <c r="AF97" s="81">
        <f t="shared" si="99"/>
        <v>14600341.734643053</v>
      </c>
      <c r="AG97" s="80">
        <v>609966.85122569196</v>
      </c>
      <c r="AH97" s="81">
        <f t="shared" si="100"/>
        <v>27942581.454648949</v>
      </c>
      <c r="AI97" s="80">
        <v>772549.16719943099</v>
      </c>
      <c r="AJ97" s="81">
        <f t="shared" si="101"/>
        <v>35390477.349405937</v>
      </c>
      <c r="AK97" s="80">
        <v>1144082.0735300099</v>
      </c>
      <c r="AL97" s="81">
        <f t="shared" si="102"/>
        <v>52410399.788409755</v>
      </c>
    </row>
    <row r="98" spans="1:38" x14ac:dyDescent="0.2">
      <c r="A98" s="91"/>
      <c r="B98" s="3"/>
      <c r="C98" s="86" t="str" cm="1">
        <f t="array" ref="C98">_xll.BDP(D98&amp;" Equity","DS520")</f>
        <v>iShares J.P. Morgan EM Local Currency Bond ETF</v>
      </c>
      <c r="D98" s="145" t="s">
        <v>485</v>
      </c>
      <c r="E98" s="145" t="s">
        <v>599</v>
      </c>
      <c r="F98" s="45" t="s">
        <v>33</v>
      </c>
      <c r="G98" s="45" t="s">
        <v>26</v>
      </c>
      <c r="H98" s="45" t="str" cm="1">
        <f t="array" ref="H98">_xll.BDP(D98&amp;" Equity", "ID_ISIN")</f>
        <v>US4642865178</v>
      </c>
      <c r="I98" s="145"/>
      <c r="J98" s="34" t="str" cm="1">
        <f t="array" ref="J98">_xll.BDP(D98&amp;" Equity","FD121")</f>
        <v>Fixed Income</v>
      </c>
      <c r="K98" s="34" t="s">
        <v>458</v>
      </c>
      <c r="L98" s="34" t="s">
        <v>464</v>
      </c>
      <c r="M98" s="34" t="str">
        <f>_xll.BDP(D98&amp;" Equity", "DS197")</f>
        <v>NYSE Arca</v>
      </c>
      <c r="N98" s="34" t="str">
        <f>_xll.BDP(D98&amp;" Equity", "DS004")</f>
        <v>USD</v>
      </c>
      <c r="O98" s="111">
        <f>_xll.BDP(D98&amp;" Equity", "FUND_EXPENSE_RATIO")</f>
        <v>0.3</v>
      </c>
      <c r="P98" s="45">
        <f>_xll.BDP(D98&amp;" Equity","PX_LAST")</f>
        <v>41.73</v>
      </c>
      <c r="Q98" s="112">
        <f t="shared" si="89"/>
        <v>0</v>
      </c>
      <c r="R98" s="112"/>
      <c r="S98" s="113">
        <f t="shared" si="90"/>
        <v>1.4565757558674558E-2</v>
      </c>
      <c r="T98" s="113">
        <f t="shared" si="91"/>
        <v>1.3835984149520159E-2</v>
      </c>
      <c r="U98" s="114">
        <f t="shared" si="92"/>
        <v>2.8888285425102429E-2</v>
      </c>
      <c r="V98" s="114">
        <f t="shared" si="93"/>
        <v>2.7429074346799979E-2</v>
      </c>
      <c r="W98" s="115">
        <f t="shared" si="94"/>
        <v>3.7413552520187153E-2</v>
      </c>
      <c r="X98" s="115">
        <f t="shared" si="95"/>
        <v>3.5541291292956141E-2</v>
      </c>
      <c r="Y98" s="144">
        <f t="shared" si="96"/>
        <v>5.8929973724141459E-2</v>
      </c>
      <c r="Z98" s="144">
        <f t="shared" si="97"/>
        <v>5.5984483373023863E-2</v>
      </c>
      <c r="AB98" s="1" cm="1">
        <f t="array" ref="AB98">IF(N98="USD",1,_xll.BDP(N98&amp;"USD CURNCY","PX_LAST"))</f>
        <v>1</v>
      </c>
      <c r="AC98" s="80"/>
      <c r="AD98" s="81">
        <f t="shared" si="98"/>
        <v>0</v>
      </c>
      <c r="AE98" s="80">
        <v>207187.06597719801</v>
      </c>
      <c r="AF98" s="81">
        <f t="shared" si="99"/>
        <v>8645916.2632284723</v>
      </c>
      <c r="AG98" s="80">
        <v>395977.77694133198</v>
      </c>
      <c r="AH98" s="81">
        <f t="shared" si="100"/>
        <v>16524152.631761782</v>
      </c>
      <c r="AI98" s="80">
        <v>500728.02422321303</v>
      </c>
      <c r="AJ98" s="81">
        <f t="shared" si="101"/>
        <v>20895380.450834677</v>
      </c>
      <c r="AK98" s="80">
        <v>742714.25603621698</v>
      </c>
      <c r="AL98" s="81">
        <f t="shared" si="102"/>
        <v>30993465.904391333</v>
      </c>
    </row>
    <row r="99" spans="1:38" x14ac:dyDescent="0.2">
      <c r="A99" s="91"/>
      <c r="B99" s="3"/>
      <c r="C99" s="86"/>
      <c r="D99" s="145" t="s">
        <v>1278</v>
      </c>
      <c r="E99" s="145" t="s">
        <v>1279</v>
      </c>
      <c r="F99" s="45" t="s">
        <v>33</v>
      </c>
      <c r="G99" s="45" t="s">
        <v>26</v>
      </c>
      <c r="H99" s="45" t="str" cm="1">
        <f t="array" ref="H99">_xll.BDP(D99&amp;" Equity", "ID_ISIN")</f>
        <v>US78464A1512</v>
      </c>
      <c r="I99" s="145"/>
      <c r="J99" s="34" t="str" cm="1">
        <f t="array" ref="J99">_xll.BDP(D99&amp;" Equity","FD121")</f>
        <v>Fixed Income</v>
      </c>
      <c r="K99" s="34" t="s">
        <v>458</v>
      </c>
      <c r="L99" s="34" t="s">
        <v>464</v>
      </c>
      <c r="M99" s="34" t="str">
        <f>_xll.BDP(D99&amp;" Equity", "DS197")</f>
        <v>NYSE Arca</v>
      </c>
      <c r="N99" s="34" t="str">
        <f>_xll.BDP(D99&amp;" Equity", "DS004")</f>
        <v>USD</v>
      </c>
      <c r="O99" s="111">
        <f>_xll.BDP(D99&amp;" Equity", "FUND_EXPENSE_RATIO")</f>
        <v>0.5</v>
      </c>
      <c r="P99" s="45">
        <f>_xll.BDP(D99&amp;" Equity","PX_LAST")</f>
        <v>31.71</v>
      </c>
      <c r="Q99" s="112">
        <f t="shared" si="89"/>
        <v>0</v>
      </c>
      <c r="R99" s="112"/>
      <c r="S99" s="113">
        <f t="shared" si="90"/>
        <v>1.9009237158163893E-2</v>
      </c>
      <c r="T99" s="113">
        <f t="shared" si="91"/>
        <v>1.8056836587822391E-2</v>
      </c>
      <c r="U99" s="114">
        <f t="shared" si="92"/>
        <v>3.7830600998665011E-2</v>
      </c>
      <c r="V99" s="114">
        <f t="shared" si="93"/>
        <v>3.5919693817302034E-2</v>
      </c>
      <c r="W99" s="115">
        <f t="shared" si="94"/>
        <v>4.8994848829065747E-2</v>
      </c>
      <c r="X99" s="115">
        <f t="shared" si="95"/>
        <v>4.6543032585547851E-2</v>
      </c>
      <c r="Y99" s="144">
        <f t="shared" si="96"/>
        <v>7.7171638607621079E-2</v>
      </c>
      <c r="Z99" s="144">
        <f t="shared" si="97"/>
        <v>7.3314377140600226E-2</v>
      </c>
      <c r="AB99" s="1" cm="1">
        <f t="array" ref="AB99">IF(N99="USD",1,_xll.BDP(N99&amp;"USD CURNCY","PX_LAST"))</f>
        <v>1</v>
      </c>
      <c r="AC99" s="80"/>
      <c r="AD99" s="81">
        <f t="shared" ref="AD99" si="103">AC99*P99*AB99</f>
        <v>0</v>
      </c>
      <c r="AE99" s="80">
        <v>355833.141569247</v>
      </c>
      <c r="AF99" s="81">
        <f t="shared" si="99"/>
        <v>11283468.919160822</v>
      </c>
      <c r="AG99" s="80">
        <v>682408.50394173595</v>
      </c>
      <c r="AH99" s="81">
        <f t="shared" si="100"/>
        <v>21639173.659992449</v>
      </c>
      <c r="AI99" s="80">
        <v>862929.89604436897</v>
      </c>
      <c r="AJ99" s="81">
        <f t="shared" si="101"/>
        <v>27363507.003566939</v>
      </c>
      <c r="AK99" s="80">
        <v>1279956.99211415</v>
      </c>
      <c r="AL99" s="81">
        <f t="shared" si="102"/>
        <v>40587436.219939694</v>
      </c>
    </row>
    <row r="100" spans="1:38" x14ac:dyDescent="0.2">
      <c r="A100" s="90"/>
      <c r="C100" s="86" t="str" cm="1">
        <f t="array" ref="C100">_xll.BDP(D100&amp;" Equity","DS520")</f>
        <v>Janus Henderson Mortgage-Backed Securities ETF</v>
      </c>
      <c r="D100" s="45" t="s">
        <v>483</v>
      </c>
      <c r="E100" s="45" t="s">
        <v>602</v>
      </c>
      <c r="F100" s="45" t="s">
        <v>33</v>
      </c>
      <c r="G100" s="45" t="s">
        <v>26</v>
      </c>
      <c r="H100" s="45" t="str" cm="1">
        <f t="array" ref="H100">_xll.BDP(D100&amp;" Equity", "ID_ISIN")</f>
        <v>US47103U8523</v>
      </c>
      <c r="I100" s="45"/>
      <c r="J100" s="34" t="str" cm="1">
        <f t="array" ref="J100">_xll.BDP(D100&amp;" Equity","FD121")</f>
        <v>Fixed Income</v>
      </c>
      <c r="K100" s="34" t="s">
        <v>458</v>
      </c>
      <c r="L100" s="34" t="s">
        <v>464</v>
      </c>
      <c r="M100" s="34" t="str">
        <f>_xll.BDP(D100&amp;" Equity", "DS197")</f>
        <v>NYSE Arca</v>
      </c>
      <c r="N100" s="34" t="str">
        <f>_xll.BDP(D100&amp;" Equity", "DS004")</f>
        <v>USD</v>
      </c>
      <c r="O100" s="111">
        <f>_xll.BDP(D100&amp;" Equity", "FUND_EXPENSE_RATIO")</f>
        <v>0.21</v>
      </c>
      <c r="P100" s="45">
        <f>_xll.BDP(D100&amp;" Equity","PX_LAST")</f>
        <v>45.86</v>
      </c>
      <c r="Q100" s="112">
        <f t="shared" si="89"/>
        <v>0</v>
      </c>
      <c r="R100" s="112"/>
      <c r="S100" s="113">
        <f t="shared" si="90"/>
        <v>3.8213172621794342E-2</v>
      </c>
      <c r="T100" s="113">
        <f t="shared" si="91"/>
        <v>3.6298616708964081E-2</v>
      </c>
      <c r="U100" s="114">
        <f t="shared" si="92"/>
        <v>7.6048674353423829E-2</v>
      </c>
      <c r="V100" s="114">
        <f t="shared" si="93"/>
        <v>7.2207287906504311E-2</v>
      </c>
      <c r="W100" s="115">
        <f t="shared" si="94"/>
        <v>9.8509188515572943E-2</v>
      </c>
      <c r="X100" s="115">
        <f t="shared" si="95"/>
        <v>9.3579559497206324E-2</v>
      </c>
      <c r="Y100" s="144">
        <f t="shared" si="96"/>
        <v>0.15508211857109486</v>
      </c>
      <c r="Z100" s="144">
        <f t="shared" si="97"/>
        <v>0.14733066621137825</v>
      </c>
      <c r="AB100" s="1" cm="1">
        <f t="array" ref="AB100">IF(N100="USD",1,_xll.BDP(N100&amp;"USD CURNCY","PX_LAST"))</f>
        <v>1</v>
      </c>
      <c r="AC100" s="80"/>
      <c r="AD100" s="81">
        <f t="shared" si="98"/>
        <v>0</v>
      </c>
      <c r="AE100" s="80">
        <v>494603.28193398903</v>
      </c>
      <c r="AF100" s="81">
        <f t="shared" si="99"/>
        <v>22682506.509492736</v>
      </c>
      <c r="AG100" s="80">
        <v>948538.64421047003</v>
      </c>
      <c r="AH100" s="81">
        <f t="shared" si="100"/>
        <v>43499982.223492153</v>
      </c>
      <c r="AI100" s="80">
        <v>1199676.1539545399</v>
      </c>
      <c r="AJ100" s="81">
        <f t="shared" si="101"/>
        <v>55017148.420355201</v>
      </c>
      <c r="AK100" s="80">
        <v>1778531.5438386099</v>
      </c>
      <c r="AL100" s="81">
        <f t="shared" si="102"/>
        <v>81563456.600438654</v>
      </c>
    </row>
    <row r="101" spans="1:38" x14ac:dyDescent="0.2">
      <c r="A101" s="90"/>
      <c r="C101" s="86" t="str" cm="1">
        <f t="array" ref="C101">_xll.BDP(D101&amp;" Equity","DS520")</f>
        <v>iShares 20+ Year Treasury Bond ETF</v>
      </c>
      <c r="D101" s="45" t="s">
        <v>481</v>
      </c>
      <c r="E101" s="45" t="s">
        <v>596</v>
      </c>
      <c r="F101" s="45" t="s">
        <v>33</v>
      </c>
      <c r="G101" s="45" t="s">
        <v>26</v>
      </c>
      <c r="H101" s="45" t="str" cm="1">
        <f t="array" ref="H101">_xll.BDP(D101&amp;" Equity", "ID_ISIN")</f>
        <v>US4642874329</v>
      </c>
      <c r="I101" s="45"/>
      <c r="J101" s="34" t="str" cm="1">
        <f t="array" ref="J101">_xll.BDP(D101&amp;" Equity","FD121")</f>
        <v>Fixed Income</v>
      </c>
      <c r="K101" s="34" t="s">
        <v>458</v>
      </c>
      <c r="L101" s="34" t="s">
        <v>467</v>
      </c>
      <c r="M101" s="34" t="str">
        <f>_xll.BDP(D101&amp;" Equity", "DS197")</f>
        <v>NASDAQ GM</v>
      </c>
      <c r="N101" s="34" t="str">
        <f>_xll.BDP(D101&amp;" Equity", "DS004")</f>
        <v>USD</v>
      </c>
      <c r="O101" s="111">
        <f>_xll.BDP(D101&amp;" Equity", "FUND_EXPENSE_RATIO")</f>
        <v>0.15</v>
      </c>
      <c r="P101" s="45">
        <f>_xll.BDP(D101&amp;" Equity","PX_LAST")</f>
        <v>88.79</v>
      </c>
      <c r="Q101" s="112">
        <f t="shared" si="89"/>
        <v>0</v>
      </c>
      <c r="R101" s="112"/>
      <c r="S101" s="113">
        <f t="shared" si="90"/>
        <v>1.2499573942498166E-2</v>
      </c>
      <c r="T101" s="113">
        <f t="shared" si="91"/>
        <v>1.1873320439908328E-2</v>
      </c>
      <c r="U101" s="114">
        <f t="shared" si="92"/>
        <v>2.4978403072509561E-2</v>
      </c>
      <c r="V101" s="114">
        <f t="shared" si="93"/>
        <v>2.3716688784335235E-2</v>
      </c>
      <c r="W101" s="115">
        <f t="shared" si="94"/>
        <v>3.2283255258289741E-2</v>
      </c>
      <c r="X101" s="115">
        <f t="shared" si="95"/>
        <v>3.066772604394195E-2</v>
      </c>
      <c r="Y101" s="144">
        <f t="shared" si="96"/>
        <v>5.084925798142962E-2</v>
      </c>
      <c r="Z101" s="144">
        <f t="shared" si="97"/>
        <v>4.8307665150472148E-2</v>
      </c>
      <c r="AB101" s="1" cm="1">
        <f t="array" ref="AB101">IF(N101="USD",1,_xll.BDP(N101&amp;"USD CURNCY","PX_LAST"))</f>
        <v>1</v>
      </c>
      <c r="AC101" s="80"/>
      <c r="AD101" s="81">
        <f t="shared" si="98"/>
        <v>0</v>
      </c>
      <c r="AE101" s="80">
        <v>83562.053112709298</v>
      </c>
      <c r="AF101" s="81">
        <f t="shared" si="99"/>
        <v>7419474.6958774589</v>
      </c>
      <c r="AG101" s="80">
        <v>160915.56146987199</v>
      </c>
      <c r="AH101" s="81">
        <f t="shared" si="100"/>
        <v>14287692.702909935</v>
      </c>
      <c r="AI101" s="80">
        <v>203064.77738033401</v>
      </c>
      <c r="AJ101" s="81">
        <f t="shared" si="101"/>
        <v>18030121.583599858</v>
      </c>
      <c r="AK101" s="80">
        <v>301199.648837635</v>
      </c>
      <c r="AL101" s="81">
        <f t="shared" si="102"/>
        <v>26743516.820293613</v>
      </c>
    </row>
    <row r="102" spans="1:38" x14ac:dyDescent="0.2">
      <c r="A102" s="90"/>
      <c r="C102" s="86" t="str" cm="1">
        <f t="array" ref="C102">_xll.BDP(D102&amp;" Equity","DS520")</f>
        <v>iShares 7-10 Year Treasury Bond ETF</v>
      </c>
      <c r="D102" s="45" t="s">
        <v>486</v>
      </c>
      <c r="E102" s="45" t="s">
        <v>600</v>
      </c>
      <c r="F102" s="45" t="s">
        <v>33</v>
      </c>
      <c r="G102" s="45" t="s">
        <v>26</v>
      </c>
      <c r="H102" s="45" t="str" cm="1">
        <f t="array" ref="H102">_xll.BDP(D102&amp;" Equity", "ID_ISIN")</f>
        <v>US4642874402</v>
      </c>
      <c r="I102" s="45"/>
      <c r="J102" s="34" t="str" cm="1">
        <f t="array" ref="J102">_xll.BDP(D102&amp;" Equity","FD121")</f>
        <v>Fixed Income</v>
      </c>
      <c r="K102" s="34" t="s">
        <v>458</v>
      </c>
      <c r="L102" s="34" t="s">
        <v>468</v>
      </c>
      <c r="M102" s="34" t="str">
        <f>_xll.BDP(D102&amp;" Equity", "DS197")</f>
        <v>NASDAQ GM</v>
      </c>
      <c r="N102" s="34" t="str">
        <f>_xll.BDP(D102&amp;" Equity", "DS004")</f>
        <v>USD</v>
      </c>
      <c r="O102" s="111">
        <f>_xll.BDP(D102&amp;" Equity", "FUND_EXPENSE_RATIO")</f>
        <v>0.15</v>
      </c>
      <c r="P102" s="45">
        <f>_xll.BDP(D102&amp;" Equity","PX_LAST")</f>
        <v>96.51</v>
      </c>
      <c r="Q102" s="112">
        <f t="shared" si="89"/>
        <v>0</v>
      </c>
      <c r="R102" s="112"/>
      <c r="S102" s="113">
        <f t="shared" si="90"/>
        <v>7.706691167300439E-2</v>
      </c>
      <c r="T102" s="113">
        <f t="shared" si="91"/>
        <v>7.3205706195839562E-2</v>
      </c>
      <c r="U102" s="114">
        <f t="shared" si="92"/>
        <v>0.15337215067826487</v>
      </c>
      <c r="V102" s="114">
        <f t="shared" si="93"/>
        <v>0.14562498472225685</v>
      </c>
      <c r="W102" s="115">
        <f t="shared" si="94"/>
        <v>0.1987713573521131</v>
      </c>
      <c r="X102" s="115">
        <f t="shared" si="95"/>
        <v>0.18882437610103728</v>
      </c>
      <c r="Y102" s="144">
        <f t="shared" si="96"/>
        <v>0.31276387470546002</v>
      </c>
      <c r="Z102" s="144">
        <f t="shared" si="97"/>
        <v>0.29713103258956941</v>
      </c>
      <c r="AB102" s="1" cm="1">
        <f t="array" ref="AB102">IF(N102="USD",1,_xll.BDP(N102&amp;"USD CURNCY","PX_LAST"))</f>
        <v>1</v>
      </c>
      <c r="AC102" s="80"/>
      <c r="AD102" s="81">
        <f t="shared" si="98"/>
        <v>0</v>
      </c>
      <c r="AE102" s="80">
        <v>473994.81185340602</v>
      </c>
      <c r="AF102" s="81">
        <f t="shared" si="99"/>
        <v>45745239.29197222</v>
      </c>
      <c r="AG102" s="80">
        <v>909016.20070170006</v>
      </c>
      <c r="AH102" s="81">
        <f t="shared" si="100"/>
        <v>87729153.529721081</v>
      </c>
      <c r="AI102" s="80">
        <v>1150278.02504619</v>
      </c>
      <c r="AJ102" s="81">
        <f t="shared" si="101"/>
        <v>111013332.19720781</v>
      </c>
      <c r="AK102" s="80">
        <v>1704426.06284534</v>
      </c>
      <c r="AL102" s="81">
        <f t="shared" si="102"/>
        <v>164494159.32520378</v>
      </c>
    </row>
    <row r="103" spans="1:38" x14ac:dyDescent="0.2">
      <c r="A103" s="91"/>
      <c r="B103" s="3"/>
      <c r="C103" s="86" t="str" cm="1">
        <f t="array" ref="C103">_xll.BDP(D103&amp;" Curncy","DS520")</f>
        <v>USDUSD Spot Exchange Rate - Price of 1 USD in USD</v>
      </c>
      <c r="D103" s="146" t="s">
        <v>34</v>
      </c>
      <c r="E103" s="146"/>
      <c r="F103" s="146"/>
      <c r="G103" s="146"/>
      <c r="H103" s="146"/>
      <c r="I103" s="146"/>
      <c r="J103" s="34" t="s">
        <v>80</v>
      </c>
      <c r="K103" s="34" t="s">
        <v>80</v>
      </c>
      <c r="L103" s="34"/>
      <c r="M103" s="34"/>
      <c r="N103" s="34" t="str">
        <f>_xll.BDP(D103&amp;" Curncy", "DS004")</f>
        <v>USD</v>
      </c>
      <c r="O103" s="111"/>
      <c r="P103" s="45">
        <f>_xll.BDP(D103&amp;" Curncy","PX_LAST")</f>
        <v>1</v>
      </c>
      <c r="Q103" s="112">
        <f t="shared" si="89"/>
        <v>5.1213192046914548E-3</v>
      </c>
      <c r="R103" s="112">
        <f>R120</f>
        <v>5.475E-2</v>
      </c>
      <c r="S103" s="113">
        <f t="shared" si="90"/>
        <v>4.893169611312519E-3</v>
      </c>
      <c r="T103" s="113">
        <f>$T$120</f>
        <v>5.475E-2</v>
      </c>
      <c r="U103" s="114">
        <f t="shared" si="92"/>
        <v>4.463240252808324E-3</v>
      </c>
      <c r="V103" s="114">
        <f>$V$120</f>
        <v>5.475E-2</v>
      </c>
      <c r="W103" s="115">
        <f t="shared" si="94"/>
        <v>4.9556661235923387E-3</v>
      </c>
      <c r="X103" s="115">
        <f>X120</f>
        <v>5.475E-2</v>
      </c>
      <c r="Y103" s="144">
        <f t="shared" si="96"/>
        <v>5.0179209193973043E-3</v>
      </c>
      <c r="Z103" s="144">
        <f>$Z$120</f>
        <v>5.475E-2</v>
      </c>
      <c r="AB103" s="1" cm="1">
        <f t="array" ref="AB103">IF(N103="USD",1,_xll.BDP(N103&amp;"USD CURNCY","PX_LAST"))</f>
        <v>1</v>
      </c>
      <c r="AC103" s="80">
        <v>3095175.4222905701</v>
      </c>
      <c r="AD103" s="81">
        <f t="shared" si="98"/>
        <v>3095175.4222905701</v>
      </c>
      <c r="AE103" s="80">
        <v>2904478.84710172</v>
      </c>
      <c r="AF103" s="81">
        <f t="shared" si="99"/>
        <v>2904478.84710172</v>
      </c>
      <c r="AG103" s="80">
        <v>2552981.6700558402</v>
      </c>
      <c r="AH103" s="81">
        <f t="shared" si="100"/>
        <v>2552981.6700558402</v>
      </c>
      <c r="AI103" s="80">
        <v>2767727.7901878599</v>
      </c>
      <c r="AJ103" s="81">
        <f t="shared" si="101"/>
        <v>2767727.7901878599</v>
      </c>
      <c r="AK103" s="80">
        <v>2639111.32311536</v>
      </c>
      <c r="AL103" s="81">
        <f t="shared" si="102"/>
        <v>2639111.32311536</v>
      </c>
    </row>
    <row r="104" spans="1:38" x14ac:dyDescent="0.2">
      <c r="A104" s="90"/>
      <c r="C104" s="86"/>
      <c r="D104" s="146"/>
      <c r="E104" s="146"/>
      <c r="F104" s="146"/>
      <c r="G104" s="146"/>
      <c r="H104" s="146"/>
      <c r="I104" s="146"/>
      <c r="J104" s="34"/>
      <c r="K104" s="34"/>
      <c r="L104" s="34"/>
      <c r="M104" s="34"/>
      <c r="N104" s="34"/>
      <c r="O104" s="111"/>
      <c r="P104" s="45"/>
      <c r="Q104" s="112"/>
      <c r="R104" s="112"/>
      <c r="S104" s="113"/>
      <c r="T104" s="113"/>
      <c r="U104" s="114"/>
      <c r="V104" s="114"/>
      <c r="W104" s="115"/>
      <c r="X104" s="115"/>
      <c r="Y104" s="144"/>
      <c r="Z104" s="144"/>
      <c r="AC104" s="40"/>
      <c r="AD104" s="82">
        <f>SUM(AD85:AD103)</f>
        <v>604370729.2166425</v>
      </c>
      <c r="AE104" s="40"/>
      <c r="AF104" s="82">
        <f>SUM(AF85:AF103)</f>
        <v>593578207.54605675</v>
      </c>
      <c r="AG104" s="40"/>
      <c r="AH104" s="82">
        <f>SUM(AH85:AH103)</f>
        <v>572001847.41331673</v>
      </c>
      <c r="AI104" s="40"/>
      <c r="AJ104" s="82">
        <f>SUM(AJ85:AJ103)</f>
        <v>558497631.0271579</v>
      </c>
      <c r="AK104" s="40"/>
      <c r="AL104" s="82">
        <f>SUM(AL85:AL103)</f>
        <v>525937208.95711923</v>
      </c>
    </row>
    <row r="105" spans="1:38" x14ac:dyDescent="0.2">
      <c r="A105" s="90"/>
      <c r="C105" s="119"/>
      <c r="D105" s="122"/>
      <c r="E105" s="122"/>
      <c r="F105" s="122"/>
      <c r="G105" s="122"/>
      <c r="H105" s="122"/>
      <c r="I105" s="122"/>
      <c r="J105" s="77"/>
      <c r="K105" s="77"/>
      <c r="L105" s="77"/>
      <c r="M105" s="77"/>
      <c r="N105" s="77"/>
      <c r="O105" s="77"/>
      <c r="P105" s="121" t="s">
        <v>81</v>
      </c>
      <c r="Q105" s="107">
        <f>SUM(Q85:Q103)</f>
        <v>1</v>
      </c>
      <c r="R105" s="107"/>
      <c r="S105" s="108">
        <f t="shared" ref="S105:Y105" si="104">SUM(S85:S103)</f>
        <v>1.0000000000000002</v>
      </c>
      <c r="T105" s="108">
        <f t="shared" si="104"/>
        <v>1</v>
      </c>
      <c r="U105" s="109">
        <f t="shared" si="104"/>
        <v>0.99999999999999989</v>
      </c>
      <c r="V105" s="109">
        <f t="shared" si="104"/>
        <v>0.99999999999999989</v>
      </c>
      <c r="W105" s="110">
        <f t="shared" si="104"/>
        <v>1.0000000000000002</v>
      </c>
      <c r="X105" s="110">
        <f t="shared" si="104"/>
        <v>1</v>
      </c>
      <c r="Y105" s="143">
        <f t="shared" si="104"/>
        <v>1</v>
      </c>
      <c r="Z105" s="143">
        <f>SUM(Z96:Z103)</f>
        <v>1</v>
      </c>
    </row>
    <row r="106" spans="1:38" x14ac:dyDescent="0.2">
      <c r="A106" s="90"/>
      <c r="C106" s="119"/>
      <c r="D106" s="122"/>
      <c r="E106" s="122"/>
      <c r="F106" s="122"/>
      <c r="G106" s="122"/>
      <c r="H106" s="122"/>
      <c r="I106" s="122"/>
      <c r="J106" s="77"/>
      <c r="K106" s="77"/>
      <c r="L106" s="77"/>
      <c r="M106" s="77"/>
      <c r="N106" s="77"/>
      <c r="O106" s="77"/>
      <c r="P106" s="122" t="s">
        <v>470</v>
      </c>
      <c r="Q106" s="112">
        <f>SUMIF($J$85:$J$103,$P$106,Q$85:Q$103)</f>
        <v>0.9948786807953085</v>
      </c>
      <c r="R106" s="112"/>
      <c r="S106" s="113">
        <f>SUMIF($J$85:$J$103,$P$106,S$85:S$103)</f>
        <v>0.7202830699167353</v>
      </c>
      <c r="T106" s="113"/>
      <c r="U106" s="114">
        <f>SUMIF($J$85:$J$103,$P$106,U$85:U$103)</f>
        <v>0.47817888073281656</v>
      </c>
      <c r="V106" s="114"/>
      <c r="W106" s="115">
        <f>SUMIF($J$85:$J$103,$P$106,W$85:W$103)</f>
        <v>0.33350464719851619</v>
      </c>
      <c r="X106" s="115"/>
      <c r="Y106" s="144">
        <f>SUMIF($J$85:$J$103,$P$106,Y$85:Y$103)</f>
        <v>0</v>
      </c>
      <c r="Z106" s="144"/>
    </row>
    <row r="107" spans="1:38" x14ac:dyDescent="0.2">
      <c r="A107" s="90"/>
      <c r="C107" s="119"/>
      <c r="D107" s="122"/>
      <c r="E107" s="122"/>
      <c r="F107" s="122"/>
      <c r="G107" s="122"/>
      <c r="H107" s="122"/>
      <c r="I107" s="122"/>
      <c r="J107" s="77"/>
      <c r="K107" s="77"/>
      <c r="L107" s="77"/>
      <c r="M107" s="77"/>
      <c r="N107" s="77"/>
      <c r="O107" s="77"/>
      <c r="P107" s="123" t="s">
        <v>453</v>
      </c>
      <c r="Q107" s="112">
        <f>SUMIF($K$85:$K$103,$P$107,Q$85:Q$103)</f>
        <v>6.0036123324575717E-2</v>
      </c>
      <c r="R107" s="112"/>
      <c r="S107" s="113">
        <f>SUMIF($K$85:$K$103,$P$107,S$85:S$103)</f>
        <v>4.3419525310063101E-2</v>
      </c>
      <c r="T107" s="113"/>
      <c r="U107" s="114">
        <f>SUMIF($K$85:$K$103,$P$107,U$85:U$103)</f>
        <v>2.893543325586458E-2</v>
      </c>
      <c r="V107" s="114"/>
      <c r="W107" s="115">
        <f>SUMIF($K$85:$K$103,$P$107,W$85:W$103)</f>
        <v>2.0155133349796208E-2</v>
      </c>
      <c r="X107" s="115"/>
      <c r="Y107" s="144">
        <f>SUMIF($K$85:$K$103,$P$107,Y$85:Y$103)</f>
        <v>0</v>
      </c>
      <c r="Z107" s="144"/>
    </row>
    <row r="108" spans="1:38" x14ac:dyDescent="0.2">
      <c r="A108" s="90"/>
      <c r="C108" s="119"/>
      <c r="D108" s="122"/>
      <c r="E108" s="122"/>
      <c r="F108" s="122"/>
      <c r="G108" s="122"/>
      <c r="H108" s="122"/>
      <c r="I108" s="122"/>
      <c r="J108" s="77"/>
      <c r="K108" s="77"/>
      <c r="L108" s="77"/>
      <c r="M108" s="77"/>
      <c r="N108" s="77"/>
      <c r="O108" s="77"/>
      <c r="P108" s="123" t="s">
        <v>443</v>
      </c>
      <c r="Q108" s="112">
        <f>SUMIF($K$85:$K$103,$P$108,Q$85:Q$103)</f>
        <v>0.40843086232185721</v>
      </c>
      <c r="R108" s="112"/>
      <c r="S108" s="113">
        <f>SUMIF($K$85:$K$103,$P$108,S$85:S$103)</f>
        <v>0.325410934726311</v>
      </c>
      <c r="T108" s="113"/>
      <c r="U108" s="114">
        <f>SUMIF($K$85:$K$103,$P$108,U$85:U$103)</f>
        <v>0.22572717061026493</v>
      </c>
      <c r="V108" s="114"/>
      <c r="W108" s="115">
        <f>SUMIF($K$85:$K$103,$P$108,W$85:W$103)</f>
        <v>0.16630665397270333</v>
      </c>
      <c r="X108" s="115"/>
      <c r="Y108" s="144">
        <f>SUMIF($K$85:$K$103,$P$108,Y$85:Y$103)</f>
        <v>0</v>
      </c>
      <c r="Z108" s="144"/>
    </row>
    <row r="109" spans="1:38" x14ac:dyDescent="0.2">
      <c r="A109" s="90"/>
      <c r="C109" s="119"/>
      <c r="D109" s="122"/>
      <c r="E109" s="122"/>
      <c r="F109" s="122"/>
      <c r="G109" s="122"/>
      <c r="H109" s="122"/>
      <c r="I109" s="122"/>
      <c r="J109" s="77"/>
      <c r="K109" s="77"/>
      <c r="L109" s="77"/>
      <c r="M109" s="77"/>
      <c r="N109" s="77"/>
      <c r="O109" s="77"/>
      <c r="P109" s="123" t="s">
        <v>446</v>
      </c>
      <c r="Q109" s="112">
        <f>SUMIF($K$85:$K$103,$P$109,Q$85:Q$103)</f>
        <v>0.49609598366159213</v>
      </c>
      <c r="R109" s="112"/>
      <c r="S109" s="113">
        <f>SUMIF($K$85:$K$103,$P$109,S$85:S$103)</f>
        <v>0.35915024690646752</v>
      </c>
      <c r="T109" s="113"/>
      <c r="U109" s="114">
        <f>SUMIF($K$85:$K$103,$P$109,U$85:U$103)</f>
        <v>0.2383813854851668</v>
      </c>
      <c r="V109" s="114"/>
      <c r="W109" s="115">
        <f>SUMIF($K$85:$K$103,$P$109,W$85:W$103)</f>
        <v>0.16625411501728221</v>
      </c>
      <c r="X109" s="115"/>
      <c r="Y109" s="144">
        <f>SUMIF($K$85:$K$103,$P$109,Y$85:Y$103)</f>
        <v>0</v>
      </c>
      <c r="Z109" s="144"/>
    </row>
    <row r="110" spans="1:38" x14ac:dyDescent="0.2">
      <c r="A110" s="90"/>
      <c r="C110" s="119"/>
      <c r="D110" s="122"/>
      <c r="E110" s="122"/>
      <c r="F110" s="122"/>
      <c r="G110" s="122"/>
      <c r="H110" s="122"/>
      <c r="I110" s="122"/>
      <c r="J110" s="77" t="s">
        <v>471</v>
      </c>
      <c r="K110" s="77"/>
      <c r="L110" s="77"/>
      <c r="M110" s="77"/>
      <c r="N110" s="77"/>
      <c r="O110" s="77"/>
      <c r="P110" s="122" t="s">
        <v>458</v>
      </c>
      <c r="Q110" s="112">
        <f>SUMIF($K$85:$K$103,$P$110,Q$85:Q$103)</f>
        <v>0</v>
      </c>
      <c r="R110" s="112"/>
      <c r="S110" s="113">
        <f>SUMIF($K$85:$K$103,$P$110,S$85:S$103)</f>
        <v>0.24520109349182442</v>
      </c>
      <c r="T110" s="113"/>
      <c r="U110" s="114">
        <f>SUMIF($K$85:$K$103,$P$110,U$85:U$103)</f>
        <v>0.48788159635985873</v>
      </c>
      <c r="V110" s="114"/>
      <c r="W110" s="115">
        <f>SUMIF($K$85:$K$103,$P$110,W$85:W$103)</f>
        <v>0.63215093882416706</v>
      </c>
      <c r="X110" s="115"/>
      <c r="Y110" s="144">
        <f>SUMIF($K$85:$K$103,$P$110,Y$85:Y$103)</f>
        <v>0.99498207908060277</v>
      </c>
      <c r="Z110" s="144"/>
    </row>
    <row r="111" spans="1:38" x14ac:dyDescent="0.2">
      <c r="A111" s="90"/>
      <c r="C111" s="119"/>
      <c r="D111" s="122"/>
      <c r="E111" s="122"/>
      <c r="F111" s="122"/>
      <c r="G111" s="122"/>
      <c r="H111" s="122"/>
      <c r="I111" s="122"/>
      <c r="J111" s="77"/>
      <c r="K111" s="77"/>
      <c r="L111" s="77"/>
      <c r="M111" s="77"/>
      <c r="N111" s="77"/>
      <c r="O111" s="77"/>
      <c r="P111" s="122" t="s">
        <v>447</v>
      </c>
      <c r="Q111" s="112">
        <f>SUMIF($K$85:$K$103,$P$111,Q$85:Q$103)</f>
        <v>3.0315711487283431E-2</v>
      </c>
      <c r="R111" s="112"/>
      <c r="S111" s="113">
        <f>SUMIF($K$85:$K$103,$P$111,S$85:S$103)</f>
        <v>2.192502995402177E-2</v>
      </c>
      <c r="T111" s="113"/>
      <c r="U111" s="114">
        <f>SUMIF($K$85:$K$103,$P$111,U$85:U$103)</f>
        <v>1.4611174036036643E-2</v>
      </c>
      <c r="V111" s="114"/>
      <c r="W111" s="115">
        <f>SUMIF($K$85:$K$103,$P$111,W$85:W$103)</f>
        <v>1.0177492712458752E-2</v>
      </c>
      <c r="X111" s="115"/>
      <c r="Y111" s="144">
        <f>SUMIF($K$85:$K$103,$P$111,Y$85:Y$103)</f>
        <v>0</v>
      </c>
      <c r="Z111" s="144"/>
    </row>
    <row r="112" spans="1:38" x14ac:dyDescent="0.2">
      <c r="A112" s="90"/>
      <c r="C112" s="119"/>
      <c r="D112" s="122"/>
      <c r="E112" s="122"/>
      <c r="F112" s="122"/>
      <c r="G112" s="122"/>
      <c r="H112" s="122"/>
      <c r="I112" s="122"/>
      <c r="J112" s="77"/>
      <c r="K112" s="77"/>
      <c r="L112" s="77"/>
      <c r="M112" s="77"/>
      <c r="N112" s="77"/>
      <c r="O112" s="77"/>
      <c r="P112" s="122" t="s">
        <v>80</v>
      </c>
      <c r="Q112" s="112">
        <f>Q103</f>
        <v>5.1213192046914548E-3</v>
      </c>
      <c r="R112" s="112"/>
      <c r="S112" s="113">
        <f t="shared" ref="S112:Y112" si="105">S103</f>
        <v>4.893169611312519E-3</v>
      </c>
      <c r="T112" s="113"/>
      <c r="U112" s="114">
        <f t="shared" si="105"/>
        <v>4.463240252808324E-3</v>
      </c>
      <c r="V112" s="114"/>
      <c r="W112" s="115">
        <f t="shared" si="105"/>
        <v>4.9556661235923387E-3</v>
      </c>
      <c r="X112" s="115"/>
      <c r="Y112" s="144">
        <f t="shared" si="105"/>
        <v>5.0179209193973043E-3</v>
      </c>
      <c r="Z112" s="144"/>
    </row>
    <row r="113" spans="1:30" x14ac:dyDescent="0.2">
      <c r="A113" s="90"/>
      <c r="C113" s="119"/>
      <c r="D113" s="122"/>
      <c r="E113" s="122"/>
      <c r="F113" s="122"/>
      <c r="G113" s="122"/>
      <c r="H113" s="122"/>
      <c r="I113" s="122"/>
      <c r="J113" s="77"/>
      <c r="K113" s="77"/>
      <c r="L113" s="77"/>
      <c r="M113" s="77"/>
      <c r="N113" s="77"/>
      <c r="O113" s="77"/>
      <c r="P113" s="121"/>
      <c r="Q113" s="107"/>
      <c r="R113" s="107"/>
      <c r="S113" s="108"/>
      <c r="T113" s="108"/>
      <c r="U113" s="109"/>
      <c r="V113" s="109"/>
      <c r="W113" s="110"/>
      <c r="X113" s="110"/>
      <c r="Y113" s="143"/>
      <c r="Z113" s="143"/>
    </row>
    <row r="114" spans="1:30" x14ac:dyDescent="0.2">
      <c r="A114" s="90"/>
      <c r="C114" s="119"/>
      <c r="D114" s="122"/>
      <c r="E114" s="122"/>
      <c r="F114" s="122"/>
      <c r="G114" s="122"/>
      <c r="H114" s="122"/>
      <c r="I114" s="122"/>
      <c r="J114" s="77"/>
      <c r="K114" s="77"/>
      <c r="L114" s="77"/>
      <c r="M114" s="77"/>
      <c r="N114" s="77"/>
      <c r="O114" s="77"/>
      <c r="P114" s="121" t="s">
        <v>437</v>
      </c>
      <c r="Q114" s="125">
        <f>SUMPRODUCT(Q85:Q103,$O85:$O103)/Q105</f>
        <v>0.13241045843705493</v>
      </c>
      <c r="R114" s="125"/>
      <c r="S114" s="126">
        <f>SUMPRODUCT(S85:S103,$O85:$O103)/S105</f>
        <v>0.16866159837182582</v>
      </c>
      <c r="T114" s="126"/>
      <c r="U114" s="127">
        <f>SUMPRODUCT(U85:U103,$O85:$O103)/U105</f>
        <v>0.1917079189140859</v>
      </c>
      <c r="V114" s="127"/>
      <c r="W114" s="128">
        <f>SUMPRODUCT(W85:W103,$O85:$O103)/W105</f>
        <v>0.20529652492626285</v>
      </c>
      <c r="X114" s="128"/>
      <c r="Y114" s="147">
        <f>SUMPRODUCT(Y85:Y103,$O85:$O103)/Y105</f>
        <v>0.22687447449583886</v>
      </c>
      <c r="Z114" s="147"/>
    </row>
    <row r="115" spans="1:30" ht="15" thickBot="1" x14ac:dyDescent="0.25">
      <c r="A115" s="90"/>
    </row>
    <row r="116" spans="1:30" x14ac:dyDescent="0.2">
      <c r="A116" s="93" t="s">
        <v>0</v>
      </c>
      <c r="D116" s="83"/>
      <c r="Q116" s="129" t="s">
        <v>86</v>
      </c>
      <c r="R116" s="130">
        <v>100000</v>
      </c>
      <c r="S116" s="129" t="s">
        <v>86</v>
      </c>
      <c r="T116" s="130">
        <v>100000</v>
      </c>
      <c r="U116" s="129" t="s">
        <v>86</v>
      </c>
      <c r="V116" s="130">
        <v>100000</v>
      </c>
      <c r="W116" s="129" t="s">
        <v>86</v>
      </c>
      <c r="X116" s="130">
        <v>100000</v>
      </c>
      <c r="Y116" s="129" t="s">
        <v>86</v>
      </c>
      <c r="Z116" s="130">
        <v>100000</v>
      </c>
    </row>
    <row r="117" spans="1:30" x14ac:dyDescent="0.2">
      <c r="A117" s="93"/>
      <c r="D117" s="83"/>
      <c r="Q117" s="132" t="s">
        <v>85</v>
      </c>
      <c r="R117" s="133">
        <v>5000</v>
      </c>
      <c r="S117" s="132" t="s">
        <v>85</v>
      </c>
      <c r="T117" s="133">
        <v>5000</v>
      </c>
      <c r="U117" s="132" t="s">
        <v>85</v>
      </c>
      <c r="V117" s="133">
        <v>5000</v>
      </c>
      <c r="W117" s="132" t="s">
        <v>85</v>
      </c>
      <c r="X117" s="133">
        <v>5000</v>
      </c>
      <c r="Y117" s="132" t="s">
        <v>85</v>
      </c>
      <c r="Z117" s="133">
        <v>5000</v>
      </c>
    </row>
    <row r="118" spans="1:30" x14ac:dyDescent="0.2">
      <c r="A118" s="93"/>
      <c r="D118" s="83"/>
      <c r="Q118" s="132" t="s">
        <v>88</v>
      </c>
      <c r="R118" s="134">
        <f>(R116-R117)*0.5%</f>
        <v>475</v>
      </c>
      <c r="S118" s="132" t="s">
        <v>88</v>
      </c>
      <c r="T118" s="134">
        <f>(T116-T117)*0.5%</f>
        <v>475</v>
      </c>
      <c r="U118" s="132" t="s">
        <v>88</v>
      </c>
      <c r="V118" s="134">
        <f>(V116-V117)*0.5%</f>
        <v>475</v>
      </c>
      <c r="W118" s="132" t="s">
        <v>88</v>
      </c>
      <c r="X118" s="134">
        <f>(X116-X117)*0.5%</f>
        <v>475</v>
      </c>
      <c r="Y118" s="132" t="s">
        <v>88</v>
      </c>
      <c r="Z118" s="134">
        <f>(Z116-Z117)*0.5%</f>
        <v>475</v>
      </c>
    </row>
    <row r="119" spans="1:30" x14ac:dyDescent="0.2">
      <c r="A119" s="93"/>
      <c r="D119" s="83"/>
      <c r="Q119" s="132" t="s">
        <v>87</v>
      </c>
      <c r="R119" s="134">
        <f>R117+R118</f>
        <v>5475</v>
      </c>
      <c r="S119" s="132" t="s">
        <v>87</v>
      </c>
      <c r="T119" s="134">
        <f>T117+T118</f>
        <v>5475</v>
      </c>
      <c r="U119" s="132" t="s">
        <v>87</v>
      </c>
      <c r="V119" s="134">
        <f>V117+V118</f>
        <v>5475</v>
      </c>
      <c r="W119" s="132" t="s">
        <v>87</v>
      </c>
      <c r="X119" s="134">
        <f>X117+X118</f>
        <v>5475</v>
      </c>
      <c r="Y119" s="132" t="s">
        <v>87</v>
      </c>
      <c r="Z119" s="134">
        <f>Z117+Z118</f>
        <v>5475</v>
      </c>
    </row>
    <row r="120" spans="1:30" ht="15" thickBot="1" x14ac:dyDescent="0.25">
      <c r="A120" s="93"/>
      <c r="D120" s="83"/>
      <c r="Q120" s="136" t="s">
        <v>89</v>
      </c>
      <c r="R120" s="137">
        <f>R119/R116</f>
        <v>5.475E-2</v>
      </c>
      <c r="S120" s="136" t="s">
        <v>89</v>
      </c>
      <c r="T120" s="137">
        <f>T119/T116</f>
        <v>5.475E-2</v>
      </c>
      <c r="U120" s="136" t="s">
        <v>89</v>
      </c>
      <c r="V120" s="137">
        <f>V119/V116</f>
        <v>5.475E-2</v>
      </c>
      <c r="W120" s="136" t="s">
        <v>89</v>
      </c>
      <c r="X120" s="137">
        <f>X119/X116</f>
        <v>5.475E-2</v>
      </c>
      <c r="Y120" s="136" t="s">
        <v>89</v>
      </c>
      <c r="Z120" s="137">
        <f>Z119/Z116</f>
        <v>5.475E-2</v>
      </c>
    </row>
    <row r="121" spans="1:30" x14ac:dyDescent="0.2">
      <c r="A121" s="93"/>
      <c r="D121" s="83"/>
    </row>
    <row r="122" spans="1:30" x14ac:dyDescent="0.2">
      <c r="A122" s="94">
        <v>44785</v>
      </c>
      <c r="C122" s="95" t="s">
        <v>489</v>
      </c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</row>
    <row r="123" spans="1:30" x14ac:dyDescent="0.2">
      <c r="A123" s="90"/>
      <c r="C123" s="97" t="s">
        <v>5</v>
      </c>
      <c r="D123" s="98" t="s">
        <v>91</v>
      </c>
      <c r="E123" s="98" t="s">
        <v>533</v>
      </c>
      <c r="F123" s="98" t="s">
        <v>534</v>
      </c>
      <c r="G123" s="98" t="s">
        <v>535</v>
      </c>
      <c r="H123" s="98" t="s">
        <v>1426</v>
      </c>
      <c r="I123" s="98" t="s">
        <v>556</v>
      </c>
      <c r="J123" s="98" t="s">
        <v>434</v>
      </c>
      <c r="K123" s="98" t="s">
        <v>435</v>
      </c>
      <c r="L123" s="98"/>
      <c r="M123" s="98" t="s">
        <v>9</v>
      </c>
      <c r="N123" s="98" t="s">
        <v>13</v>
      </c>
      <c r="O123" s="98" t="s">
        <v>437</v>
      </c>
      <c r="P123" s="98" t="s">
        <v>14</v>
      </c>
      <c r="Q123" s="99" t="s">
        <v>15</v>
      </c>
      <c r="R123" s="99" t="s">
        <v>553</v>
      </c>
      <c r="S123" s="150"/>
      <c r="T123" s="150"/>
    </row>
    <row r="124" spans="1:30" x14ac:dyDescent="0.2">
      <c r="A124" s="90"/>
      <c r="C124" s="106" t="s">
        <v>16</v>
      </c>
      <c r="D124" s="45"/>
      <c r="E124" s="45"/>
      <c r="F124" s="45"/>
      <c r="G124" s="45"/>
      <c r="H124" s="45"/>
      <c r="I124" s="45"/>
      <c r="J124" s="34"/>
      <c r="K124" s="34"/>
      <c r="L124" s="34"/>
      <c r="M124" s="34"/>
      <c r="N124" s="34"/>
      <c r="O124" s="34"/>
      <c r="P124" s="34"/>
      <c r="Q124" s="151"/>
      <c r="R124" s="151"/>
      <c r="AB124" s="13" t="s">
        <v>17</v>
      </c>
      <c r="AC124" s="78" t="s">
        <v>18</v>
      </c>
      <c r="AD124" s="79" t="s">
        <v>19</v>
      </c>
    </row>
    <row r="125" spans="1:30" x14ac:dyDescent="0.2">
      <c r="A125" s="90"/>
      <c r="C125" s="86" t="str" cm="1">
        <f t="array" ref="C125">_xll.BDP(D125&amp;" Equity","DS520")</f>
        <v>WisdomTree Energy</v>
      </c>
      <c r="D125" s="145" t="s">
        <v>494</v>
      </c>
      <c r="E125" s="145" t="s">
        <v>575</v>
      </c>
      <c r="F125" s="34" t="s">
        <v>129</v>
      </c>
      <c r="G125" s="145" t="s">
        <v>26</v>
      </c>
      <c r="H125" s="45" t="str" cm="1">
        <f t="array" ref="H125">_xll.BDP(D125&amp;" Equity", "ID_ISIN")</f>
        <v>GB00B15KYB02</v>
      </c>
      <c r="I125" s="145"/>
      <c r="J125" s="34" t="str" cm="1">
        <f t="array" ref="J125">_xll.BDP(D125&amp;" Equity","FD121")</f>
        <v>Commodity</v>
      </c>
      <c r="K125" s="34"/>
      <c r="L125" s="34"/>
      <c r="M125" s="34" t="str">
        <f>_xll.BDP(D125&amp;" Equity", "DS197")</f>
        <v>London</v>
      </c>
      <c r="N125" s="34" t="str">
        <f>_xll.BDP(D125&amp;" Equity", "DS004")</f>
        <v>USD</v>
      </c>
      <c r="O125" s="111">
        <f>_xll.BDP(D125&amp;" Equity", "FUND_EXPENSE_RATIO")</f>
        <v>0.49</v>
      </c>
      <c r="P125" s="45">
        <f>_xll.BDP(D125&amp;" Equity","PX_LAST")</f>
        <v>4.1924999999999999</v>
      </c>
      <c r="Q125" s="112">
        <f t="shared" ref="Q125:Q132" si="106">AD125/$AD$135</f>
        <v>4.391982684604491E-2</v>
      </c>
      <c r="R125" s="112">
        <f t="shared" ref="R125:R132" si="107">Q125*(1-$R$141)/(1-$Q$134)</f>
        <v>4.1689781540976703E-2</v>
      </c>
      <c r="S125" s="152"/>
      <c r="T125" s="152"/>
      <c r="AB125" s="1" cm="1">
        <f t="array" ref="AB125">IF(N125="USD",1,_xll.BDP(N125&amp;"USD CURNCY","PX_LAST"))</f>
        <v>1</v>
      </c>
      <c r="AC125" s="80">
        <v>2232792.8480912601</v>
      </c>
      <c r="AD125" s="81">
        <f t="shared" ref="AD125:AD134" si="108">AC125*P125*AB125</f>
        <v>9360984.0156226084</v>
      </c>
    </row>
    <row r="126" spans="1:30" x14ac:dyDescent="0.2">
      <c r="A126" s="90"/>
      <c r="C126" s="86" t="str" cm="1">
        <f t="array" ref="C126">_xll.BDP(D126&amp;" Equity","DS520")</f>
        <v>WisdomTree Industrial Metals</v>
      </c>
      <c r="D126" s="145" t="s">
        <v>492</v>
      </c>
      <c r="E126" s="145" t="s">
        <v>578</v>
      </c>
      <c r="F126" s="1" t="s">
        <v>129</v>
      </c>
      <c r="G126" s="145" t="s">
        <v>26</v>
      </c>
      <c r="H126" s="45" t="str" cm="1">
        <f t="array" ref="H126">_xll.BDP(D126&amp;" Equity", "ID_ISIN")</f>
        <v>GB00B15KYG56</v>
      </c>
      <c r="I126" s="145"/>
      <c r="J126" s="34" t="str" cm="1">
        <f t="array" ref="J126">_xll.BDP(D126&amp;" Equity","FD121")</f>
        <v>Commodity</v>
      </c>
      <c r="K126" s="34"/>
      <c r="L126" s="34"/>
      <c r="M126" s="34" t="str">
        <f>_xll.BDP(D126&amp;" Equity", "DS197")</f>
        <v>London</v>
      </c>
      <c r="N126" s="34" t="str">
        <f>_xll.BDP(D126&amp;" Equity", "DS004")</f>
        <v>USD</v>
      </c>
      <c r="O126" s="111">
        <f>_xll.BDP(D126&amp;" Equity", "FUND_EXPENSE_RATIO")</f>
        <v>0.49</v>
      </c>
      <c r="P126" s="45">
        <f>_xll.BDP(D126&amp;" Equity","PX_LAST")</f>
        <v>18.475000000000001</v>
      </c>
      <c r="Q126" s="112">
        <f t="shared" si="106"/>
        <v>0.12117089468873708</v>
      </c>
      <c r="R126" s="112">
        <f t="shared" si="107"/>
        <v>0.11501839810083521</v>
      </c>
      <c r="S126" s="152"/>
      <c r="T126" s="152"/>
      <c r="AB126" s="1" cm="1">
        <f t="array" ref="AB126">IF(N126="USD",1,_xll.BDP(N126&amp;"USD CURNCY","PX_LAST"))</f>
        <v>1</v>
      </c>
      <c r="AC126" s="80">
        <v>1397895.6452192999</v>
      </c>
      <c r="AD126" s="81">
        <f t="shared" si="108"/>
        <v>25826122.04542657</v>
      </c>
    </row>
    <row r="127" spans="1:30" x14ac:dyDescent="0.2">
      <c r="A127" s="90"/>
      <c r="C127" s="86" t="str" cm="1">
        <f t="array" ref="C127">_xll.BDP(D127&amp;" Equity","DS520")</f>
        <v>WisdomTree Physical Bitcoin</v>
      </c>
      <c r="D127" s="145" t="s">
        <v>763</v>
      </c>
      <c r="E127" s="145" t="s">
        <v>577</v>
      </c>
      <c r="F127" s="145" t="s">
        <v>551</v>
      </c>
      <c r="G127" s="145" t="s">
        <v>26</v>
      </c>
      <c r="H127" s="45" t="str" cm="1">
        <f t="array" ref="H127">_xll.BDP(D127&amp;" Equity", "ID_ISIN")</f>
        <v>GB00BJYDH287</v>
      </c>
      <c r="I127" s="145"/>
      <c r="J127" s="34" t="str" cm="1">
        <f t="array" ref="J127">_xll.BDP(D127&amp;" Equity","FD121")</f>
        <v>Alternative</v>
      </c>
      <c r="K127" s="34"/>
      <c r="L127" s="34"/>
      <c r="M127" s="34" t="str">
        <f>_xll.BDP(D127&amp;" Equity", "DS197")</f>
        <v>SIX Swiss Ex</v>
      </c>
      <c r="N127" s="34" t="str">
        <f>_xll.BDP(D127&amp;" Equity", "DS004")</f>
        <v>USD</v>
      </c>
      <c r="O127" s="111">
        <f>_xll.BDP(D127&amp;" Equity", "FUND_EXPENSE_RATIO")</f>
        <v>0.15</v>
      </c>
      <c r="P127" s="45">
        <f>_xll.BDP(D127&amp;" Equity","PX_LAST")</f>
        <v>16.925999999999998</v>
      </c>
      <c r="Q127" s="112">
        <f t="shared" si="106"/>
        <v>5.1000188793826888E-2</v>
      </c>
      <c r="R127" s="112">
        <f t="shared" si="107"/>
        <v>4.841063551585198E-2</v>
      </c>
      <c r="S127" s="152"/>
      <c r="T127" s="152"/>
      <c r="AB127" s="1" cm="1">
        <f t="array" ref="AB127">IF(N127="USD",1,_xll.BDP(N127&amp;"USD CURNCY","PX_LAST"))</f>
        <v>1</v>
      </c>
      <c r="AC127" s="80">
        <v>642211.87487957894</v>
      </c>
      <c r="AD127" s="81">
        <f t="shared" si="108"/>
        <v>10870078.194211753</v>
      </c>
    </row>
    <row r="128" spans="1:30" x14ac:dyDescent="0.2">
      <c r="A128" s="90"/>
      <c r="C128" s="86" t="str" cm="1">
        <f t="array" ref="C128">_xll.BDP(D128&amp;" Equity","DS520")</f>
        <v>WisdomTree Physical Ethereum</v>
      </c>
      <c r="D128" s="45" t="s">
        <v>532</v>
      </c>
      <c r="E128" s="45" t="s">
        <v>766</v>
      </c>
      <c r="F128" s="145" t="s">
        <v>551</v>
      </c>
      <c r="G128" s="145" t="s">
        <v>26</v>
      </c>
      <c r="H128" s="45" t="str" cm="1">
        <f t="array" ref="H128">_xll.BDP(D128&amp;" Equity", "ID_ISIN")</f>
        <v>GB00BJYDH394</v>
      </c>
      <c r="I128" s="45"/>
      <c r="J128" s="34" t="str" cm="1">
        <f t="array" ref="J128">_xll.BDP(D128&amp;" Equity","FD121")</f>
        <v>Alternative</v>
      </c>
      <c r="K128" s="34"/>
      <c r="L128" s="34"/>
      <c r="M128" s="34" t="str">
        <f>_xll.BDP(D128&amp;" Equity", "DS197")</f>
        <v>SIX Swiss Ex</v>
      </c>
      <c r="N128" s="34" t="str">
        <f>_xll.BDP(D128&amp;" Equity", "DS004")</f>
        <v>CHF</v>
      </c>
      <c r="O128" s="111">
        <f>_xll.BDP(D128&amp;" Equity", "FUND_EXPENSE_RATIO")</f>
        <v>0.35</v>
      </c>
      <c r="P128" s="45">
        <f>_xll.BDP(D128&amp;" Equity","PX_LAST")</f>
        <v>16.25</v>
      </c>
      <c r="Q128" s="112">
        <f t="shared" si="106"/>
        <v>4.647097071917055E-2</v>
      </c>
      <c r="R128" s="112">
        <f t="shared" si="107"/>
        <v>4.4111390148930188E-2</v>
      </c>
      <c r="S128" s="152"/>
      <c r="T128" s="152"/>
      <c r="AB128" s="1" cm="1">
        <f t="array" ref="AB128">IF(N128="USD",1,_xll.BDP(N128&amp;"USD CURNCY","PX_LAST"))</f>
        <v>1.2806</v>
      </c>
      <c r="AC128" s="80">
        <v>475965.81968574901</v>
      </c>
      <c r="AD128" s="81">
        <f t="shared" si="108"/>
        <v>9904729.716205515</v>
      </c>
    </row>
    <row r="129" spans="1:30" x14ac:dyDescent="0.2">
      <c r="A129" s="90"/>
      <c r="C129" s="86" t="str" cm="1">
        <f t="array" ref="C129">_xll.BDP(D129&amp;" Equity","DS520")</f>
        <v>iShares Physical Palladium ETC</v>
      </c>
      <c r="D129" s="45" t="s">
        <v>764</v>
      </c>
      <c r="E129" s="45" t="s">
        <v>767</v>
      </c>
      <c r="F129" s="45" t="s">
        <v>552</v>
      </c>
      <c r="G129" s="145" t="s">
        <v>26</v>
      </c>
      <c r="H129" s="45" t="str" cm="1">
        <f t="array" ref="H129">_xll.BDP(D129&amp;" Equity", "ID_ISIN")</f>
        <v>IE00B4556L06</v>
      </c>
      <c r="I129" s="45"/>
      <c r="J129" s="34" t="str" cm="1">
        <f t="array" ref="J129">_xll.BDP(D129&amp;" Equity","FD121")</f>
        <v>Commodity</v>
      </c>
      <c r="K129" s="34"/>
      <c r="L129" s="34"/>
      <c r="M129" s="34" t="s">
        <v>430</v>
      </c>
      <c r="N129" s="34" t="str">
        <f>_xll.BDP(D129&amp;" Equity", "DS004")</f>
        <v>USD</v>
      </c>
      <c r="O129" s="111">
        <f>_xll.BDP(D129&amp;" Equity", "FUND_EXPENSE_RATIO")</f>
        <v>0.2</v>
      </c>
      <c r="P129" s="45">
        <f>_xll.BDP(D129&amp;" Equity","PX_LAST")</f>
        <v>46.63</v>
      </c>
      <c r="Q129" s="112">
        <f t="shared" si="106"/>
        <v>4.173081224201413E-2</v>
      </c>
      <c r="R129" s="112">
        <f t="shared" si="107"/>
        <v>3.9611914955756569E-2</v>
      </c>
      <c r="S129" s="3"/>
      <c r="T129" s="3"/>
      <c r="AB129" s="1" cm="1">
        <f t="array" ref="AB129">IF(N129="USD",1,_xll.BDP(N129&amp;"USD CURNCY","PX_LAST"))</f>
        <v>1</v>
      </c>
      <c r="AC129" s="80">
        <v>190744.62412346201</v>
      </c>
      <c r="AD129" s="81">
        <f t="shared" si="108"/>
        <v>8894421.8228770345</v>
      </c>
    </row>
    <row r="130" spans="1:30" x14ac:dyDescent="0.2">
      <c r="A130" s="90"/>
      <c r="C130" s="86" t="str" cm="1">
        <f t="array" ref="C130">_xll.BDP(D130&amp;" Equity","DS520")</f>
        <v>iShares Physical Silver ETC</v>
      </c>
      <c r="D130" s="45" t="s">
        <v>491</v>
      </c>
      <c r="E130" s="45" t="s">
        <v>579</v>
      </c>
      <c r="F130" s="45" t="s">
        <v>552</v>
      </c>
      <c r="G130" s="145" t="s">
        <v>26</v>
      </c>
      <c r="H130" s="45" t="str" cm="1">
        <f t="array" ref="H130">_xll.BDP(D130&amp;" Equity", "ID_ISIN")</f>
        <v>IE00B4NCWG09</v>
      </c>
      <c r="I130" s="45"/>
      <c r="J130" s="34" t="str" cm="1">
        <f t="array" ref="J130">_xll.BDP(D130&amp;" Equity","FD121")</f>
        <v>Commodity</v>
      </c>
      <c r="K130" s="34"/>
      <c r="L130" s="34"/>
      <c r="M130" s="34" t="str">
        <f>_xll.BDP(D130&amp;" Equity", "DS197")</f>
        <v>London</v>
      </c>
      <c r="N130" s="34" t="str">
        <f>_xll.BDP(D130&amp;" Equity", "DS004")</f>
        <v>USD</v>
      </c>
      <c r="O130" s="111">
        <f>_xll.BDP(D130&amp;" Equity", "FUND_EXPENSE_RATIO")</f>
        <v>0.2</v>
      </c>
      <c r="P130" s="45">
        <f>_xll.BDP(D130&amp;" Equity","PX_LAST")</f>
        <v>77.717500000000001</v>
      </c>
      <c r="Q130" s="112">
        <f t="shared" si="106"/>
        <v>0.17250308685630095</v>
      </c>
      <c r="R130" s="112">
        <f t="shared" si="107"/>
        <v>0.16374417939744085</v>
      </c>
      <c r="S130" s="152"/>
      <c r="T130" s="152"/>
      <c r="AB130" s="1" cm="1">
        <f t="array" ref="AB130">IF(N130="USD",1,_xll.BDP(N130&amp;"USD CURNCY","PX_LAST"))</f>
        <v>1</v>
      </c>
      <c r="AC130" s="80">
        <v>473084.73348238698</v>
      </c>
      <c r="AD130" s="81">
        <f t="shared" si="108"/>
        <v>36766962.774417408</v>
      </c>
    </row>
    <row r="131" spans="1:30" x14ac:dyDescent="0.2">
      <c r="A131" s="90"/>
      <c r="C131" s="86" t="str" cm="1">
        <f t="array" ref="C131">_xll.BDP(D131&amp;" Equity","DS520")</f>
        <v>VanEck Rare Earth and Strategic Metals UCITS ETF</v>
      </c>
      <c r="D131" s="45" t="s">
        <v>765</v>
      </c>
      <c r="E131" s="45" t="s">
        <v>768</v>
      </c>
      <c r="F131" s="45" t="s">
        <v>552</v>
      </c>
      <c r="G131" s="145" t="s">
        <v>26</v>
      </c>
      <c r="H131" s="45" t="str" cm="1">
        <f t="array" ref="H131">_xll.BDP(D131&amp;" Equity", "ID_ISIN")</f>
        <v>IE0002PG6CA6</v>
      </c>
      <c r="I131" s="45"/>
      <c r="J131" s="34" t="str" cm="1">
        <f t="array" ref="J131">_xll.BDP(D131&amp;" Equity","FD121")</f>
        <v>Equity</v>
      </c>
      <c r="K131" s="34"/>
      <c r="L131" s="34"/>
      <c r="M131" s="34" t="str">
        <f>_xll.BDP(D131&amp;" Equity", "DS197")</f>
        <v>London</v>
      </c>
      <c r="N131" s="34" t="str">
        <f>_xll.BDP(D131&amp;" Equity", "DS004")</f>
        <v>USD</v>
      </c>
      <c r="O131" s="111">
        <f>_xll.BDP(D131&amp;" Equity", "FUND_EXPENSE_RATIO")</f>
        <v>0.59</v>
      </c>
      <c r="P131" s="45">
        <f>_xll.BDP(D131&amp;" Equity","PX_LAST")</f>
        <v>18.417999999999999</v>
      </c>
      <c r="Q131" s="112">
        <f t="shared" si="106"/>
        <v>4.9058923537371936E-2</v>
      </c>
      <c r="R131" s="112">
        <f t="shared" si="107"/>
        <v>4.6567938714282442E-2</v>
      </c>
      <c r="S131" s="152"/>
      <c r="T131" s="152"/>
      <c r="AB131" s="1" cm="1">
        <f t="array" ref="AB131">IF(N131="USD",1,_xll.BDP(N131&amp;"USD CURNCY","PX_LAST"))</f>
        <v>1</v>
      </c>
      <c r="AC131" s="80">
        <v>567722.92331911996</v>
      </c>
      <c r="AD131" s="81">
        <f t="shared" si="108"/>
        <v>10456320.801691551</v>
      </c>
    </row>
    <row r="132" spans="1:30" x14ac:dyDescent="0.2">
      <c r="A132" s="90"/>
      <c r="C132" s="86" t="str" cm="1">
        <f t="array" ref="C132">_xll.BDP(D132&amp;" Equity","DS520")</f>
        <v>iShares Bloomberg Enhanced Roll Yield Commodity Swap UCITS ETF</v>
      </c>
      <c r="D132" s="45" t="s">
        <v>493</v>
      </c>
      <c r="E132" s="45" t="s">
        <v>576</v>
      </c>
      <c r="F132" s="45" t="s">
        <v>552</v>
      </c>
      <c r="G132" s="145" t="s">
        <v>26</v>
      </c>
      <c r="H132" s="45" t="str" cm="1">
        <f t="array" ref="H132">_xll.BDP(D132&amp;" Equity", "ID_ISIN")</f>
        <v>IE00BZ1NCS44</v>
      </c>
      <c r="I132" s="45"/>
      <c r="J132" s="34" t="str" cm="1">
        <f t="array" ref="J132">_xll.BDP(D132&amp;" Equity","FD121")</f>
        <v>Commodity</v>
      </c>
      <c r="K132" s="34"/>
      <c r="L132" s="34"/>
      <c r="M132" s="34" t="str">
        <f>_xll.BDP(D132&amp;" Equity", "DS197")</f>
        <v>London</v>
      </c>
      <c r="N132" s="34" t="str">
        <f>_xll.BDP(D132&amp;" Equity", "DS004")</f>
        <v>USD</v>
      </c>
      <c r="O132" s="111">
        <f>_xll.BDP(D132&amp;" Equity", "FUND_EXPENSE_RATIO")</f>
        <v>0.28000000000000003</v>
      </c>
      <c r="P132" s="45">
        <f>_xll.BDP(D132&amp;" Equity","PX_LAST")</f>
        <v>9.9649999999999999</v>
      </c>
      <c r="Q132" s="112">
        <f t="shared" si="106"/>
        <v>0.29409196855627029</v>
      </c>
      <c r="R132" s="112">
        <f t="shared" si="107"/>
        <v>0.27915934106581747</v>
      </c>
      <c r="S132" s="152"/>
      <c r="T132" s="152"/>
      <c r="AB132" s="1" cm="1">
        <f t="array" ref="AB132">IF(N132="USD",1,_xll.BDP(N132&amp;"USD CURNCY","PX_LAST"))</f>
        <v>1</v>
      </c>
      <c r="AC132" s="80">
        <v>6290233.1896714298</v>
      </c>
      <c r="AD132" s="81">
        <f t="shared" ref="AD132:AD133" si="109">AC132*P132*AB132</f>
        <v>62682173.735075794</v>
      </c>
    </row>
    <row r="133" spans="1:30" x14ac:dyDescent="0.2">
      <c r="A133" s="90"/>
      <c r="C133" s="86" t="str" cm="1">
        <f t="array" ref="C133">_xll.BDP(D133&amp;" Equity","DS520")</f>
        <v>Invesco Physical Gold ETC</v>
      </c>
      <c r="D133" s="45" t="s">
        <v>490</v>
      </c>
      <c r="E133" s="45" t="s">
        <v>580</v>
      </c>
      <c r="F133" s="45" t="s">
        <v>552</v>
      </c>
      <c r="G133" s="145" t="s">
        <v>26</v>
      </c>
      <c r="H133" s="45" t="str" cm="1">
        <f t="array" ref="H133">_xll.BDP(D133&amp;" Equity", "ID_ISIN")</f>
        <v>IE00B579F325</v>
      </c>
      <c r="I133" s="45"/>
      <c r="J133" s="34" t="str" cm="1">
        <f t="array" ref="J133">_xll.BDP(D133&amp;" Equity","FD121")</f>
        <v>Commodity</v>
      </c>
      <c r="K133" s="34"/>
      <c r="L133" s="34"/>
      <c r="M133" s="34" t="str">
        <f>_xll.BDP(D133&amp;" Equity", "DS197")</f>
        <v>London</v>
      </c>
      <c r="N133" s="34" t="str">
        <f>_xll.BDP(D133&amp;" Equity", "DS004")</f>
        <v>USD</v>
      </c>
      <c r="O133" s="111">
        <f>_xll.BDP(D133&amp;" Equity", "FUND_EXPENSE_RATIO")</f>
        <v>0.12</v>
      </c>
      <c r="P133" s="45">
        <f>_xll.BDP(D133&amp;" Equity","PX_LAST")</f>
        <v>487.23</v>
      </c>
      <c r="Q133" s="112">
        <f t="shared" ref="Q133" si="110">AD133/$AD$135</f>
        <v>0.17586608550807803</v>
      </c>
      <c r="R133" s="112">
        <f t="shared" ref="R133" si="111">Q133*(1-$R$141)/(1-$Q$134)</f>
        <v>0.16693642056010863</v>
      </c>
      <c r="S133" s="152"/>
      <c r="T133" s="152"/>
      <c r="AB133" s="1" cm="1">
        <f t="array" ref="AB133">IF(N133="USD",1,_xll.BDP(N133&amp;"USD CURNCY","PX_LAST"))</f>
        <v>1</v>
      </c>
      <c r="AC133" s="80">
        <v>76932.343201562602</v>
      </c>
      <c r="AD133" s="81">
        <f t="shared" si="109"/>
        <v>37483745.578097351</v>
      </c>
    </row>
    <row r="134" spans="1:30" x14ac:dyDescent="0.2">
      <c r="A134" s="90"/>
      <c r="C134" s="86" t="str" cm="1">
        <f t="array" ref="C134">_xll.BDP(D134&amp;" Curncy","DS520")</f>
        <v>USDUSD Spot Exchange Rate - Price of 1 USD in USD</v>
      </c>
      <c r="D134" s="45" t="s">
        <v>34</v>
      </c>
      <c r="E134" s="45"/>
      <c r="F134" s="45"/>
      <c r="G134" s="45"/>
      <c r="H134" s="45"/>
      <c r="I134" s="45"/>
      <c r="J134" s="34"/>
      <c r="K134" s="84"/>
      <c r="L134" s="84"/>
      <c r="M134" s="34"/>
      <c r="N134" s="34" t="str">
        <f>_xll.BDP(D134&amp;" Curncy", "DS004")</f>
        <v>USD</v>
      </c>
      <c r="O134" s="111"/>
      <c r="P134" s="45">
        <f>_xll.BDP(D134&amp;" Curncy","PX_LAST")</f>
        <v>1</v>
      </c>
      <c r="Q134" s="112">
        <f>AD134/$AD$135</f>
        <v>4.1872422521852882E-3</v>
      </c>
      <c r="R134" s="112">
        <f>R141</f>
        <v>5.475E-2</v>
      </c>
      <c r="S134" s="152"/>
      <c r="T134" s="152"/>
      <c r="AB134" s="1" cm="1">
        <f t="array" ref="AB134">IF(N134="USD",1,_xll.BDP(N134&amp;"USD CURNCY","PX_LAST"))</f>
        <v>1</v>
      </c>
      <c r="AC134" s="80">
        <v>892460.43545765604</v>
      </c>
      <c r="AD134" s="81">
        <f t="shared" si="108"/>
        <v>892460.43545765604</v>
      </c>
    </row>
    <row r="135" spans="1:30" x14ac:dyDescent="0.2">
      <c r="A135" s="90"/>
      <c r="C135" s="119" t="s">
        <v>81</v>
      </c>
      <c r="D135" s="122"/>
      <c r="E135" s="122"/>
      <c r="F135" s="122"/>
      <c r="G135" s="122"/>
      <c r="H135" s="122"/>
      <c r="I135" s="122"/>
      <c r="J135" s="77"/>
      <c r="K135" s="77"/>
      <c r="L135" s="77"/>
      <c r="M135" s="77"/>
      <c r="N135" s="77"/>
      <c r="O135" s="77"/>
      <c r="P135" s="121" t="s">
        <v>81</v>
      </c>
      <c r="Q135" s="107">
        <f>SUM(Q125:Q134)</f>
        <v>1</v>
      </c>
      <c r="R135" s="107">
        <f>SUM(R125:R134)</f>
        <v>1</v>
      </c>
      <c r="AC135" s="40"/>
      <c r="AD135" s="82">
        <f>SUM(AD125:AD134)</f>
        <v>213137999.11908323</v>
      </c>
    </row>
    <row r="136" spans="1:30" ht="15" thickBot="1" x14ac:dyDescent="0.25">
      <c r="A136" s="90"/>
    </row>
    <row r="137" spans="1:30" x14ac:dyDescent="0.2">
      <c r="A137" s="90"/>
      <c r="Q137" s="129" t="s">
        <v>86</v>
      </c>
      <c r="R137" s="130">
        <v>100000</v>
      </c>
    </row>
    <row r="138" spans="1:30" x14ac:dyDescent="0.2">
      <c r="A138" s="90"/>
      <c r="Q138" s="132" t="s">
        <v>85</v>
      </c>
      <c r="R138" s="133">
        <v>5000</v>
      </c>
    </row>
    <row r="139" spans="1:30" x14ac:dyDescent="0.2">
      <c r="A139" s="90"/>
      <c r="Q139" s="132" t="s">
        <v>88</v>
      </c>
      <c r="R139" s="134">
        <f>(R137-R138)*0.5%</f>
        <v>475</v>
      </c>
    </row>
    <row r="140" spans="1:30" x14ac:dyDescent="0.2">
      <c r="A140" s="90"/>
      <c r="Q140" s="132" t="s">
        <v>87</v>
      </c>
      <c r="R140" s="134">
        <f>R138+R139</f>
        <v>5475</v>
      </c>
    </row>
    <row r="141" spans="1:30" ht="15" thickBot="1" x14ac:dyDescent="0.25">
      <c r="A141" s="90"/>
      <c r="Q141" s="136" t="s">
        <v>89</v>
      </c>
      <c r="R141" s="137">
        <f>R140/R137</f>
        <v>5.475E-2</v>
      </c>
    </row>
    <row r="142" spans="1:30" x14ac:dyDescent="0.2">
      <c r="A142" s="93" t="s">
        <v>0</v>
      </c>
    </row>
    <row r="143" spans="1:30" x14ac:dyDescent="0.2">
      <c r="A143" s="94">
        <v>44788</v>
      </c>
      <c r="C143" s="95" t="s">
        <v>495</v>
      </c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</row>
    <row r="144" spans="1:30" x14ac:dyDescent="0.2">
      <c r="A144" s="90"/>
      <c r="C144" s="97" t="s">
        <v>5</v>
      </c>
      <c r="D144" s="98" t="s">
        <v>91</v>
      </c>
      <c r="E144" s="98" t="s">
        <v>533</v>
      </c>
      <c r="F144" s="98" t="s">
        <v>534</v>
      </c>
      <c r="G144" s="98" t="s">
        <v>535</v>
      </c>
      <c r="H144" s="98" t="s">
        <v>1426</v>
      </c>
      <c r="I144" s="98" t="s">
        <v>556</v>
      </c>
      <c r="J144" s="98" t="s">
        <v>434</v>
      </c>
      <c r="K144" s="98" t="s">
        <v>435</v>
      </c>
      <c r="L144" s="98"/>
      <c r="M144" s="98" t="s">
        <v>9</v>
      </c>
      <c r="N144" s="98" t="s">
        <v>13</v>
      </c>
      <c r="O144" s="98" t="s">
        <v>437</v>
      </c>
      <c r="P144" s="98" t="s">
        <v>14</v>
      </c>
      <c r="Q144" s="99" t="s">
        <v>15</v>
      </c>
      <c r="R144" s="99" t="s">
        <v>553</v>
      </c>
      <c r="S144" s="150"/>
      <c r="T144" s="150"/>
    </row>
    <row r="145" spans="1:30" x14ac:dyDescent="0.2">
      <c r="A145" s="90"/>
      <c r="C145" s="106" t="s">
        <v>16</v>
      </c>
      <c r="D145" s="45"/>
      <c r="E145" s="45"/>
      <c r="F145" s="45"/>
      <c r="G145" s="45"/>
      <c r="H145" s="45"/>
      <c r="I145" s="45"/>
      <c r="J145" s="34"/>
      <c r="K145" s="34"/>
      <c r="L145" s="34"/>
      <c r="M145" s="34"/>
      <c r="N145" s="34"/>
      <c r="O145" s="34"/>
      <c r="P145" s="34"/>
      <c r="Q145" s="151"/>
      <c r="R145" s="151"/>
      <c r="AB145" s="13" t="s">
        <v>17</v>
      </c>
      <c r="AC145" s="78" t="s">
        <v>18</v>
      </c>
      <c r="AD145" s="79" t="s">
        <v>19</v>
      </c>
    </row>
    <row r="146" spans="1:30" x14ac:dyDescent="0.2">
      <c r="A146" s="90"/>
      <c r="C146" s="86" t="str" cm="1">
        <f t="array" ref="C146">_xll.BDP(D146&amp;" Equity","DS520")</f>
        <v>abrdn Physical Palladium Shares ETF</v>
      </c>
      <c r="D146" s="145" t="s">
        <v>773</v>
      </c>
      <c r="E146" s="145" t="s">
        <v>776</v>
      </c>
      <c r="F146" s="145" t="s">
        <v>33</v>
      </c>
      <c r="G146" s="145" t="s">
        <v>26</v>
      </c>
      <c r="H146" s="45" t="str" cm="1">
        <f t="array" ref="H146">_xll.BDP(D146&amp;" Equity", "ID_ISIN")</f>
        <v>US0032621023</v>
      </c>
      <c r="I146" s="145"/>
      <c r="J146" s="34" t="str" cm="1">
        <f t="array" ref="J146">_xll.BDP(D146&amp;" Equity","FD121")</f>
        <v>Commodity</v>
      </c>
      <c r="K146" s="34"/>
      <c r="L146" s="34"/>
      <c r="M146" s="34" t="str">
        <f>_xll.BDP(D146&amp;" Equity", "DS197")</f>
        <v>NYSE Arca</v>
      </c>
      <c r="N146" s="34" t="str">
        <f>_xll.BDP(D146&amp;" Equity", "DS004")</f>
        <v>USD</v>
      </c>
      <c r="O146" s="111">
        <f>_xll.BDP(D146&amp;" Equity", "FUND_EXPENSE_RATIO")</f>
        <v>0.6</v>
      </c>
      <c r="P146" s="45">
        <f>_xll.BDP(D146&amp;" Equity","PX_LAST")</f>
        <v>147.79</v>
      </c>
      <c r="Q146" s="112">
        <f t="shared" ref="Q146:Q152" si="112">AD146/$AD$156</f>
        <v>4.2769796333436139E-2</v>
      </c>
      <c r="R146" s="112">
        <f t="shared" ref="R146:R152" si="113">Q146*(1-$R$162)/(1-$Q$155)</f>
        <v>4.0611564394912557E-2</v>
      </c>
      <c r="S146" s="152"/>
      <c r="T146" s="152"/>
      <c r="AB146" s="1" cm="1">
        <f t="array" ref="AB146">IF(N146="USD",1,_xll.BDP(N146&amp;"USD CURNCY","PX_LAST"))</f>
        <v>1</v>
      </c>
      <c r="AC146" s="80">
        <v>55068.8883519011</v>
      </c>
      <c r="AD146" s="81">
        <f t="shared" ref="AD146:AD155" si="114">AC146*P146*AB146</f>
        <v>8138631.0095274635</v>
      </c>
    </row>
    <row r="147" spans="1:30" x14ac:dyDescent="0.2">
      <c r="A147" s="90"/>
      <c r="C147" s="86" t="str" cm="1">
        <f t="array" ref="C147">_xll.BDP(D147&amp;" Equity","DS520")</f>
        <v>abrdn Physical Silver Shares ETF</v>
      </c>
      <c r="D147" s="145" t="s">
        <v>775</v>
      </c>
      <c r="E147" s="145" t="s">
        <v>582</v>
      </c>
      <c r="F147" s="145" t="s">
        <v>33</v>
      </c>
      <c r="G147" s="145" t="s">
        <v>26</v>
      </c>
      <c r="H147" s="45" t="str" cm="1">
        <f t="array" ref="H147">_xll.BDP(D147&amp;" Equity", "ID_ISIN")</f>
        <v>US0032641088</v>
      </c>
      <c r="I147" s="145"/>
      <c r="J147" s="34" t="str" cm="1">
        <f t="array" ref="J147">_xll.BDP(D147&amp;" Equity","FD121")</f>
        <v>Commodity</v>
      </c>
      <c r="K147" s="34"/>
      <c r="L147" s="34"/>
      <c r="M147" s="34" t="str">
        <f>_xll.BDP(D147&amp;" Equity", "DS197")</f>
        <v>NYSE Arca</v>
      </c>
      <c r="N147" s="34" t="str">
        <f>_xll.BDP(D147&amp;" Equity", "DS004")</f>
        <v>USD</v>
      </c>
      <c r="O147" s="111">
        <f>_xll.BDP(D147&amp;" Equity", "FUND_EXPENSE_RATIO")</f>
        <v>0.3</v>
      </c>
      <c r="P147" s="45">
        <f>_xll.BDP(D147&amp;" Equity","PX_LAST")</f>
        <v>78</v>
      </c>
      <c r="Q147" s="112">
        <f t="shared" si="112"/>
        <v>0.17619114621810136</v>
      </c>
      <c r="R147" s="112">
        <f t="shared" si="113"/>
        <v>0.16730026078838262</v>
      </c>
      <c r="S147" s="152"/>
      <c r="T147" s="152"/>
      <c r="AB147" s="1" cm="1">
        <f t="array" ref="AB147">IF(N147="USD",1,_xll.BDP(N147&amp;"USD CURNCY","PX_LAST"))</f>
        <v>1</v>
      </c>
      <c r="AC147" s="80">
        <v>429836.85982858099</v>
      </c>
      <c r="AD147" s="81">
        <f t="shared" si="114"/>
        <v>33527275.066629317</v>
      </c>
    </row>
    <row r="148" spans="1:30" x14ac:dyDescent="0.2">
      <c r="A148" s="90"/>
      <c r="C148" s="86" t="str" cm="1">
        <f t="array" ref="C148">_xll.BDP(D148&amp;" Equity","DS520")</f>
        <v>Fidelity Wise Origin Bitcoin Fund</v>
      </c>
      <c r="D148" s="145" t="s">
        <v>771</v>
      </c>
      <c r="E148" s="145" t="s">
        <v>585</v>
      </c>
      <c r="F148" s="145" t="s">
        <v>33</v>
      </c>
      <c r="G148" s="145" t="s">
        <v>26</v>
      </c>
      <c r="H148" s="45" t="str" cm="1">
        <f t="array" ref="H148">_xll.BDP(D148&amp;" Equity", "ID_ISIN")</f>
        <v>US3159481098</v>
      </c>
      <c r="I148" s="145"/>
      <c r="J148" s="34" t="str" cm="1">
        <f t="array" ref="J148">_xll.BDP(D148&amp;" Equity","FD121")</f>
        <v>Alternative</v>
      </c>
      <c r="K148" s="34"/>
      <c r="L148" s="34"/>
      <c r="M148" s="34" t="str">
        <f>_xll.BDP(D148&amp;" Equity", "DS197")</f>
        <v>Cboe BZX</v>
      </c>
      <c r="N148" s="34" t="str">
        <f>_xll.BDP(D148&amp;" Equity", "DS004")</f>
        <v>USD</v>
      </c>
      <c r="O148" s="111">
        <f>_xll.BDP(D148&amp;" Equity", "FUND_EXPENSE_RATIO")</f>
        <v>0.25</v>
      </c>
      <c r="P148" s="45">
        <f>_xll.BDP(D148&amp;" Equity","PX_LAST")</f>
        <v>62.05</v>
      </c>
      <c r="Q148" s="112">
        <f t="shared" si="112"/>
        <v>5.2619808347896875E-2</v>
      </c>
      <c r="R148" s="112">
        <f t="shared" si="113"/>
        <v>4.9964529138941685E-2</v>
      </c>
      <c r="S148" s="152"/>
      <c r="T148" s="152"/>
      <c r="AB148" s="1" cm="1">
        <f t="array" ref="AB148">IF(N148="USD",1,_xll.BDP(N148&amp;"USD CURNCY","PX_LAST"))</f>
        <v>1</v>
      </c>
      <c r="AC148" s="80">
        <v>161369.57409513599</v>
      </c>
      <c r="AD148" s="81">
        <f t="shared" si="114"/>
        <v>10012982.072603188</v>
      </c>
    </row>
    <row r="149" spans="1:30" x14ac:dyDescent="0.2">
      <c r="A149" s="90"/>
      <c r="C149" s="86" t="str" cm="1">
        <f t="array" ref="C149">_xll.BDP(D149&amp;" Equity","DS520")</f>
        <v>Grayscale Ethereum Staking ETF</v>
      </c>
      <c r="D149" s="45" t="s">
        <v>770</v>
      </c>
      <c r="E149" s="45" t="s">
        <v>583</v>
      </c>
      <c r="F149" s="145" t="s">
        <v>33</v>
      </c>
      <c r="G149" s="145" t="s">
        <v>26</v>
      </c>
      <c r="H149" s="45" t="str" cm="1">
        <f t="array" ref="H149">_xll.BDP(D149&amp;" Equity", "ID_ISIN")</f>
        <v>US3896381072</v>
      </c>
      <c r="I149" s="45"/>
      <c r="J149" s="34" t="str" cm="1">
        <f t="array" ref="J149">_xll.BDP(D149&amp;" Equity","FD121")</f>
        <v>Alternative</v>
      </c>
      <c r="K149" s="34"/>
      <c r="L149" s="34"/>
      <c r="M149" s="34" t="str">
        <f>_xll.BDP(D149&amp;" Equity", "DS197")</f>
        <v>NYSE Arca</v>
      </c>
      <c r="N149" s="34" t="str">
        <f>_xll.BDP(D149&amp;" Equity", "DS004")</f>
        <v>USD</v>
      </c>
      <c r="O149" s="111">
        <f>_xll.BDP(D149&amp;" Equity", "FUND_EXPENSE_RATIO")</f>
        <v>2.5</v>
      </c>
      <c r="P149" s="45">
        <f>_xll.BDP(D149&amp;" Equity","PX_LAST")</f>
        <v>17.04</v>
      </c>
      <c r="Q149" s="112">
        <f t="shared" si="112"/>
        <v>4.7758619367553941E-2</v>
      </c>
      <c r="R149" s="112">
        <f t="shared" si="113"/>
        <v>4.5348643485151489E-2</v>
      </c>
      <c r="S149" s="152"/>
      <c r="T149" s="152"/>
      <c r="AB149" s="1" cm="1">
        <f t="array" ref="AB149">IF(N149="USD",1,_xll.BDP(N149&amp;"USD CURNCY","PX_LAST"))</f>
        <v>1</v>
      </c>
      <c r="AC149" s="80">
        <v>533330.41273910506</v>
      </c>
      <c r="AD149" s="81">
        <f t="shared" si="114"/>
        <v>9087950.2330743503</v>
      </c>
    </row>
    <row r="150" spans="1:30" x14ac:dyDescent="0.2">
      <c r="A150" s="90"/>
      <c r="C150" s="86" t="str" cm="1">
        <f t="array" ref="C150">_xll.BDP(D150&amp;" Equity","DS520")</f>
        <v>Invesco DB Base Metals Fund</v>
      </c>
      <c r="D150" s="45" t="s">
        <v>1133</v>
      </c>
      <c r="E150" s="45" t="s">
        <v>1134</v>
      </c>
      <c r="F150" s="145" t="s">
        <v>33</v>
      </c>
      <c r="G150" s="145" t="s">
        <v>26</v>
      </c>
      <c r="H150" s="45" t="str" cm="1">
        <f t="array" ref="H150">_xll.BDP(D150&amp;" Equity", "ID_ISIN")</f>
        <v>US46140H7008</v>
      </c>
      <c r="I150" s="45"/>
      <c r="J150" s="34" t="str" cm="1">
        <f t="array" ref="J150">_xll.BDP(D150&amp;" Equity","FD121")</f>
        <v>Commodity</v>
      </c>
      <c r="K150" s="34"/>
      <c r="L150" s="34"/>
      <c r="M150" s="34" t="str">
        <f>_xll.BDP(D150&amp;" Equity", "DS197")</f>
        <v>NYSE Arca</v>
      </c>
      <c r="N150" s="34" t="str">
        <f>_xll.BDP(D150&amp;" Equity", "DS004")</f>
        <v>USD</v>
      </c>
      <c r="O150" s="111">
        <f>_xll.BDP(D150&amp;" Equity", "FUND_EXPENSE_RATIO")</f>
        <v>0.77</v>
      </c>
      <c r="P150" s="45">
        <f>_xll.BDP(D150&amp;" Equity","PX_LAST")</f>
        <v>23.9</v>
      </c>
      <c r="Q150" s="112">
        <f t="shared" si="112"/>
        <v>0.11067040655545264</v>
      </c>
      <c r="R150" s="112">
        <f t="shared" si="113"/>
        <v>0.10508580184479985</v>
      </c>
      <c r="S150" s="152"/>
      <c r="T150" s="152"/>
      <c r="AB150" s="1" cm="1">
        <f t="array" ref="AB150">IF(N150="USD",1,_xll.BDP(N150&amp;"USD CURNCY","PX_LAST"))</f>
        <v>1</v>
      </c>
      <c r="AC150" s="80">
        <v>881145.81127405795</v>
      </c>
      <c r="AD150" s="81">
        <f t="shared" si="114"/>
        <v>21059384.889449984</v>
      </c>
    </row>
    <row r="151" spans="1:30" x14ac:dyDescent="0.2">
      <c r="A151" s="90"/>
      <c r="C151" s="86" t="str" cm="1">
        <f t="array" ref="C151">_xll.BDP(D151&amp;" Equity","DS520")</f>
        <v>Invesco DB Energy Fund</v>
      </c>
      <c r="D151" s="45" t="s">
        <v>769</v>
      </c>
      <c r="E151" s="45" t="s">
        <v>586</v>
      </c>
      <c r="F151" s="145" t="s">
        <v>33</v>
      </c>
      <c r="G151" s="145" t="s">
        <v>26</v>
      </c>
      <c r="H151" s="45" t="str" cm="1">
        <f t="array" ref="H151">_xll.BDP(D151&amp;" Equity", "ID_ISIN")</f>
        <v>US46140H3049</v>
      </c>
      <c r="I151" s="45"/>
      <c r="J151" s="34" t="str" cm="1">
        <f t="array" ref="J151">_xll.BDP(D151&amp;" Equity","FD121")</f>
        <v>Commodity</v>
      </c>
      <c r="K151" s="34"/>
      <c r="L151" s="34"/>
      <c r="M151" s="34" t="str">
        <f>_xll.BDP(D151&amp;" Equity", "DS197")</f>
        <v>NYSE Arca</v>
      </c>
      <c r="N151" s="34" t="str">
        <f>_xll.BDP(D151&amp;" Equity", "DS004")</f>
        <v>USD</v>
      </c>
      <c r="O151" s="111">
        <f>_xll.BDP(D151&amp;" Equity", "FUND_EXPENSE_RATIO")</f>
        <v>0.77</v>
      </c>
      <c r="P151" s="45">
        <f>_xll.BDP(D151&amp;" Equity","PX_LAST")</f>
        <v>24.004999999999999</v>
      </c>
      <c r="Q151" s="112">
        <f t="shared" si="112"/>
        <v>4.514586840590689E-2</v>
      </c>
      <c r="R151" s="112">
        <f t="shared" si="113"/>
        <v>4.2867736092009494E-2</v>
      </c>
      <c r="S151" s="152"/>
      <c r="T151" s="152"/>
      <c r="AB151" s="1" cm="1">
        <f t="array" ref="AB151">IF(N151="USD",1,_xll.BDP(N151&amp;"USD CURNCY","PX_LAST"))</f>
        <v>1</v>
      </c>
      <c r="AC151" s="80">
        <v>357874.27207570599</v>
      </c>
      <c r="AD151" s="81">
        <f t="shared" si="114"/>
        <v>8590771.9011773225</v>
      </c>
    </row>
    <row r="152" spans="1:30" x14ac:dyDescent="0.2">
      <c r="A152" s="90"/>
      <c r="C152" s="86" t="str" cm="1">
        <f t="array" ref="C152">_xll.BDP(D152&amp;" Equity","DS520")</f>
        <v>State Street SPDR Bloomberg Enhanced Roll Yield Commodity Strategy No K-1 ETF</v>
      </c>
      <c r="D152" s="45" t="s">
        <v>496</v>
      </c>
      <c r="E152" s="45" t="s">
        <v>584</v>
      </c>
      <c r="F152" s="145" t="s">
        <v>33</v>
      </c>
      <c r="G152" s="145" t="s">
        <v>26</v>
      </c>
      <c r="H152" s="45" t="str" cm="1">
        <f t="array" ref="H152">_xll.BDP(D152&amp;" Equity", "ID_ISIN")</f>
        <v>US78468R4406</v>
      </c>
      <c r="I152" s="45"/>
      <c r="J152" s="34" t="str" cm="1">
        <f t="array" ref="J152">_xll.BDP(D152&amp;" Equity","FD121")</f>
        <v>Commodity</v>
      </c>
      <c r="K152" s="34"/>
      <c r="L152" s="34"/>
      <c r="M152" s="34" t="str">
        <f>_xll.BDP(D152&amp;" Equity", "DS197")</f>
        <v>NYSE Arca</v>
      </c>
      <c r="N152" s="34" t="str">
        <f>_xll.BDP(D152&amp;" Equity", "DS004")</f>
        <v>USD</v>
      </c>
      <c r="O152" s="111">
        <f>_xll.BDP(D152&amp;" Equity", "FUND_EXPENSE_RATIO")</f>
        <v>0.28000000000000003</v>
      </c>
      <c r="P152" s="45">
        <f>_xll.BDP(D152&amp;" Equity","PX_LAST")</f>
        <v>33.17</v>
      </c>
      <c r="Q152" s="112">
        <f t="shared" si="112"/>
        <v>0.29332611464052261</v>
      </c>
      <c r="R152" s="112">
        <f t="shared" si="113"/>
        <v>0.2785244124279429</v>
      </c>
      <c r="S152" s="152"/>
      <c r="T152" s="152"/>
      <c r="AB152" s="1" cm="1">
        <f t="array" ref="AB152">IF(N152="USD",1,_xll.BDP(N152&amp;"USD CURNCY","PX_LAST"))</f>
        <v>1</v>
      </c>
      <c r="AC152" s="80">
        <v>1682749.36282901</v>
      </c>
      <c r="AD152" s="81">
        <f t="shared" si="114"/>
        <v>55816796.365038268</v>
      </c>
    </row>
    <row r="153" spans="1:30" x14ac:dyDescent="0.2">
      <c r="A153" s="90"/>
      <c r="C153" s="86" t="str" cm="1">
        <f t="array" ref="C153">_xll.BDP(D153&amp;" Equity","DS520")</f>
        <v>SPDR Gold MiniShares Trust</v>
      </c>
      <c r="D153" s="45" t="s">
        <v>772</v>
      </c>
      <c r="E153" s="45" t="s">
        <v>581</v>
      </c>
      <c r="F153" s="145" t="s">
        <v>33</v>
      </c>
      <c r="G153" s="145" t="s">
        <v>26</v>
      </c>
      <c r="H153" s="45" t="str" cm="1">
        <f t="array" ref="H153">_xll.BDP(D153&amp;" Equity", "ID_ISIN")</f>
        <v>US98149E3036</v>
      </c>
      <c r="I153" s="45"/>
      <c r="J153" s="34" t="str" cm="1">
        <f t="array" ref="J153">_xll.BDP(D153&amp;" Equity","FD121")</f>
        <v>Commodity</v>
      </c>
      <c r="K153" s="34"/>
      <c r="L153" s="34"/>
      <c r="M153" s="34" t="str">
        <f>_xll.BDP(D153&amp;" Equity", "DS197")</f>
        <v>NYSE Arca</v>
      </c>
      <c r="N153" s="34" t="str">
        <f>_xll.BDP(D153&amp;" Equity", "DS004")</f>
        <v>USD</v>
      </c>
      <c r="O153" s="111">
        <f>_xll.BDP(D153&amp;" Equity", "FUND_EXPENSE_RATIO")</f>
        <v>0.1</v>
      </c>
      <c r="P153" s="45">
        <f>_xll.BDP(D153&amp;" Equity","PX_LAST")</f>
        <v>100.38</v>
      </c>
      <c r="Q153" s="112">
        <f t="shared" ref="Q153:Q154" si="115">AD153/$AD$156</f>
        <v>0.17732788756799192</v>
      </c>
      <c r="R153" s="112">
        <f t="shared" ref="R153:R154" si="116">Q153*(1-$R$162)/(1-$Q$155)</f>
        <v>0.16837964036203165</v>
      </c>
      <c r="S153" s="152"/>
      <c r="T153" s="152"/>
      <c r="AB153" s="1" cm="1">
        <f t="array" ref="AB153">IF(N153="USD",1,_xll.BDP(N153&amp;"USD CURNCY","PX_LAST"))</f>
        <v>1</v>
      </c>
      <c r="AC153" s="80">
        <v>336158.44477792998</v>
      </c>
      <c r="AD153" s="81">
        <f t="shared" ref="AD153:AD154" si="117">AC153*P153*AB153</f>
        <v>33743584.686808608</v>
      </c>
    </row>
    <row r="154" spans="1:30" x14ac:dyDescent="0.2">
      <c r="A154" s="90"/>
      <c r="C154" s="86" t="str" cm="1">
        <f t="array" ref="C154">_xll.BDP(D154&amp;" Equity","DS520")</f>
        <v>VanEck Rare Earth and Strategic Metals ETF</v>
      </c>
      <c r="D154" s="45" t="s">
        <v>774</v>
      </c>
      <c r="E154" s="45" t="s">
        <v>768</v>
      </c>
      <c r="F154" s="145" t="s">
        <v>33</v>
      </c>
      <c r="G154" s="145" t="s">
        <v>26</v>
      </c>
      <c r="H154" s="45" t="str" cm="1">
        <f t="array" ref="H154">_xll.BDP(D154&amp;" Equity", "ID_ISIN")</f>
        <v>US92189H8051</v>
      </c>
      <c r="I154" s="45"/>
      <c r="J154" s="34" t="str" cm="1">
        <f t="array" ref="J154">_xll.BDP(D154&amp;" Equity","FD121")</f>
        <v>Equity</v>
      </c>
      <c r="K154" s="34"/>
      <c r="L154" s="34"/>
      <c r="M154" s="34" t="str">
        <f>_xll.BDP(D154&amp;" Equity", "DS197")</f>
        <v>NYSE Arca</v>
      </c>
      <c r="N154" s="34" t="str">
        <f>_xll.BDP(D154&amp;" Equity", "DS004")</f>
        <v>USD</v>
      </c>
      <c r="O154" s="111">
        <f>_xll.BDP(D154&amp;" Equity", "FUND_EXPENSE_RATIO")</f>
        <v>0.57999999999999996</v>
      </c>
      <c r="P154" s="45">
        <f>_xll.BDP(D154&amp;" Equity","PX_LAST")</f>
        <v>93.4</v>
      </c>
      <c r="Q154" s="112">
        <f t="shared" si="115"/>
        <v>4.9674042653268004E-2</v>
      </c>
      <c r="R154" s="112">
        <f t="shared" si="116"/>
        <v>4.7167411465827584E-2</v>
      </c>
      <c r="S154" s="152"/>
      <c r="T154" s="152"/>
      <c r="AB154" s="1" cm="1">
        <f t="array" ref="AB154">IF(N154="USD",1,_xll.BDP(N154&amp;"USD CURNCY","PX_LAST"))</f>
        <v>1</v>
      </c>
      <c r="AC154" s="80">
        <v>101203.796876615</v>
      </c>
      <c r="AD154" s="81">
        <f t="shared" si="117"/>
        <v>9452434.6282758415</v>
      </c>
    </row>
    <row r="155" spans="1:30" x14ac:dyDescent="0.2">
      <c r="A155" s="90"/>
      <c r="C155" s="86" t="str" cm="1">
        <f t="array" ref="C155">_xll.BDP(D155&amp;" Curncy","DS520")</f>
        <v>USDUSD Spot Exchange Rate - Price of 1 USD in USD</v>
      </c>
      <c r="D155" s="45" t="s">
        <v>34</v>
      </c>
      <c r="E155" s="45"/>
      <c r="F155" s="45"/>
      <c r="G155" s="45"/>
      <c r="H155" s="45"/>
      <c r="I155" s="45"/>
      <c r="J155" s="34"/>
      <c r="K155" s="84"/>
      <c r="L155" s="84"/>
      <c r="M155" s="34"/>
      <c r="N155" s="34" t="str">
        <f>_xll.BDP(D155&amp;" Curncy", "DS004")</f>
        <v>USD</v>
      </c>
      <c r="O155" s="111"/>
      <c r="P155" s="45">
        <f>_xll.BDP(D155&amp;" Curncy","PX_LAST")</f>
        <v>1</v>
      </c>
      <c r="Q155" s="112">
        <f>AD155/$AD$156</f>
        <v>4.5163099098694363E-3</v>
      </c>
      <c r="R155" s="112">
        <f>R162</f>
        <v>5.475E-2</v>
      </c>
      <c r="S155" s="152"/>
      <c r="T155" s="152"/>
      <c r="AB155" s="1" cm="1">
        <f t="array" ref="AB155">IF(N155="USD",1,_xll.BDP(N155&amp;"USD CURNCY","PX_LAST"))</f>
        <v>1</v>
      </c>
      <c r="AC155" s="80">
        <v>859405.07161976804</v>
      </c>
      <c r="AD155" s="81">
        <f t="shared" si="114"/>
        <v>859405.07161976804</v>
      </c>
    </row>
    <row r="156" spans="1:30" x14ac:dyDescent="0.2">
      <c r="A156" s="90"/>
      <c r="C156" s="119" t="s">
        <v>81</v>
      </c>
      <c r="D156" s="122"/>
      <c r="E156" s="122"/>
      <c r="F156" s="122"/>
      <c r="G156" s="122"/>
      <c r="H156" s="122"/>
      <c r="I156" s="122"/>
      <c r="J156" s="77"/>
      <c r="K156" s="77"/>
      <c r="L156" s="77"/>
      <c r="M156" s="77"/>
      <c r="N156" s="77"/>
      <c r="O156" s="77"/>
      <c r="P156" s="121" t="s">
        <v>81</v>
      </c>
      <c r="Q156" s="107">
        <f>SUM(Q146:Q155)</f>
        <v>0.99999999999999978</v>
      </c>
      <c r="R156" s="107">
        <f>SUM(R146:R155)</f>
        <v>0.99999999999999989</v>
      </c>
      <c r="AC156" s="40"/>
      <c r="AD156" s="82">
        <f>SUM(AD146:AD155)</f>
        <v>190289215.92420414</v>
      </c>
    </row>
    <row r="157" spans="1:30" ht="15" thickBot="1" x14ac:dyDescent="0.25">
      <c r="A157" s="90"/>
    </row>
    <row r="158" spans="1:30" x14ac:dyDescent="0.2">
      <c r="A158" s="90"/>
      <c r="Q158" s="129" t="s">
        <v>86</v>
      </c>
      <c r="R158" s="130">
        <v>100000</v>
      </c>
    </row>
    <row r="159" spans="1:30" x14ac:dyDescent="0.2">
      <c r="A159" s="90"/>
      <c r="Q159" s="132" t="s">
        <v>85</v>
      </c>
      <c r="R159" s="133">
        <v>5000</v>
      </c>
    </row>
    <row r="160" spans="1:30" x14ac:dyDescent="0.2">
      <c r="A160" s="90"/>
      <c r="Q160" s="132" t="s">
        <v>88</v>
      </c>
      <c r="R160" s="134">
        <f>(R158-R159)*0.5%</f>
        <v>475</v>
      </c>
    </row>
    <row r="161" spans="1:30" x14ac:dyDescent="0.2">
      <c r="A161" s="90"/>
      <c r="Q161" s="132" t="s">
        <v>87</v>
      </c>
      <c r="R161" s="134">
        <f>R159+R160</f>
        <v>5475</v>
      </c>
    </row>
    <row r="162" spans="1:30" ht="15" thickBot="1" x14ac:dyDescent="0.25">
      <c r="A162" s="93"/>
      <c r="Q162" s="136" t="s">
        <v>89</v>
      </c>
      <c r="R162" s="137">
        <f>R161/R158</f>
        <v>5.475E-2</v>
      </c>
    </row>
    <row r="163" spans="1:30" x14ac:dyDescent="0.2">
      <c r="A163" s="93" t="s">
        <v>0</v>
      </c>
      <c r="Q163" s="34"/>
      <c r="R163" s="153"/>
    </row>
    <row r="164" spans="1:30" x14ac:dyDescent="0.2">
      <c r="A164" s="94">
        <v>44785</v>
      </c>
      <c r="C164" s="95" t="s">
        <v>497</v>
      </c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</row>
    <row r="165" spans="1:30" x14ac:dyDescent="0.2">
      <c r="A165" s="90"/>
      <c r="C165" s="97" t="s">
        <v>5</v>
      </c>
      <c r="D165" s="98" t="s">
        <v>91</v>
      </c>
      <c r="E165" s="98" t="s">
        <v>533</v>
      </c>
      <c r="F165" s="98" t="s">
        <v>534</v>
      </c>
      <c r="G165" s="98" t="s">
        <v>535</v>
      </c>
      <c r="H165" s="98" t="s">
        <v>1426</v>
      </c>
      <c r="I165" s="98"/>
      <c r="J165" s="98" t="s">
        <v>434</v>
      </c>
      <c r="K165" s="98" t="s">
        <v>435</v>
      </c>
      <c r="L165" s="98"/>
      <c r="M165" s="98" t="s">
        <v>9</v>
      </c>
      <c r="N165" s="98" t="s">
        <v>13</v>
      </c>
      <c r="O165" s="98" t="s">
        <v>437</v>
      </c>
      <c r="P165" s="98" t="s">
        <v>14</v>
      </c>
      <c r="Q165" s="99" t="s">
        <v>15</v>
      </c>
      <c r="R165" s="99" t="s">
        <v>553</v>
      </c>
      <c r="S165" s="150"/>
      <c r="T165" s="150"/>
    </row>
    <row r="166" spans="1:30" x14ac:dyDescent="0.2">
      <c r="A166" s="90"/>
      <c r="C166" s="106" t="s">
        <v>16</v>
      </c>
      <c r="D166" s="45"/>
      <c r="E166" s="45"/>
      <c r="F166" s="45"/>
      <c r="G166" s="45"/>
      <c r="H166" s="45"/>
      <c r="I166" s="45"/>
      <c r="J166" s="34"/>
      <c r="K166" s="34"/>
      <c r="L166" s="34"/>
      <c r="M166" s="34"/>
      <c r="N166" s="34"/>
      <c r="O166" s="34"/>
      <c r="P166" s="34"/>
      <c r="Q166" s="151"/>
      <c r="R166" s="151"/>
      <c r="AB166" s="13" t="s">
        <v>17</v>
      </c>
      <c r="AC166" s="78" t="s">
        <v>18</v>
      </c>
      <c r="AD166" s="79" t="s">
        <v>19</v>
      </c>
    </row>
    <row r="167" spans="1:30" x14ac:dyDescent="0.2">
      <c r="A167" s="90"/>
      <c r="C167" s="86" t="str" cm="1">
        <f t="array" ref="C167">_xll.BDP(D167&amp;" Equity","DS520")</f>
        <v>WisdomTree Energy</v>
      </c>
      <c r="D167" s="145" t="s">
        <v>494</v>
      </c>
      <c r="E167" s="145" t="s">
        <v>575</v>
      </c>
      <c r="F167" s="145" t="s">
        <v>129</v>
      </c>
      <c r="G167" s="145" t="s">
        <v>26</v>
      </c>
      <c r="H167" s="45" t="str" cm="1">
        <f t="array" ref="H167">_xll.BDP(D167&amp;" Equity", "ID_ISIN")</f>
        <v>GB00B15KYB02</v>
      </c>
      <c r="I167" s="145"/>
      <c r="J167" s="34" t="str" cm="1">
        <f t="array" ref="J167">_xll.BDP(D167&amp;" Equity","FD121")</f>
        <v>Commodity</v>
      </c>
      <c r="K167" s="34"/>
      <c r="L167" s="34"/>
      <c r="M167" s="34" t="str">
        <f>_xll.BDP(D167&amp;" Equity", "DS197")</f>
        <v>London</v>
      </c>
      <c r="N167" s="34" t="str">
        <f>_xll.BDP(D167&amp;" Equity", "DS004")</f>
        <v>USD</v>
      </c>
      <c r="O167" s="111">
        <f>_xll.BDP(D167&amp;" Equity", "FUND_EXPENSE_RATIO")</f>
        <v>0.49</v>
      </c>
      <c r="P167" s="45">
        <f>_xll.BDP(D167&amp;" Equity","PX_LAST")</f>
        <v>4.1924999999999999</v>
      </c>
      <c r="Q167" s="112">
        <f>AD167/$AD$175</f>
        <v>4.8656280439198195E-2</v>
      </c>
      <c r="R167" s="112">
        <f>Q167*(1-$R$181)/(1-$Q$174)</f>
        <v>4.6174414181076262E-2</v>
      </c>
      <c r="S167" s="152"/>
      <c r="T167" s="152"/>
      <c r="AB167" s="1" cm="1">
        <f t="array" ref="AB167">IF(N167="USD",1,_xll.BDP(N167&amp;"USD CURNCY","PX_LAST"))</f>
        <v>1</v>
      </c>
      <c r="AC167" s="80">
        <v>2211505.6967418301</v>
      </c>
      <c r="AD167" s="81">
        <f t="shared" ref="AD167:AD174" si="118">AC167*P167*AB167</f>
        <v>9271737.6335901227</v>
      </c>
    </row>
    <row r="168" spans="1:30" x14ac:dyDescent="0.2">
      <c r="A168" s="90"/>
      <c r="C168" s="86" t="str" cm="1">
        <f t="array" ref="C168">_xll.BDP(D168&amp;" Equity","DS520")</f>
        <v>WisdomTree Industrial Metals</v>
      </c>
      <c r="D168" s="145" t="s">
        <v>492</v>
      </c>
      <c r="E168" s="83" t="s">
        <v>578</v>
      </c>
      <c r="F168" s="145" t="s">
        <v>129</v>
      </c>
      <c r="G168" s="145" t="s">
        <v>26</v>
      </c>
      <c r="H168" s="45" t="str" cm="1">
        <f t="array" ref="H168">_xll.BDP(D168&amp;" Equity", "ID_ISIN")</f>
        <v>GB00B15KYG56</v>
      </c>
      <c r="I168" s="145"/>
      <c r="J168" s="34" t="str" cm="1">
        <f t="array" ref="J168">_xll.BDP(D168&amp;" Equity","FD121")</f>
        <v>Commodity</v>
      </c>
      <c r="K168" s="34"/>
      <c r="L168" s="34"/>
      <c r="M168" s="34" t="str">
        <f>_xll.BDP(D168&amp;" Equity", "DS197")</f>
        <v>London</v>
      </c>
      <c r="N168" s="34" t="str">
        <f>_xll.BDP(D168&amp;" Equity", "DS004")</f>
        <v>USD</v>
      </c>
      <c r="O168" s="111">
        <f>_xll.BDP(D168&amp;" Equity", "FUND_EXPENSE_RATIO")</f>
        <v>0.49</v>
      </c>
      <c r="P168" s="45">
        <f>_xll.BDP(D168&amp;" Equity","PX_LAST")</f>
        <v>18.475000000000001</v>
      </c>
      <c r="Q168" s="112">
        <f>AD168/$AD$175</f>
        <v>0.1342383487464652</v>
      </c>
      <c r="R168" s="112">
        <f>Q168*(1-$R$181)/(1-$Q$174)</f>
        <v>0.12739110055378466</v>
      </c>
      <c r="S168" s="152"/>
      <c r="T168" s="152"/>
      <c r="AB168" s="1" cm="1">
        <f t="array" ref="AB168">IF(N168="USD",1,_xll.BDP(N168&amp;"USD CURNCY","PX_LAST"))</f>
        <v>1</v>
      </c>
      <c r="AC168" s="80">
        <v>1384568.29324577</v>
      </c>
      <c r="AD168" s="81">
        <f t="shared" si="118"/>
        <v>25579899.217715602</v>
      </c>
    </row>
    <row r="169" spans="1:30" x14ac:dyDescent="0.2">
      <c r="A169" s="90"/>
      <c r="C169" s="86" t="str" cm="1">
        <f t="array" ref="C169">_xll.BDP(D169&amp;" Equity","DS520")</f>
        <v>iShares Physical Palladium ETC</v>
      </c>
      <c r="D169" s="145" t="s">
        <v>764</v>
      </c>
      <c r="E169" s="145" t="s">
        <v>767</v>
      </c>
      <c r="F169" s="145" t="s">
        <v>552</v>
      </c>
      <c r="G169" s="145" t="s">
        <v>26</v>
      </c>
      <c r="H169" s="45" t="str" cm="1">
        <f t="array" ref="H169">_xll.BDP(D169&amp;" Equity", "ID_ISIN")</f>
        <v>IE00B4556L06</v>
      </c>
      <c r="I169" s="145"/>
      <c r="J169" s="34" t="str" cm="1">
        <f t="array" ref="J169">_xll.BDP(D169&amp;" Equity","FD121")</f>
        <v>Commodity</v>
      </c>
      <c r="K169" s="34"/>
      <c r="L169" s="34"/>
      <c r="M169" s="34" t="str">
        <f>_xll.BDP(D169&amp;" Equity", "DS197")</f>
        <v>London</v>
      </c>
      <c r="N169" s="34" t="str">
        <f>_xll.BDP(D169&amp;" Equity", "DS004")</f>
        <v>USD</v>
      </c>
      <c r="O169" s="111">
        <f>_xll.BDP(D169&amp;" Equity", "FUND_EXPENSE_RATIO")</f>
        <v>0.2</v>
      </c>
      <c r="P169" s="45">
        <f>_xll.BDP(D169&amp;" Equity","PX_LAST")</f>
        <v>46.63</v>
      </c>
      <c r="Q169" s="112">
        <f>AD169/$AD$175</f>
        <v>4.6231195549119163E-2</v>
      </c>
      <c r="R169" s="112">
        <f>Q169*(1-$R$181)/(1-$Q$174)</f>
        <v>4.3873028355279169E-2</v>
      </c>
      <c r="S169" s="152"/>
      <c r="T169" s="152"/>
      <c r="AB169" s="1" cm="1">
        <f t="array" ref="AB169">IF(N169="USD",1,_xll.BDP(N169&amp;"USD CURNCY","PX_LAST"))</f>
        <v>1</v>
      </c>
      <c r="AC169" s="80">
        <v>188926.090135287</v>
      </c>
      <c r="AD169" s="81">
        <f t="shared" si="118"/>
        <v>8809623.5830084328</v>
      </c>
    </row>
    <row r="170" spans="1:30" x14ac:dyDescent="0.2">
      <c r="A170" s="90"/>
      <c r="C170" s="86" t="str" cm="1">
        <f t="array" ref="C170">_xll.BDP(D170&amp;" Equity","DS520")</f>
        <v>iShares Physical Silver ETC</v>
      </c>
      <c r="D170" s="45" t="s">
        <v>491</v>
      </c>
      <c r="E170" s="45" t="s">
        <v>579</v>
      </c>
      <c r="F170" s="45" t="s">
        <v>552</v>
      </c>
      <c r="G170" s="145" t="s">
        <v>26</v>
      </c>
      <c r="H170" s="45" t="str" cm="1">
        <f t="array" ref="H170">_xll.BDP(D170&amp;" Equity", "ID_ISIN")</f>
        <v>IE00B4NCWG09</v>
      </c>
      <c r="I170" s="45"/>
      <c r="J170" s="34" t="str" cm="1">
        <f t="array" ref="J170">_xll.BDP(D170&amp;" Equity","FD121")</f>
        <v>Commodity</v>
      </c>
      <c r="K170" s="34"/>
      <c r="L170" s="34"/>
      <c r="M170" s="34" t="str">
        <f>_xll.BDP(D170&amp;" Equity", "DS197")</f>
        <v>London</v>
      </c>
      <c r="N170" s="34" t="str">
        <f>_xll.BDP(D170&amp;" Equity", "DS004")</f>
        <v>USD</v>
      </c>
      <c r="O170" s="111">
        <f>_xll.BDP(D170&amp;" Equity", "FUND_EXPENSE_RATIO")</f>
        <v>0.2</v>
      </c>
      <c r="P170" s="45">
        <f>_xll.BDP(D170&amp;" Equity","PX_LAST")</f>
        <v>77.717500000000001</v>
      </c>
      <c r="Q170" s="112">
        <f>AD170/$AD$175</f>
        <v>0.19110636752119534</v>
      </c>
      <c r="R170" s="112">
        <f>Q170*(1-$R$181)/(1-$Q$174)</f>
        <v>0.18135838758968784</v>
      </c>
      <c r="S170" s="152"/>
      <c r="T170" s="152"/>
      <c r="AB170" s="1" cm="1">
        <f t="array" ref="AB170">IF(N170="USD",1,_xll.BDP(N170&amp;"USD CURNCY","PX_LAST"))</f>
        <v>1</v>
      </c>
      <c r="AC170" s="80">
        <v>468574.406278788</v>
      </c>
      <c r="AD170" s="81">
        <f t="shared" si="118"/>
        <v>36416431.419971704</v>
      </c>
    </row>
    <row r="171" spans="1:30" x14ac:dyDescent="0.2">
      <c r="A171" s="90"/>
      <c r="C171" s="86" t="str" cm="1">
        <f t="array" ref="C171">_xll.BDP(D171&amp;" Equity","DS520")</f>
        <v>VanEck Rare Earth and Strategic Metals UCITS ETF</v>
      </c>
      <c r="D171" s="45" t="s">
        <v>765</v>
      </c>
      <c r="E171" s="45" t="s">
        <v>768</v>
      </c>
      <c r="F171" s="45" t="s">
        <v>552</v>
      </c>
      <c r="G171" s="145" t="s">
        <v>26</v>
      </c>
      <c r="H171" s="45" t="str" cm="1">
        <f t="array" ref="H171">_xll.BDP(D171&amp;" Equity", "ID_ISIN")</f>
        <v>IE0002PG6CA6</v>
      </c>
      <c r="I171" s="45"/>
      <c r="J171" s="34" t="str" cm="1">
        <f t="array" ref="J171">_xll.BDP(D171&amp;" Equity","FD121")</f>
        <v>Equity</v>
      </c>
      <c r="K171" s="34"/>
      <c r="L171" s="34"/>
      <c r="M171" s="34" t="str">
        <f>_xll.BDP(D171&amp;" Equity", "DS197")</f>
        <v>London</v>
      </c>
      <c r="N171" s="34" t="str">
        <f>_xll.BDP(D171&amp;" Equity", "DS004")</f>
        <v>USD</v>
      </c>
      <c r="O171" s="111">
        <f>_xll.BDP(D171&amp;" Equity", "FUND_EXPENSE_RATIO")</f>
        <v>0.59</v>
      </c>
      <c r="P171" s="45">
        <f>_xll.BDP(D171&amp;" Equity","PX_LAST")</f>
        <v>18.417999999999999</v>
      </c>
      <c r="Q171" s="112">
        <f>AD171/$AD$175</f>
        <v>5.4349593636763088E-2</v>
      </c>
      <c r="R171" s="112">
        <f>Q171*(1-$R$181)/(1-$Q$174)</f>
        <v>5.1577322074445868E-2</v>
      </c>
      <c r="S171" s="152"/>
      <c r="T171" s="152"/>
      <c r="AB171" s="1" cm="1">
        <f t="array" ref="AB171">IF(N171="USD",1,_xll.BDP(N171&amp;"USD CURNCY","PX_LAST"))</f>
        <v>1</v>
      </c>
      <c r="AC171" s="80">
        <v>562310.32814551401</v>
      </c>
      <c r="AD171" s="81">
        <f t="shared" si="118"/>
        <v>10356631.623784076</v>
      </c>
    </row>
    <row r="172" spans="1:30" x14ac:dyDescent="0.2">
      <c r="A172" s="90"/>
      <c r="C172" s="86" t="str" cm="1">
        <f t="array" ref="C172">_xll.BDP(D172&amp;" Equity","DS520")</f>
        <v>iShares Bloomberg Enhanced Roll Yield Commodity Swap UCITS ETF</v>
      </c>
      <c r="D172" s="45" t="s">
        <v>493</v>
      </c>
      <c r="E172" s="45" t="s">
        <v>576</v>
      </c>
      <c r="F172" s="45" t="s">
        <v>552</v>
      </c>
      <c r="G172" s="145" t="s">
        <v>26</v>
      </c>
      <c r="H172" s="45" t="str" cm="1">
        <f t="array" ref="H172">_xll.BDP(D172&amp;" Equity", "ID_ISIN")</f>
        <v>IE00BZ1NCS44</v>
      </c>
      <c r="I172" s="45"/>
      <c r="J172" s="34" t="str" cm="1">
        <f t="array" ref="J172">_xll.BDP(D172&amp;" Equity","FD121")</f>
        <v>Commodity</v>
      </c>
      <c r="K172" s="34"/>
      <c r="L172" s="34"/>
      <c r="M172" s="34" t="str">
        <f>_xll.BDP(D172&amp;" Equity", "DS197")</f>
        <v>London</v>
      </c>
      <c r="N172" s="34" t="str">
        <f>_xll.BDP(D172&amp;" Equity", "DS004")</f>
        <v>USD</v>
      </c>
      <c r="O172" s="111">
        <f>_xll.BDP(D172&amp;" Equity", "FUND_EXPENSE_RATIO")</f>
        <v>0.28000000000000003</v>
      </c>
      <c r="P172" s="45">
        <f>_xll.BDP(D172&amp;" Equity","PX_LAST")</f>
        <v>9.9649999999999999</v>
      </c>
      <c r="Q172" s="112">
        <f t="shared" ref="Q172:Q173" si="119">AD172/$AD$175</f>
        <v>0.32664318489042571</v>
      </c>
      <c r="R172" s="112">
        <f t="shared" ref="R172:R173" si="120">Q172*(1-$R$181)/(1-$Q$174)</f>
        <v>0.30998172429978155</v>
      </c>
      <c r="S172" s="152"/>
      <c r="T172" s="152"/>
      <c r="AB172" s="1" cm="1">
        <f t="array" ref="AB172">IF(N172="USD",1,_xll.BDP(N172&amp;"USD CURNCY","PX_LAST"))</f>
        <v>1</v>
      </c>
      <c r="AC172" s="80">
        <v>6246237.9725655997</v>
      </c>
      <c r="AD172" s="81">
        <f t="shared" ref="AD172:AD173" si="121">AC172*P172*AB172</f>
        <v>62243761.396616198</v>
      </c>
    </row>
    <row r="173" spans="1:30" x14ac:dyDescent="0.2">
      <c r="A173" s="90"/>
      <c r="C173" s="86" t="str" cm="1">
        <f t="array" ref="C173">_xll.BDP(D173&amp;" Equity","DS520")</f>
        <v>Invesco Physical Gold ETC</v>
      </c>
      <c r="D173" s="45" t="s">
        <v>490</v>
      </c>
      <c r="E173" s="45" t="s">
        <v>580</v>
      </c>
      <c r="F173" s="45" t="s">
        <v>552</v>
      </c>
      <c r="G173" s="145" t="s">
        <v>26</v>
      </c>
      <c r="H173" s="45" t="str" cm="1">
        <f t="array" ref="H173">_xll.BDP(D173&amp;" Equity", "ID_ISIN")</f>
        <v>IE00B579F325</v>
      </c>
      <c r="I173" s="45"/>
      <c r="J173" s="34" t="str" cm="1">
        <f t="array" ref="J173">_xll.BDP(D173&amp;" Equity","FD121")</f>
        <v>Commodity</v>
      </c>
      <c r="K173" s="34"/>
      <c r="L173" s="34"/>
      <c r="M173" s="34" t="str">
        <f>_xll.BDP(D173&amp;" Equity", "DS197")</f>
        <v>London</v>
      </c>
      <c r="N173" s="34" t="str">
        <f>_xll.BDP(D173&amp;" Equity", "DS004")</f>
        <v>USD</v>
      </c>
      <c r="O173" s="111">
        <f>_xll.BDP(D173&amp;" Equity", "FUND_EXPENSE_RATIO")</f>
        <v>0.12</v>
      </c>
      <c r="P173" s="45">
        <f>_xll.BDP(D173&amp;" Equity","PX_LAST")</f>
        <v>487.23</v>
      </c>
      <c r="Q173" s="112">
        <f t="shared" si="119"/>
        <v>0.19483204262667991</v>
      </c>
      <c r="R173" s="112">
        <f t="shared" si="120"/>
        <v>0.18489402294594454</v>
      </c>
      <c r="S173" s="152"/>
      <c r="T173" s="152"/>
      <c r="AB173" s="1" cm="1">
        <f t="array" ref="AB173">IF(N173="USD",1,_xll.BDP(N173&amp;"USD CURNCY","PX_LAST"))</f>
        <v>1</v>
      </c>
      <c r="AC173" s="80">
        <v>76198.880428785196</v>
      </c>
      <c r="AD173" s="81">
        <f t="shared" si="121"/>
        <v>37126380.511317015</v>
      </c>
    </row>
    <row r="174" spans="1:30" x14ac:dyDescent="0.2">
      <c r="A174" s="90"/>
      <c r="C174" s="86" t="str" cm="1">
        <f t="array" ref="C174">_xll.BDP(D174&amp;" Curncy","DS520")</f>
        <v>USDUSD Spot Exchange Rate - Price of 1 USD in USD</v>
      </c>
      <c r="D174" s="45" t="s">
        <v>34</v>
      </c>
      <c r="E174" s="45"/>
      <c r="F174" s="45"/>
      <c r="G174" s="45"/>
      <c r="H174" s="45"/>
      <c r="I174" s="45"/>
      <c r="J174" s="34"/>
      <c r="K174" s="84"/>
      <c r="L174" s="84"/>
      <c r="M174" s="34"/>
      <c r="N174" s="34" t="str">
        <f>_xll.BDP(D174&amp;" Curncy", "DS004")</f>
        <v>USD</v>
      </c>
      <c r="O174" s="111"/>
      <c r="P174" s="45">
        <f>_xll.BDP(D174&amp;" Curncy","PX_LAST")</f>
        <v>1</v>
      </c>
      <c r="Q174" s="112">
        <f>AD174/$AD$175</f>
        <v>3.9429865901532664E-3</v>
      </c>
      <c r="R174" s="112">
        <f>R181</f>
        <v>5.475E-2</v>
      </c>
      <c r="S174" s="152"/>
      <c r="T174" s="152"/>
      <c r="AB174" s="1" cm="1">
        <f t="array" ref="AB174">IF(N174="USD",1,_xll.BDP(N174&amp;"USD CURNCY","PX_LAST"))</f>
        <v>1</v>
      </c>
      <c r="AC174" s="80">
        <v>751359.06046803598</v>
      </c>
      <c r="AD174" s="81">
        <f t="shared" si="118"/>
        <v>751359.06046803598</v>
      </c>
    </row>
    <row r="175" spans="1:30" x14ac:dyDescent="0.2">
      <c r="A175" s="90"/>
      <c r="C175" s="119" t="s">
        <v>81</v>
      </c>
      <c r="D175" s="122"/>
      <c r="E175" s="122"/>
      <c r="F175" s="122"/>
      <c r="G175" s="122"/>
      <c r="H175" s="122"/>
      <c r="I175" s="122"/>
      <c r="J175" s="77"/>
      <c r="K175" s="77"/>
      <c r="L175" s="77"/>
      <c r="M175" s="77"/>
      <c r="N175" s="77"/>
      <c r="O175" s="77"/>
      <c r="P175" s="121" t="s">
        <v>81</v>
      </c>
      <c r="Q175" s="107">
        <f>SUM(Q167:Q174)</f>
        <v>0.99999999999999978</v>
      </c>
      <c r="R175" s="107">
        <f>SUM(R167:R174)</f>
        <v>0.99999999999999989</v>
      </c>
      <c r="AC175" s="40"/>
      <c r="AD175" s="82">
        <f>SUM(AD167:AD174)</f>
        <v>190555824.44647121</v>
      </c>
    </row>
    <row r="176" spans="1:30" ht="15" thickBot="1" x14ac:dyDescent="0.25">
      <c r="A176" s="90"/>
    </row>
    <row r="177" spans="1:30" x14ac:dyDescent="0.2">
      <c r="A177" s="90"/>
      <c r="Q177" s="129" t="s">
        <v>86</v>
      </c>
      <c r="R177" s="130">
        <v>100000</v>
      </c>
    </row>
    <row r="178" spans="1:30" x14ac:dyDescent="0.2">
      <c r="A178" s="90"/>
      <c r="Q178" s="132" t="s">
        <v>85</v>
      </c>
      <c r="R178" s="133">
        <v>5000</v>
      </c>
    </row>
    <row r="179" spans="1:30" x14ac:dyDescent="0.2">
      <c r="A179" s="90"/>
      <c r="Q179" s="132" t="s">
        <v>88</v>
      </c>
      <c r="R179" s="134">
        <f>(R177-R178)*0.5%</f>
        <v>475</v>
      </c>
    </row>
    <row r="180" spans="1:30" x14ac:dyDescent="0.2">
      <c r="A180" s="90"/>
      <c r="Q180" s="132" t="s">
        <v>87</v>
      </c>
      <c r="R180" s="134">
        <f>R178+R179</f>
        <v>5475</v>
      </c>
    </row>
    <row r="181" spans="1:30" ht="15" thickBot="1" x14ac:dyDescent="0.25">
      <c r="A181" s="90"/>
      <c r="Q181" s="136" t="s">
        <v>89</v>
      </c>
      <c r="R181" s="137">
        <f>R180/R177</f>
        <v>5.475E-2</v>
      </c>
    </row>
    <row r="182" spans="1:30" x14ac:dyDescent="0.2">
      <c r="A182" s="93" t="s">
        <v>0</v>
      </c>
      <c r="D182" s="83"/>
    </row>
    <row r="183" spans="1:30" x14ac:dyDescent="0.2">
      <c r="A183" s="88">
        <v>44788</v>
      </c>
      <c r="C183" s="95" t="s">
        <v>498</v>
      </c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</row>
    <row r="184" spans="1:30" x14ac:dyDescent="0.2">
      <c r="C184" s="97" t="s">
        <v>5</v>
      </c>
      <c r="D184" s="98" t="s">
        <v>91</v>
      </c>
      <c r="E184" s="98" t="s">
        <v>533</v>
      </c>
      <c r="F184" s="98" t="s">
        <v>534</v>
      </c>
      <c r="G184" s="98" t="s">
        <v>535</v>
      </c>
      <c r="H184" s="98" t="s">
        <v>1426</v>
      </c>
      <c r="I184" s="98"/>
      <c r="J184" s="98" t="s">
        <v>434</v>
      </c>
      <c r="K184" s="98" t="s">
        <v>435</v>
      </c>
      <c r="L184" s="98"/>
      <c r="M184" s="98" t="s">
        <v>9</v>
      </c>
      <c r="N184" s="98" t="s">
        <v>13</v>
      </c>
      <c r="O184" s="98" t="s">
        <v>437</v>
      </c>
      <c r="P184" s="98" t="s">
        <v>14</v>
      </c>
      <c r="Q184" s="99" t="s">
        <v>15</v>
      </c>
      <c r="R184" s="99" t="s">
        <v>553</v>
      </c>
      <c r="S184" s="150"/>
      <c r="T184" s="150"/>
    </row>
    <row r="185" spans="1:30" x14ac:dyDescent="0.2">
      <c r="C185" s="106" t="s">
        <v>16</v>
      </c>
      <c r="D185" s="45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151"/>
      <c r="R185" s="151"/>
      <c r="AB185" s="13" t="s">
        <v>17</v>
      </c>
      <c r="AC185" s="78" t="s">
        <v>18</v>
      </c>
      <c r="AD185" s="79" t="s">
        <v>19</v>
      </c>
    </row>
    <row r="186" spans="1:30" x14ac:dyDescent="0.2">
      <c r="C186" s="86" t="str" cm="1">
        <f t="array" ref="C186">_xll.BDP(D186&amp;" Equity","DS520")</f>
        <v>abrdn Physical Palladium Shares ETF</v>
      </c>
      <c r="D186" s="145" t="s">
        <v>773</v>
      </c>
      <c r="E186" s="145" t="s">
        <v>776</v>
      </c>
      <c r="F186" s="145" t="s">
        <v>33</v>
      </c>
      <c r="G186" s="145" t="s">
        <v>26</v>
      </c>
      <c r="H186" s="45" t="str" cm="1">
        <f t="array" ref="H186">_xll.BDP(D186&amp;" Equity", "ID_ISIN")</f>
        <v>US0032621023</v>
      </c>
      <c r="I186" s="145"/>
      <c r="J186" s="34" t="str" cm="1">
        <f t="array" ref="J186">_xll.BDP(D186&amp;" Equity","FD121")</f>
        <v>Commodity</v>
      </c>
      <c r="K186" s="34"/>
      <c r="L186" s="34"/>
      <c r="M186" s="34" t="str">
        <f>_xll.BDP(D186&amp;" Equity", "DS197")</f>
        <v>NYSE Arca</v>
      </c>
      <c r="N186" s="34" t="str">
        <f>_xll.BDP(D186&amp;" Equity", "DS004")</f>
        <v>USD</v>
      </c>
      <c r="O186" s="111">
        <f>_xll.BDP(D186&amp;" Equity", "FUND_EXPENSE_RATIO")</f>
        <v>0.6</v>
      </c>
      <c r="P186" s="45">
        <f>_xll.BDP(D186&amp;" Equity","PX_LAST")</f>
        <v>147.79</v>
      </c>
      <c r="Q186" s="112">
        <f>AD186/$AD$194</f>
        <v>4.6961583011580176E-2</v>
      </c>
      <c r="R186" s="112">
        <f>Q186*(1-$R$200)/(1-$Q$193)</f>
        <v>4.458101807577565E-2</v>
      </c>
      <c r="S186" s="152"/>
      <c r="T186" s="152"/>
      <c r="AB186" s="1" cm="1">
        <f t="array" ref="AB186">IF(N186="USD",1,_xll.BDP(N186&amp;"USD CURNCY","PX_LAST"))</f>
        <v>1</v>
      </c>
      <c r="AC186" s="80">
        <v>55032.8786413583</v>
      </c>
      <c r="AD186" s="81">
        <f t="shared" ref="AD186:AD193" si="122">AC186*P186*AB186</f>
        <v>8133309.1344063431</v>
      </c>
    </row>
    <row r="187" spans="1:30" x14ac:dyDescent="0.2">
      <c r="C187" s="86" t="str" cm="1">
        <f t="array" ref="C187">_xll.BDP(D187&amp;" Equity","DS520")</f>
        <v>abrdn Physical Silver Shares ETF</v>
      </c>
      <c r="D187" s="45" t="s">
        <v>775</v>
      </c>
      <c r="E187" s="45" t="s">
        <v>582</v>
      </c>
      <c r="F187" s="145" t="s">
        <v>33</v>
      </c>
      <c r="G187" s="145" t="s">
        <v>26</v>
      </c>
      <c r="H187" s="45" t="str" cm="1">
        <f t="array" ref="H187">_xll.BDP(D187&amp;" Equity", "ID_ISIN")</f>
        <v>US0032641088</v>
      </c>
      <c r="I187" s="45"/>
      <c r="J187" s="34" t="str" cm="1">
        <f t="array" ref="J187">_xll.BDP(D187&amp;" Equity","FD121")</f>
        <v>Commodity</v>
      </c>
      <c r="K187" s="34"/>
      <c r="L187" s="34"/>
      <c r="M187" s="34" t="str">
        <f>_xll.BDP(D187&amp;" Equity", "DS197")</f>
        <v>NYSE Arca</v>
      </c>
      <c r="N187" s="34" t="str">
        <f>_xll.BDP(D187&amp;" Equity", "DS004")</f>
        <v>USD</v>
      </c>
      <c r="O187" s="111">
        <f>_xll.BDP(D187&amp;" Equity", "FUND_EXPENSE_RATIO")</f>
        <v>0.3</v>
      </c>
      <c r="P187" s="45">
        <f>_xll.BDP(D187&amp;" Equity","PX_LAST")</f>
        <v>78</v>
      </c>
      <c r="Q187" s="112">
        <f>AD187/$AD$194</f>
        <v>0.1959609354921143</v>
      </c>
      <c r="R187" s="112">
        <f>Q187*(1-$R$200)/(1-$Q$193)</f>
        <v>0.18602733228063512</v>
      </c>
      <c r="S187" s="152"/>
      <c r="T187" s="152"/>
      <c r="AB187" s="1" cm="1">
        <f t="array" ref="AB187">IF(N187="USD",1,_xll.BDP(N187&amp;"USD CURNCY","PX_LAST"))</f>
        <v>1</v>
      </c>
      <c r="AC187" s="80">
        <v>435110.38893210999</v>
      </c>
      <c r="AD187" s="81">
        <f t="shared" si="122"/>
        <v>33938610.336704582</v>
      </c>
    </row>
    <row r="188" spans="1:30" x14ac:dyDescent="0.2">
      <c r="C188" s="86" t="str" cm="1">
        <f t="array" ref="C188">_xll.BDP(D188&amp;" Equity","DS520")</f>
        <v>Invesco DB Base Metals Fund</v>
      </c>
      <c r="D188" s="45" t="s">
        <v>1133</v>
      </c>
      <c r="E188" s="45" t="s">
        <v>1134</v>
      </c>
      <c r="F188" s="145" t="s">
        <v>33</v>
      </c>
      <c r="G188" s="145" t="s">
        <v>26</v>
      </c>
      <c r="H188" s="45" t="str" cm="1">
        <f t="array" ref="H188">_xll.BDP(D188&amp;" Equity", "ID_ISIN")</f>
        <v>US46140H7008</v>
      </c>
      <c r="I188" s="45"/>
      <c r="J188" s="34" t="str" cm="1">
        <f t="array" ref="J188">_xll.BDP(D188&amp;" Equity","FD121")</f>
        <v>Commodity</v>
      </c>
      <c r="K188" s="34"/>
      <c r="L188" s="34"/>
      <c r="M188" s="34" t="str">
        <f>_xll.BDP(D188&amp;" Equity", "DS197")</f>
        <v>NYSE Arca</v>
      </c>
      <c r="N188" s="34" t="str">
        <f>_xll.BDP(D188&amp;" Equity", "DS004")</f>
        <v>USD</v>
      </c>
      <c r="O188" s="111">
        <f>_xll.BDP(D188&amp;" Equity", "FUND_EXPENSE_RATIO")</f>
        <v>0.77</v>
      </c>
      <c r="P188" s="45">
        <f>_xll.BDP(D188&amp;" Equity","PX_LAST")</f>
        <v>23.9</v>
      </c>
      <c r="Q188" s="112">
        <f>AD188/$AD$194</f>
        <v>0.12236988436340471</v>
      </c>
      <c r="R188" s="112">
        <f>Q188*(1-$R$200)/(1-$Q$193)</f>
        <v>0.11616674049063232</v>
      </c>
      <c r="S188" s="152"/>
      <c r="T188" s="152"/>
      <c r="AB188" s="1" cm="1">
        <f t="array" ref="AB188">IF(N188="USD",1,_xll.BDP(N188&amp;"USD CURNCY","PX_LAST"))</f>
        <v>1</v>
      </c>
      <c r="AC188" s="80">
        <v>886750.00622803206</v>
      </c>
      <c r="AD188" s="81">
        <f t="shared" si="122"/>
        <v>21193325.148849964</v>
      </c>
    </row>
    <row r="189" spans="1:30" x14ac:dyDescent="0.2">
      <c r="C189" s="86" t="str" cm="1">
        <f t="array" ref="C189">_xll.BDP(D189&amp;" Equity","DS520")</f>
        <v>Invesco DB Energy Fund</v>
      </c>
      <c r="D189" s="45" t="s">
        <v>769</v>
      </c>
      <c r="E189" s="45" t="s">
        <v>586</v>
      </c>
      <c r="F189" s="145" t="s">
        <v>33</v>
      </c>
      <c r="G189" s="145" t="s">
        <v>26</v>
      </c>
      <c r="H189" s="45" t="str" cm="1">
        <f t="array" ref="H189">_xll.BDP(D189&amp;" Equity", "ID_ISIN")</f>
        <v>US46140H3049</v>
      </c>
      <c r="I189" s="45"/>
      <c r="J189" s="34" t="str" cm="1">
        <f t="array" ref="J189">_xll.BDP(D189&amp;" Equity","FD121")</f>
        <v>Commodity</v>
      </c>
      <c r="K189" s="34"/>
      <c r="L189" s="34"/>
      <c r="M189" s="34" t="str">
        <f>_xll.BDP(D189&amp;" Equity", "DS197")</f>
        <v>NYSE Arca</v>
      </c>
      <c r="N189" s="34" t="str">
        <f>_xll.BDP(D189&amp;" Equity", "DS004")</f>
        <v>USD</v>
      </c>
      <c r="O189" s="111">
        <f>_xll.BDP(D189&amp;" Equity", "FUND_EXPENSE_RATIO")</f>
        <v>0.77</v>
      </c>
      <c r="P189" s="45">
        <f>_xll.BDP(D189&amp;" Equity","PX_LAST")</f>
        <v>24.004999999999999</v>
      </c>
      <c r="Q189" s="112">
        <f>AD189/$AD$194</f>
        <v>5.1042451254701103E-2</v>
      </c>
      <c r="R189" s="112">
        <f>Q189*(1-$R$200)/(1-$Q$193)</f>
        <v>4.8455019956559174E-2</v>
      </c>
      <c r="S189" s="152"/>
      <c r="T189" s="152"/>
      <c r="AB189" s="1" cm="1">
        <f t="array" ref="AB189">IF(N189="USD",1,_xll.BDP(N189&amp;"USD CURNCY","PX_LAST"))</f>
        <v>1</v>
      </c>
      <c r="AC189" s="80">
        <v>368259.84319639002</v>
      </c>
      <c r="AD189" s="81">
        <f t="shared" si="122"/>
        <v>8840077.5359293427</v>
      </c>
    </row>
    <row r="190" spans="1:30" x14ac:dyDescent="0.2">
      <c r="C190" s="86" t="str" cm="1">
        <f t="array" ref="C190">_xll.BDP(D190&amp;" Equity","DS520")</f>
        <v>State Street SPDR Bloomberg Enhanced Roll Yield Commodity Strategy No K-1 ETF</v>
      </c>
      <c r="D190" s="45" t="s">
        <v>496</v>
      </c>
      <c r="E190" s="45" t="s">
        <v>584</v>
      </c>
      <c r="F190" s="145" t="s">
        <v>33</v>
      </c>
      <c r="G190" s="145" t="s">
        <v>26</v>
      </c>
      <c r="H190" s="45" t="str" cm="1">
        <f t="array" ref="H190">_xll.BDP(D190&amp;" Equity", "ID_ISIN")</f>
        <v>US78468R4406</v>
      </c>
      <c r="I190" s="45"/>
      <c r="J190" s="34" t="str" cm="1">
        <f t="array" ref="J190">_xll.BDP(D190&amp;" Equity","FD121")</f>
        <v>Commodity</v>
      </c>
      <c r="K190" s="34"/>
      <c r="L190" s="34"/>
      <c r="M190" s="34" t="str">
        <f>_xll.BDP(D190&amp;" Equity", "DS197")</f>
        <v>NYSE Arca</v>
      </c>
      <c r="N190" s="34" t="str">
        <f>_xll.BDP(D190&amp;" Equity", "DS004")</f>
        <v>USD</v>
      </c>
      <c r="O190" s="111">
        <f>_xll.BDP(D190&amp;" Equity", "FUND_EXPENSE_RATIO")</f>
        <v>0.28000000000000003</v>
      </c>
      <c r="P190" s="45">
        <f>_xll.BDP(D190&amp;" Equity","PX_LAST")</f>
        <v>33.17</v>
      </c>
      <c r="Q190" s="112">
        <f>AD190/$AD$194</f>
        <v>0.32559002447337992</v>
      </c>
      <c r="R190" s="112">
        <f>Q190*(1-$R$200)/(1-$Q$193)</f>
        <v>0.30908529558640996</v>
      </c>
      <c r="S190" s="152"/>
      <c r="T190" s="152"/>
      <c r="AB190" s="1" cm="1">
        <f t="array" ref="AB190">IF(N190="USD",1,_xll.BDP(N190&amp;"USD CURNCY","PX_LAST"))</f>
        <v>1</v>
      </c>
      <c r="AC190" s="80">
        <v>1700004.8890056701</v>
      </c>
      <c r="AD190" s="81">
        <f t="shared" si="122"/>
        <v>56389162.168318078</v>
      </c>
    </row>
    <row r="191" spans="1:30" x14ac:dyDescent="0.2">
      <c r="C191" s="86" t="str" cm="1">
        <f t="array" ref="C191">_xll.BDP(D191&amp;" Equity","DS520")</f>
        <v>SPDR Gold MiniShares Trust</v>
      </c>
      <c r="D191" s="45" t="s">
        <v>772</v>
      </c>
      <c r="E191" s="45" t="s">
        <v>581</v>
      </c>
      <c r="F191" s="145" t="s">
        <v>33</v>
      </c>
      <c r="G191" s="145" t="s">
        <v>26</v>
      </c>
      <c r="H191" s="45" t="str" cm="1">
        <f t="array" ref="H191">_xll.BDP(D191&amp;" Equity", "ID_ISIN")</f>
        <v>US98149E3036</v>
      </c>
      <c r="I191" s="45"/>
      <c r="J191" s="34" t="str" cm="1">
        <f t="array" ref="J191">_xll.BDP(D191&amp;" Equity","FD121")</f>
        <v>Commodity</v>
      </c>
      <c r="K191" s="34"/>
      <c r="L191" s="34"/>
      <c r="M191" s="34" t="str">
        <f>_xll.BDP(D191&amp;" Equity", "DS197")</f>
        <v>NYSE Arca</v>
      </c>
      <c r="N191" s="34" t="str">
        <f>_xll.BDP(D191&amp;" Equity", "DS004")</f>
        <v>USD</v>
      </c>
      <c r="O191" s="111">
        <f>_xll.BDP(D191&amp;" Equity", "FUND_EXPENSE_RATIO")</f>
        <v>0.1</v>
      </c>
      <c r="P191" s="45">
        <f>_xll.BDP(D191&amp;" Equity","PX_LAST")</f>
        <v>100.38</v>
      </c>
      <c r="Q191" s="112">
        <f t="shared" ref="Q191:Q192" si="123">AD191/$AD$194</f>
        <v>0.19782469536751501</v>
      </c>
      <c r="R191" s="112">
        <f t="shared" ref="R191:R192" si="124">Q191*(1-$R$200)/(1-$Q$193)</f>
        <v>0.18779661490199939</v>
      </c>
      <c r="S191" s="152"/>
      <c r="T191" s="152"/>
      <c r="AB191" s="1" cm="1">
        <f t="array" ref="AB191">IF(N191="USD",1,_xll.BDP(N191&amp;"USD CURNCY","PX_LAST"))</f>
        <v>1</v>
      </c>
      <c r="AC191" s="80">
        <v>341316.95758350397</v>
      </c>
      <c r="AD191" s="81">
        <f t="shared" ref="AD191:AD192" si="125">AC191*P191*AB191</f>
        <v>34261396.20223213</v>
      </c>
    </row>
    <row r="192" spans="1:30" x14ac:dyDescent="0.2">
      <c r="C192" s="86" t="str" cm="1">
        <f t="array" ref="C192">_xll.BDP(D192&amp;" Equity","DS520")</f>
        <v>VanEck Rare Earth and Strategic Metals ETF</v>
      </c>
      <c r="D192" s="45" t="s">
        <v>774</v>
      </c>
      <c r="E192" s="45" t="s">
        <v>768</v>
      </c>
      <c r="F192" s="145" t="s">
        <v>33</v>
      </c>
      <c r="G192" s="145" t="s">
        <v>26</v>
      </c>
      <c r="H192" s="45" t="str" cm="1">
        <f t="array" ref="H192">_xll.BDP(D192&amp;" Equity", "ID_ISIN")</f>
        <v>US92189H8051</v>
      </c>
      <c r="I192" s="45"/>
      <c r="J192" s="34" t="str" cm="1">
        <f t="array" ref="J192">_xll.BDP(D192&amp;" Equity","FD121")</f>
        <v>Equity</v>
      </c>
      <c r="K192" s="34"/>
      <c r="L192" s="34"/>
      <c r="M192" s="34" t="str">
        <f>_xll.BDP(D192&amp;" Equity", "DS197")</f>
        <v>NYSE Arca</v>
      </c>
      <c r="N192" s="34" t="str">
        <f>_xll.BDP(D192&amp;" Equity", "DS004")</f>
        <v>USD</v>
      </c>
      <c r="O192" s="111">
        <f>_xll.BDP(D192&amp;" Equity", "FUND_EXPENSE_RATIO")</f>
        <v>0.57999999999999996</v>
      </c>
      <c r="P192" s="45">
        <f>_xll.BDP(D192&amp;" Equity","PX_LAST")</f>
        <v>93.4</v>
      </c>
      <c r="Q192" s="112">
        <f t="shared" si="123"/>
        <v>5.5975473550675739E-2</v>
      </c>
      <c r="R192" s="112">
        <f t="shared" si="124"/>
        <v>5.3137978707988399E-2</v>
      </c>
      <c r="S192" s="152"/>
      <c r="T192" s="152"/>
      <c r="AB192" s="1" cm="1">
        <f t="array" ref="AB192">IF(N192="USD",1,_xll.BDP(N192&amp;"USD CURNCY","PX_LAST"))</f>
        <v>1</v>
      </c>
      <c r="AC192" s="80">
        <v>103794.765406012</v>
      </c>
      <c r="AD192" s="81">
        <f t="shared" si="125"/>
        <v>9694431.0889215209</v>
      </c>
    </row>
    <row r="193" spans="1:32" x14ac:dyDescent="0.2">
      <c r="C193" s="86" t="str" cm="1">
        <f t="array" ref="C193">_xll.BDP(D193&amp;" Curncy","DS520")</f>
        <v>USDUSD Spot Exchange Rate - Price of 1 USD in USD</v>
      </c>
      <c r="D193" s="45" t="s">
        <v>34</v>
      </c>
      <c r="E193" s="45"/>
      <c r="F193" s="45"/>
      <c r="G193" s="45"/>
      <c r="H193" s="45"/>
      <c r="I193" s="45"/>
      <c r="J193" s="34"/>
      <c r="K193" s="84"/>
      <c r="L193" s="84"/>
      <c r="M193" s="34"/>
      <c r="N193" s="34" t="str">
        <f>_xll.BDP(D193&amp;" Curncy", "DS004")</f>
        <v>USD</v>
      </c>
      <c r="O193" s="111"/>
      <c r="P193" s="45">
        <f>_xll.BDP(D193&amp;" Curncy","PX_LAST")</f>
        <v>1</v>
      </c>
      <c r="Q193" s="112">
        <f>AD193/$AD$194</f>
        <v>4.274952486628983E-3</v>
      </c>
      <c r="R193" s="112">
        <f>R200</f>
        <v>5.475E-2</v>
      </c>
      <c r="S193" s="152"/>
      <c r="T193" s="152"/>
      <c r="AB193" s="1" cm="1">
        <f t="array" ref="AB193">IF(N193="USD",1,_xll.BDP(N193&amp;"USD CURNCY","PX_LAST"))</f>
        <v>1</v>
      </c>
      <c r="AC193" s="80">
        <v>740381.98627330898</v>
      </c>
      <c r="AD193" s="81">
        <f t="shared" si="122"/>
        <v>740381.98627330898</v>
      </c>
    </row>
    <row r="194" spans="1:32" x14ac:dyDescent="0.2">
      <c r="C194" s="119" t="s">
        <v>81</v>
      </c>
      <c r="D194" s="122"/>
      <c r="E194" s="122"/>
      <c r="F194" s="122"/>
      <c r="G194" s="122"/>
      <c r="H194" s="122"/>
      <c r="I194" s="122"/>
      <c r="J194" s="77"/>
      <c r="K194" s="77"/>
      <c r="L194" s="77"/>
      <c r="M194" s="77"/>
      <c r="N194" s="77"/>
      <c r="O194" s="77"/>
      <c r="P194" s="121" t="s">
        <v>81</v>
      </c>
      <c r="Q194" s="107">
        <f>SUM(Q186:Q193)</f>
        <v>1</v>
      </c>
      <c r="R194" s="107">
        <f>SUM(R186:R193)</f>
        <v>0.99999999999999989</v>
      </c>
      <c r="AC194" s="40"/>
      <c r="AD194" s="82">
        <f>SUM(AD186:AD193)</f>
        <v>173190693.60163528</v>
      </c>
    </row>
    <row r="195" spans="1:32" ht="15" thickBot="1" x14ac:dyDescent="0.25"/>
    <row r="196" spans="1:32" x14ac:dyDescent="0.2">
      <c r="Q196" s="129" t="s">
        <v>86</v>
      </c>
      <c r="R196" s="130">
        <v>100000</v>
      </c>
    </row>
    <row r="197" spans="1:32" x14ac:dyDescent="0.2">
      <c r="Q197" s="132" t="s">
        <v>85</v>
      </c>
      <c r="R197" s="133">
        <v>5000</v>
      </c>
    </row>
    <row r="198" spans="1:32" x14ac:dyDescent="0.2">
      <c r="Q198" s="132" t="s">
        <v>88</v>
      </c>
      <c r="R198" s="134">
        <f>(R196-R197)*0.5%</f>
        <v>475</v>
      </c>
    </row>
    <row r="199" spans="1:32" x14ac:dyDescent="0.2">
      <c r="Q199" s="132" t="s">
        <v>87</v>
      </c>
      <c r="R199" s="134">
        <f>R197+R198</f>
        <v>5475</v>
      </c>
    </row>
    <row r="200" spans="1:32" ht="15" thickBot="1" x14ac:dyDescent="0.25">
      <c r="Q200" s="136" t="s">
        <v>89</v>
      </c>
      <c r="R200" s="137">
        <f>R199/R196</f>
        <v>5.475E-2</v>
      </c>
    </row>
    <row r="202" spans="1:32" x14ac:dyDescent="0.2">
      <c r="A202" s="76" t="s">
        <v>0</v>
      </c>
      <c r="C202" s="95" t="s">
        <v>647</v>
      </c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W202" s="40"/>
      <c r="X202" s="81"/>
      <c r="Y202" s="40"/>
    </row>
    <row r="203" spans="1:32" x14ac:dyDescent="0.2">
      <c r="A203" s="154">
        <v>45071</v>
      </c>
      <c r="C203" s="97" t="s">
        <v>5</v>
      </c>
      <c r="D203" s="98" t="s">
        <v>91</v>
      </c>
      <c r="E203" s="98" t="s">
        <v>533</v>
      </c>
      <c r="F203" s="98" t="s">
        <v>534</v>
      </c>
      <c r="G203" s="98" t="s">
        <v>535</v>
      </c>
      <c r="H203" s="98" t="s">
        <v>1426</v>
      </c>
      <c r="I203" s="98"/>
      <c r="J203" s="98" t="s">
        <v>434</v>
      </c>
      <c r="K203" s="98" t="s">
        <v>435</v>
      </c>
      <c r="L203" s="98"/>
      <c r="M203" s="98" t="s">
        <v>9</v>
      </c>
      <c r="N203" s="98" t="s">
        <v>13</v>
      </c>
      <c r="O203" s="98" t="s">
        <v>437</v>
      </c>
      <c r="P203" s="98" t="s">
        <v>14</v>
      </c>
      <c r="Q203" s="99" t="s">
        <v>438</v>
      </c>
      <c r="R203" s="99" t="s">
        <v>536</v>
      </c>
      <c r="S203" s="101" t="s">
        <v>440</v>
      </c>
      <c r="T203" s="101" t="s">
        <v>440</v>
      </c>
      <c r="AC203" s="185" t="s">
        <v>438</v>
      </c>
      <c r="AD203" s="185"/>
      <c r="AE203" s="186" t="s">
        <v>440</v>
      </c>
      <c r="AF203" s="186"/>
    </row>
    <row r="204" spans="1:32" x14ac:dyDescent="0.2">
      <c r="C204" s="106" t="s">
        <v>16</v>
      </c>
      <c r="D204" s="45"/>
      <c r="E204" s="34"/>
      <c r="F204" s="34"/>
      <c r="G204" s="34"/>
      <c r="H204" s="45"/>
      <c r="I204" s="34"/>
      <c r="J204" s="34"/>
      <c r="K204" s="34"/>
      <c r="L204" s="155"/>
      <c r="M204" s="34"/>
      <c r="N204" s="34"/>
      <c r="O204" s="34"/>
      <c r="P204" s="34"/>
      <c r="Q204" s="107"/>
      <c r="R204" s="107"/>
      <c r="S204" s="109"/>
      <c r="T204" s="109"/>
      <c r="AB204" s="13" t="s">
        <v>17</v>
      </c>
      <c r="AC204" s="78" t="s">
        <v>18</v>
      </c>
      <c r="AD204" s="79" t="s">
        <v>19</v>
      </c>
      <c r="AE204" s="78" t="s">
        <v>18</v>
      </c>
      <c r="AF204" s="79" t="s">
        <v>19</v>
      </c>
    </row>
    <row r="205" spans="1:32" x14ac:dyDescent="0.2">
      <c r="A205" s="3"/>
      <c r="C205" s="86" t="str" cm="1">
        <f t="array" ref="C205">_xll.BDP(D205&amp;" Equity","DS520")</f>
        <v>Vanguard ESG International Stock ETF</v>
      </c>
      <c r="D205" s="45" t="s">
        <v>648</v>
      </c>
      <c r="E205" s="34"/>
      <c r="F205" s="34"/>
      <c r="G205" s="34"/>
      <c r="H205" s="45" t="str" cm="1">
        <f t="array" ref="H205">_xll.BDP(D205&amp;" Equity", "ID_ISIN")</f>
        <v>US9219107250</v>
      </c>
      <c r="I205" s="34"/>
      <c r="J205" s="34" t="str" cm="1">
        <f t="array" ref="J205">_xll.BDP(D205&amp;" Equity","FD121")</f>
        <v>Equity</v>
      </c>
      <c r="K205" s="111"/>
      <c r="L205" s="111"/>
      <c r="M205" s="34" t="str">
        <f>_xll.BDP(D205&amp;" Equity", "DS197")</f>
        <v>Cboe BZX</v>
      </c>
      <c r="N205" s="45" t="str">
        <f>_xll.BDP(D205&amp;" Equity","DS004")</f>
        <v>USD</v>
      </c>
      <c r="O205" s="111">
        <f>_xll.BDP(D205&amp;" Equity", "FUND_EXPENSE_RATIO")</f>
        <v>0.1</v>
      </c>
      <c r="P205" s="45">
        <f>_xll.BDP(D205&amp;" Equity","PX_LAST")</f>
        <v>74.13</v>
      </c>
      <c r="Q205" s="112">
        <f>AD205/$AD$212</f>
        <v>0.23153054644093407</v>
      </c>
      <c r="R205" s="112">
        <f>Q205*(1-$R$222)/(1-$Q$211)</f>
        <v>0.21955369668434493</v>
      </c>
      <c r="S205" s="114">
        <f>AF205/$AF$212</f>
        <v>0.13969977911410295</v>
      </c>
      <c r="T205" s="114">
        <f>S205*(1-$T$222)/(1-$S$211)</f>
        <v>0.13256083698296303</v>
      </c>
      <c r="AB205" s="1" cm="1">
        <f t="array" ref="AB205">IF(N205="USD",1,_xll.BDP(N205&amp;"USD CURNCY","PX_LAST"))</f>
        <v>1</v>
      </c>
      <c r="AC205" s="80">
        <v>490196.078431373</v>
      </c>
      <c r="AD205" s="81">
        <f t="shared" ref="AD205:AD211" si="126">AC205*$P205*$AB205</f>
        <v>36338235.294117682</v>
      </c>
      <c r="AE205" s="80">
        <v>245098.039215686</v>
      </c>
      <c r="AF205" s="81">
        <f>AE205*P205*AB205</f>
        <v>18169117.647058804</v>
      </c>
    </row>
    <row r="206" spans="1:32" x14ac:dyDescent="0.2">
      <c r="A206" s="3"/>
      <c r="C206" s="86" t="str" cm="1">
        <f t="array" ref="C206">_xll.BDP(D206&amp;" Equity","DS520")</f>
        <v>Vanguard ESG US Stock ETF</v>
      </c>
      <c r="D206" s="45" t="s">
        <v>649</v>
      </c>
      <c r="E206" s="34"/>
      <c r="F206" s="34"/>
      <c r="G206" s="34"/>
      <c r="H206" s="45" t="str" cm="1">
        <f t="array" ref="H206">_xll.BDP(D206&amp;" Equity", "ID_ISIN")</f>
        <v>US9219107334</v>
      </c>
      <c r="I206" s="34"/>
      <c r="J206" s="34" t="str" cm="1">
        <f t="array" ref="J206">_xll.BDP(D206&amp;" Equity","FD121")</f>
        <v>Equity</v>
      </c>
      <c r="K206" s="111"/>
      <c r="L206" s="111"/>
      <c r="M206" s="34" t="str">
        <f>_xll.BDP(D206&amp;" Equity", "DS197")</f>
        <v>Cboe BZX</v>
      </c>
      <c r="N206" s="45" t="str">
        <f>_xll.BDP(D206&amp;" Equity","DS004")</f>
        <v>USD</v>
      </c>
      <c r="O206" s="111">
        <f>_xll.BDP(D206&amp;" Equity", "FUND_EXPENSE_RATIO")</f>
        <v>0.09</v>
      </c>
      <c r="P206" s="45">
        <f>_xll.BDP(D206&amp;" Equity","PX_LAST")</f>
        <v>118.43</v>
      </c>
      <c r="Q206" s="112">
        <f t="shared" ref="Q206:Q211" si="127">AD206/$AD$212</f>
        <v>0.36228196058475537</v>
      </c>
      <c r="R206" s="112">
        <f t="shared" ref="R206:R210" si="128">Q206*(1-$R$222)/(1-$Q$211)</f>
        <v>0.34354146746993824</v>
      </c>
      <c r="S206" s="114">
        <f t="shared" ref="S206:S211" si="129">AF206/$AF$212</f>
        <v>0.21859193375862357</v>
      </c>
      <c r="T206" s="114">
        <f t="shared" ref="T206:T210" si="130">S206*(1-$T$222)/(1-$S$211)</f>
        <v>0.20742144247128805</v>
      </c>
      <c r="AB206" s="1" cm="1">
        <f t="array" ref="AB206">IF(N206="USD",1,_xll.BDP(N206&amp;"USD CURNCY","PX_LAST"))</f>
        <v>1</v>
      </c>
      <c r="AC206" s="80">
        <v>480109.73936899798</v>
      </c>
      <c r="AD206" s="81">
        <f t="shared" si="126"/>
        <v>56859396.433470435</v>
      </c>
      <c r="AE206" s="80">
        <v>240054.86968449899</v>
      </c>
      <c r="AF206" s="81">
        <f t="shared" ref="AF206:AF211" si="131">AE206*P206*AB206</f>
        <v>28429698.216735218</v>
      </c>
    </row>
    <row r="207" spans="1:32" x14ac:dyDescent="0.2">
      <c r="A207" s="3"/>
      <c r="C207" s="86" t="str" cm="1">
        <f t="array" ref="C207">_xll.BDP(D207&amp;" Equity","DS520")</f>
        <v>Goldman Sachs ActiveBeta U.S. Large Cap Equity ETF</v>
      </c>
      <c r="D207" s="45" t="s">
        <v>650</v>
      </c>
      <c r="E207" s="34"/>
      <c r="F207" s="34"/>
      <c r="G207" s="34"/>
      <c r="H207" s="45" t="str" cm="1">
        <f t="array" ref="H207">_xll.BDP(D207&amp;" Equity", "ID_ISIN")</f>
        <v>US3814305039</v>
      </c>
      <c r="I207" s="34"/>
      <c r="J207" s="34" t="str" cm="1">
        <f t="array" ref="J207">_xll.BDP(D207&amp;" Equity","FD121")</f>
        <v>Equity</v>
      </c>
      <c r="K207" s="111"/>
      <c r="L207" s="111"/>
      <c r="M207" s="34" t="str">
        <f>_xll.BDP(D207&amp;" Equity", "DS197")</f>
        <v>NYSE Arca</v>
      </c>
      <c r="N207" s="45" t="str">
        <f>_xll.BDP(D207&amp;" Equity","DS004")</f>
        <v>USD</v>
      </c>
      <c r="O207" s="111">
        <f>_xll.BDP(D207&amp;" Equity", "FUND_EXPENSE_RATIO")</f>
        <v>0.09</v>
      </c>
      <c r="P207" s="45">
        <f>_xll.BDP(D207&amp;" Equity","PX_LAST")</f>
        <v>131.27000000000001</v>
      </c>
      <c r="Q207" s="112">
        <f t="shared" si="127"/>
        <v>0.19434329087930671</v>
      </c>
      <c r="R207" s="112">
        <f t="shared" si="128"/>
        <v>0.18429010164858739</v>
      </c>
      <c r="S207" s="114">
        <f t="shared" si="129"/>
        <v>0.11726191306283315</v>
      </c>
      <c r="T207" s="114">
        <f t="shared" si="130"/>
        <v>0.11126959140813257</v>
      </c>
      <c r="AB207" s="1" cm="1">
        <f t="array" ref="AB207">IF(N207="USD",1,_xll.BDP(N207&amp;"USD CURNCY","PX_LAST"))</f>
        <v>1</v>
      </c>
      <c r="AC207" s="80">
        <v>232359.05588846799</v>
      </c>
      <c r="AD207" s="81">
        <f t="shared" si="126"/>
        <v>30501773.266479194</v>
      </c>
      <c r="AE207" s="80">
        <v>116179.527944234</v>
      </c>
      <c r="AF207" s="81">
        <f t="shared" si="131"/>
        <v>15250886.633239597</v>
      </c>
    </row>
    <row r="208" spans="1:32" x14ac:dyDescent="0.2">
      <c r="A208" s="3"/>
      <c r="C208" s="86" t="str" cm="1">
        <f t="array" ref="C208">_xll.BDP(D208&amp;" Equity","DS520")</f>
        <v>Avantis US Equity ETF</v>
      </c>
      <c r="D208" s="45" t="s">
        <v>651</v>
      </c>
      <c r="E208" s="34"/>
      <c r="F208" s="34"/>
      <c r="G208" s="34"/>
      <c r="H208" s="45" t="str" cm="1">
        <f t="array" ref="H208">_xll.BDP(D208&amp;" Equity", "ID_ISIN")</f>
        <v>US0250728856</v>
      </c>
      <c r="I208" s="34"/>
      <c r="J208" s="34" t="str" cm="1">
        <f t="array" ref="J208">_xll.BDP(D208&amp;" Equity","FD121")</f>
        <v>Equity</v>
      </c>
      <c r="K208" s="111"/>
      <c r="L208" s="111"/>
      <c r="M208" s="34" t="str">
        <f>_xll.BDP(D208&amp;" Equity", "DS197")</f>
        <v>NYSE Arca</v>
      </c>
      <c r="N208" s="45" t="str">
        <f>_xll.BDP(D208&amp;" Equity","DS004")</f>
        <v>USD</v>
      </c>
      <c r="O208" s="111">
        <f>_xll.BDP(D208&amp;" Equity", "FUND_EXPENSE_RATIO")</f>
        <v>0.15</v>
      </c>
      <c r="P208" s="45">
        <f>_xll.BDP(D208&amp;" Equity","PX_LAST")</f>
        <v>114.98</v>
      </c>
      <c r="Q208" s="112">
        <f t="shared" si="127"/>
        <v>0.20865843172713996</v>
      </c>
      <c r="R208" s="112">
        <f t="shared" si="128"/>
        <v>0.19786473419712955</v>
      </c>
      <c r="S208" s="114">
        <f t="shared" si="129"/>
        <v>0.12589931337640153</v>
      </c>
      <c r="T208" s="114">
        <f t="shared" si="130"/>
        <v>0.11946560304239823</v>
      </c>
      <c r="AB208" s="1" cm="1">
        <f t="array" ref="AB208">IF(N208="USD",1,_xll.BDP(N208&amp;"USD CURNCY","PX_LAST"))</f>
        <v>1</v>
      </c>
      <c r="AC208" s="80">
        <v>284819.13984619803</v>
      </c>
      <c r="AD208" s="81">
        <f t="shared" si="126"/>
        <v>32748504.699515849</v>
      </c>
      <c r="AE208" s="80">
        <v>142409.56992309901</v>
      </c>
      <c r="AF208" s="81">
        <f t="shared" si="131"/>
        <v>16374252.349757925</v>
      </c>
    </row>
    <row r="209" spans="1:32" x14ac:dyDescent="0.2">
      <c r="C209" s="116" t="s">
        <v>456</v>
      </c>
      <c r="D209" s="45"/>
      <c r="E209" s="34"/>
      <c r="F209" s="45"/>
      <c r="G209" s="45"/>
      <c r="H209" s="45"/>
      <c r="I209" s="34"/>
      <c r="J209" s="111"/>
      <c r="K209" s="111"/>
      <c r="L209" s="111"/>
      <c r="M209" s="34"/>
      <c r="N209" s="45"/>
      <c r="O209" s="34"/>
      <c r="P209" s="34"/>
      <c r="Q209" s="112"/>
      <c r="R209" s="112"/>
      <c r="S209" s="114"/>
      <c r="T209" s="114"/>
      <c r="AC209" s="80"/>
      <c r="AD209" s="81">
        <f t="shared" si="126"/>
        <v>0</v>
      </c>
      <c r="AE209" s="80"/>
      <c r="AF209" s="81"/>
    </row>
    <row r="210" spans="1:32" x14ac:dyDescent="0.2">
      <c r="C210" s="86" t="str" cm="1">
        <f t="array" ref="C210">_xll.BDP(D210&amp;" Equity","DS520")</f>
        <v>Vanguard Total Bond Market ETF</v>
      </c>
      <c r="D210" s="45" t="s">
        <v>652</v>
      </c>
      <c r="E210" s="34"/>
      <c r="F210" s="34"/>
      <c r="G210" s="34"/>
      <c r="H210" s="45" t="str" cm="1">
        <f t="array" ref="H210">_xll.BDP(D210&amp;" Equity", "ID_ISIN")</f>
        <v>US9219378356</v>
      </c>
      <c r="I210" s="34"/>
      <c r="J210" s="34" t="str" cm="1">
        <f t="array" ref="J210">_xll.BDP(D210&amp;" Equity","FD121")</f>
        <v>Fixed Income</v>
      </c>
      <c r="K210" s="111"/>
      <c r="L210" s="111"/>
      <c r="M210" s="34" t="str">
        <f>_xll.BDP(D210&amp;" Equity", "DS197")</f>
        <v>NASDAQ GM</v>
      </c>
      <c r="N210" s="45" t="str">
        <f>_xll.BDP(D210&amp;" Equity","DS004")</f>
        <v>USD</v>
      </c>
      <c r="O210" s="111">
        <f>_xll.BDP(D210&amp;" Equity", "FUND_EXPENSE_RATIO")</f>
        <v>0.03</v>
      </c>
      <c r="P210" s="45">
        <f>_xll.BDP(D210&amp;" Equity","PX_LAST")</f>
        <v>74.34</v>
      </c>
      <c r="Q210" s="112">
        <f t="shared" si="127"/>
        <v>0</v>
      </c>
      <c r="R210" s="112">
        <f t="shared" si="128"/>
        <v>0</v>
      </c>
      <c r="S210" s="114">
        <f t="shared" si="129"/>
        <v>0.39470263131541283</v>
      </c>
      <c r="T210" s="114">
        <f t="shared" si="130"/>
        <v>0.37453252609521831</v>
      </c>
      <c r="AB210" s="1" cm="1">
        <f t="array" ref="AB210">IF(N210="USD",1,_xll.BDP(N210&amp;"USD CURNCY","PX_LAST"))</f>
        <v>1</v>
      </c>
      <c r="AC210" s="80"/>
      <c r="AD210" s="81">
        <f t="shared" si="126"/>
        <v>0</v>
      </c>
      <c r="AE210" s="80">
        <v>690534.81980095699</v>
      </c>
      <c r="AF210" s="81">
        <f t="shared" si="131"/>
        <v>51334358.504003145</v>
      </c>
    </row>
    <row r="211" spans="1:32" x14ac:dyDescent="0.2">
      <c r="A211" s="3"/>
      <c r="B211" s="3"/>
      <c r="C211" s="86" t="str" cm="1">
        <f t="array" ref="C211">_xll.BDP(D211&amp;" Curncy","DS520")</f>
        <v>USDUSD Spot Exchange Rate - Price of 1 USD in USD</v>
      </c>
      <c r="D211" s="156" t="s">
        <v>34</v>
      </c>
      <c r="E211" s="34"/>
      <c r="F211" s="34"/>
      <c r="G211" s="34"/>
      <c r="H211" s="45"/>
      <c r="I211" s="34"/>
      <c r="J211" s="157" t="s">
        <v>80</v>
      </c>
      <c r="K211" s="111"/>
      <c r="L211" s="111"/>
      <c r="M211" s="34"/>
      <c r="N211" s="45" t="str">
        <f>_xll.BDP(D211&amp;" CURNCY","DS004")</f>
        <v>USD</v>
      </c>
      <c r="O211" s="34"/>
      <c r="P211" s="34">
        <v>1</v>
      </c>
      <c r="Q211" s="112">
        <f t="shared" si="127"/>
        <v>3.1857703678639217E-3</v>
      </c>
      <c r="R211" s="112">
        <f>R222</f>
        <v>5.475E-2</v>
      </c>
      <c r="S211" s="114">
        <f t="shared" si="129"/>
        <v>3.8444293726260671E-3</v>
      </c>
      <c r="T211" s="114">
        <f>T222</f>
        <v>5.475E-2</v>
      </c>
      <c r="AB211" s="1" cm="1">
        <f t="array" ref="AB211">IF(N211="USD",1,_xll.BDP(N211&amp;"USD CURNCY","PX_LAST"))</f>
        <v>1</v>
      </c>
      <c r="AC211" s="80">
        <v>500000</v>
      </c>
      <c r="AD211" s="81">
        <f t="shared" si="126"/>
        <v>500000</v>
      </c>
      <c r="AE211" s="80">
        <v>500000</v>
      </c>
      <c r="AF211" s="81">
        <f t="shared" si="131"/>
        <v>500000</v>
      </c>
    </row>
    <row r="212" spans="1:32" x14ac:dyDescent="0.2">
      <c r="C212" s="86"/>
      <c r="D212" s="156"/>
      <c r="E212" s="34"/>
      <c r="F212" s="34"/>
      <c r="G212" s="34"/>
      <c r="H212" s="34"/>
      <c r="I212" s="34"/>
      <c r="J212" s="111"/>
      <c r="K212" s="111"/>
      <c r="L212" s="111"/>
      <c r="M212" s="34"/>
      <c r="N212" s="45"/>
      <c r="O212" s="34"/>
      <c r="P212" s="34"/>
      <c r="Q212" s="112"/>
      <c r="R212" s="112"/>
      <c r="S212" s="114"/>
      <c r="T212" s="114"/>
      <c r="AC212" s="40"/>
      <c r="AD212" s="82">
        <f>SUM(AD205:AD211)</f>
        <v>156947909.69358316</v>
      </c>
      <c r="AE212" s="40"/>
      <c r="AF212" s="82">
        <f>SUM(AF205:AF211)</f>
        <v>130058313.35079467</v>
      </c>
    </row>
    <row r="213" spans="1:32" x14ac:dyDescent="0.2">
      <c r="C213" s="119"/>
      <c r="D213" s="122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121" t="s">
        <v>81</v>
      </c>
      <c r="Q213" s="107">
        <f>SUM(Q205:Q211)</f>
        <v>1</v>
      </c>
      <c r="R213" s="107"/>
      <c r="S213" s="109">
        <f t="shared" ref="S213" si="132">SUM(S205:S211)</f>
        <v>1</v>
      </c>
      <c r="T213" s="109"/>
      <c r="V213" s="40"/>
      <c r="W213" s="81"/>
      <c r="X213" s="40"/>
      <c r="Y213" s="81"/>
    </row>
    <row r="214" spans="1:32" x14ac:dyDescent="0.2">
      <c r="C214" s="119"/>
      <c r="D214" s="122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122" t="s">
        <v>470</v>
      </c>
      <c r="Q214" s="112">
        <f>SUMIF($J$205:$J$211,P214,$Q$205:$Q$211)</f>
        <v>0.99681422963213606</v>
      </c>
      <c r="R214" s="112"/>
      <c r="S214" s="114">
        <f>SUMIF($J$205:$J$211,P214,$S$205:$S$211)</f>
        <v>0.6014529393119612</v>
      </c>
      <c r="T214" s="114"/>
      <c r="V214" s="40"/>
      <c r="W214" s="81"/>
      <c r="X214" s="40"/>
      <c r="Y214" s="81"/>
    </row>
    <row r="215" spans="1:32" x14ac:dyDescent="0.2">
      <c r="C215" s="119"/>
      <c r="D215" s="122"/>
      <c r="E215" s="77" t="s">
        <v>471</v>
      </c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122" t="s">
        <v>458</v>
      </c>
      <c r="Q215" s="112">
        <f t="shared" ref="Q215:Q216" si="133">SUMIF($J$205:$J$211,P215,$Q$205:$Q$211)</f>
        <v>0</v>
      </c>
      <c r="R215" s="112"/>
      <c r="S215" s="114">
        <f t="shared" ref="S215:S216" si="134">SUMIF($J$205:$J$211,P215,$S$205:$S$211)</f>
        <v>0.39470263131541283</v>
      </c>
      <c r="T215" s="114"/>
      <c r="V215" s="40"/>
      <c r="W215" s="81"/>
      <c r="X215" s="40"/>
      <c r="Y215" s="81"/>
    </row>
    <row r="216" spans="1:32" x14ac:dyDescent="0.2">
      <c r="C216" s="119"/>
      <c r="D216" s="122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122" t="s">
        <v>80</v>
      </c>
      <c r="Q216" s="112">
        <f t="shared" si="133"/>
        <v>3.1857703678639217E-3</v>
      </c>
      <c r="R216" s="112"/>
      <c r="S216" s="114">
        <f t="shared" si="134"/>
        <v>3.8444293726260671E-3</v>
      </c>
      <c r="T216" s="114"/>
      <c r="V216" s="40"/>
      <c r="W216" s="81"/>
      <c r="X216" s="40"/>
      <c r="Y216" s="81"/>
    </row>
    <row r="217" spans="1:32" ht="15" thickBot="1" x14ac:dyDescent="0.25">
      <c r="C217" s="3"/>
      <c r="D217" s="83"/>
      <c r="N217" s="148"/>
      <c r="O217" s="148"/>
      <c r="P217" s="148"/>
      <c r="Q217" s="162"/>
      <c r="R217" s="162"/>
      <c r="S217" s="162"/>
      <c r="T217" s="162"/>
      <c r="V217" s="40"/>
      <c r="W217" s="81"/>
      <c r="X217" s="40"/>
      <c r="Y217" s="81"/>
    </row>
    <row r="218" spans="1:32" x14ac:dyDescent="0.2">
      <c r="C218" s="3"/>
      <c r="D218" s="83"/>
      <c r="N218" s="148"/>
      <c r="O218" s="148"/>
      <c r="P218" s="148"/>
      <c r="Q218" s="129" t="s">
        <v>86</v>
      </c>
      <c r="R218" s="130">
        <v>100000</v>
      </c>
      <c r="S218" s="129" t="s">
        <v>86</v>
      </c>
      <c r="T218" s="130">
        <v>100000</v>
      </c>
      <c r="V218" s="40"/>
      <c r="W218" s="81"/>
      <c r="X218" s="40"/>
      <c r="Y218" s="81"/>
    </row>
    <row r="219" spans="1:32" x14ac:dyDescent="0.2">
      <c r="C219" s="3"/>
      <c r="D219" s="83"/>
      <c r="N219" s="148"/>
      <c r="O219" s="148"/>
      <c r="P219" s="148"/>
      <c r="Q219" s="132" t="s">
        <v>85</v>
      </c>
      <c r="R219" s="133">
        <v>5000</v>
      </c>
      <c r="S219" s="132" t="s">
        <v>85</v>
      </c>
      <c r="T219" s="133">
        <v>5000</v>
      </c>
      <c r="V219" s="40"/>
      <c r="W219" s="81"/>
      <c r="X219" s="40"/>
      <c r="Y219" s="81"/>
    </row>
    <row r="220" spans="1:32" x14ac:dyDescent="0.2">
      <c r="C220" s="3"/>
      <c r="D220" s="83"/>
      <c r="N220" s="148"/>
      <c r="O220" s="148"/>
      <c r="P220" s="148"/>
      <c r="Q220" s="132" t="s">
        <v>88</v>
      </c>
      <c r="R220" s="134">
        <f>(R218-R219)*0.5%</f>
        <v>475</v>
      </c>
      <c r="S220" s="132" t="s">
        <v>88</v>
      </c>
      <c r="T220" s="134">
        <f>(T218-T219)*0.5%</f>
        <v>475</v>
      </c>
      <c r="V220" s="40"/>
      <c r="W220" s="81"/>
      <c r="X220" s="40"/>
      <c r="Y220" s="81"/>
    </row>
    <row r="221" spans="1:32" x14ac:dyDescent="0.2">
      <c r="C221" s="3"/>
      <c r="D221" s="83"/>
      <c r="N221" s="148"/>
      <c r="O221" s="148"/>
      <c r="P221" s="148"/>
      <c r="Q221" s="132" t="s">
        <v>87</v>
      </c>
      <c r="R221" s="134">
        <f>R219+R220</f>
        <v>5475</v>
      </c>
      <c r="S221" s="132" t="s">
        <v>87</v>
      </c>
      <c r="T221" s="134">
        <f>T219+T220</f>
        <v>5475</v>
      </c>
      <c r="V221" s="40"/>
      <c r="W221" s="81"/>
      <c r="X221" s="40"/>
      <c r="Y221" s="81"/>
    </row>
    <row r="222" spans="1:32" ht="15" thickBot="1" x14ac:dyDescent="0.25">
      <c r="C222" s="3"/>
      <c r="D222" s="83"/>
      <c r="N222" s="148"/>
      <c r="O222" s="148"/>
      <c r="P222" s="148"/>
      <c r="Q222" s="136" t="s">
        <v>89</v>
      </c>
      <c r="R222" s="137">
        <f>R221/R218</f>
        <v>5.475E-2</v>
      </c>
      <c r="S222" s="136" t="s">
        <v>89</v>
      </c>
      <c r="T222" s="137">
        <f>T221/T218</f>
        <v>5.475E-2</v>
      </c>
      <c r="V222" s="40"/>
      <c r="W222" s="81"/>
      <c r="X222" s="40"/>
      <c r="Y222" s="81"/>
    </row>
    <row r="224" spans="1:32" x14ac:dyDescent="0.2">
      <c r="A224" s="76" t="s">
        <v>0</v>
      </c>
      <c r="C224" s="95" t="s">
        <v>653</v>
      </c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W224" s="40"/>
      <c r="X224" s="81"/>
      <c r="Y224" s="40"/>
    </row>
    <row r="225" spans="1:36" x14ac:dyDescent="0.2">
      <c r="A225" s="154">
        <v>45071</v>
      </c>
      <c r="C225" s="97" t="s">
        <v>5</v>
      </c>
      <c r="D225" s="98" t="s">
        <v>91</v>
      </c>
      <c r="E225" s="98" t="s">
        <v>533</v>
      </c>
      <c r="F225" s="98" t="s">
        <v>534</v>
      </c>
      <c r="G225" s="98" t="s">
        <v>535</v>
      </c>
      <c r="H225" s="98" t="s">
        <v>1426</v>
      </c>
      <c r="I225" s="98"/>
      <c r="J225" s="98" t="s">
        <v>434</v>
      </c>
      <c r="K225" s="98" t="s">
        <v>435</v>
      </c>
      <c r="L225" s="98"/>
      <c r="M225" s="98" t="s">
        <v>9</v>
      </c>
      <c r="N225" s="98" t="s">
        <v>13</v>
      </c>
      <c r="O225" s="98" t="s">
        <v>437</v>
      </c>
      <c r="P225" s="98" t="s">
        <v>14</v>
      </c>
      <c r="Q225" s="99" t="s">
        <v>438</v>
      </c>
      <c r="R225" s="99" t="s">
        <v>536</v>
      </c>
      <c r="S225" s="101" t="s">
        <v>439</v>
      </c>
      <c r="T225" s="101" t="s">
        <v>537</v>
      </c>
      <c r="U225" s="158" t="s">
        <v>440</v>
      </c>
      <c r="V225" s="158" t="s">
        <v>538</v>
      </c>
      <c r="W225" s="161" t="s">
        <v>441</v>
      </c>
      <c r="X225" s="161" t="s">
        <v>539</v>
      </c>
      <c r="AC225" s="185" t="s">
        <v>438</v>
      </c>
      <c r="AD225" s="185"/>
      <c r="AE225" s="187" t="s">
        <v>439</v>
      </c>
      <c r="AF225" s="187"/>
      <c r="AG225" s="186" t="s">
        <v>440</v>
      </c>
      <c r="AH225" s="186"/>
      <c r="AI225" s="189" t="s">
        <v>441</v>
      </c>
      <c r="AJ225" s="189"/>
    </row>
    <row r="226" spans="1:36" x14ac:dyDescent="0.2">
      <c r="C226" s="106" t="s">
        <v>16</v>
      </c>
      <c r="D226" s="45"/>
      <c r="E226" s="34"/>
      <c r="F226" s="34"/>
      <c r="G226" s="34"/>
      <c r="H226" s="34"/>
      <c r="I226" s="34"/>
      <c r="J226" s="34"/>
      <c r="K226" s="34"/>
      <c r="L226" s="155"/>
      <c r="M226" s="34"/>
      <c r="N226" s="34"/>
      <c r="O226" s="34"/>
      <c r="P226" s="34"/>
      <c r="Q226" s="107"/>
      <c r="R226" s="107"/>
      <c r="S226" s="109"/>
      <c r="T226" s="109"/>
      <c r="U226" s="159"/>
      <c r="V226" s="159"/>
      <c r="W226" s="110"/>
      <c r="X226" s="110"/>
      <c r="AB226" s="13" t="s">
        <v>17</v>
      </c>
      <c r="AC226" s="78" t="s">
        <v>18</v>
      </c>
      <c r="AD226" s="79" t="s">
        <v>19</v>
      </c>
      <c r="AE226" s="78" t="s">
        <v>18</v>
      </c>
      <c r="AF226" s="79" t="s">
        <v>19</v>
      </c>
      <c r="AG226" s="78" t="s">
        <v>18</v>
      </c>
      <c r="AH226" s="79" t="s">
        <v>19</v>
      </c>
      <c r="AI226" s="78" t="s">
        <v>18</v>
      </c>
      <c r="AJ226" s="79" t="s">
        <v>19</v>
      </c>
    </row>
    <row r="227" spans="1:36" x14ac:dyDescent="0.2">
      <c r="A227" s="3"/>
      <c r="C227" s="86" t="str" cm="1">
        <f t="array" ref="C227">_xll.BDP(D227&amp;" Equity","DS520")</f>
        <v>Vanguard ESG International Stock ETF</v>
      </c>
      <c r="D227" s="45" t="s">
        <v>648</v>
      </c>
      <c r="E227" s="34"/>
      <c r="F227" s="34"/>
      <c r="G227" s="34"/>
      <c r="H227" s="45" t="str" cm="1">
        <f t="array" ref="H227">_xll.BDP(D227&amp;" Equity", "ID_ISIN")</f>
        <v>US9219107250</v>
      </c>
      <c r="I227" s="34"/>
      <c r="J227" s="34" t="str" cm="1">
        <f t="array" ref="J227">_xll.BDP(D227&amp;" Equity","FD121")</f>
        <v>Equity</v>
      </c>
      <c r="K227" s="111"/>
      <c r="L227" s="111"/>
      <c r="M227" s="34" t="str">
        <f>_xll.BDP(D227&amp;" Equity", "DS197")</f>
        <v>Cboe BZX</v>
      </c>
      <c r="N227" s="45" t="str">
        <f>_xll.BDP(D227&amp;" Equity","DS004")</f>
        <v>USD</v>
      </c>
      <c r="O227" s="111">
        <f>_xll.BDP(D227&amp;" Equity", "FUND_EXPENSE_RATIO")</f>
        <v>0.1</v>
      </c>
      <c r="P227" s="45">
        <f>_xll.BDP(D227&amp;" Equity","PX_LAST")</f>
        <v>74.13</v>
      </c>
      <c r="Q227" s="112">
        <f>AD227/$AD$234</f>
        <v>0.4140804725776181</v>
      </c>
      <c r="R227" s="112">
        <f>Q227*(1-$R$245)/(1-$Q$233)</f>
        <v>0.39269166929981136</v>
      </c>
      <c r="S227" s="114">
        <f>AF227/$AF$234</f>
        <v>0.3368090098634543</v>
      </c>
      <c r="T227" s="114">
        <f>S227*(1-$T$245)/(1-$S$233)</f>
        <v>0.31950257853686775</v>
      </c>
      <c r="U227" s="160">
        <f>AH227/$AH$234</f>
        <v>0.24740823454319366</v>
      </c>
      <c r="V227" s="160">
        <f>U227*(1-$V$245)/(1-$U$233)</f>
        <v>0.2347786201171598</v>
      </c>
      <c r="W227" s="115">
        <f>AJ227/$AJ$234</f>
        <v>0.18401055903400329</v>
      </c>
      <c r="X227" s="115">
        <f>W227*(1-$X$245)/(1-$W$233)</f>
        <v>0.17465977419223855</v>
      </c>
      <c r="AB227" s="1" cm="1">
        <f t="array" ref="AB227">IF(N227="USD",1,_xll.BDP(N227&amp;"USD CURNCY","PX_LAST"))</f>
        <v>1</v>
      </c>
      <c r="AC227" s="80">
        <v>954329.77204593504</v>
      </c>
      <c r="AD227" s="81">
        <f>AC227*P227*AB227</f>
        <v>70744466.001765162</v>
      </c>
      <c r="AE227" s="80">
        <v>677457.33021675597</v>
      </c>
      <c r="AF227" s="81">
        <f>AE227*P227*AB227</f>
        <v>50219911.888968118</v>
      </c>
      <c r="AG227" s="80">
        <v>427122.84051004698</v>
      </c>
      <c r="AH227" s="81">
        <f>AG227*P227*AB227</f>
        <v>31662616.167009782</v>
      </c>
      <c r="AI227" s="80">
        <v>288355.63875508402</v>
      </c>
      <c r="AJ227" s="81">
        <f>AI227*P227*AB227</f>
        <v>21375803.500914376</v>
      </c>
    </row>
    <row r="228" spans="1:36" x14ac:dyDescent="0.2">
      <c r="A228" s="3"/>
      <c r="C228" s="86" t="str" cm="1">
        <f t="array" ref="C228">_xll.BDP(D228&amp;" Equity","DS520")</f>
        <v>Vanguard ESG US Stock ETF</v>
      </c>
      <c r="D228" s="45" t="s">
        <v>649</v>
      </c>
      <c r="E228" s="34"/>
      <c r="F228" s="34"/>
      <c r="G228" s="34"/>
      <c r="H228" s="45" t="str" cm="1">
        <f t="array" ref="H228">_xll.BDP(D228&amp;" Equity", "ID_ISIN")</f>
        <v>US9219107334</v>
      </c>
      <c r="I228" s="34"/>
      <c r="J228" s="34" t="str" cm="1">
        <f t="array" ref="J228">_xll.BDP(D228&amp;" Equity","FD121")</f>
        <v>Equity</v>
      </c>
      <c r="K228" s="111"/>
      <c r="L228" s="111"/>
      <c r="M228" s="34" t="str">
        <f>_xll.BDP(D228&amp;" Equity", "DS197")</f>
        <v>Cboe BZX</v>
      </c>
      <c r="N228" s="45" t="str">
        <f>_xll.BDP(D228&amp;" Equity","DS004")</f>
        <v>USD</v>
      </c>
      <c r="O228" s="111">
        <f>_xll.BDP(D228&amp;" Equity", "FUND_EXPENSE_RATIO")</f>
        <v>0.09</v>
      </c>
      <c r="P228" s="45">
        <f>_xll.BDP(D228&amp;" Equity","PX_LAST")</f>
        <v>118.43</v>
      </c>
      <c r="Q228" s="112">
        <f t="shared" ref="Q228:Q233" si="135">AD228/$AD$234</f>
        <v>0.28641717190155669</v>
      </c>
      <c r="R228" s="112">
        <f t="shared" ref="R228:R232" si="136">Q228*(1-$R$245)/(1-$Q$233)</f>
        <v>0.27162265501199284</v>
      </c>
      <c r="S228" s="114">
        <f t="shared" ref="S228:S233" si="137">AF228/$AF$234</f>
        <v>0.23637627090585106</v>
      </c>
      <c r="T228" s="114">
        <f>S228*(1-$T$245)/(1-$S$233)</f>
        <v>0.22423042688188868</v>
      </c>
      <c r="U228" s="160">
        <f t="shared" ref="U228:U233" si="138">AH228/$AH$234</f>
        <v>0.17113090699957076</v>
      </c>
      <c r="V228" s="160">
        <f t="shared" ref="V228:V232" si="139">U228*(1-$V$245)/(1-$U$233)</f>
        <v>0.16239507257687005</v>
      </c>
      <c r="W228" s="115">
        <f t="shared" ref="W228:W233" si="140">AJ228/$AJ$234</f>
        <v>0.12723823866317541</v>
      </c>
      <c r="X228" s="115">
        <f t="shared" ref="X228:X232" si="141">W228*(1-$X$245)/(1-$W$233)</f>
        <v>0.12077242822473962</v>
      </c>
      <c r="AB228" s="1" cm="1">
        <f t="array" ref="AB228">IF(N228="USD",1,_xll.BDP(N228&amp;"USD CURNCY","PX_LAST"))</f>
        <v>1</v>
      </c>
      <c r="AC228" s="80">
        <v>413185.47433898901</v>
      </c>
      <c r="AD228" s="81">
        <f t="shared" ref="AD228:AD233" si="142">AC228*P228*AB228</f>
        <v>48933555.725966468</v>
      </c>
      <c r="AE228" s="80">
        <v>297601.00492115598</v>
      </c>
      <c r="AF228" s="81">
        <f t="shared" ref="AF228:AF233" si="143">AE228*P228*AB228</f>
        <v>35244887.012812503</v>
      </c>
      <c r="AG228" s="80">
        <v>184926.593119706</v>
      </c>
      <c r="AH228" s="81">
        <f t="shared" ref="AH228:AH233" si="144">AG228*P228*AB228</f>
        <v>21900856.423166782</v>
      </c>
      <c r="AI228" s="80">
        <v>124806.045614363</v>
      </c>
      <c r="AJ228" s="81">
        <f t="shared" ref="AJ228:AJ233" si="145">AI228*P228*AB228</f>
        <v>14780779.98210901</v>
      </c>
    </row>
    <row r="229" spans="1:36" x14ac:dyDescent="0.2">
      <c r="A229" s="3"/>
      <c r="C229" s="86" t="str" cm="1">
        <f t="array" ref="C229">_xll.BDP(D229&amp;" Equity","DS520")</f>
        <v>Goldman Sachs ActiveBeta U.S. Large Cap Equity ETF</v>
      </c>
      <c r="D229" s="45" t="s">
        <v>650</v>
      </c>
      <c r="E229" s="34"/>
      <c r="F229" s="34"/>
      <c r="G229" s="34"/>
      <c r="H229" s="45" t="str" cm="1">
        <f t="array" ref="H229">_xll.BDP(D229&amp;" Equity", "ID_ISIN")</f>
        <v>US3814305039</v>
      </c>
      <c r="I229" s="34"/>
      <c r="J229" s="34" t="str" cm="1">
        <f t="array" ref="J229">_xll.BDP(D229&amp;" Equity","FD121")</f>
        <v>Equity</v>
      </c>
      <c r="K229" s="111"/>
      <c r="L229" s="111"/>
      <c r="M229" s="34" t="str">
        <f>_xll.BDP(D229&amp;" Equity", "DS197")</f>
        <v>NYSE Arca</v>
      </c>
      <c r="N229" s="45" t="str">
        <f>_xll.BDP(D229&amp;" Equity","DS004")</f>
        <v>USD</v>
      </c>
      <c r="O229" s="111">
        <f>_xll.BDP(D229&amp;" Equity", "FUND_EXPENSE_RATIO")</f>
        <v>0.09</v>
      </c>
      <c r="P229" s="45">
        <f>_xll.BDP(D229&amp;" Equity","PX_LAST")</f>
        <v>131.27000000000001</v>
      </c>
      <c r="Q229" s="112">
        <f t="shared" si="135"/>
        <v>0.15724028908801641</v>
      </c>
      <c r="R229" s="112">
        <f t="shared" si="136"/>
        <v>0.1491182407583439</v>
      </c>
      <c r="S229" s="114">
        <f t="shared" si="137"/>
        <v>0.12761605791152247</v>
      </c>
      <c r="T229" s="114">
        <f>S229*(1-$T$245)/(1-$S$233)</f>
        <v>0.12105869609002359</v>
      </c>
      <c r="U229" s="160">
        <f t="shared" si="138"/>
        <v>9.3949231848974454E-2</v>
      </c>
      <c r="V229" s="160">
        <f t="shared" si="139"/>
        <v>8.9153342269691044E-2</v>
      </c>
      <c r="W229" s="115">
        <f t="shared" si="140"/>
        <v>6.985257656731686E-2</v>
      </c>
      <c r="X229" s="115">
        <f t="shared" si="141"/>
        <v>6.6302908452873621E-2</v>
      </c>
      <c r="AB229" s="1" cm="1">
        <f t="array" ref="AB229">IF(N229="USD",1,_xll.BDP(N229&amp;"USD CURNCY","PX_LAST"))</f>
        <v>1</v>
      </c>
      <c r="AC229" s="80">
        <v>204647.32433323999</v>
      </c>
      <c r="AD229" s="81">
        <f t="shared" si="142"/>
        <v>26864054.265224416</v>
      </c>
      <c r="AE229" s="80">
        <v>144954.627940968</v>
      </c>
      <c r="AF229" s="81">
        <f t="shared" si="143"/>
        <v>19028194.009810872</v>
      </c>
      <c r="AG229" s="80">
        <v>91592.601459558195</v>
      </c>
      <c r="AH229" s="81">
        <f t="shared" si="144"/>
        <v>12023360.793596204</v>
      </c>
      <c r="AI229" s="80">
        <v>61815.394978374999</v>
      </c>
      <c r="AJ229" s="81">
        <f t="shared" si="145"/>
        <v>8114506.8988112872</v>
      </c>
    </row>
    <row r="230" spans="1:36" x14ac:dyDescent="0.2">
      <c r="A230" s="3"/>
      <c r="C230" s="86" t="str" cm="1">
        <f t="array" ref="C230">_xll.BDP(D230&amp;" Equity","DS520")</f>
        <v>Avantis US Equity ETF</v>
      </c>
      <c r="D230" s="45" t="s">
        <v>651</v>
      </c>
      <c r="E230" s="34"/>
      <c r="F230" s="34"/>
      <c r="G230" s="34"/>
      <c r="H230" s="45" t="str" cm="1">
        <f t="array" ref="H230">_xll.BDP(D230&amp;" Equity", "ID_ISIN")</f>
        <v>US0250728856</v>
      </c>
      <c r="I230" s="34"/>
      <c r="J230" s="34" t="str" cm="1">
        <f t="array" ref="J230">_xll.BDP(D230&amp;" Equity","FD121")</f>
        <v>Equity</v>
      </c>
      <c r="K230" s="111"/>
      <c r="L230" s="111"/>
      <c r="M230" s="34" t="str">
        <f>_xll.BDP(D230&amp;" Equity", "DS197")</f>
        <v>NYSE Arca</v>
      </c>
      <c r="N230" s="45" t="str">
        <f>_xll.BDP(D230&amp;" Equity","DS004")</f>
        <v>USD</v>
      </c>
      <c r="O230" s="111">
        <f>_xll.BDP(D230&amp;" Equity", "FUND_EXPENSE_RATIO")</f>
        <v>0.15</v>
      </c>
      <c r="P230" s="45">
        <f>_xll.BDP(D230&amp;" Equity","PX_LAST")</f>
        <v>114.98</v>
      </c>
      <c r="Q230" s="112">
        <f t="shared" si="135"/>
        <v>0.13899715735515022</v>
      </c>
      <c r="R230" s="112">
        <f t="shared" si="136"/>
        <v>0.1318174349298519</v>
      </c>
      <c r="S230" s="114">
        <f t="shared" si="137"/>
        <v>0.11621904276416872</v>
      </c>
      <c r="T230" s="114">
        <f>S230*(1-$T$245)/(1-$S$233)</f>
        <v>0.11024729965891412</v>
      </c>
      <c r="U230" s="160">
        <f t="shared" si="138"/>
        <v>8.3049174218941563E-2</v>
      </c>
      <c r="V230" s="160">
        <f t="shared" si="139"/>
        <v>7.8809707207173105E-2</v>
      </c>
      <c r="W230" s="115">
        <f t="shared" si="140"/>
        <v>6.1612519864041239E-2</v>
      </c>
      <c r="X230" s="115">
        <f t="shared" si="141"/>
        <v>5.8481583140452771E-2</v>
      </c>
      <c r="AB230" s="1" cm="1">
        <f t="array" ref="AB230">IF(N230="USD",1,_xll.BDP(N230&amp;"USD CURNCY","PX_LAST"))</f>
        <v>1</v>
      </c>
      <c r="AC230" s="80">
        <v>206533.89560379501</v>
      </c>
      <c r="AD230" s="81">
        <f t="shared" si="142"/>
        <v>23747267.316524353</v>
      </c>
      <c r="AE230" s="80">
        <v>150711.79261521099</v>
      </c>
      <c r="AF230" s="81">
        <f t="shared" si="143"/>
        <v>17328841.914896961</v>
      </c>
      <c r="AG230" s="80">
        <v>92436.961243259298</v>
      </c>
      <c r="AH230" s="81">
        <f t="shared" si="144"/>
        <v>10628401.803749954</v>
      </c>
      <c r="AI230" s="80">
        <v>62248.138794029597</v>
      </c>
      <c r="AJ230" s="81">
        <f t="shared" si="145"/>
        <v>7157290.9985375237</v>
      </c>
    </row>
    <row r="231" spans="1:36" x14ac:dyDescent="0.2">
      <c r="C231" s="116" t="s">
        <v>456</v>
      </c>
      <c r="D231" s="45"/>
      <c r="E231" s="34"/>
      <c r="F231" s="45"/>
      <c r="G231" s="45"/>
      <c r="H231" s="45"/>
      <c r="I231" s="34"/>
      <c r="J231" s="111"/>
      <c r="K231" s="111"/>
      <c r="L231" s="111"/>
      <c r="M231" s="34"/>
      <c r="N231" s="45"/>
      <c r="O231" s="34"/>
      <c r="P231" s="34"/>
      <c r="Q231" s="112"/>
      <c r="R231" s="112"/>
      <c r="S231" s="114"/>
      <c r="T231" s="114"/>
      <c r="U231" s="160"/>
      <c r="V231" s="160"/>
      <c r="W231" s="115"/>
      <c r="X231" s="115"/>
      <c r="AC231" s="80"/>
      <c r="AD231" s="81"/>
      <c r="AE231" s="80"/>
      <c r="AF231" s="81"/>
      <c r="AG231" s="80"/>
      <c r="AH231" s="81"/>
      <c r="AI231" s="80"/>
      <c r="AJ231" s="81"/>
    </row>
    <row r="232" spans="1:36" x14ac:dyDescent="0.2">
      <c r="C232" s="86" t="str" cm="1">
        <f t="array" ref="C232">_xll.BDP(D232&amp;" Equity","DS520")</f>
        <v>Vanguard Total Bond Market ETF</v>
      </c>
      <c r="D232" s="45" t="s">
        <v>652</v>
      </c>
      <c r="E232" s="34"/>
      <c r="F232" s="34"/>
      <c r="G232" s="34"/>
      <c r="H232" s="45" t="str" cm="1">
        <f t="array" ref="H232">_xll.BDP(D232&amp;" Equity", "ID_ISIN")</f>
        <v>US9219378356</v>
      </c>
      <c r="I232" s="34"/>
      <c r="J232" s="34" t="str" cm="1">
        <f t="array" ref="J232">_xll.BDP(D232&amp;" Equity","FD121")</f>
        <v>Fixed Income</v>
      </c>
      <c r="K232" s="111"/>
      <c r="L232" s="111"/>
      <c r="M232" s="34" t="str">
        <f>_xll.BDP(D232&amp;" Equity", "DS197")</f>
        <v>NASDAQ GM</v>
      </c>
      <c r="N232" s="45" t="str">
        <f>_xll.BDP(D232&amp;" Equity","DS004")</f>
        <v>USD</v>
      </c>
      <c r="O232" s="111">
        <f>_xll.BDP(D232&amp;" Equity", "FUND_EXPENSE_RATIO")</f>
        <v>0.03</v>
      </c>
      <c r="P232" s="45">
        <f>_xll.BDP(D232&amp;" Equity","PX_LAST")</f>
        <v>74.34</v>
      </c>
      <c r="Q232" s="112">
        <f t="shared" si="135"/>
        <v>0</v>
      </c>
      <c r="R232" s="112">
        <f t="shared" si="136"/>
        <v>0</v>
      </c>
      <c r="S232" s="114">
        <f t="shared" si="137"/>
        <v>0.1794307834606827</v>
      </c>
      <c r="T232" s="114">
        <f>S232*(1-$T$245)/(1-$S$233)</f>
        <v>0.17021099883230578</v>
      </c>
      <c r="U232" s="160">
        <f t="shared" si="138"/>
        <v>0.40056096248896628</v>
      </c>
      <c r="V232" s="160">
        <f t="shared" si="139"/>
        <v>0.38011325782910604</v>
      </c>
      <c r="W232" s="115">
        <f t="shared" si="140"/>
        <v>0.55314208777288076</v>
      </c>
      <c r="X232" s="115">
        <f t="shared" si="141"/>
        <v>0.52503330598969533</v>
      </c>
      <c r="AB232" s="1" cm="1">
        <f t="array" ref="AB232">IF(N232="USD",1,_xll.BDP(N232&amp;"USD CURNCY","PX_LAST"))</f>
        <v>1</v>
      </c>
      <c r="AC232" s="80"/>
      <c r="AD232" s="81">
        <f t="shared" si="142"/>
        <v>0</v>
      </c>
      <c r="AE232" s="80">
        <v>359887.40047064598</v>
      </c>
      <c r="AF232" s="81">
        <f t="shared" si="143"/>
        <v>26754029.350987822</v>
      </c>
      <c r="AG232" s="80">
        <v>689570.55894413195</v>
      </c>
      <c r="AH232" s="81">
        <f t="shared" si="144"/>
        <v>51262675.351906769</v>
      </c>
      <c r="AI232" s="80">
        <v>864358.389390253</v>
      </c>
      <c r="AJ232" s="81">
        <f t="shared" si="145"/>
        <v>64256402.667271413</v>
      </c>
    </row>
    <row r="233" spans="1:36" x14ac:dyDescent="0.2">
      <c r="A233" s="3"/>
      <c r="B233" s="3"/>
      <c r="C233" s="86" t="str" cm="1">
        <f t="array" ref="C233">_xll.BDP(D233&amp;" Curncy","DS520")</f>
        <v>USDUSD Spot Exchange Rate - Price of 1 USD in USD</v>
      </c>
      <c r="D233" s="156" t="s">
        <v>34</v>
      </c>
      <c r="E233" s="34"/>
      <c r="F233" s="34"/>
      <c r="G233" s="34"/>
      <c r="H233" s="34"/>
      <c r="I233" s="34"/>
      <c r="J233" s="157" t="s">
        <v>80</v>
      </c>
      <c r="K233" s="111"/>
      <c r="L233" s="111"/>
      <c r="M233" s="34"/>
      <c r="N233" s="45" t="str">
        <f>_xll.BDP(D233&amp;" CURNCY","DS004")</f>
        <v>USD</v>
      </c>
      <c r="O233" s="34"/>
      <c r="P233" s="34">
        <v>1</v>
      </c>
      <c r="Q233" s="112">
        <f t="shared" si="135"/>
        <v>3.2649090776585444E-3</v>
      </c>
      <c r="R233" s="112">
        <f>R245</f>
        <v>5.475E-2</v>
      </c>
      <c r="S233" s="114">
        <f t="shared" si="137"/>
        <v>3.5488350943207276E-3</v>
      </c>
      <c r="T233" s="114">
        <f>T245</f>
        <v>5.475E-2</v>
      </c>
      <c r="U233" s="160">
        <f t="shared" si="138"/>
        <v>3.9014899003532886E-3</v>
      </c>
      <c r="V233" s="160">
        <f>V245</f>
        <v>5.475E-2</v>
      </c>
      <c r="W233" s="115">
        <f t="shared" si="140"/>
        <v>4.1440180985823387E-3</v>
      </c>
      <c r="X233" s="115">
        <f>X245</f>
        <v>5.475E-2</v>
      </c>
      <c r="AB233" s="1" cm="1">
        <f t="array" ref="AB233">IF(N233="USD",1,_xll.BDP(N233&amp;"USD CURNCY","PX_LAST"))</f>
        <v>1</v>
      </c>
      <c r="AC233" s="80">
        <v>557800.39035763498</v>
      </c>
      <c r="AD233" s="81">
        <f t="shared" si="142"/>
        <v>557800.39035763498</v>
      </c>
      <c r="AE233" s="80">
        <v>529149.10387200699</v>
      </c>
      <c r="AF233" s="81">
        <f t="shared" si="143"/>
        <v>529149.10387200699</v>
      </c>
      <c r="AG233" s="80">
        <v>499301.801423205</v>
      </c>
      <c r="AH233" s="81">
        <f t="shared" si="144"/>
        <v>499301.801423205</v>
      </c>
      <c r="AI233" s="80">
        <v>481394.74736968701</v>
      </c>
      <c r="AJ233" s="81">
        <f t="shared" si="145"/>
        <v>481394.74736968701</v>
      </c>
    </row>
    <row r="234" spans="1:36" x14ac:dyDescent="0.2">
      <c r="C234" s="86"/>
      <c r="D234" s="156"/>
      <c r="E234" s="34"/>
      <c r="F234" s="34"/>
      <c r="G234" s="34"/>
      <c r="H234" s="34"/>
      <c r="I234" s="34"/>
      <c r="J234" s="111"/>
      <c r="K234" s="111"/>
      <c r="L234" s="111"/>
      <c r="M234" s="34"/>
      <c r="N234" s="45"/>
      <c r="O234" s="34"/>
      <c r="P234" s="34"/>
      <c r="Q234" s="112"/>
      <c r="R234" s="112"/>
      <c r="S234" s="114"/>
      <c r="T234" s="114"/>
      <c r="U234" s="160"/>
      <c r="V234" s="160"/>
      <c r="W234" s="115"/>
      <c r="X234" s="115"/>
      <c r="AC234" s="40"/>
      <c r="AD234" s="82">
        <f>SUM(AD227:AD233)</f>
        <v>170847143.69983804</v>
      </c>
      <c r="AE234" s="40"/>
      <c r="AF234" s="82">
        <f>SUM(AF227:AF233)</f>
        <v>149105013.28134829</v>
      </c>
      <c r="AG234" s="40"/>
      <c r="AH234" s="82">
        <f>SUM(AH227:AH233)</f>
        <v>127977212.34085269</v>
      </c>
      <c r="AI234" s="40"/>
      <c r="AJ234" s="82">
        <f>SUM(AJ227:AJ233)</f>
        <v>116166178.79501331</v>
      </c>
    </row>
    <row r="235" spans="1:36" x14ac:dyDescent="0.2">
      <c r="C235" s="119"/>
      <c r="D235" s="122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121" t="s">
        <v>81</v>
      </c>
      <c r="Q235" s="107">
        <f>SUM(Q227:Q233)</f>
        <v>1.0000000000000002</v>
      </c>
      <c r="R235" s="107"/>
      <c r="S235" s="109">
        <f t="shared" ref="S235:W235" si="146">SUM(S227:S233)</f>
        <v>1</v>
      </c>
      <c r="T235" s="109"/>
      <c r="U235" s="159">
        <f t="shared" si="146"/>
        <v>1</v>
      </c>
      <c r="V235" s="159"/>
      <c r="W235" s="110">
        <f t="shared" si="146"/>
        <v>1</v>
      </c>
      <c r="X235" s="110"/>
      <c r="Y235" s="81"/>
    </row>
    <row r="236" spans="1:36" x14ac:dyDescent="0.2">
      <c r="C236" s="119"/>
      <c r="D236" s="122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122" t="s">
        <v>470</v>
      </c>
      <c r="Q236" s="112">
        <f>SUMIF($J$227:$J$233,P236,$Q$227:$Q$233)</f>
        <v>0.99673509092234158</v>
      </c>
      <c r="R236" s="112"/>
      <c r="S236" s="114">
        <f>SUMIF($J$227:$J$233,P236,$S$227:$S$233)</f>
        <v>0.81702038144499656</v>
      </c>
      <c r="T236" s="114"/>
      <c r="U236" s="160">
        <f>SUMIF($J$227:$J$233,P236,$U$227:$U$233)</f>
        <v>0.59553754761068034</v>
      </c>
      <c r="V236" s="160"/>
      <c r="W236" s="115">
        <f>SUMIF($J$227:$J$233,P236,$W$227:$W$233)</f>
        <v>0.44271389412853684</v>
      </c>
      <c r="X236" s="115"/>
      <c r="Y236" s="81"/>
    </row>
    <row r="237" spans="1:36" x14ac:dyDescent="0.2">
      <c r="C237" s="119"/>
      <c r="D237" s="122"/>
      <c r="E237" s="77" t="s">
        <v>471</v>
      </c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122" t="s">
        <v>458</v>
      </c>
      <c r="Q237" s="112">
        <f>SUMIF($J$227:$J$233,P237,$Q$227:$Q$233)</f>
        <v>0</v>
      </c>
      <c r="R237" s="112"/>
      <c r="S237" s="114">
        <f t="shared" ref="S237:S238" si="147">SUMIF($J$227:$J$233,P237,$S$227:$S$233)</f>
        <v>0.1794307834606827</v>
      </c>
      <c r="T237" s="114"/>
      <c r="U237" s="160">
        <f t="shared" ref="U237:U238" si="148">SUMIF($J$227:$J$233,P237,$U$227:$U$233)</f>
        <v>0.40056096248896628</v>
      </c>
      <c r="V237" s="160"/>
      <c r="W237" s="115">
        <f t="shared" ref="W237:W238" si="149">SUMIF($J$227:$J$233,P237,$W$227:$W$233)</f>
        <v>0.55314208777288076</v>
      </c>
      <c r="X237" s="115"/>
      <c r="Y237" s="81"/>
    </row>
    <row r="238" spans="1:36" x14ac:dyDescent="0.2">
      <c r="C238" s="119"/>
      <c r="D238" s="122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122" t="s">
        <v>80</v>
      </c>
      <c r="Q238" s="112">
        <f>SUMIF($J$227:$J$233,P238,$Q$227:$Q$233)</f>
        <v>3.2649090776585444E-3</v>
      </c>
      <c r="R238" s="112"/>
      <c r="S238" s="114">
        <f t="shared" si="147"/>
        <v>3.5488350943207276E-3</v>
      </c>
      <c r="T238" s="114"/>
      <c r="U238" s="160">
        <f t="shared" si="148"/>
        <v>3.9014899003532886E-3</v>
      </c>
      <c r="V238" s="160"/>
      <c r="W238" s="115">
        <f t="shared" si="149"/>
        <v>4.1440180985823387E-3</v>
      </c>
      <c r="X238" s="115"/>
      <c r="Y238" s="81"/>
    </row>
    <row r="239" spans="1:36" x14ac:dyDescent="0.2">
      <c r="C239" s="119"/>
      <c r="D239" s="122"/>
      <c r="E239" s="77"/>
      <c r="F239" s="77"/>
      <c r="G239" s="77"/>
      <c r="H239" s="77"/>
      <c r="I239" s="77"/>
      <c r="J239" s="77"/>
      <c r="K239" s="77"/>
      <c r="L239" s="77"/>
      <c r="M239" s="77"/>
      <c r="N239" s="121"/>
      <c r="O239" s="121"/>
      <c r="P239" s="121"/>
      <c r="Q239" s="107"/>
      <c r="R239" s="107"/>
      <c r="S239" s="109"/>
      <c r="T239" s="109"/>
      <c r="U239" s="159"/>
      <c r="V239" s="159"/>
      <c r="W239" s="110"/>
      <c r="X239" s="110"/>
      <c r="Y239" s="81"/>
    </row>
    <row r="240" spans="1:36" ht="15" thickBot="1" x14ac:dyDescent="0.25"/>
    <row r="241" spans="1:36" x14ac:dyDescent="0.2">
      <c r="Q241" s="129" t="s">
        <v>86</v>
      </c>
      <c r="R241" s="130">
        <v>100000</v>
      </c>
      <c r="S241" s="129" t="s">
        <v>86</v>
      </c>
      <c r="T241" s="130">
        <v>100000</v>
      </c>
      <c r="U241" s="129" t="s">
        <v>86</v>
      </c>
      <c r="V241" s="130">
        <v>100000</v>
      </c>
      <c r="W241" s="129" t="s">
        <v>86</v>
      </c>
      <c r="X241" s="130">
        <v>100000</v>
      </c>
    </row>
    <row r="242" spans="1:36" x14ac:dyDescent="0.2">
      <c r="Q242" s="132" t="s">
        <v>85</v>
      </c>
      <c r="R242" s="133">
        <v>5000</v>
      </c>
      <c r="S242" s="132" t="s">
        <v>85</v>
      </c>
      <c r="T242" s="133">
        <v>5000</v>
      </c>
      <c r="U242" s="132" t="s">
        <v>85</v>
      </c>
      <c r="V242" s="133">
        <v>5000</v>
      </c>
      <c r="W242" s="132" t="s">
        <v>85</v>
      </c>
      <c r="X242" s="133">
        <v>5000</v>
      </c>
    </row>
    <row r="243" spans="1:36" x14ac:dyDescent="0.2">
      <c r="Q243" s="132" t="s">
        <v>88</v>
      </c>
      <c r="R243" s="134">
        <f>(R241-R242)*0.5%</f>
        <v>475</v>
      </c>
      <c r="S243" s="132" t="s">
        <v>88</v>
      </c>
      <c r="T243" s="134">
        <f>(T241-T242)*0.5%</f>
        <v>475</v>
      </c>
      <c r="U243" s="132" t="s">
        <v>88</v>
      </c>
      <c r="V243" s="134">
        <f>(V241-V242)*0.5%</f>
        <v>475</v>
      </c>
      <c r="W243" s="132" t="s">
        <v>88</v>
      </c>
      <c r="X243" s="134">
        <f>(X241-X242)*0.5%</f>
        <v>475</v>
      </c>
    </row>
    <row r="244" spans="1:36" x14ac:dyDescent="0.2">
      <c r="Q244" s="132" t="s">
        <v>87</v>
      </c>
      <c r="R244" s="134">
        <f>R242+R243</f>
        <v>5475</v>
      </c>
      <c r="S244" s="132" t="s">
        <v>87</v>
      </c>
      <c r="T244" s="134">
        <f>T242+T243</f>
        <v>5475</v>
      </c>
      <c r="U244" s="132" t="s">
        <v>87</v>
      </c>
      <c r="V244" s="134">
        <f>V242+V243</f>
        <v>5475</v>
      </c>
      <c r="W244" s="132" t="s">
        <v>87</v>
      </c>
      <c r="X244" s="134">
        <f>X242+X243</f>
        <v>5475</v>
      </c>
    </row>
    <row r="245" spans="1:36" ht="15" thickBot="1" x14ac:dyDescent="0.25">
      <c r="Q245" s="136" t="s">
        <v>89</v>
      </c>
      <c r="R245" s="137">
        <f>R244/R241</f>
        <v>5.475E-2</v>
      </c>
      <c r="S245" s="136" t="s">
        <v>89</v>
      </c>
      <c r="T245" s="137">
        <f>T244/T241</f>
        <v>5.475E-2</v>
      </c>
      <c r="U245" s="136" t="s">
        <v>89</v>
      </c>
      <c r="V245" s="137">
        <f>V244/V241</f>
        <v>5.475E-2</v>
      </c>
      <c r="W245" s="136" t="s">
        <v>89</v>
      </c>
      <c r="X245" s="137">
        <f>X244/X241</f>
        <v>5.475E-2</v>
      </c>
    </row>
    <row r="247" spans="1:36" x14ac:dyDescent="0.2">
      <c r="A247" s="76" t="s">
        <v>0</v>
      </c>
      <c r="C247" s="95" t="s">
        <v>1137</v>
      </c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176"/>
      <c r="T247" s="176"/>
      <c r="W247" s="177"/>
      <c r="X247" s="178"/>
      <c r="Y247" s="40"/>
    </row>
    <row r="248" spans="1:36" x14ac:dyDescent="0.2">
      <c r="A248" s="154">
        <v>46000</v>
      </c>
      <c r="C248" s="97" t="s">
        <v>5</v>
      </c>
      <c r="D248" s="98" t="s">
        <v>91</v>
      </c>
      <c r="E248" s="98" t="s">
        <v>533</v>
      </c>
      <c r="F248" s="98" t="s">
        <v>534</v>
      </c>
      <c r="G248" s="98" t="s">
        <v>535</v>
      </c>
      <c r="H248" s="98" t="s">
        <v>1426</v>
      </c>
      <c r="I248" s="98"/>
      <c r="J248" s="98" t="s">
        <v>434</v>
      </c>
      <c r="K248" s="98" t="s">
        <v>435</v>
      </c>
      <c r="L248" s="98"/>
      <c r="M248" s="98" t="s">
        <v>9</v>
      </c>
      <c r="N248" s="98" t="s">
        <v>13</v>
      </c>
      <c r="O248" s="98" t="s">
        <v>437</v>
      </c>
      <c r="P248" s="98" t="s">
        <v>14</v>
      </c>
      <c r="Q248" s="99" t="s">
        <v>438</v>
      </c>
      <c r="R248" s="99" t="s">
        <v>536</v>
      </c>
      <c r="S248" s="179"/>
      <c r="T248" s="179"/>
      <c r="U248" s="179"/>
      <c r="V248" s="179"/>
      <c r="W248" s="179"/>
      <c r="X248" s="179"/>
      <c r="AC248" s="185" t="s">
        <v>438</v>
      </c>
      <c r="AD248" s="185"/>
      <c r="AE248" s="182"/>
      <c r="AF248" s="182"/>
      <c r="AG248" s="188"/>
      <c r="AH248" s="188"/>
      <c r="AI248" s="188"/>
      <c r="AJ248" s="188"/>
    </row>
    <row r="249" spans="1:36" x14ac:dyDescent="0.2">
      <c r="C249" s="106" t="s">
        <v>16</v>
      </c>
      <c r="D249" s="45"/>
      <c r="E249" s="34"/>
      <c r="F249" s="34"/>
      <c r="G249" s="34"/>
      <c r="H249" s="34"/>
      <c r="I249" s="34"/>
      <c r="J249" s="34"/>
      <c r="K249" s="34"/>
      <c r="L249" s="155"/>
      <c r="M249" s="34"/>
      <c r="N249" s="34"/>
      <c r="O249" s="34"/>
      <c r="P249" s="34"/>
      <c r="Q249" s="107"/>
      <c r="R249" s="107"/>
      <c r="S249" s="162"/>
      <c r="T249" s="162"/>
      <c r="U249" s="162"/>
      <c r="V249" s="162"/>
      <c r="W249" s="162"/>
      <c r="X249" s="162"/>
      <c r="AB249" s="13" t="s">
        <v>17</v>
      </c>
      <c r="AC249" s="78" t="s">
        <v>18</v>
      </c>
      <c r="AD249" s="79" t="s">
        <v>19</v>
      </c>
      <c r="AE249" s="177"/>
      <c r="AF249" s="178"/>
      <c r="AG249" s="177"/>
      <c r="AH249" s="178"/>
      <c r="AI249" s="177"/>
      <c r="AJ249" s="178"/>
    </row>
    <row r="250" spans="1:36" x14ac:dyDescent="0.2">
      <c r="A250" s="3"/>
      <c r="C250" s="86" t="str" cm="1">
        <f t="array" ref="C250">_xll.BDP(D250&amp;" Equity","DS520")</f>
        <v>WisdomTree Physical Bitcoin</v>
      </c>
      <c r="D250" s="183" t="s">
        <v>763</v>
      </c>
      <c r="E250" s="34"/>
      <c r="F250" s="34"/>
      <c r="G250" s="34"/>
      <c r="H250" s="45" t="str" cm="1">
        <f t="array" ref="H250">_xll.BDP(D250&amp;" Equity", "ID_ISIN")</f>
        <v>GB00BJYDH287</v>
      </c>
      <c r="I250" s="34"/>
      <c r="J250" s="34" t="str" cm="1">
        <f t="array" ref="J250">_xll.BDP(D250&amp;" Equity","FD121")</f>
        <v>Alternative</v>
      </c>
      <c r="K250" s="111"/>
      <c r="L250" s="111"/>
      <c r="M250" s="34" t="str">
        <f>_xll.BDP(D250&amp;" Equity", "DS197")</f>
        <v>SIX Swiss Ex</v>
      </c>
      <c r="N250" s="45" t="str">
        <f>_xll.BDP(D250&amp;" Equity","DS004")</f>
        <v>USD</v>
      </c>
      <c r="O250" s="111">
        <f>_xll.BDP(D250&amp;" Equity", "FUND_EXPENSE_RATIO")</f>
        <v>0.15</v>
      </c>
      <c r="P250" s="45">
        <f>_xll.BDP(D250&amp;" Equity","PX_LAST")</f>
        <v>16.925999999999998</v>
      </c>
      <c r="Q250" s="112">
        <f>AD250/$AD$256</f>
        <v>0.52974155337535034</v>
      </c>
      <c r="R250" s="112">
        <f>Q250*(1-$R$263)/(1-$Q$255)</f>
        <v>0.50509175718305466</v>
      </c>
      <c r="S250" s="180"/>
      <c r="T250" s="180"/>
      <c r="U250" s="180"/>
      <c r="V250" s="180"/>
      <c r="W250" s="180"/>
      <c r="X250" s="180"/>
      <c r="AB250" s="1" cm="1">
        <f t="array" ref="AB250">IF(N250="USD",1,_xll.BDP(N250&amp;"USD CURNCY","PX_LAST"))</f>
        <v>1</v>
      </c>
      <c r="AC250" s="80">
        <v>1871055.92015839</v>
      </c>
      <c r="AD250" s="81">
        <f>AC250*P250*AB250</f>
        <v>31669492.504600905</v>
      </c>
      <c r="AE250" s="177"/>
      <c r="AF250" s="178"/>
      <c r="AG250" s="177"/>
      <c r="AH250" s="178"/>
      <c r="AI250" s="177"/>
      <c r="AJ250" s="178"/>
    </row>
    <row r="251" spans="1:36" x14ac:dyDescent="0.2">
      <c r="A251" s="3"/>
      <c r="C251" s="86" t="str" cm="1">
        <f t="array" ref="C251">_xll.BDP(D251&amp;" Equity","DS520")</f>
        <v>VanEck Digital Transformation ETF</v>
      </c>
      <c r="D251" s="183" t="s">
        <v>1138</v>
      </c>
      <c r="E251" s="34"/>
      <c r="F251" s="34"/>
      <c r="G251" s="34"/>
      <c r="H251" s="45" t="str" cm="1">
        <f t="array" ref="H251">_xll.BDP(D251&amp;" Equity", "ID_ISIN")</f>
        <v>US92189H8218</v>
      </c>
      <c r="I251" s="34"/>
      <c r="J251" s="34" t="str" cm="1">
        <f t="array" ref="J251">_xll.BDP(D251&amp;" Equity","FD121")</f>
        <v>Equity</v>
      </c>
      <c r="K251" s="111"/>
      <c r="L251" s="111"/>
      <c r="M251" s="34" t="str">
        <f>_xll.BDP(D251&amp;" Equity", "DS197")</f>
        <v>NASDAQ GM</v>
      </c>
      <c r="N251" s="45" t="str">
        <f>_xll.BDP(D251&amp;" Equity","DS004")</f>
        <v>USD</v>
      </c>
      <c r="O251" s="111">
        <f>_xll.BDP(D251&amp;" Equity", "FUND_EXPENSE_RATIO")</f>
        <v>0.52</v>
      </c>
      <c r="P251" s="45">
        <f>_xll.BDP(D251&amp;" Equity","PX_LAST")</f>
        <v>16.61</v>
      </c>
      <c r="Q251" s="112">
        <f t="shared" ref="Q251:Q255" si="150">AD251/$AD$256</f>
        <v>0.20266325639193153</v>
      </c>
      <c r="R251" s="112">
        <f t="shared" ref="R251:R254" si="151">Q251*(1-$R$263)/(1-$Q$255)</f>
        <v>0.19323298245193643</v>
      </c>
      <c r="S251" s="180"/>
      <c r="T251" s="180"/>
      <c r="U251" s="180"/>
      <c r="V251" s="180"/>
      <c r="W251" s="180"/>
      <c r="X251" s="180"/>
      <c r="AB251" s="1" cm="1">
        <f t="array" ref="AB251">IF(N251="USD",1,_xll.BDP(N251&amp;"USD CURNCY","PX_LAST"))</f>
        <v>1</v>
      </c>
      <c r="AC251" s="80">
        <v>729428.02889410604</v>
      </c>
      <c r="AD251" s="81">
        <f t="shared" ref="AD251:AD253" si="152">AC251*P251*AB251</f>
        <v>12115799.559931101</v>
      </c>
      <c r="AE251" s="177"/>
      <c r="AF251" s="178"/>
      <c r="AG251" s="177"/>
      <c r="AH251" s="178"/>
      <c r="AI251" s="177"/>
      <c r="AJ251" s="178"/>
    </row>
    <row r="252" spans="1:36" x14ac:dyDescent="0.2">
      <c r="A252" s="3"/>
      <c r="C252" s="86" t="str" cm="1">
        <f t="array" ref="C252">_xll.BDP(D252&amp;" Equity","DS520")</f>
        <v>iShares Ethereum Trust ETF</v>
      </c>
      <c r="D252" s="183" t="s">
        <v>1139</v>
      </c>
      <c r="E252" s="34"/>
      <c r="F252" s="34"/>
      <c r="G252" s="34"/>
      <c r="H252" s="45" t="str" cm="1">
        <f t="array" ref="H252">_xll.BDP(D252&amp;" Equity", "ID_ISIN")</f>
        <v>US46438R1059</v>
      </c>
      <c r="I252" s="34"/>
      <c r="J252" s="34" t="str" cm="1">
        <f t="array" ref="J252">_xll.BDP(D252&amp;" Equity","FD121")</f>
        <v>Alternative</v>
      </c>
      <c r="K252" s="111"/>
      <c r="L252" s="111"/>
      <c r="M252" s="34" t="str">
        <f>_xll.BDP(D252&amp;" Equity", "DS197")</f>
        <v>NASDAQ GM</v>
      </c>
      <c r="N252" s="45" t="str">
        <f>_xll.BDP(D252&amp;" Equity","DS004")</f>
        <v>USD</v>
      </c>
      <c r="O252" s="111">
        <f>_xll.BDP(D252&amp;" Equity", "FUND_EXPENSE_RATIO")</f>
        <v>0.25</v>
      </c>
      <c r="P252" s="45">
        <f>_xll.BDP(D252&amp;" Equity","PX_LAST")</f>
        <v>15.8</v>
      </c>
      <c r="Q252" s="112">
        <f t="shared" si="150"/>
        <v>0.10783915955770854</v>
      </c>
      <c r="R252" s="112">
        <f t="shared" si="151"/>
        <v>0.10282121583079366</v>
      </c>
      <c r="S252" s="180"/>
      <c r="T252" s="180"/>
      <c r="U252" s="180"/>
      <c r="V252" s="180"/>
      <c r="W252" s="180"/>
      <c r="X252" s="180"/>
      <c r="AB252" s="1" cm="1">
        <f t="array" ref="AB252">IF(N252="USD",1,_xll.BDP(N252&amp;"USD CURNCY","PX_LAST"))</f>
        <v>1</v>
      </c>
      <c r="AC252" s="80">
        <v>408034.110929897</v>
      </c>
      <c r="AD252" s="81">
        <f t="shared" si="152"/>
        <v>6446938.9526923727</v>
      </c>
      <c r="AE252" s="177"/>
      <c r="AF252" s="178"/>
      <c r="AG252" s="177"/>
      <c r="AH252" s="178"/>
      <c r="AI252" s="177"/>
      <c r="AJ252" s="178"/>
    </row>
    <row r="253" spans="1:36" x14ac:dyDescent="0.2">
      <c r="A253" s="3"/>
      <c r="C253" s="86" t="str" cm="1">
        <f t="array" ref="C253">_xll.BDP(D253&amp;" Equity","DS520")</f>
        <v>WisdomTree Physical Solana</v>
      </c>
      <c r="D253" s="183" t="s">
        <v>1140</v>
      </c>
      <c r="E253" s="34"/>
      <c r="F253" s="34"/>
      <c r="G253" s="34"/>
      <c r="H253" s="45" t="str" cm="1">
        <f t="array" ref="H253">_xll.BDP(D253&amp;" Equity", "ID_ISIN")</f>
        <v>GB00BNGJ9G01</v>
      </c>
      <c r="I253" s="34"/>
      <c r="J253" s="34" t="str" cm="1">
        <f t="array" ref="J253">_xll.BDP(D253&amp;" Equity","FD121")</f>
        <v>Alternative</v>
      </c>
      <c r="K253" s="111"/>
      <c r="L253" s="111"/>
      <c r="M253" s="34" t="str">
        <f>_xll.BDP(D253&amp;" Equity", "DS197")</f>
        <v>SIX Swiss Ex</v>
      </c>
      <c r="N253" s="45" t="str">
        <f>_xll.BDP(D253&amp;" Equity","DS004")</f>
        <v>USD</v>
      </c>
      <c r="O253" s="111">
        <f>_xll.BDP(D253&amp;" Equity", "FUND_EXPENSE_RATIO")</f>
        <v>0.5</v>
      </c>
      <c r="P253" s="45">
        <f>_xll.BDP(D253&amp;" Equity","PX_LAST")</f>
        <v>12.362</v>
      </c>
      <c r="Q253" s="112">
        <f t="shared" si="150"/>
        <v>9.1461107086708113E-2</v>
      </c>
      <c r="R253" s="112">
        <f t="shared" si="151"/>
        <v>8.7205262637949796E-2</v>
      </c>
      <c r="S253" s="180"/>
      <c r="T253" s="180"/>
      <c r="U253" s="180"/>
      <c r="V253" s="180"/>
      <c r="W253" s="180"/>
      <c r="X253" s="180"/>
      <c r="AB253" s="1" cm="1">
        <f t="array" ref="AB253">IF(N253="USD",1,_xll.BDP(N253&amp;"USD CURNCY","PX_LAST"))</f>
        <v>1</v>
      </c>
      <c r="AC253" s="80">
        <v>442307.98318594199</v>
      </c>
      <c r="AD253" s="81">
        <f t="shared" si="152"/>
        <v>5467811.2881446145</v>
      </c>
      <c r="AE253" s="177"/>
      <c r="AF253" s="178"/>
      <c r="AG253" s="177"/>
      <c r="AH253" s="178"/>
      <c r="AI253" s="177"/>
      <c r="AJ253" s="178"/>
    </row>
    <row r="254" spans="1:36" x14ac:dyDescent="0.2">
      <c r="C254" s="86" t="str" cm="1">
        <f t="array" ref="C254">_xll.BDP(D254&amp;" Equity","DS520")</f>
        <v>WisdomTree Physical XRP</v>
      </c>
      <c r="D254" s="183" t="s">
        <v>1141</v>
      </c>
      <c r="E254" s="34"/>
      <c r="F254" s="34"/>
      <c r="G254" s="34"/>
      <c r="H254" s="45" t="str" cm="1">
        <f t="array" ref="H254">_xll.BDP(D254&amp;" Equity", "ID_ISIN")</f>
        <v>GB00BRXHQ425</v>
      </c>
      <c r="I254" s="34"/>
      <c r="J254" s="34" t="str" cm="1">
        <f t="array" ref="J254">_xll.BDP(D254&amp;" Equity","FD121")</f>
        <v>Alternative</v>
      </c>
      <c r="K254" s="111"/>
      <c r="L254" s="111"/>
      <c r="M254" s="34" t="str">
        <f>_xll.BDP(D254&amp;" Equity", "DS197")</f>
        <v>SIX Swiss Ex</v>
      </c>
      <c r="N254" s="45" t="str">
        <f>_xll.BDP(D254&amp;" Equity","DS004")</f>
        <v>USD</v>
      </c>
      <c r="O254" s="111">
        <f>_xll.BDP(D254&amp;" Equity", "FUND_EXPENSE_RATIO")</f>
        <v>0.5</v>
      </c>
      <c r="P254" s="45">
        <f>_xll.BDP(D254&amp;" Equity","PX_LAST")</f>
        <v>55.84</v>
      </c>
      <c r="Q254" s="112">
        <f t="shared" si="150"/>
        <v>5.9675590975778223E-2</v>
      </c>
      <c r="R254" s="112">
        <f t="shared" si="151"/>
        <v>5.689878189626571E-2</v>
      </c>
      <c r="S254" s="180"/>
      <c r="T254" s="180"/>
      <c r="U254" s="180"/>
      <c r="V254" s="180"/>
      <c r="W254" s="180"/>
      <c r="X254" s="180"/>
      <c r="AB254" s="1" cm="1">
        <f t="array" ref="AB254">IF(N254="USD",1,_xll.BDP(N254&amp;"USD CURNCY","PX_LAST"))</f>
        <v>1</v>
      </c>
      <c r="AC254" s="80">
        <v>63889.337131545202</v>
      </c>
      <c r="AD254" s="81">
        <f t="shared" ref="AD254:AD255" si="153">AC254*P254*AB254</f>
        <v>3567580.5854254845</v>
      </c>
      <c r="AE254" s="177"/>
      <c r="AF254" s="178"/>
      <c r="AG254" s="177"/>
      <c r="AH254" s="178"/>
      <c r="AI254" s="177"/>
      <c r="AJ254" s="178"/>
    </row>
    <row r="255" spans="1:36" x14ac:dyDescent="0.2">
      <c r="A255" s="3"/>
      <c r="B255" s="3"/>
      <c r="C255" s="86" t="str" cm="1">
        <f t="array" ref="C255">_xll.BDP(D255&amp;" Curncy","DS520")</f>
        <v>USDUSD Spot Exchange Rate - Price of 1 USD in USD</v>
      </c>
      <c r="D255" s="183" t="s">
        <v>34</v>
      </c>
      <c r="E255" s="34"/>
      <c r="F255" s="34"/>
      <c r="G255" s="34"/>
      <c r="H255" s="34"/>
      <c r="I255" s="34"/>
      <c r="J255" s="157" t="s">
        <v>80</v>
      </c>
      <c r="K255" s="111"/>
      <c r="L255" s="111"/>
      <c r="M255" s="34"/>
      <c r="N255" s="45" t="str">
        <f>_xll.BDP(D255&amp;" CURNCY","DS004")</f>
        <v>USD</v>
      </c>
      <c r="O255" s="34"/>
      <c r="P255" s="45">
        <v>1</v>
      </c>
      <c r="Q255" s="112">
        <f t="shared" si="150"/>
        <v>8.619332612523449E-3</v>
      </c>
      <c r="R255" s="112">
        <f>R263</f>
        <v>5.475E-2</v>
      </c>
      <c r="S255" s="180"/>
      <c r="T255" s="180"/>
      <c r="U255" s="180"/>
      <c r="V255" s="180"/>
      <c r="W255" s="180"/>
      <c r="X255" s="180"/>
      <c r="AB255" s="1" cm="1">
        <f t="array" ref="AB255">IF(N255="USD",1,_xll.BDP(N255&amp;"USD CURNCY","PX_LAST"))</f>
        <v>1</v>
      </c>
      <c r="AC255" s="80">
        <v>515288.80041162198</v>
      </c>
      <c r="AD255" s="81">
        <f t="shared" si="153"/>
        <v>515288.80041162198</v>
      </c>
      <c r="AE255" s="177"/>
      <c r="AF255" s="178"/>
      <c r="AG255" s="177"/>
      <c r="AH255" s="178"/>
      <c r="AI255" s="177"/>
      <c r="AJ255" s="178"/>
    </row>
    <row r="256" spans="1:36" x14ac:dyDescent="0.2">
      <c r="C256" s="86"/>
      <c r="D256" s="156"/>
      <c r="E256" s="34"/>
      <c r="F256" s="34"/>
      <c r="G256" s="34"/>
      <c r="H256" s="34"/>
      <c r="I256" s="34"/>
      <c r="J256" s="111"/>
      <c r="K256" s="111"/>
      <c r="L256" s="111"/>
      <c r="M256" s="34"/>
      <c r="N256" s="45"/>
      <c r="O256" s="34"/>
      <c r="P256" s="34"/>
      <c r="Q256" s="112"/>
      <c r="R256" s="112"/>
      <c r="S256" s="180"/>
      <c r="T256" s="180"/>
      <c r="U256" s="180"/>
      <c r="V256" s="180"/>
      <c r="W256" s="180"/>
      <c r="X256" s="180"/>
      <c r="AC256" s="40"/>
      <c r="AD256" s="82">
        <f>SUM(AD250:AD255)</f>
        <v>59782911.69120609</v>
      </c>
      <c r="AE256" s="177"/>
      <c r="AF256" s="181"/>
      <c r="AG256" s="177"/>
      <c r="AH256" s="181"/>
      <c r="AI256" s="177"/>
      <c r="AJ256" s="181"/>
    </row>
    <row r="257" spans="1:30" x14ac:dyDescent="0.2">
      <c r="C257" s="119"/>
      <c r="D257" s="122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121" t="s">
        <v>81</v>
      </c>
      <c r="Q257" s="107">
        <f>SUM(Q250:Q255)</f>
        <v>1</v>
      </c>
      <c r="R257" s="107"/>
      <c r="S257" s="162"/>
      <c r="T257" s="162"/>
      <c r="U257" s="162"/>
      <c r="V257" s="162"/>
      <c r="W257" s="162"/>
      <c r="X257" s="162"/>
      <c r="Y257" s="81"/>
    </row>
    <row r="258" spans="1:30" ht="15" thickBot="1" x14ac:dyDescent="0.25"/>
    <row r="259" spans="1:30" x14ac:dyDescent="0.2">
      <c r="Q259" s="129" t="s">
        <v>86</v>
      </c>
      <c r="R259" s="130">
        <v>100000</v>
      </c>
      <c r="T259" s="131"/>
      <c r="V259" s="131"/>
      <c r="X259" s="131"/>
    </row>
    <row r="260" spans="1:30" x14ac:dyDescent="0.2">
      <c r="Q260" s="132" t="s">
        <v>85</v>
      </c>
      <c r="R260" s="133">
        <v>5000</v>
      </c>
      <c r="T260" s="131"/>
      <c r="V260" s="131"/>
      <c r="X260" s="131"/>
    </row>
    <row r="261" spans="1:30" x14ac:dyDescent="0.2">
      <c r="Q261" s="132" t="s">
        <v>88</v>
      </c>
      <c r="R261" s="134">
        <f>(R259-R260)*0.5%</f>
        <v>475</v>
      </c>
      <c r="T261" s="135"/>
      <c r="V261" s="135"/>
      <c r="X261" s="135"/>
    </row>
    <row r="262" spans="1:30" x14ac:dyDescent="0.2">
      <c r="Q262" s="132" t="s">
        <v>87</v>
      </c>
      <c r="R262" s="134">
        <f>R260+R261</f>
        <v>5475</v>
      </c>
      <c r="T262" s="135"/>
      <c r="V262" s="135"/>
      <c r="X262" s="135"/>
    </row>
    <row r="263" spans="1:30" ht="15" thickBot="1" x14ac:dyDescent="0.25">
      <c r="Q263" s="136" t="s">
        <v>89</v>
      </c>
      <c r="R263" s="137">
        <f>R262/R259</f>
        <v>5.475E-2</v>
      </c>
      <c r="T263" s="138"/>
      <c r="V263" s="138"/>
      <c r="X263" s="138"/>
    </row>
    <row r="265" spans="1:30" x14ac:dyDescent="0.2">
      <c r="A265" s="76" t="s">
        <v>0</v>
      </c>
      <c r="C265" s="95" t="s">
        <v>1142</v>
      </c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176"/>
      <c r="T265" s="176"/>
      <c r="W265" s="177"/>
      <c r="X265" s="178"/>
      <c r="Y265" s="40"/>
    </row>
    <row r="266" spans="1:30" x14ac:dyDescent="0.2">
      <c r="A266" s="154" t="s">
        <v>1143</v>
      </c>
      <c r="C266" s="97" t="s">
        <v>5</v>
      </c>
      <c r="D266" s="98" t="s">
        <v>91</v>
      </c>
      <c r="E266" s="98" t="s">
        <v>533</v>
      </c>
      <c r="F266" s="98" t="s">
        <v>534</v>
      </c>
      <c r="G266" s="98" t="s">
        <v>535</v>
      </c>
      <c r="H266" s="98" t="s">
        <v>1426</v>
      </c>
      <c r="I266" s="98"/>
      <c r="J266" s="98" t="s">
        <v>434</v>
      </c>
      <c r="K266" s="98" t="s">
        <v>435</v>
      </c>
      <c r="L266" s="98"/>
      <c r="M266" s="98" t="s">
        <v>9</v>
      </c>
      <c r="N266" s="98" t="s">
        <v>13</v>
      </c>
      <c r="O266" s="98" t="s">
        <v>437</v>
      </c>
      <c r="P266" s="98" t="s">
        <v>14</v>
      </c>
      <c r="Q266" s="99" t="s">
        <v>438</v>
      </c>
      <c r="R266" s="99" t="s">
        <v>536</v>
      </c>
      <c r="S266" s="179"/>
      <c r="T266" s="179"/>
      <c r="U266" s="179"/>
      <c r="V266" s="179"/>
      <c r="W266" s="179"/>
      <c r="X266" s="179"/>
      <c r="AC266" s="185" t="s">
        <v>438</v>
      </c>
      <c r="AD266" s="185"/>
    </row>
    <row r="267" spans="1:30" x14ac:dyDescent="0.2">
      <c r="C267" s="106" t="s">
        <v>16</v>
      </c>
      <c r="D267" s="45"/>
      <c r="E267" s="34"/>
      <c r="F267" s="34"/>
      <c r="G267" s="34"/>
      <c r="H267" s="34"/>
      <c r="I267" s="34"/>
      <c r="J267" s="34"/>
      <c r="K267" s="34"/>
      <c r="L267" s="155"/>
      <c r="M267" s="34"/>
      <c r="N267" s="34"/>
      <c r="O267" s="34"/>
      <c r="P267" s="34"/>
      <c r="Q267" s="107"/>
      <c r="R267" s="107"/>
      <c r="S267" s="162"/>
      <c r="T267" s="162"/>
      <c r="U267" s="162"/>
      <c r="V267" s="162"/>
      <c r="W267" s="162"/>
      <c r="X267" s="162"/>
      <c r="AB267" s="13" t="s">
        <v>17</v>
      </c>
      <c r="AC267" s="78" t="s">
        <v>18</v>
      </c>
      <c r="AD267" s="79" t="s">
        <v>19</v>
      </c>
    </row>
    <row r="268" spans="1:30" x14ac:dyDescent="0.2">
      <c r="A268" s="3"/>
      <c r="C268" s="86" t="str" cm="1">
        <f t="array" ref="C268">_xll.BDP(D268&amp;" Equity","DS520")</f>
        <v>iShares Core TOPIX ETF</v>
      </c>
      <c r="D268" s="183" t="s">
        <v>1144</v>
      </c>
      <c r="E268" s="34"/>
      <c r="F268" s="34"/>
      <c r="G268" s="34"/>
      <c r="H268" s="45" t="str" cm="1">
        <f t="array" ref="H268">_xll.BDP(D268&amp;" Equity", "ID_ISIN")</f>
        <v>JP3048120004</v>
      </c>
      <c r="I268" s="34"/>
      <c r="J268" s="34" t="str" cm="1">
        <f t="array" ref="J268">_xll.BDP(D268&amp;" Equity","FD121")</f>
        <v>Equity</v>
      </c>
      <c r="K268" s="111"/>
      <c r="L268" s="111"/>
      <c r="M268" s="34" t="str">
        <f>_xll.BDP(D268&amp;" Equity", "DS197")</f>
        <v>Tokyo</v>
      </c>
      <c r="N268" s="45" t="str">
        <f>_xll.BDP(D268&amp;" Equity","DS004")</f>
        <v>JPY</v>
      </c>
      <c r="O268" s="111">
        <f>_xll.BDP(D268&amp;" Equity", "FUND_EXPENSE_RATIO")</f>
        <v>4.9500000000000002E-2</v>
      </c>
      <c r="P268" s="45">
        <f>_xll.BDP(D268&amp;" Equity","PX_LAST")</f>
        <v>381.3</v>
      </c>
      <c r="Q268" s="112">
        <f>AD268/$AD$277</f>
        <v>0.33316353849677244</v>
      </c>
      <c r="R268" s="112">
        <f>Q268*(1-$R$284)/(1-$Q$276)</f>
        <v>0.31604051145502016</v>
      </c>
      <c r="S268" s="180"/>
      <c r="T268" s="180"/>
      <c r="U268" s="180"/>
      <c r="V268" s="180"/>
      <c r="W268" s="180"/>
      <c r="X268" s="180"/>
      <c r="AB268" s="1" cm="1">
        <f t="array" ref="AB268">IF(N268="USD",1,_xll.BDP(N268&amp;"USD CURNCY","PX_LAST"))</f>
        <v>6.3369999999999998E-3</v>
      </c>
      <c r="AC268" s="80">
        <v>26445590.6949935</v>
      </c>
      <c r="AD268" s="81">
        <f>AC268*P268*AB268</f>
        <v>63900430.549690478</v>
      </c>
    </row>
    <row r="269" spans="1:30" x14ac:dyDescent="0.2">
      <c r="A269" s="3"/>
      <c r="C269" s="86" t="str" cm="1">
        <f t="array" ref="C269">_xll.BDP(D269&amp;" Equity","DS520")</f>
        <v>iShares Core Hang Seng Index ETF</v>
      </c>
      <c r="D269" s="183" t="s">
        <v>1145</v>
      </c>
      <c r="E269" s="34"/>
      <c r="F269" s="34"/>
      <c r="G269" s="34"/>
      <c r="H269" s="45" t="str" cm="1">
        <f t="array" ref="H269">_xll.BDP(D269&amp;" Equity", "ID_ISIN")</f>
        <v>HK0000313426</v>
      </c>
      <c r="I269" s="34"/>
      <c r="J269" s="34" t="str" cm="1">
        <f t="array" ref="J269">_xll.BDP(D269&amp;" Equity","FD121")</f>
        <v>Equity</v>
      </c>
      <c r="K269" s="111"/>
      <c r="L269" s="111"/>
      <c r="M269" s="34" t="str">
        <f>_xll.BDP(D269&amp;" Equity", "DS197")</f>
        <v>Hong Kong</v>
      </c>
      <c r="N269" s="45" t="str">
        <f>_xll.BDP(D269&amp;" Equity","DS004")</f>
        <v>HKD</v>
      </c>
      <c r="O269" s="111">
        <f>_xll.BDP(D269&amp;" Equity", "FUND_EXPENSE_RATIO")</f>
        <v>0.09</v>
      </c>
      <c r="P269" s="45">
        <f>_xll.BDP(D269&amp;" Equity","PX_LAST")</f>
        <v>93.76</v>
      </c>
      <c r="Q269" s="112">
        <f t="shared" ref="Q269:Q276" si="154">AD269/$AD$277</f>
        <v>0.14833106458435905</v>
      </c>
      <c r="R269" s="112">
        <f t="shared" ref="R269:R275" si="155">Q269*(1-$R$284)/(1-$Q$276)</f>
        <v>0.14070755079449546</v>
      </c>
      <c r="S269" s="180"/>
      <c r="T269" s="180"/>
      <c r="U269" s="180"/>
      <c r="V269" s="180"/>
      <c r="W269" s="180"/>
      <c r="X269" s="180"/>
      <c r="AB269" s="1" cm="1">
        <f t="array" ref="AB269">IF(N269="USD",1,_xll.BDP(N269&amp;"USD CURNCY","PX_LAST"))</f>
        <v>0.12784999999999999</v>
      </c>
      <c r="AC269" s="80">
        <v>2373340.7768501798</v>
      </c>
      <c r="AD269" s="81">
        <f t="shared" ref="AD269:AD276" si="156">AC269*P269*AB269</f>
        <v>28449748.533710904</v>
      </c>
    </row>
    <row r="270" spans="1:30" x14ac:dyDescent="0.2">
      <c r="A270" s="3"/>
      <c r="C270" s="86" t="str" cm="1">
        <f t="array" ref="C270">_xll.BDP(D270&amp;" Equity","DS520")</f>
        <v>Xtrackers MSCI China UCITS ETF</v>
      </c>
      <c r="D270" s="183" t="s">
        <v>448</v>
      </c>
      <c r="E270" s="34"/>
      <c r="F270" s="34"/>
      <c r="G270" s="34"/>
      <c r="H270" s="45" t="str" cm="1">
        <f t="array" ref="H270">_xll.BDP(D270&amp;" Equity", "ID_ISIN")</f>
        <v>LU2456436083</v>
      </c>
      <c r="I270" s="34"/>
      <c r="J270" s="34" t="str" cm="1">
        <f t="array" ref="J270">_xll.BDP(D270&amp;" Equity","FD121")</f>
        <v>Equity</v>
      </c>
      <c r="K270" s="111"/>
      <c r="L270" s="111"/>
      <c r="M270" s="34" t="str">
        <f>_xll.BDP(D270&amp;" Equity", "DS197")</f>
        <v>London</v>
      </c>
      <c r="N270" s="45" t="str">
        <f>_xll.BDP(D270&amp;" Equity","DS004")</f>
        <v>USD</v>
      </c>
      <c r="O270" s="111">
        <f>_xll.BDP(D270&amp;" Equity", "FUND_EXPENSE_RATIO")</f>
        <v>0.28000000000000003</v>
      </c>
      <c r="P270" s="45">
        <f>_xll.BDP(D270&amp;" Equity","PX_LAST")</f>
        <v>9.3979999999999997</v>
      </c>
      <c r="Q270" s="112">
        <f t="shared" si="154"/>
        <v>0.12281090003581031</v>
      </c>
      <c r="R270" s="112">
        <f t="shared" si="155"/>
        <v>0.11649900176559942</v>
      </c>
      <c r="S270" s="180"/>
      <c r="T270" s="180"/>
      <c r="U270" s="180"/>
      <c r="V270" s="180"/>
      <c r="W270" s="180"/>
      <c r="X270" s="180"/>
      <c r="AB270" s="1" cm="1">
        <f t="array" ref="AB270">IF(N270="USD",1,_xll.BDP(N270&amp;"USD CURNCY","PX_LAST"))</f>
        <v>1</v>
      </c>
      <c r="AC270" s="80">
        <v>2506385.0522450502</v>
      </c>
      <c r="AD270" s="81">
        <f t="shared" si="156"/>
        <v>23555006.72099898</v>
      </c>
    </row>
    <row r="271" spans="1:30" x14ac:dyDescent="0.2">
      <c r="A271" s="3"/>
      <c r="C271" s="86" t="str" cm="1">
        <f t="array" ref="C271">_xll.BDP(D271&amp;" Equity","DS520")</f>
        <v>iShares MSCI Korea UCITS ETF USD Dist</v>
      </c>
      <c r="D271" s="183" t="s">
        <v>1146</v>
      </c>
      <c r="E271" s="34"/>
      <c r="F271" s="34"/>
      <c r="G271" s="34"/>
      <c r="H271" s="45" t="str" cm="1">
        <f t="array" ref="H271">_xll.BDP(D271&amp;" Equity", "ID_ISIN")</f>
        <v>IE00B0M63391</v>
      </c>
      <c r="I271" s="34"/>
      <c r="J271" s="34" t="str" cm="1">
        <f t="array" ref="J271">_xll.BDP(D271&amp;" Equity","FD121")</f>
        <v>Equity</v>
      </c>
      <c r="K271" s="111"/>
      <c r="L271" s="111"/>
      <c r="M271" s="34" t="str">
        <f>_xll.BDP(D271&amp;" Equity", "DS197")</f>
        <v>SIX Swiss Ex</v>
      </c>
      <c r="N271" s="45" t="str">
        <f>_xll.BDP(D271&amp;" Equity","DS004")</f>
        <v>USD</v>
      </c>
      <c r="O271" s="111">
        <f>_xll.BDP(D271&amp;" Equity", "FUND_EXPENSE_RATIO")</f>
        <v>0.65</v>
      </c>
      <c r="P271" s="45">
        <f>_xll.BDP(D271&amp;" Equity","PX_LAST")</f>
        <v>91.3</v>
      </c>
      <c r="Q271" s="112">
        <f t="shared" si="154"/>
        <v>0.1149166318806434</v>
      </c>
      <c r="R271" s="112">
        <f t="shared" si="155"/>
        <v>0.10901046158326431</v>
      </c>
      <c r="S271" s="180"/>
      <c r="T271" s="180"/>
      <c r="U271" s="180"/>
      <c r="V271" s="180"/>
      <c r="W271" s="180"/>
      <c r="X271" s="180"/>
      <c r="AB271" s="1" cm="1">
        <f t="array" ref="AB271">IF(N271="USD",1,_xll.BDP(N271&amp;"USD CURNCY","PX_LAST"))</f>
        <v>1</v>
      </c>
      <c r="AC271" s="80">
        <v>241411.76400318299</v>
      </c>
      <c r="AD271" s="81">
        <f t="shared" ref="AD271:AD273" si="157">AC271*P271*AB271</f>
        <v>22040894.053490605</v>
      </c>
    </row>
    <row r="272" spans="1:30" x14ac:dyDescent="0.2">
      <c r="A272" s="3"/>
      <c r="C272" s="86" t="str" cm="1">
        <f t="array" ref="C272">_xll.BDP(D272&amp;" Equity","DS520")</f>
        <v>iShares MSCI Taiwan UCITS ETF</v>
      </c>
      <c r="D272" s="183" t="s">
        <v>1147</v>
      </c>
      <c r="E272" s="34"/>
      <c r="F272" s="34"/>
      <c r="G272" s="34"/>
      <c r="H272" s="45" t="str" cm="1">
        <f t="array" ref="H272">_xll.BDP(D272&amp;" Equity", "ID_ISIN")</f>
        <v>IE00B0M63623</v>
      </c>
      <c r="I272" s="34"/>
      <c r="J272" s="34" t="str" cm="1">
        <f t="array" ref="J272">_xll.BDP(D272&amp;" Equity","FD121")</f>
        <v>Equity</v>
      </c>
      <c r="K272" s="111"/>
      <c r="L272" s="111"/>
      <c r="M272" s="34" t="str">
        <f>_xll.BDP(D272&amp;" Equity", "DS197")</f>
        <v>London</v>
      </c>
      <c r="N272" s="45" t="str">
        <f>_xll.BDP(D272&amp;" Equity","DS004")</f>
        <v>USD</v>
      </c>
      <c r="O272" s="111">
        <f>_xll.BDP(D272&amp;" Equity", "FUND_EXPENSE_RATIO")</f>
        <v>0.74</v>
      </c>
      <c r="P272" s="45">
        <f>_xll.BDP(D272&amp;" Equity","PX_LAST")</f>
        <v>133.47</v>
      </c>
      <c r="Q272" s="112">
        <f t="shared" si="154"/>
        <v>9.0125765336847422E-2</v>
      </c>
      <c r="R272" s="112">
        <f t="shared" si="155"/>
        <v>8.5493728097765176E-2</v>
      </c>
      <c r="S272" s="180"/>
      <c r="T272" s="180"/>
      <c r="U272" s="180"/>
      <c r="V272" s="180"/>
      <c r="W272" s="180"/>
      <c r="X272" s="180"/>
      <c r="AB272" s="1" cm="1">
        <f t="array" ref="AB272">IF(N272="USD",1,_xll.BDP(N272&amp;"USD CURNCY","PX_LAST"))</f>
        <v>1</v>
      </c>
      <c r="AC272" s="80">
        <v>129512.481173971</v>
      </c>
      <c r="AD272" s="81">
        <f t="shared" si="157"/>
        <v>17286030.862289909</v>
      </c>
    </row>
    <row r="273" spans="1:30" x14ac:dyDescent="0.2">
      <c r="A273" s="3"/>
      <c r="C273" s="86" t="str" cm="1">
        <f t="array" ref="C273">_xll.BDP(D273&amp;" Equity","DS520")</f>
        <v>State Street SPDR Straits Times Index ETF</v>
      </c>
      <c r="D273" s="183" t="s">
        <v>1148</v>
      </c>
      <c r="E273" s="34"/>
      <c r="F273" s="34"/>
      <c r="G273" s="34"/>
      <c r="H273" s="45" t="str" cm="1">
        <f t="array" ref="H273">_xll.BDP(D273&amp;" Equity", "ID_ISIN")</f>
        <v>SG1W45939194</v>
      </c>
      <c r="I273" s="34"/>
      <c r="J273" s="34" t="str" cm="1">
        <f t="array" ref="J273">_xll.BDP(D273&amp;" Equity","FD121")</f>
        <v>Equity</v>
      </c>
      <c r="K273" s="111"/>
      <c r="L273" s="111"/>
      <c r="M273" s="34" t="str">
        <f>_xll.BDP(D273&amp;" Equity", "DS197")</f>
        <v>Singapore</v>
      </c>
      <c r="N273" s="45" t="str">
        <f>_xll.BDP(D273&amp;" Equity","DS004")</f>
        <v>SGD</v>
      </c>
      <c r="O273" s="111">
        <f>_xll.BDP(D273&amp;" Equity", "FUND_EXPENSE_RATIO")</f>
        <v>0.28000000000000003</v>
      </c>
      <c r="P273" s="45">
        <f>_xll.BDP(D273&amp;" Equity","PX_LAST")</f>
        <v>4.8630000000000004</v>
      </c>
      <c r="Q273" s="112">
        <f t="shared" si="154"/>
        <v>6.5852022564406698E-2</v>
      </c>
      <c r="R273" s="112">
        <f t="shared" si="155"/>
        <v>6.2467540672384345E-2</v>
      </c>
      <c r="S273" s="180"/>
      <c r="T273" s="180"/>
      <c r="U273" s="180"/>
      <c r="V273" s="180"/>
      <c r="W273" s="180"/>
      <c r="X273" s="180"/>
      <c r="AB273" s="1" cm="1">
        <f t="array" ref="AB273">IF(N273="USD",1,_xll.BDP(N273&amp;"USD CURNCY","PX_LAST"))</f>
        <v>0.7823</v>
      </c>
      <c r="AC273" s="80">
        <v>3319998.1128585399</v>
      </c>
      <c r="AD273" s="81">
        <f t="shared" si="157"/>
        <v>12630351.488700755</v>
      </c>
    </row>
    <row r="274" spans="1:30" x14ac:dyDescent="0.2">
      <c r="A274" s="3"/>
      <c r="C274" s="86" t="str" cm="1">
        <f t="array" ref="C274">_xll.BDP(D274&amp;" Equity","DS520")</f>
        <v>Vanguard Australian Shares Index ETF</v>
      </c>
      <c r="D274" s="183" t="s">
        <v>1149</v>
      </c>
      <c r="E274" s="34"/>
      <c r="F274" s="34"/>
      <c r="G274" s="34"/>
      <c r="H274" s="45" t="str" cm="1">
        <f t="array" ref="H274">_xll.BDP(D274&amp;" Equity", "ID_ISIN")</f>
        <v>AU000000VAS1</v>
      </c>
      <c r="I274" s="34"/>
      <c r="J274" s="34" t="str" cm="1">
        <f t="array" ref="J274">_xll.BDP(D274&amp;" Equity","FD121")</f>
        <v>Equity</v>
      </c>
      <c r="K274" s="111"/>
      <c r="L274" s="111"/>
      <c r="M274" s="34" t="str">
        <f>_xll.BDP(D274&amp;" Equity", "DS197")</f>
        <v>ASE</v>
      </c>
      <c r="N274" s="45" t="str">
        <f>_xll.BDP(D274&amp;" Equity","DS004")</f>
        <v>AUD</v>
      </c>
      <c r="O274" s="111">
        <f>_xll.BDP(D274&amp;" Equity", "FUND_EXPENSE_RATIO")</f>
        <v>7.0000000000000007E-2</v>
      </c>
      <c r="P274" s="45">
        <f>_xll.BDP(D274&amp;" Equity","PX_LAST")</f>
        <v>110.44</v>
      </c>
      <c r="Q274" s="112">
        <f t="shared" si="154"/>
        <v>6.7280297648763726E-2</v>
      </c>
      <c r="R274" s="112">
        <f t="shared" si="155"/>
        <v>6.3822409185893755E-2</v>
      </c>
      <c r="S274" s="180"/>
      <c r="T274" s="180"/>
      <c r="U274" s="180"/>
      <c r="V274" s="180"/>
      <c r="W274" s="180"/>
      <c r="X274" s="180"/>
      <c r="AB274" s="1" cm="1">
        <f t="array" ref="AB274">IF(N274="USD",1,_xll.BDP(N274&amp;"USD CURNCY","PX_LAST"))</f>
        <v>0.70340000000000003</v>
      </c>
      <c r="AC274" s="80">
        <v>166113.70333887899</v>
      </c>
      <c r="AD274" s="81">
        <f t="shared" si="156"/>
        <v>12904293.208870992</v>
      </c>
    </row>
    <row r="275" spans="1:30" x14ac:dyDescent="0.2">
      <c r="C275" s="86" t="str" cm="1">
        <f t="array" ref="C275">_xll.BDP(D275&amp;" Equity","DS520")</f>
        <v>Franklin FTSE India UCITS ETF</v>
      </c>
      <c r="D275" s="183" t="s">
        <v>1150</v>
      </c>
      <c r="E275" s="34"/>
      <c r="F275" s="34"/>
      <c r="G275" s="34"/>
      <c r="H275" s="45" t="str" cm="1">
        <f t="array" ref="H275">_xll.BDP(D275&amp;" Equity", "ID_ISIN")</f>
        <v>IE00BHZRQZ17</v>
      </c>
      <c r="I275" s="34"/>
      <c r="J275" s="34" t="str" cm="1">
        <f t="array" ref="J275">_xll.BDP(D275&amp;" Equity","FD121")</f>
        <v>Equity</v>
      </c>
      <c r="K275" s="111"/>
      <c r="L275" s="111"/>
      <c r="M275" s="34" t="str">
        <f>_xll.BDP(D275&amp;" Equity", "DS197")</f>
        <v>London</v>
      </c>
      <c r="N275" s="45" t="str">
        <f>_xll.BDP(D275&amp;" Equity","DS004")</f>
        <v>USD</v>
      </c>
      <c r="O275" s="111">
        <f>_xll.BDP(D275&amp;" Equity", "FUND_EXPENSE_RATIO")</f>
        <v>0.19</v>
      </c>
      <c r="P275" s="45">
        <f>_xll.BDP(D275&amp;" Equity","PX_LAST")</f>
        <v>41.607999999999997</v>
      </c>
      <c r="Q275" s="112">
        <f t="shared" si="154"/>
        <v>5.3983281280690069E-2</v>
      </c>
      <c r="R275" s="112">
        <f t="shared" si="155"/>
        <v>5.1208796445577388E-2</v>
      </c>
      <c r="S275" s="180"/>
      <c r="T275" s="180"/>
      <c r="U275" s="180"/>
      <c r="V275" s="180"/>
      <c r="W275" s="180"/>
      <c r="X275" s="180"/>
      <c r="AB275" s="1" cm="1">
        <f t="array" ref="AB275">IF(N275="USD",1,_xll.BDP(N275&amp;"USD CURNCY","PX_LAST"))</f>
        <v>1</v>
      </c>
      <c r="AC275" s="80">
        <v>248844.90686996901</v>
      </c>
      <c r="AD275" s="81">
        <f t="shared" si="156"/>
        <v>10353938.88504567</v>
      </c>
    </row>
    <row r="276" spans="1:30" x14ac:dyDescent="0.2">
      <c r="A276" s="3"/>
      <c r="B276" s="3"/>
      <c r="C276" s="86" t="str" cm="1">
        <f t="array" ref="C276">_xll.BDP(D276&amp;" Curncy","DS520")</f>
        <v>USDUSD Spot Exchange Rate - Price of 1 USD in USD</v>
      </c>
      <c r="D276" s="183" t="s">
        <v>34</v>
      </c>
      <c r="E276" s="34"/>
      <c r="F276" s="34"/>
      <c r="G276" s="34"/>
      <c r="H276" s="34"/>
      <c r="I276" s="34"/>
      <c r="J276" s="157" t="s">
        <v>80</v>
      </c>
      <c r="K276" s="111"/>
      <c r="L276" s="111"/>
      <c r="M276" s="34"/>
      <c r="N276" s="45" t="str">
        <f>_xll.BDP(D276&amp;" CURNCY","DS004")</f>
        <v>USD</v>
      </c>
      <c r="O276" s="34"/>
      <c r="P276" s="45">
        <v>1</v>
      </c>
      <c r="Q276" s="112">
        <f t="shared" si="154"/>
        <v>3.536498171706909E-3</v>
      </c>
      <c r="R276" s="112">
        <f>R284</f>
        <v>5.475E-2</v>
      </c>
      <c r="S276" s="180"/>
      <c r="T276" s="180"/>
      <c r="U276" s="180"/>
      <c r="V276" s="180"/>
      <c r="W276" s="180"/>
      <c r="X276" s="180"/>
      <c r="AB276" s="1" cm="1">
        <f t="array" ref="AB276">IF(N276="USD",1,_xll.BDP(N276&amp;"USD CURNCY","PX_LAST"))</f>
        <v>1</v>
      </c>
      <c r="AC276" s="80">
        <v>678296.78130415804</v>
      </c>
      <c r="AD276" s="81">
        <f t="shared" si="156"/>
        <v>678296.78130415804</v>
      </c>
    </row>
    <row r="277" spans="1:30" x14ac:dyDescent="0.2">
      <c r="C277" s="86"/>
      <c r="D277" s="156"/>
      <c r="E277" s="34"/>
      <c r="F277" s="34"/>
      <c r="G277" s="34"/>
      <c r="H277" s="34"/>
      <c r="I277" s="34"/>
      <c r="J277" s="111"/>
      <c r="K277" s="111"/>
      <c r="L277" s="111"/>
      <c r="M277" s="34"/>
      <c r="N277" s="45"/>
      <c r="O277" s="34"/>
      <c r="P277" s="34"/>
      <c r="Q277" s="112"/>
      <c r="R277" s="112"/>
      <c r="S277" s="180"/>
      <c r="T277" s="180"/>
      <c r="U277" s="180"/>
      <c r="V277" s="180"/>
      <c r="W277" s="180"/>
      <c r="X277" s="180"/>
      <c r="AC277" s="40"/>
      <c r="AD277" s="82">
        <f>SUM(AD268:AD276)</f>
        <v>191798991.08410245</v>
      </c>
    </row>
    <row r="278" spans="1:30" x14ac:dyDescent="0.2">
      <c r="C278" s="119"/>
      <c r="D278" s="122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121" t="s">
        <v>81</v>
      </c>
      <c r="Q278" s="107">
        <f>SUM(Q268:Q276)</f>
        <v>1</v>
      </c>
      <c r="R278" s="107"/>
      <c r="S278" s="162"/>
      <c r="T278" s="162"/>
      <c r="U278" s="162"/>
      <c r="V278" s="162"/>
      <c r="W278" s="162"/>
      <c r="X278" s="162"/>
      <c r="Y278" s="81"/>
    </row>
    <row r="279" spans="1:30" ht="15" thickBot="1" x14ac:dyDescent="0.25"/>
    <row r="280" spans="1:30" x14ac:dyDescent="0.2">
      <c r="Q280" s="129" t="s">
        <v>86</v>
      </c>
      <c r="R280" s="130">
        <v>100000</v>
      </c>
      <c r="T280" s="131"/>
      <c r="V280" s="131"/>
      <c r="X280" s="131"/>
    </row>
    <row r="281" spans="1:30" x14ac:dyDescent="0.2">
      <c r="Q281" s="132" t="s">
        <v>85</v>
      </c>
      <c r="R281" s="133">
        <v>5000</v>
      </c>
      <c r="T281" s="131"/>
      <c r="V281" s="131"/>
      <c r="X281" s="131"/>
    </row>
    <row r="282" spans="1:30" x14ac:dyDescent="0.2">
      <c r="Q282" s="132" t="s">
        <v>88</v>
      </c>
      <c r="R282" s="134">
        <f>(R280-R281)*0.5%</f>
        <v>475</v>
      </c>
      <c r="T282" s="135"/>
      <c r="V282" s="135"/>
      <c r="X282" s="135"/>
    </row>
    <row r="283" spans="1:30" x14ac:dyDescent="0.2">
      <c r="Q283" s="132" t="s">
        <v>87</v>
      </c>
      <c r="R283" s="134">
        <f>R281+R282</f>
        <v>5475</v>
      </c>
      <c r="T283" s="135"/>
      <c r="V283" s="135"/>
      <c r="X283" s="135"/>
    </row>
    <row r="284" spans="1:30" ht="15" thickBot="1" x14ac:dyDescent="0.25">
      <c r="Q284" s="136" t="s">
        <v>89</v>
      </c>
      <c r="R284" s="137">
        <f>R283/R280</f>
        <v>5.475E-2</v>
      </c>
      <c r="T284" s="138"/>
      <c r="V284" s="138"/>
      <c r="X284" s="138"/>
    </row>
    <row r="286" spans="1:30" x14ac:dyDescent="0.2">
      <c r="A286" s="76" t="s">
        <v>0</v>
      </c>
      <c r="C286" s="95" t="s">
        <v>1151</v>
      </c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176"/>
      <c r="T286" s="176"/>
      <c r="W286" s="177"/>
      <c r="X286" s="178"/>
      <c r="Y286" s="40"/>
    </row>
    <row r="287" spans="1:30" x14ac:dyDescent="0.2">
      <c r="A287" s="154" t="s">
        <v>1143</v>
      </c>
      <c r="C287" s="97" t="s">
        <v>5</v>
      </c>
      <c r="D287" s="98" t="s">
        <v>91</v>
      </c>
      <c r="E287" s="98" t="s">
        <v>533</v>
      </c>
      <c r="F287" s="98" t="s">
        <v>534</v>
      </c>
      <c r="G287" s="98" t="s">
        <v>535</v>
      </c>
      <c r="H287" s="98" t="s">
        <v>1426</v>
      </c>
      <c r="I287" s="98"/>
      <c r="J287" s="98" t="s">
        <v>434</v>
      </c>
      <c r="K287" s="98" t="s">
        <v>435</v>
      </c>
      <c r="L287" s="98"/>
      <c r="M287" s="98" t="s">
        <v>9</v>
      </c>
      <c r="N287" s="98" t="s">
        <v>13</v>
      </c>
      <c r="O287" s="98" t="s">
        <v>437</v>
      </c>
      <c r="P287" s="98" t="s">
        <v>14</v>
      </c>
      <c r="Q287" s="99" t="s">
        <v>438</v>
      </c>
      <c r="R287" s="99" t="s">
        <v>536</v>
      </c>
      <c r="S287" s="179"/>
      <c r="T287" s="179"/>
      <c r="U287" s="179"/>
      <c r="V287" s="179"/>
      <c r="W287" s="179"/>
      <c r="X287" s="179"/>
      <c r="AC287" s="185" t="s">
        <v>438</v>
      </c>
      <c r="AD287" s="185"/>
    </row>
    <row r="288" spans="1:30" x14ac:dyDescent="0.2">
      <c r="C288" s="106" t="s">
        <v>16</v>
      </c>
      <c r="D288" s="45"/>
      <c r="E288" s="34"/>
      <c r="F288" s="34"/>
      <c r="G288" s="34"/>
      <c r="H288" s="34"/>
      <c r="I288" s="34"/>
      <c r="J288" s="34"/>
      <c r="K288" s="34"/>
      <c r="L288" s="155"/>
      <c r="M288" s="34"/>
      <c r="N288" s="34"/>
      <c r="O288" s="34"/>
      <c r="P288" s="34"/>
      <c r="Q288" s="107"/>
      <c r="R288" s="107"/>
      <c r="S288" s="162"/>
      <c r="T288" s="162"/>
      <c r="U288" s="162"/>
      <c r="V288" s="162"/>
      <c r="W288" s="162"/>
      <c r="X288" s="162"/>
      <c r="AB288" s="13" t="s">
        <v>17</v>
      </c>
      <c r="AC288" s="78" t="s">
        <v>18</v>
      </c>
      <c r="AD288" s="79" t="s">
        <v>19</v>
      </c>
    </row>
    <row r="289" spans="1:30" x14ac:dyDescent="0.2">
      <c r="A289" s="3"/>
      <c r="C289" s="86" t="str" cm="1">
        <f t="array" ref="C289">_xll.BDP(D289&amp;" Equity","DS520")</f>
        <v>JPMorgan BetaBuilders Japan ETF</v>
      </c>
      <c r="D289" s="183" t="s">
        <v>1152</v>
      </c>
      <c r="E289" s="34"/>
      <c r="F289" s="34"/>
      <c r="G289" s="34"/>
      <c r="H289" s="45" t="str" cm="1">
        <f t="array" ref="H289">_xll.BDP(D289&amp;" Equity", "ID_ISIN")</f>
        <v>US46641Q2176</v>
      </c>
      <c r="I289" s="34"/>
      <c r="J289" s="34" t="str" cm="1">
        <f t="array" ref="J289">_xll.BDP(D289&amp;" Equity","FD121")</f>
        <v>Equity</v>
      </c>
      <c r="K289" s="111"/>
      <c r="L289" s="111"/>
      <c r="M289" s="34" t="str">
        <f>_xll.BDP(D289&amp;" Equity", "DS197")</f>
        <v>Cboe BZX</v>
      </c>
      <c r="N289" s="45" t="str">
        <f>_xll.BDP(D289&amp;" Equity","DS004")</f>
        <v>USD</v>
      </c>
      <c r="O289" s="111">
        <f>_xll.BDP(D289&amp;" Equity", "FUND_EXPENSE_RATIO")</f>
        <v>0.19</v>
      </c>
      <c r="P289" s="45">
        <f>_xll.BDP(D289&amp;" Equity","PX_LAST")</f>
        <v>70.12</v>
      </c>
      <c r="Q289" s="112">
        <f>AD289/$AD$297</f>
        <v>0.33528371480692737</v>
      </c>
      <c r="R289" s="112">
        <f>Q289*(1-$R$304)/(1-$Q$296)</f>
        <v>0.31808140588947431</v>
      </c>
      <c r="S289" s="180"/>
      <c r="T289" s="180"/>
      <c r="U289" s="180"/>
      <c r="V289" s="180"/>
      <c r="W289" s="180"/>
      <c r="X289" s="180"/>
      <c r="AB289" s="1" cm="1">
        <f t="array" ref="AB289">IF(N289="USD",1,_xll.BDP(N289&amp;"USD CURNCY","PX_LAST"))</f>
        <v>1</v>
      </c>
      <c r="AC289" s="80">
        <v>691798.91779272503</v>
      </c>
      <c r="AD289" s="81">
        <f>AC289*P289*AB289</f>
        <v>48508940.115625881</v>
      </c>
    </row>
    <row r="290" spans="1:30" x14ac:dyDescent="0.2">
      <c r="A290" s="3"/>
      <c r="C290" s="86" t="str" cm="1">
        <f t="array" ref="C290">_xll.BDP(D290&amp;" Equity","DS520")</f>
        <v>Franklin FTSE China ETF</v>
      </c>
      <c r="D290" s="183" t="s">
        <v>473</v>
      </c>
      <c r="E290" s="34"/>
      <c r="F290" s="34"/>
      <c r="G290" s="34"/>
      <c r="H290" s="45" t="str" cm="1">
        <f t="array" ref="H290">_xll.BDP(D290&amp;" Equity", "ID_ISIN")</f>
        <v>US35473P8196</v>
      </c>
      <c r="I290" s="34"/>
      <c r="J290" s="34" t="str" cm="1">
        <f t="array" ref="J290">_xll.BDP(D290&amp;" Equity","FD121")</f>
        <v>Equity</v>
      </c>
      <c r="K290" s="111"/>
      <c r="L290" s="111"/>
      <c r="M290" s="34" t="str">
        <f>_xll.BDP(D290&amp;" Equity", "DS197")</f>
        <v>NYSE Arca</v>
      </c>
      <c r="N290" s="45" t="str">
        <f>_xll.BDP(D290&amp;" Equity","DS004")</f>
        <v>USD</v>
      </c>
      <c r="O290" s="111">
        <f>_xll.BDP(D290&amp;" Equity", "FUND_EXPENSE_RATIO")</f>
        <v>0.19</v>
      </c>
      <c r="P290" s="45">
        <f>_xll.BDP(D290&amp;" Equity","PX_LAST")</f>
        <v>22.59</v>
      </c>
      <c r="Q290" s="112">
        <f t="shared" ref="Q290:Q296" si="158">AD290/$AD$297</f>
        <v>0.25907516358430055</v>
      </c>
      <c r="R290" s="112">
        <f t="shared" ref="R290:R295" si="159">Q290*(1-$R$304)/(1-$Q$296)</f>
        <v>0.24578286574817332</v>
      </c>
      <c r="S290" s="180"/>
      <c r="T290" s="180"/>
      <c r="U290" s="180"/>
      <c r="V290" s="180"/>
      <c r="W290" s="180"/>
      <c r="X290" s="180"/>
      <c r="AB290" s="1" cm="1">
        <f t="array" ref="AB290">IF(N290="USD",1,_xll.BDP(N290&amp;"USD CURNCY","PX_LAST"))</f>
        <v>1</v>
      </c>
      <c r="AC290" s="80">
        <v>1659276.9347071201</v>
      </c>
      <c r="AD290" s="81">
        <f t="shared" ref="AD290:AD296" si="160">AC290*P290*AB290</f>
        <v>37483065.955033839</v>
      </c>
    </row>
    <row r="291" spans="1:30" x14ac:dyDescent="0.2">
      <c r="A291" s="3"/>
      <c r="C291" s="86" t="str" cm="1">
        <f t="array" ref="C291">_xll.BDP(D291&amp;" Equity","DS520")</f>
        <v>Franklin FTSE South Korea ETF</v>
      </c>
      <c r="D291" s="183" t="s">
        <v>1153</v>
      </c>
      <c r="E291" s="34"/>
      <c r="F291" s="34"/>
      <c r="G291" s="34"/>
      <c r="H291" s="45" t="str" cm="1">
        <f t="array" ref="H291">_xll.BDP(D291&amp;" Equity", "ID_ISIN")</f>
        <v>US35473P7107</v>
      </c>
      <c r="I291" s="34"/>
      <c r="J291" s="34" t="str" cm="1">
        <f t="array" ref="J291">_xll.BDP(D291&amp;" Equity","FD121")</f>
        <v>Equity</v>
      </c>
      <c r="K291" s="111"/>
      <c r="L291" s="111"/>
      <c r="M291" s="34" t="str">
        <f>_xll.BDP(D291&amp;" Equity", "DS197")</f>
        <v>NYSE Arca</v>
      </c>
      <c r="N291" s="45" t="str">
        <f>_xll.BDP(D291&amp;" Equity","DS004")</f>
        <v>USD</v>
      </c>
      <c r="O291" s="111">
        <f>_xll.BDP(D291&amp;" Equity", "FUND_EXPENSE_RATIO")</f>
        <v>0.09</v>
      </c>
      <c r="P291" s="45">
        <f>_xll.BDP(D291&amp;" Equity","PX_LAST")</f>
        <v>40.76</v>
      </c>
      <c r="Q291" s="112">
        <f t="shared" si="158"/>
        <v>0.11585252269731675</v>
      </c>
      <c r="R291" s="112">
        <f t="shared" si="159"/>
        <v>0.10990850932508031</v>
      </c>
      <c r="S291" s="180"/>
      <c r="T291" s="180"/>
      <c r="U291" s="180"/>
      <c r="V291" s="180"/>
      <c r="W291" s="180"/>
      <c r="X291" s="180"/>
      <c r="AB291" s="1" cm="1">
        <f t="array" ref="AB291">IF(N291="USD",1,_xll.BDP(N291&amp;"USD CURNCY","PX_LAST"))</f>
        <v>1</v>
      </c>
      <c r="AC291" s="80">
        <v>411226.07610567397</v>
      </c>
      <c r="AD291" s="81">
        <f t="shared" si="160"/>
        <v>16761574.862067271</v>
      </c>
    </row>
    <row r="292" spans="1:30" x14ac:dyDescent="0.2">
      <c r="A292" s="3"/>
      <c r="C292" s="86" t="str" cm="1">
        <f t="array" ref="C292">_xll.BDP(D292&amp;" Equity","DS520")</f>
        <v>Franklin FTSE Taiwan ETF</v>
      </c>
      <c r="D292" s="183" t="s">
        <v>1154</v>
      </c>
      <c r="E292" s="34"/>
      <c r="F292" s="34"/>
      <c r="G292" s="34"/>
      <c r="H292" s="45" t="str" cm="1">
        <f t="array" ref="H292">_xll.BDP(D292&amp;" Equity", "ID_ISIN")</f>
        <v>US35473P6869</v>
      </c>
      <c r="I292" s="34"/>
      <c r="J292" s="34" t="str" cm="1">
        <f t="array" ref="J292">_xll.BDP(D292&amp;" Equity","FD121")</f>
        <v>Equity</v>
      </c>
      <c r="K292" s="111"/>
      <c r="L292" s="111"/>
      <c r="M292" s="34" t="str">
        <f>_xll.BDP(D292&amp;" Equity", "DS197")</f>
        <v>NYSE Arca</v>
      </c>
      <c r="N292" s="45" t="str">
        <f>_xll.BDP(D292&amp;" Equity","DS004")</f>
        <v>USD</v>
      </c>
      <c r="O292" s="111">
        <f>_xll.BDP(D292&amp;" Equity", "FUND_EXPENSE_RATIO")</f>
        <v>0.19</v>
      </c>
      <c r="P292" s="45">
        <f>_xll.BDP(D292&amp;" Equity","PX_LAST")</f>
        <v>68.55</v>
      </c>
      <c r="Q292" s="112">
        <f t="shared" si="158"/>
        <v>9.1173556243389298E-2</v>
      </c>
      <c r="R292" s="112">
        <f t="shared" si="159"/>
        <v>8.6495739784260881E-2</v>
      </c>
      <c r="S292" s="180"/>
      <c r="T292" s="180"/>
      <c r="U292" s="180"/>
      <c r="V292" s="180"/>
      <c r="W292" s="180"/>
      <c r="X292" s="180"/>
      <c r="AB292" s="1" cm="1">
        <f t="array" ref="AB292">IF(N292="USD",1,_xll.BDP(N292&amp;"USD CURNCY","PX_LAST"))</f>
        <v>1</v>
      </c>
      <c r="AC292" s="80">
        <v>192429.10583220501</v>
      </c>
      <c r="AD292" s="81">
        <f t="shared" si="160"/>
        <v>13191015.204797653</v>
      </c>
    </row>
    <row r="293" spans="1:30" x14ac:dyDescent="0.2">
      <c r="A293" s="3"/>
      <c r="C293" s="86" t="str" cm="1">
        <f t="array" ref="C293">_xll.BDP(D293&amp;" Equity","DS520")</f>
        <v>Global X FTSE Southeast Asia ETF</v>
      </c>
      <c r="D293" s="183" t="s">
        <v>1155</v>
      </c>
      <c r="E293" s="34"/>
      <c r="F293" s="34"/>
      <c r="G293" s="34"/>
      <c r="H293" s="45" t="str" cm="1">
        <f t="array" ref="H293">_xll.BDP(D293&amp;" Equity", "ID_ISIN")</f>
        <v>US37950E6480</v>
      </c>
      <c r="I293" s="34"/>
      <c r="J293" s="34" t="str" cm="1">
        <f t="array" ref="J293">_xll.BDP(D293&amp;" Equity","FD121")</f>
        <v>Equity</v>
      </c>
      <c r="K293" s="111"/>
      <c r="L293" s="111"/>
      <c r="M293" s="34" t="str">
        <f>_xll.BDP(D293&amp;" Equity", "DS197")</f>
        <v>NYSE Arca</v>
      </c>
      <c r="N293" s="45" t="str">
        <f>_xll.BDP(D293&amp;" Equity","DS004")</f>
        <v>USD</v>
      </c>
      <c r="O293" s="111">
        <f>_xll.BDP(D293&amp;" Equity", "FUND_EXPENSE_RATIO")</f>
        <v>0.65</v>
      </c>
      <c r="P293" s="45">
        <f>_xll.BDP(D293&amp;" Equity","PX_LAST")</f>
        <v>19.25</v>
      </c>
      <c r="Q293" s="112">
        <f t="shared" si="158"/>
        <v>7.0758408985425431E-2</v>
      </c>
      <c r="R293" s="112">
        <f t="shared" si="159"/>
        <v>6.7128026846001498E-2</v>
      </c>
      <c r="S293" s="180"/>
      <c r="T293" s="180"/>
      <c r="U293" s="180"/>
      <c r="V293" s="180"/>
      <c r="W293" s="180"/>
      <c r="X293" s="180"/>
      <c r="AB293" s="1" cm="1">
        <f t="array" ref="AB293">IF(N293="USD",1,_xll.BDP(N293&amp;"USD CURNCY","PX_LAST"))</f>
        <v>1</v>
      </c>
      <c r="AC293" s="80">
        <v>531810.18608006998</v>
      </c>
      <c r="AD293" s="81">
        <f t="shared" si="160"/>
        <v>10237346.082041347</v>
      </c>
    </row>
    <row r="294" spans="1:30" x14ac:dyDescent="0.2">
      <c r="A294" s="3"/>
      <c r="C294" s="86" t="str" cm="1">
        <f t="array" ref="C294">_xll.BDP(D294&amp;" Equity","DS520")</f>
        <v>Franklin FTSE Australia ETF</v>
      </c>
      <c r="D294" s="183" t="s">
        <v>1156</v>
      </c>
      <c r="E294" s="34"/>
      <c r="F294" s="34"/>
      <c r="G294" s="34"/>
      <c r="H294" s="45" t="str" cm="1">
        <f t="array" ref="H294">_xll.BDP(D294&amp;" Equity", "ID_ISIN")</f>
        <v>US35473P8436</v>
      </c>
      <c r="I294" s="34"/>
      <c r="J294" s="34" t="str" cm="1">
        <f t="array" ref="J294">_xll.BDP(D294&amp;" Equity","FD121")</f>
        <v>Equity</v>
      </c>
      <c r="K294" s="111"/>
      <c r="L294" s="111"/>
      <c r="M294" s="34" t="str">
        <f>_xll.BDP(D294&amp;" Equity", "DS197")</f>
        <v>NYSE Arca</v>
      </c>
      <c r="N294" s="45" t="str">
        <f>_xll.BDP(D294&amp;" Equity","DS004")</f>
        <v>USD</v>
      </c>
      <c r="O294" s="111">
        <f>_xll.BDP(D294&amp;" Equity", "FUND_EXPENSE_RATIO")</f>
        <v>0.09</v>
      </c>
      <c r="P294" s="45">
        <f>_xll.BDP(D294&amp;" Equity","PX_LAST")</f>
        <v>34.037999999999997</v>
      </c>
      <c r="Q294" s="112">
        <f t="shared" si="158"/>
        <v>6.8544022975657509E-2</v>
      </c>
      <c r="R294" s="112">
        <f t="shared" si="159"/>
        <v>6.5027253727406809E-2</v>
      </c>
      <c r="S294" s="180"/>
      <c r="T294" s="180"/>
      <c r="U294" s="180"/>
      <c r="V294" s="180"/>
      <c r="W294" s="180"/>
      <c r="X294" s="180"/>
      <c r="AB294" s="1" cm="1">
        <f t="array" ref="AB294">IF(N294="USD",1,_xll.BDP(N294&amp;"USD CURNCY","PX_LAST"))</f>
        <v>1</v>
      </c>
      <c r="AC294" s="80">
        <v>291349.90612941701</v>
      </c>
      <c r="AD294" s="81">
        <f t="shared" si="160"/>
        <v>9916968.1048330944</v>
      </c>
    </row>
    <row r="295" spans="1:30" x14ac:dyDescent="0.2">
      <c r="A295" s="3"/>
      <c r="C295" s="86" t="str" cm="1">
        <f t="array" ref="C295">_xll.BDP(D295&amp;" Equity","DS520")</f>
        <v>Franklin FTSE India ETF</v>
      </c>
      <c r="D295" s="183" t="s">
        <v>1157</v>
      </c>
      <c r="E295" s="34"/>
      <c r="F295" s="34"/>
      <c r="G295" s="34"/>
      <c r="H295" s="45" t="str" cm="1">
        <f t="array" ref="H295">_xll.BDP(D295&amp;" Equity", "ID_ISIN")</f>
        <v>US35473P7693</v>
      </c>
      <c r="I295" s="34"/>
      <c r="J295" s="34" t="str" cm="1">
        <f t="array" ref="J295">_xll.BDP(D295&amp;" Equity","FD121")</f>
        <v>Equity</v>
      </c>
      <c r="K295" s="111"/>
      <c r="L295" s="111"/>
      <c r="M295" s="34" t="str">
        <f>_xll.BDP(D295&amp;" Equity", "DS197")</f>
        <v>NYSE Arca</v>
      </c>
      <c r="N295" s="45" t="str">
        <f>_xll.BDP(D295&amp;" Equity","DS004")</f>
        <v>USD</v>
      </c>
      <c r="O295" s="111">
        <f>_xll.BDP(D295&amp;" Equity", "FUND_EXPENSE_RATIO")</f>
        <v>0.19</v>
      </c>
      <c r="P295" s="45">
        <f>_xll.BDP(D295&amp;" Equity","PX_LAST")</f>
        <v>35.9</v>
      </c>
      <c r="Q295" s="112">
        <f t="shared" si="158"/>
        <v>5.5683116977232168E-2</v>
      </c>
      <c r="R295" s="112">
        <f t="shared" si="159"/>
        <v>5.2826198679602906E-2</v>
      </c>
      <c r="S295" s="180"/>
      <c r="T295" s="180"/>
      <c r="U295" s="180"/>
      <c r="V295" s="180"/>
      <c r="W295" s="180"/>
      <c r="X295" s="180"/>
      <c r="AB295" s="1" cm="1">
        <f t="array" ref="AB295">IF(N295="USD",1,_xll.BDP(N295&amp;"USD CURNCY","PX_LAST"))</f>
        <v>1</v>
      </c>
      <c r="AC295" s="80">
        <v>224408.04139686501</v>
      </c>
      <c r="AD295" s="81">
        <f t="shared" si="160"/>
        <v>8056248.6861474533</v>
      </c>
    </row>
    <row r="296" spans="1:30" x14ac:dyDescent="0.2">
      <c r="A296" s="3"/>
      <c r="B296" s="3"/>
      <c r="C296" s="86" t="str" cm="1">
        <f t="array" ref="C296">_xll.BDP(D296&amp;" Curncy","DS520")</f>
        <v>USDUSD Spot Exchange Rate - Price of 1 USD in USD</v>
      </c>
      <c r="D296" s="183" t="s">
        <v>34</v>
      </c>
      <c r="E296" s="34"/>
      <c r="F296" s="34"/>
      <c r="G296" s="34"/>
      <c r="H296" s="45"/>
      <c r="I296" s="34"/>
      <c r="J296" s="157" t="s">
        <v>80</v>
      </c>
      <c r="K296" s="111"/>
      <c r="L296" s="111"/>
      <c r="M296" s="34"/>
      <c r="N296" s="45" t="str">
        <f>_xll.BDP(D296&amp;" CURNCY","DS004")</f>
        <v>USD</v>
      </c>
      <c r="O296" s="34"/>
      <c r="P296" s="45">
        <v>1</v>
      </c>
      <c r="Q296" s="112">
        <f t="shared" si="158"/>
        <v>3.629493729750969E-3</v>
      </c>
      <c r="R296" s="112">
        <f>R304</f>
        <v>5.475E-2</v>
      </c>
      <c r="S296" s="180"/>
      <c r="T296" s="180"/>
      <c r="U296" s="180"/>
      <c r="V296" s="180"/>
      <c r="W296" s="180"/>
      <c r="X296" s="180"/>
      <c r="AB296" s="1" cm="1">
        <f t="array" ref="AB296">IF(N296="USD",1,_xll.BDP(N296&amp;"USD CURNCY","PX_LAST"))</f>
        <v>1</v>
      </c>
      <c r="AC296" s="80">
        <v>525116.15151936305</v>
      </c>
      <c r="AD296" s="81">
        <f t="shared" si="160"/>
        <v>525116.15151936305</v>
      </c>
    </row>
    <row r="297" spans="1:30" x14ac:dyDescent="0.2">
      <c r="C297" s="86"/>
      <c r="D297" s="156"/>
      <c r="E297" s="34"/>
      <c r="F297" s="34"/>
      <c r="G297" s="34"/>
      <c r="H297" s="34"/>
      <c r="I297" s="34"/>
      <c r="J297" s="111"/>
      <c r="K297" s="111"/>
      <c r="L297" s="111"/>
      <c r="M297" s="34"/>
      <c r="N297" s="45"/>
      <c r="O297" s="34"/>
      <c r="P297" s="34"/>
      <c r="Q297" s="112"/>
      <c r="R297" s="112"/>
      <c r="S297" s="180"/>
      <c r="T297" s="180"/>
      <c r="U297" s="180"/>
      <c r="V297" s="180"/>
      <c r="W297" s="180"/>
      <c r="X297" s="180"/>
      <c r="AC297" s="40"/>
      <c r="AD297" s="82">
        <f>SUM(AD289:AD296)</f>
        <v>144680275.16206589</v>
      </c>
    </row>
    <row r="298" spans="1:30" x14ac:dyDescent="0.2">
      <c r="C298" s="119"/>
      <c r="D298" s="122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121" t="s">
        <v>81</v>
      </c>
      <c r="Q298" s="107">
        <f>SUM(Q289:Q296)</f>
        <v>1</v>
      </c>
      <c r="R298" s="107"/>
      <c r="S298" s="162"/>
      <c r="T298" s="162"/>
      <c r="U298" s="162"/>
      <c r="V298" s="162"/>
      <c r="W298" s="162"/>
      <c r="X298" s="162"/>
      <c r="Y298" s="81"/>
    </row>
    <row r="299" spans="1:30" ht="15" thickBot="1" x14ac:dyDescent="0.25"/>
    <row r="300" spans="1:30" x14ac:dyDescent="0.2">
      <c r="Q300" s="129" t="s">
        <v>86</v>
      </c>
      <c r="R300" s="130">
        <v>100000</v>
      </c>
      <c r="T300" s="131"/>
      <c r="V300" s="131"/>
      <c r="X300" s="131"/>
    </row>
    <row r="301" spans="1:30" x14ac:dyDescent="0.2">
      <c r="Q301" s="132" t="s">
        <v>85</v>
      </c>
      <c r="R301" s="133">
        <v>5000</v>
      </c>
      <c r="T301" s="131"/>
      <c r="V301" s="131"/>
      <c r="X301" s="131"/>
    </row>
    <row r="302" spans="1:30" x14ac:dyDescent="0.2">
      <c r="Q302" s="132" t="s">
        <v>88</v>
      </c>
      <c r="R302" s="134">
        <f>(R300-R301)*0.5%</f>
        <v>475</v>
      </c>
      <c r="T302" s="135"/>
      <c r="V302" s="135"/>
      <c r="X302" s="135"/>
    </row>
    <row r="303" spans="1:30" x14ac:dyDescent="0.2">
      <c r="Q303" s="132" t="s">
        <v>87</v>
      </c>
      <c r="R303" s="134">
        <f>R301+R302</f>
        <v>5475</v>
      </c>
      <c r="T303" s="135"/>
      <c r="V303" s="135"/>
      <c r="X303" s="135"/>
    </row>
    <row r="304" spans="1:30" ht="15" thickBot="1" x14ac:dyDescent="0.25">
      <c r="Q304" s="136" t="s">
        <v>89</v>
      </c>
      <c r="R304" s="137">
        <f>R303/R300</f>
        <v>5.475E-2</v>
      </c>
      <c r="T304" s="138"/>
      <c r="V304" s="138"/>
      <c r="X304" s="138"/>
    </row>
    <row r="306" spans="1:30" x14ac:dyDescent="0.2">
      <c r="A306" s="76" t="s">
        <v>0</v>
      </c>
      <c r="C306" s="95" t="s">
        <v>1158</v>
      </c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176"/>
      <c r="T306" s="176"/>
      <c r="W306" s="177"/>
      <c r="X306" s="178"/>
      <c r="Y306" s="40"/>
    </row>
    <row r="307" spans="1:30" x14ac:dyDescent="0.2">
      <c r="A307" s="154" t="s">
        <v>1159</v>
      </c>
      <c r="C307" s="97" t="s">
        <v>5</v>
      </c>
      <c r="D307" s="98" t="s">
        <v>91</v>
      </c>
      <c r="E307" s="98" t="s">
        <v>533</v>
      </c>
      <c r="F307" s="98" t="s">
        <v>534</v>
      </c>
      <c r="G307" s="98" t="s">
        <v>535</v>
      </c>
      <c r="H307" s="98" t="s">
        <v>1426</v>
      </c>
      <c r="I307" s="98"/>
      <c r="J307" s="98" t="s">
        <v>434</v>
      </c>
      <c r="K307" s="98" t="s">
        <v>435</v>
      </c>
      <c r="L307" s="98"/>
      <c r="M307" s="98" t="s">
        <v>9</v>
      </c>
      <c r="N307" s="98" t="s">
        <v>13</v>
      </c>
      <c r="O307" s="98" t="s">
        <v>437</v>
      </c>
      <c r="P307" s="98" t="s">
        <v>14</v>
      </c>
      <c r="Q307" s="99" t="s">
        <v>442</v>
      </c>
      <c r="R307" s="99" t="s">
        <v>536</v>
      </c>
      <c r="S307" s="179"/>
      <c r="T307" s="179"/>
      <c r="U307" s="179"/>
      <c r="V307" s="179"/>
      <c r="W307" s="179"/>
      <c r="X307" s="179"/>
      <c r="AC307" s="185" t="s">
        <v>442</v>
      </c>
      <c r="AD307" s="185"/>
    </row>
    <row r="308" spans="1:30" x14ac:dyDescent="0.2">
      <c r="C308" s="106" t="s">
        <v>1188</v>
      </c>
      <c r="D308" s="45"/>
      <c r="E308" s="34"/>
      <c r="F308" s="34"/>
      <c r="G308" s="34"/>
      <c r="H308" s="34"/>
      <c r="I308" s="34"/>
      <c r="J308" s="34"/>
      <c r="K308" s="34"/>
      <c r="L308" s="155"/>
      <c r="M308" s="34"/>
      <c r="N308" s="34"/>
      <c r="O308" s="34"/>
      <c r="P308" s="34"/>
      <c r="Q308" s="107"/>
      <c r="R308" s="107"/>
      <c r="S308" s="162"/>
      <c r="T308" s="162"/>
      <c r="U308" s="162"/>
      <c r="V308" s="162"/>
      <c r="W308" s="162"/>
      <c r="X308" s="162"/>
      <c r="AB308" s="13" t="s">
        <v>17</v>
      </c>
      <c r="AC308" s="78" t="s">
        <v>18</v>
      </c>
      <c r="AD308" s="79" t="s">
        <v>19</v>
      </c>
    </row>
    <row r="309" spans="1:30" x14ac:dyDescent="0.2">
      <c r="A309" s="3"/>
      <c r="C309" s="86" t="str" cm="1">
        <f t="array" ref="C309">_xll.BDP(D309&amp;" Equity","DS520")</f>
        <v>Nuveen AMT-Free Quality Municipal Income Fund</v>
      </c>
      <c r="D309" s="183" t="s">
        <v>1160</v>
      </c>
      <c r="E309" s="34"/>
      <c r="F309" s="34"/>
      <c r="G309" s="34"/>
      <c r="H309" s="45" t="str" cm="1">
        <f t="array" ref="H309">_xll.BDP(D309&amp;" Equity", "ID_ISIN")</f>
        <v>US6706571055</v>
      </c>
      <c r="I309" s="34"/>
      <c r="J309" s="34" t="str" cm="1">
        <f t="array" ref="J309">_xll.BDP(D309&amp;" Equity","FD121")</f>
        <v>Fixed Income</v>
      </c>
      <c r="K309" s="111"/>
      <c r="L309" s="111"/>
      <c r="M309" s="34" t="str">
        <f>_xll.BDP(D309&amp;" Equity", "DS197")</f>
        <v>New York</v>
      </c>
      <c r="N309" s="45" t="str">
        <f>_xll.BDP(D309&amp;" Equity","DS004")</f>
        <v>USD</v>
      </c>
      <c r="O309" s="111">
        <f>_xll.BDP(D309&amp;" Equity", "FUND_EXPENSE_RATIO")</f>
        <v>2.2200000000000002</v>
      </c>
      <c r="P309" s="45">
        <f>_xll.BDP(D309&amp;" Equity","PX_LAST")</f>
        <v>11.67</v>
      </c>
      <c r="Q309" s="112">
        <f>AD309/$AD$315</f>
        <v>0.20894231915734077</v>
      </c>
      <c r="R309" s="112">
        <f>Q309*(1-$R$322)/(1-$Q$314)</f>
        <v>0.19833890337946608</v>
      </c>
      <c r="S309" s="180"/>
      <c r="T309" s="180"/>
      <c r="U309" s="180"/>
      <c r="V309" s="180"/>
      <c r="W309" s="180"/>
      <c r="X309" s="180"/>
      <c r="AB309" s="1" cm="1">
        <f t="array" ref="AB309">IF(N309="USD",1,_xll.BDP(N309&amp;"USD CURNCY","PX_LAST"))</f>
        <v>1</v>
      </c>
      <c r="AC309" s="80">
        <v>2241266.19797723</v>
      </c>
      <c r="AD309" s="81">
        <f>AC309*P309*AB309</f>
        <v>26155576.530394275</v>
      </c>
    </row>
    <row r="310" spans="1:30" x14ac:dyDescent="0.2">
      <c r="A310" s="3"/>
      <c r="C310" s="86" t="str" cm="1">
        <f t="array" ref="C310">_xll.BDP(D310&amp;" Equity","DS520")</f>
        <v>Invesco Trust for Investment Grade Municipals</v>
      </c>
      <c r="D310" s="183" t="s">
        <v>1161</v>
      </c>
      <c r="E310" s="34"/>
      <c r="F310" s="34"/>
      <c r="G310" s="34"/>
      <c r="H310" s="45" t="str" cm="1">
        <f t="array" ref="H310">_xll.BDP(D310&amp;" Equity", "ID_ISIN")</f>
        <v>US46131M1062</v>
      </c>
      <c r="I310" s="34"/>
      <c r="J310" s="34" t="str" cm="1">
        <f t="array" ref="J310">_xll.BDP(D310&amp;" Equity","FD121")</f>
        <v>Fixed Income</v>
      </c>
      <c r="K310" s="111"/>
      <c r="L310" s="111"/>
      <c r="M310" s="34" t="str">
        <f>_xll.BDP(D310&amp;" Equity", "DS197")</f>
        <v>New York</v>
      </c>
      <c r="N310" s="45" t="str">
        <f>_xll.BDP(D310&amp;" Equity","DS004")</f>
        <v>USD</v>
      </c>
      <c r="O310" s="111">
        <f>_xll.BDP(D310&amp;" Equity", "FUND_EXPENSE_RATIO")</f>
        <v>0.94</v>
      </c>
      <c r="P310" s="45">
        <f>_xll.BDP(D310&amp;" Equity","PX_LAST")</f>
        <v>10.38</v>
      </c>
      <c r="Q310" s="112">
        <f t="shared" ref="Q310:Q314" si="161">AD310/$AD$315</f>
        <v>0.20792826011891283</v>
      </c>
      <c r="R310" s="112">
        <f t="shared" ref="R310:R313" si="162">Q310*(1-$R$322)/(1-$Q$314)</f>
        <v>0.19737630586233804</v>
      </c>
      <c r="S310" s="180"/>
      <c r="T310" s="180"/>
      <c r="U310" s="180"/>
      <c r="V310" s="180"/>
      <c r="W310" s="180"/>
      <c r="X310" s="180"/>
      <c r="AB310" s="1" cm="1">
        <f t="array" ref="AB310">IF(N310="USD",1,_xll.BDP(N310&amp;"USD CURNCY","PX_LAST"))</f>
        <v>1</v>
      </c>
      <c r="AC310" s="80">
        <v>2507575.6995030502</v>
      </c>
      <c r="AD310" s="81">
        <f t="shared" ref="AD310:AD314" si="163">AC310*P310*AB310</f>
        <v>26028635.760841664</v>
      </c>
    </row>
    <row r="311" spans="1:30" x14ac:dyDescent="0.2">
      <c r="A311" s="3"/>
      <c r="C311" s="86" t="str" cm="1">
        <f t="array" ref="C311">_xll.BDP(D311&amp;" Equity","DS520")</f>
        <v>Western Asset Managed Municipals Fund Inc</v>
      </c>
      <c r="D311" s="183" t="s">
        <v>1162</v>
      </c>
      <c r="E311" s="34"/>
      <c r="F311" s="34"/>
      <c r="G311" s="34"/>
      <c r="H311" s="45" t="str" cm="1">
        <f t="array" ref="H311">_xll.BDP(D311&amp;" Equity", "ID_ISIN")</f>
        <v>US95766M1053</v>
      </c>
      <c r="I311" s="34"/>
      <c r="J311" s="34" t="str" cm="1">
        <f t="array" ref="J311">_xll.BDP(D311&amp;" Equity","FD121")</f>
        <v>Fixed Income</v>
      </c>
      <c r="K311" s="111"/>
      <c r="L311" s="111"/>
      <c r="M311" s="34" t="str">
        <f>_xll.BDP(D311&amp;" Equity", "DS197")</f>
        <v>New York</v>
      </c>
      <c r="N311" s="45" t="str">
        <f>_xll.BDP(D311&amp;" Equity","DS004")</f>
        <v>USD</v>
      </c>
      <c r="O311" s="111">
        <f>_xll.BDP(D311&amp;" Equity", "FUND_EXPENSE_RATIO")</f>
        <v>1.31</v>
      </c>
      <c r="P311" s="45">
        <f>_xll.BDP(D311&amp;" Equity","PX_LAST")</f>
        <v>10.5</v>
      </c>
      <c r="Q311" s="112">
        <f t="shared" si="161"/>
        <v>0.19771836590710237</v>
      </c>
      <c r="R311" s="112">
        <f t="shared" si="162"/>
        <v>0.18768454389780304</v>
      </c>
      <c r="S311" s="180"/>
      <c r="T311" s="180"/>
      <c r="U311" s="180"/>
      <c r="V311" s="180"/>
      <c r="W311" s="180"/>
      <c r="X311" s="180"/>
      <c r="AB311" s="1" cm="1">
        <f t="array" ref="AB311">IF(N311="USD",1,_xll.BDP(N311&amp;"USD CURNCY","PX_LAST"))</f>
        <v>1</v>
      </c>
      <c r="AC311" s="80">
        <v>2357195.4812828801</v>
      </c>
      <c r="AD311" s="81">
        <f t="shared" si="163"/>
        <v>24750552.553470239</v>
      </c>
    </row>
    <row r="312" spans="1:30" x14ac:dyDescent="0.2">
      <c r="A312" s="3"/>
      <c r="C312" s="86" t="str" cm="1">
        <f t="array" ref="C312">_xll.BDP(D312&amp;" Equity","DS520")</f>
        <v>BlackRock MuniVest Fund Inc</v>
      </c>
      <c r="D312" s="183" t="s">
        <v>1163</v>
      </c>
      <c r="E312" s="34"/>
      <c r="F312" s="34"/>
      <c r="G312" s="34"/>
      <c r="H312" s="45" t="str" cm="1">
        <f t="array" ref="H312">_xll.BDP(D312&amp;" Equity", "ID_ISIN")</f>
        <v>US09253R1059</v>
      </c>
      <c r="I312" s="34"/>
      <c r="J312" s="34" t="str" cm="1">
        <f t="array" ref="J312">_xll.BDP(D312&amp;" Equity","FD121")</f>
        <v>Fixed Income</v>
      </c>
      <c r="K312" s="111"/>
      <c r="L312" s="111"/>
      <c r="M312" s="34" t="str">
        <f>_xll.BDP(D312&amp;" Equity", "DS197")</f>
        <v>#N/A Field Not Applicable</v>
      </c>
      <c r="N312" s="45" t="str">
        <f>_xll.BDP(D312&amp;" Equity","DS004")</f>
        <v>USD</v>
      </c>
      <c r="O312" s="111">
        <f>_xll.BDP(D312&amp;" Equity", "FUND_EXPENSE_RATIO")</f>
        <v>0.84</v>
      </c>
      <c r="P312" s="45">
        <f>_xll.BDP(D312&amp;" Equity","PX_LAST")</f>
        <v>7.07</v>
      </c>
      <c r="Q312" s="112">
        <f t="shared" si="161"/>
        <v>0.19266571967104967</v>
      </c>
      <c r="R312" s="112">
        <f t="shared" si="162"/>
        <v>0.18288830961810007</v>
      </c>
      <c r="S312" s="180"/>
      <c r="T312" s="180"/>
      <c r="U312" s="180"/>
      <c r="V312" s="180"/>
      <c r="W312" s="180"/>
      <c r="X312" s="180"/>
      <c r="AB312" s="1" cm="1">
        <f t="array" ref="AB312">IF(N312="USD",1,_xll.BDP(N312&amp;"USD CURNCY","PX_LAST"))</f>
        <v>1</v>
      </c>
      <c r="AC312" s="80">
        <v>3411323.6233355799</v>
      </c>
      <c r="AD312" s="81">
        <f t="shared" si="163"/>
        <v>24118058.016982552</v>
      </c>
    </row>
    <row r="313" spans="1:30" x14ac:dyDescent="0.2">
      <c r="A313" s="3"/>
      <c r="C313" s="86" t="str" cm="1">
        <f t="array" ref="C313">_xll.BDP(D313&amp;" Equity","DS520")</f>
        <v>BlackRock Municipal Income Trust II</v>
      </c>
      <c r="D313" s="183" t="s">
        <v>1164</v>
      </c>
      <c r="E313" s="34"/>
      <c r="F313" s="34"/>
      <c r="G313" s="34"/>
      <c r="H313" s="45" t="str" cm="1">
        <f t="array" ref="H313">_xll.BDP(D313&amp;" Equity", "ID_ISIN")</f>
        <v>US09249N1019</v>
      </c>
      <c r="I313" s="34"/>
      <c r="J313" s="34" t="str" cm="1">
        <f t="array" ref="J313">_xll.BDP(D313&amp;" Equity","FD121")</f>
        <v>Fixed Income</v>
      </c>
      <c r="K313" s="111"/>
      <c r="L313" s="111"/>
      <c r="M313" s="34" t="str">
        <f>_xll.BDP(D313&amp;" Equity", "DS197")</f>
        <v>#N/A Field Not Applicable</v>
      </c>
      <c r="N313" s="45" t="str">
        <f>_xll.BDP(D313&amp;" Equity","DS004")</f>
        <v>USD</v>
      </c>
      <c r="O313" s="111">
        <f>_xll.BDP(D313&amp;" Equity", "FUND_EXPENSE_RATIO")</f>
        <v>1</v>
      </c>
      <c r="P313" s="45">
        <f>_xll.BDP(D313&amp;" Equity","PX_LAST")</f>
        <v>10.54</v>
      </c>
      <c r="Q313" s="112">
        <f t="shared" si="161"/>
        <v>0.18852943911237938</v>
      </c>
      <c r="R313" s="112">
        <f t="shared" si="162"/>
        <v>0.1789619372422929</v>
      </c>
      <c r="S313" s="180"/>
      <c r="T313" s="180"/>
      <c r="U313" s="180"/>
      <c r="V313" s="180"/>
      <c r="W313" s="180"/>
      <c r="X313" s="180"/>
      <c r="AB313" s="1" cm="1">
        <f t="array" ref="AB313">IF(N313="USD",1,_xll.BDP(N313&amp;"USD CURNCY","PX_LAST"))</f>
        <v>1</v>
      </c>
      <c r="AC313" s="80">
        <v>2239115.2668258902</v>
      </c>
      <c r="AD313" s="81">
        <f t="shared" si="163"/>
        <v>23600274.91234488</v>
      </c>
    </row>
    <row r="314" spans="1:30" x14ac:dyDescent="0.2">
      <c r="A314" s="3"/>
      <c r="B314" s="3"/>
      <c r="C314" s="86" t="str" cm="1">
        <f t="array" ref="C314">_xll.BDP(D314&amp;" Curncy","DS520")</f>
        <v>USDUSD Spot Exchange Rate - Price of 1 USD in USD</v>
      </c>
      <c r="D314" s="183" t="s">
        <v>34</v>
      </c>
      <c r="E314" s="34"/>
      <c r="F314" s="34"/>
      <c r="G314" s="34"/>
      <c r="H314" s="34"/>
      <c r="I314" s="34"/>
      <c r="J314" s="157" t="s">
        <v>80</v>
      </c>
      <c r="K314" s="111"/>
      <c r="L314" s="111"/>
      <c r="M314" s="34"/>
      <c r="N314" s="45" t="str">
        <f>_xll.BDP(D314&amp;" CURNCY","DS004")</f>
        <v>USD</v>
      </c>
      <c r="O314" s="34"/>
      <c r="P314" s="45">
        <v>1</v>
      </c>
      <c r="Q314" s="112">
        <f t="shared" si="161"/>
        <v>4.2158960332150611E-3</v>
      </c>
      <c r="R314" s="112">
        <f>R322</f>
        <v>5.475E-2</v>
      </c>
      <c r="S314" s="180"/>
      <c r="T314" s="180"/>
      <c r="U314" s="180"/>
      <c r="V314" s="180"/>
      <c r="W314" s="180"/>
      <c r="X314" s="180"/>
      <c r="AB314" s="1" cm="1">
        <f t="array" ref="AB314">IF(N314="USD",1,_xll.BDP(N314&amp;"USD CURNCY","PX_LAST"))</f>
        <v>1</v>
      </c>
      <c r="AC314" s="80">
        <v>527749.43719230802</v>
      </c>
      <c r="AD314" s="81">
        <f t="shared" si="163"/>
        <v>527749.43719230802</v>
      </c>
    </row>
    <row r="315" spans="1:30" x14ac:dyDescent="0.2">
      <c r="C315" s="86"/>
      <c r="D315" s="156"/>
      <c r="E315" s="34"/>
      <c r="F315" s="34"/>
      <c r="G315" s="34"/>
      <c r="H315" s="34"/>
      <c r="I315" s="34"/>
      <c r="J315" s="111"/>
      <c r="K315" s="111"/>
      <c r="L315" s="111"/>
      <c r="M315" s="34"/>
      <c r="N315" s="45"/>
      <c r="O315" s="34"/>
      <c r="P315" s="34"/>
      <c r="Q315" s="112"/>
      <c r="R315" s="112"/>
      <c r="S315" s="180"/>
      <c r="T315" s="180"/>
      <c r="U315" s="180"/>
      <c r="V315" s="180"/>
      <c r="W315" s="180"/>
      <c r="X315" s="180"/>
      <c r="AC315" s="40"/>
      <c r="AD315" s="82">
        <f>SUM(AD309:AD314)</f>
        <v>125180847.21122591</v>
      </c>
    </row>
    <row r="316" spans="1:30" x14ac:dyDescent="0.2">
      <c r="C316" s="119"/>
      <c r="D316" s="122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121" t="s">
        <v>81</v>
      </c>
      <c r="Q316" s="107">
        <f>SUM(Q309:Q314)</f>
        <v>1.0000000000000002</v>
      </c>
      <c r="R316" s="107"/>
      <c r="S316" s="162"/>
      <c r="T316" s="162"/>
      <c r="U316" s="162"/>
      <c r="V316" s="162"/>
      <c r="W316" s="162"/>
      <c r="X316" s="162"/>
      <c r="Y316" s="81"/>
    </row>
    <row r="317" spans="1:30" ht="15" thickBot="1" x14ac:dyDescent="0.25"/>
    <row r="318" spans="1:30" x14ac:dyDescent="0.2">
      <c r="Q318" s="129" t="s">
        <v>86</v>
      </c>
      <c r="R318" s="130">
        <v>100000</v>
      </c>
      <c r="T318" s="131"/>
      <c r="V318" s="131"/>
      <c r="X318" s="131"/>
    </row>
    <row r="319" spans="1:30" x14ac:dyDescent="0.2">
      <c r="Q319" s="132" t="s">
        <v>85</v>
      </c>
      <c r="R319" s="133">
        <v>5000</v>
      </c>
      <c r="T319" s="131"/>
      <c r="V319" s="131"/>
      <c r="X319" s="131"/>
    </row>
    <row r="320" spans="1:30" x14ac:dyDescent="0.2">
      <c r="Q320" s="132" t="s">
        <v>88</v>
      </c>
      <c r="R320" s="134">
        <f>(R318-R319)*0.5%</f>
        <v>475</v>
      </c>
      <c r="T320" s="135"/>
      <c r="V320" s="135"/>
      <c r="X320" s="135"/>
    </row>
    <row r="321" spans="1:30" x14ac:dyDescent="0.2">
      <c r="Q321" s="132" t="s">
        <v>87</v>
      </c>
      <c r="R321" s="134">
        <f>R319+R320</f>
        <v>5475</v>
      </c>
      <c r="T321" s="135"/>
      <c r="V321" s="135"/>
      <c r="X321" s="135"/>
    </row>
    <row r="322" spans="1:30" ht="15" thickBot="1" x14ac:dyDescent="0.25">
      <c r="Q322" s="136" t="s">
        <v>89</v>
      </c>
      <c r="R322" s="137">
        <f>R321/R318</f>
        <v>5.475E-2</v>
      </c>
      <c r="T322" s="138"/>
      <c r="V322" s="138"/>
      <c r="X322" s="138"/>
    </row>
    <row r="324" spans="1:30" x14ac:dyDescent="0.2">
      <c r="A324" s="76" t="s">
        <v>0</v>
      </c>
      <c r="C324" s="95" t="s">
        <v>1165</v>
      </c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176"/>
      <c r="T324" s="176"/>
      <c r="W324" s="177"/>
      <c r="X324" s="178"/>
      <c r="Y324" s="40"/>
    </row>
    <row r="325" spans="1:30" x14ac:dyDescent="0.2">
      <c r="A325" s="154" t="s">
        <v>1159</v>
      </c>
      <c r="C325" s="97" t="s">
        <v>5</v>
      </c>
      <c r="D325" s="98" t="s">
        <v>91</v>
      </c>
      <c r="E325" s="98" t="s">
        <v>533</v>
      </c>
      <c r="F325" s="98" t="s">
        <v>534</v>
      </c>
      <c r="G325" s="98" t="s">
        <v>535</v>
      </c>
      <c r="H325" s="98" t="s">
        <v>1426</v>
      </c>
      <c r="I325" s="98"/>
      <c r="J325" s="98" t="s">
        <v>434</v>
      </c>
      <c r="K325" s="98" t="s">
        <v>435</v>
      </c>
      <c r="L325" s="98"/>
      <c r="M325" s="98" t="s">
        <v>9</v>
      </c>
      <c r="N325" s="98" t="s">
        <v>13</v>
      </c>
      <c r="O325" s="98" t="s">
        <v>437</v>
      </c>
      <c r="P325" s="98" t="s">
        <v>14</v>
      </c>
      <c r="Q325" s="99" t="s">
        <v>442</v>
      </c>
      <c r="R325" s="99" t="s">
        <v>536</v>
      </c>
      <c r="S325" s="179"/>
      <c r="T325" s="179"/>
      <c r="U325" s="179"/>
      <c r="V325" s="179"/>
      <c r="W325" s="179"/>
      <c r="X325" s="179"/>
      <c r="AC325" s="185" t="s">
        <v>442</v>
      </c>
      <c r="AD325" s="185"/>
    </row>
    <row r="326" spans="1:30" x14ac:dyDescent="0.2">
      <c r="C326" s="106" t="s">
        <v>1188</v>
      </c>
      <c r="D326" s="45"/>
      <c r="E326" s="34"/>
      <c r="F326" s="34"/>
      <c r="G326" s="34"/>
      <c r="H326" s="34"/>
      <c r="I326" s="34"/>
      <c r="J326" s="34"/>
      <c r="K326" s="34"/>
      <c r="L326" s="155"/>
      <c r="M326" s="34"/>
      <c r="N326" s="34"/>
      <c r="O326" s="34"/>
      <c r="P326" s="34"/>
      <c r="Q326" s="107"/>
      <c r="R326" s="107"/>
      <c r="S326" s="162"/>
      <c r="T326" s="162"/>
      <c r="U326" s="162"/>
      <c r="V326" s="162"/>
      <c r="W326" s="162"/>
      <c r="X326" s="162"/>
      <c r="AB326" s="13" t="s">
        <v>17</v>
      </c>
      <c r="AC326" s="78" t="s">
        <v>18</v>
      </c>
      <c r="AD326" s="79" t="s">
        <v>19</v>
      </c>
    </row>
    <row r="327" spans="1:30" x14ac:dyDescent="0.2">
      <c r="A327" s="3"/>
      <c r="C327" s="86" t="str" cm="1">
        <f t="array" ref="C327">_xll.BDP(D327&amp;" Equity","DS520")</f>
        <v>JPMorgan USD Ultra-Short Income Active UCITS ETF</v>
      </c>
      <c r="D327" s="183" t="s">
        <v>1166</v>
      </c>
      <c r="E327" s="34"/>
      <c r="F327" s="34"/>
      <c r="G327" s="34"/>
      <c r="H327" s="45" t="str" cm="1">
        <f t="array" ref="H327">_xll.BDP(D327&amp;" Equity", "ID_ISIN")</f>
        <v>IE00BDFC6Q91</v>
      </c>
      <c r="I327" s="34"/>
      <c r="J327" s="34" t="str" cm="1">
        <f t="array" ref="J327">_xll.BDP(D327&amp;" Equity","FD121")</f>
        <v>Fixed Income</v>
      </c>
      <c r="K327" s="111"/>
      <c r="L327" s="111"/>
      <c r="M327" s="34" t="str">
        <f>_xll.BDP(D327&amp;" Equity", "DS197")</f>
        <v>London</v>
      </c>
      <c r="N327" s="45" t="str">
        <f>_xll.BDP(D327&amp;" Equity","DS004")</f>
        <v>USD</v>
      </c>
      <c r="O327" s="111">
        <f>_xll.BDP(D327&amp;" Equity", "FUND_EXPENSE_RATIO")</f>
        <v>0.18</v>
      </c>
      <c r="P327" s="45">
        <f>_xll.BDP(D327&amp;" Equity","PX_LAST")</f>
        <v>101.83499999999999</v>
      </c>
      <c r="Q327" s="112">
        <f>AD327/$AD$333</f>
        <v>0.34891195499874517</v>
      </c>
      <c r="R327" s="112">
        <f>Q327*(1-$R$340)/(1-$Q$332)</f>
        <v>0.36652547104002675</v>
      </c>
      <c r="S327" s="180"/>
      <c r="T327" s="180"/>
      <c r="U327" s="180"/>
      <c r="V327" s="180"/>
      <c r="W327" s="180"/>
      <c r="X327" s="180"/>
      <c r="AB327" s="1" cm="1">
        <f t="array" ref="AB327">IF(N327="USD",1,_xll.BDP(N327&amp;"USD CURNCY","PX_LAST"))</f>
        <v>1</v>
      </c>
      <c r="AC327" s="80">
        <v>443995.90887231799</v>
      </c>
      <c r="AD327" s="81">
        <f>AC327*P327*AB327</f>
        <v>45214323.380012497</v>
      </c>
    </row>
    <row r="328" spans="1:30" x14ac:dyDescent="0.2">
      <c r="A328" s="3"/>
      <c r="C328" s="86" t="str" cm="1">
        <f t="array" ref="C328">_xll.BDP(D328&amp;" Equity","DS520")</f>
        <v>iShares USD Floating Rate Bond UCITS ETF</v>
      </c>
      <c r="D328" s="183" t="s">
        <v>1167</v>
      </c>
      <c r="E328" s="34"/>
      <c r="F328" s="34"/>
      <c r="G328" s="34"/>
      <c r="H328" s="45" t="str" cm="1">
        <f t="array" ref="H328">_xll.BDP(D328&amp;" Equity", "ID_ISIN")</f>
        <v>IE00BZ048462</v>
      </c>
      <c r="I328" s="34"/>
      <c r="J328" s="34" t="str" cm="1">
        <f t="array" ref="J328">_xll.BDP(D328&amp;" Equity","FD121")</f>
        <v>Fixed Income</v>
      </c>
      <c r="K328" s="111"/>
      <c r="L328" s="111"/>
      <c r="M328" s="34" t="str">
        <f>_xll.BDP(D328&amp;" Equity", "DS197")</f>
        <v>London</v>
      </c>
      <c r="N328" s="45" t="str">
        <f>_xll.BDP(D328&amp;" Equity","DS004")</f>
        <v>USD</v>
      </c>
      <c r="O328" s="111">
        <f>_xll.BDP(D328&amp;" Equity", "FUND_EXPENSE_RATIO")</f>
        <v>0.1</v>
      </c>
      <c r="P328" s="45">
        <f>_xll.BDP(D328&amp;" Equity","PX_LAST")</f>
        <v>5.08</v>
      </c>
      <c r="Q328" s="112">
        <f t="shared" ref="Q328:Q332" si="164">AD328/$AD$333</f>
        <v>0.2008662214995435</v>
      </c>
      <c r="R328" s="112">
        <f t="shared" ref="R328:R331" si="165">Q328*(1-$R$340)/(1-$Q$332)</f>
        <v>0.2110062019841519</v>
      </c>
      <c r="S328" s="180"/>
      <c r="T328" s="180"/>
      <c r="U328" s="180"/>
      <c r="V328" s="180"/>
      <c r="W328" s="180"/>
      <c r="X328" s="180"/>
      <c r="AB328" s="1" cm="1">
        <f t="array" ref="AB328">IF(N328="USD",1,_xll.BDP(N328&amp;"USD CURNCY","PX_LAST"))</f>
        <v>1</v>
      </c>
      <c r="AC328" s="80">
        <v>5123932.3088828204</v>
      </c>
      <c r="AD328" s="81">
        <f t="shared" ref="AD328:AD331" si="166">AC328*P328*AB328</f>
        <v>26029576.129124727</v>
      </c>
    </row>
    <row r="329" spans="1:30" x14ac:dyDescent="0.2">
      <c r="A329" s="3"/>
      <c r="C329" s="86" t="str" cm="1">
        <f t="array" ref="C329">_xll.BDP(D329&amp;" Equity","DS520")</f>
        <v>iShares USD Treasury Bond 0-1yr UCITS ETF</v>
      </c>
      <c r="D329" s="183" t="s">
        <v>1168</v>
      </c>
      <c r="E329" s="34"/>
      <c r="F329" s="34"/>
      <c r="G329" s="34"/>
      <c r="H329" s="45" t="str" cm="1">
        <f t="array" ref="H329">_xll.BDP(D329&amp;" Equity", "ID_ISIN")</f>
        <v>IE00BGR7L912</v>
      </c>
      <c r="I329" s="34"/>
      <c r="J329" s="34" t="str" cm="1">
        <f t="array" ref="J329">_xll.BDP(D329&amp;" Equity","FD121")</f>
        <v>Fixed Income</v>
      </c>
      <c r="K329" s="111"/>
      <c r="L329" s="111"/>
      <c r="M329" s="34" t="str">
        <f>_xll.BDP(D329&amp;" Equity", "DS197")</f>
        <v>London</v>
      </c>
      <c r="N329" s="45" t="str">
        <f>_xll.BDP(D329&amp;" Equity","DS004")</f>
        <v>USD</v>
      </c>
      <c r="O329" s="111">
        <f>_xll.BDP(D329&amp;" Equity", "FUND_EXPENSE_RATIO")</f>
        <v>7.0000000000000007E-2</v>
      </c>
      <c r="P329" s="45">
        <f>_xll.BDP(D329&amp;" Equity","PX_LAST")</f>
        <v>5.0250000000000004</v>
      </c>
      <c r="Q329" s="112">
        <f t="shared" si="164"/>
        <v>0.12487274885961962</v>
      </c>
      <c r="R329" s="112">
        <f t="shared" si="165"/>
        <v>0.1311764828923665</v>
      </c>
      <c r="S329" s="180"/>
      <c r="T329" s="180"/>
      <c r="U329" s="180"/>
      <c r="V329" s="180"/>
      <c r="W329" s="180"/>
      <c r="X329" s="180"/>
      <c r="AB329" s="1" cm="1">
        <f t="array" ref="AB329">IF(N329="USD",1,_xll.BDP(N329&amp;"USD CURNCY","PX_LAST"))</f>
        <v>1</v>
      </c>
      <c r="AC329" s="80">
        <v>3220266.3349534702</v>
      </c>
      <c r="AD329" s="81">
        <f t="shared" si="166"/>
        <v>16181838.333141189</v>
      </c>
    </row>
    <row r="330" spans="1:30" x14ac:dyDescent="0.2">
      <c r="A330" s="3"/>
      <c r="C330" s="86" t="str" cm="1">
        <f t="array" ref="C330">_xll.BDP(D330&amp;" Equity","DS520")</f>
        <v>WisdomTree USD Floating Rate Treasury Bond UCITS ETF</v>
      </c>
      <c r="D330" s="183" t="s">
        <v>1169</v>
      </c>
      <c r="E330" s="34"/>
      <c r="F330" s="34"/>
      <c r="G330" s="34"/>
      <c r="H330" s="45" t="str" cm="1">
        <f t="array" ref="H330">_xll.BDP(D330&amp;" Equity", "ID_ISIN")</f>
        <v>IE00BJFN5P63</v>
      </c>
      <c r="I330" s="34"/>
      <c r="J330" s="34" t="str" cm="1">
        <f t="array" ref="J330">_xll.BDP(D330&amp;" Equity","FD121")</f>
        <v>Fixed Income</v>
      </c>
      <c r="K330" s="111"/>
      <c r="L330" s="111"/>
      <c r="M330" s="34" t="str">
        <f>_xll.BDP(D330&amp;" Equity", "DS197")</f>
        <v>London</v>
      </c>
      <c r="N330" s="45" t="str">
        <f>_xll.BDP(D330&amp;" Equity","DS004")</f>
        <v>USD</v>
      </c>
      <c r="O330" s="111">
        <f>_xll.BDP(D330&amp;" Equity", "FUND_EXPENSE_RATIO")</f>
        <v>0.15</v>
      </c>
      <c r="P330" s="45">
        <f>_xll.BDP(D330&amp;" Equity","PX_LAST")</f>
        <v>50.585000000000001</v>
      </c>
      <c r="Q330" s="112">
        <f t="shared" si="164"/>
        <v>0.12467658978661629</v>
      </c>
      <c r="R330" s="112">
        <f t="shared" si="165"/>
        <v>0.13097042146167812</v>
      </c>
      <c r="S330" s="180"/>
      <c r="T330" s="180"/>
      <c r="U330" s="180"/>
      <c r="V330" s="180"/>
      <c r="W330" s="180"/>
      <c r="X330" s="180"/>
      <c r="AB330" s="1" cm="1">
        <f t="array" ref="AB330">IF(N330="USD",1,_xll.BDP(N330&amp;"USD CURNCY","PX_LAST"))</f>
        <v>1</v>
      </c>
      <c r="AC330" s="80">
        <v>319391.49432655203</v>
      </c>
      <c r="AD330" s="81">
        <f t="shared" si="166"/>
        <v>16156418.740508635</v>
      </c>
    </row>
    <row r="331" spans="1:30" x14ac:dyDescent="0.2">
      <c r="A331" s="3"/>
      <c r="C331" s="86" t="str" cm="1">
        <f t="array" ref="C331">_xll.BDP(D331&amp;" Equity","DS520")</f>
        <v>PIMCO US Short-Term High Yield Corporate Bond UCITS ETF</v>
      </c>
      <c r="D331" s="183" t="s">
        <v>1170</v>
      </c>
      <c r="E331" s="34"/>
      <c r="F331" s="34"/>
      <c r="G331" s="34"/>
      <c r="H331" s="45" t="str" cm="1">
        <f t="array" ref="H331">_xll.BDP(D331&amp;" Equity", "ID_ISIN")</f>
        <v>IE00B7N3YW49</v>
      </c>
      <c r="I331" s="34"/>
      <c r="J331" s="34" t="str" cm="1">
        <f t="array" ref="J331">_xll.BDP(D331&amp;" Equity","FD121")</f>
        <v>Fixed Income</v>
      </c>
      <c r="K331" s="111"/>
      <c r="L331" s="111"/>
      <c r="M331" s="34" t="str">
        <f>_xll.BDP(D331&amp;" Equity", "DS197")</f>
        <v>London</v>
      </c>
      <c r="N331" s="45" t="str">
        <f>_xll.BDP(D331&amp;" Equity","DS004")</f>
        <v>USD</v>
      </c>
      <c r="O331" s="111">
        <f>_xll.BDP(D331&amp;" Equity", "FUND_EXPENSE_RATIO")</f>
        <v>0.55000000000000004</v>
      </c>
      <c r="P331" s="45">
        <f>_xll.BDP(D331&amp;" Equity","PX_LAST")</f>
        <v>94.59</v>
      </c>
      <c r="Q331" s="112">
        <f t="shared" si="164"/>
        <v>0.10049814915848035</v>
      </c>
      <c r="R331" s="112">
        <f t="shared" si="165"/>
        <v>0.10557142262177677</v>
      </c>
      <c r="S331" s="180"/>
      <c r="T331" s="180"/>
      <c r="U331" s="180"/>
      <c r="V331" s="180"/>
      <c r="W331" s="180"/>
      <c r="X331" s="180"/>
      <c r="AB331" s="1" cm="1">
        <f t="array" ref="AB331">IF(N331="USD",1,_xll.BDP(N331&amp;"USD CURNCY","PX_LAST"))</f>
        <v>1</v>
      </c>
      <c r="AC331" s="80">
        <v>137680.68688629399</v>
      </c>
      <c r="AD331" s="81">
        <f t="shared" si="166"/>
        <v>13023216.172574548</v>
      </c>
    </row>
    <row r="332" spans="1:30" x14ac:dyDescent="0.2">
      <c r="A332" s="3"/>
      <c r="B332" s="3"/>
      <c r="C332" s="86" t="str" cm="1">
        <f t="array" ref="C332">_xll.BDP(D332&amp;" Equity","DS520")</f>
        <v>iShares iBonds Dec 2026 Term USD Corp UCITS ETF</v>
      </c>
      <c r="D332" s="183" t="s">
        <v>1171</v>
      </c>
      <c r="E332" s="34"/>
      <c r="F332" s="34"/>
      <c r="G332" s="34"/>
      <c r="H332" s="45" t="str" cm="1">
        <f t="array" ref="H332">_xll.BDP(D332&amp;" Equity", "ID_ISIN")</f>
        <v>IE0007UPSEA3</v>
      </c>
      <c r="I332" s="34"/>
      <c r="J332" s="34" t="str" cm="1">
        <f t="array" ref="J332">_xll.BDP(D332&amp;" Equity","FD121")</f>
        <v>Fixed Income</v>
      </c>
      <c r="K332" s="111"/>
      <c r="L332" s="111"/>
      <c r="M332" s="34" t="str">
        <f>_xll.BDP(D332&amp;" Equity", "DS197")</f>
        <v>London</v>
      </c>
      <c r="N332" s="45" t="str">
        <f>_xll.BDP(D332&amp;" Equity","DS004")</f>
        <v>USD</v>
      </c>
      <c r="O332" s="111">
        <f>_xll.BDP(D332&amp;" Equity", "FUND_EXPENSE_RATIO")</f>
        <v>0.12</v>
      </c>
      <c r="P332" s="45">
        <f>_xll.BDP(D332&amp;" Equity","PX_LAST")</f>
        <v>5.0960000000000001</v>
      </c>
      <c r="Q332" s="112">
        <f t="shared" si="164"/>
        <v>0.10017433569699503</v>
      </c>
      <c r="R332" s="112">
        <f t="shared" ref="R332" si="167">Q332*(1-$R$245)/(1-$Q$233)</f>
        <v>9.4999957039700655E-2</v>
      </c>
      <c r="S332" s="180"/>
      <c r="T332" s="180"/>
      <c r="U332" s="180"/>
      <c r="V332" s="180"/>
      <c r="W332" s="180"/>
      <c r="X332" s="180"/>
      <c r="AB332" s="1" cm="1">
        <f t="array" ref="AB332">IF(N332="USD",1,_xll.BDP(N332&amp;"USD CURNCY","PX_LAST"))</f>
        <v>1</v>
      </c>
      <c r="AC332" s="80">
        <v>2547341.8913486199</v>
      </c>
      <c r="AD332" s="81">
        <f t="shared" ref="AD332" si="168">AC332*P332*AB332</f>
        <v>12981254.278312568</v>
      </c>
    </row>
    <row r="333" spans="1:30" x14ac:dyDescent="0.2">
      <c r="C333" s="86"/>
      <c r="D333" s="156"/>
      <c r="E333" s="34"/>
      <c r="F333" s="34"/>
      <c r="G333" s="34"/>
      <c r="H333" s="34"/>
      <c r="I333" s="34"/>
      <c r="J333" s="111"/>
      <c r="K333" s="111"/>
      <c r="L333" s="111"/>
      <c r="M333" s="34"/>
      <c r="N333" s="45"/>
      <c r="O333" s="34"/>
      <c r="P333" s="34"/>
      <c r="Q333" s="112"/>
      <c r="R333" s="112"/>
      <c r="S333" s="180"/>
      <c r="T333" s="180"/>
      <c r="U333" s="180"/>
      <c r="V333" s="180"/>
      <c r="W333" s="180"/>
      <c r="X333" s="180"/>
      <c r="AC333" s="40"/>
      <c r="AD333" s="82">
        <f>SUM(AD327:AD332)</f>
        <v>129586627.03367417</v>
      </c>
    </row>
    <row r="334" spans="1:30" x14ac:dyDescent="0.2">
      <c r="C334" s="119"/>
      <c r="D334" s="122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121" t="s">
        <v>81</v>
      </c>
      <c r="Q334" s="107">
        <f>SUM(Q327:Q332)</f>
        <v>1</v>
      </c>
      <c r="R334" s="107"/>
      <c r="S334" s="162"/>
      <c r="T334" s="162"/>
      <c r="U334" s="162"/>
      <c r="V334" s="162"/>
      <c r="W334" s="162"/>
      <c r="X334" s="162"/>
      <c r="Y334" s="81"/>
    </row>
    <row r="335" spans="1:30" ht="15" thickBot="1" x14ac:dyDescent="0.25"/>
    <row r="336" spans="1:30" x14ac:dyDescent="0.2">
      <c r="Q336" s="129" t="s">
        <v>86</v>
      </c>
      <c r="R336" s="130">
        <v>100000</v>
      </c>
      <c r="T336" s="131"/>
      <c r="V336" s="131"/>
      <c r="X336" s="131"/>
    </row>
    <row r="337" spans="1:30" x14ac:dyDescent="0.2">
      <c r="Q337" s="132" t="s">
        <v>85</v>
      </c>
      <c r="R337" s="133">
        <v>5000</v>
      </c>
      <c r="T337" s="131"/>
      <c r="V337" s="131"/>
      <c r="X337" s="131"/>
    </row>
    <row r="338" spans="1:30" x14ac:dyDescent="0.2">
      <c r="Q338" s="132" t="s">
        <v>88</v>
      </c>
      <c r="R338" s="134">
        <f>(R336-R337)*0.5%</f>
        <v>475</v>
      </c>
      <c r="T338" s="135"/>
      <c r="V338" s="135"/>
      <c r="X338" s="135"/>
    </row>
    <row r="339" spans="1:30" x14ac:dyDescent="0.2">
      <c r="Q339" s="132" t="s">
        <v>87</v>
      </c>
      <c r="R339" s="134">
        <f>R337+R338</f>
        <v>5475</v>
      </c>
      <c r="T339" s="135"/>
      <c r="V339" s="135"/>
      <c r="X339" s="135"/>
    </row>
    <row r="340" spans="1:30" ht="15" thickBot="1" x14ac:dyDescent="0.25">
      <c r="Q340" s="136" t="s">
        <v>89</v>
      </c>
      <c r="R340" s="137">
        <f>R339/R336</f>
        <v>5.475E-2</v>
      </c>
      <c r="T340" s="138"/>
      <c r="V340" s="138"/>
      <c r="X340" s="138"/>
    </row>
    <row r="342" spans="1:30" x14ac:dyDescent="0.2">
      <c r="A342" s="76" t="s">
        <v>0</v>
      </c>
      <c r="C342" s="95" t="s">
        <v>1172</v>
      </c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176"/>
      <c r="T342" s="176"/>
      <c r="W342" s="177"/>
      <c r="X342" s="178"/>
      <c r="Y342" s="40"/>
    </row>
    <row r="343" spans="1:30" x14ac:dyDescent="0.2">
      <c r="A343" s="154" t="s">
        <v>1178</v>
      </c>
      <c r="C343" s="97" t="s">
        <v>5</v>
      </c>
      <c r="D343" s="98" t="s">
        <v>91</v>
      </c>
      <c r="E343" s="98" t="s">
        <v>533</v>
      </c>
      <c r="F343" s="98" t="s">
        <v>534</v>
      </c>
      <c r="G343" s="98" t="s">
        <v>535</v>
      </c>
      <c r="H343" s="98" t="s">
        <v>1426</v>
      </c>
      <c r="I343" s="98"/>
      <c r="J343" s="98" t="s">
        <v>434</v>
      </c>
      <c r="K343" s="98" t="s">
        <v>435</v>
      </c>
      <c r="L343" s="98"/>
      <c r="M343" s="98" t="s">
        <v>9</v>
      </c>
      <c r="N343" s="98" t="s">
        <v>13</v>
      </c>
      <c r="O343" s="98" t="s">
        <v>437</v>
      </c>
      <c r="P343" s="98" t="s">
        <v>14</v>
      </c>
      <c r="Q343" s="99" t="s">
        <v>442</v>
      </c>
      <c r="R343" s="99" t="s">
        <v>536</v>
      </c>
      <c r="S343" s="179"/>
      <c r="T343" s="179"/>
      <c r="U343" s="179"/>
      <c r="V343" s="179"/>
      <c r="W343" s="179"/>
      <c r="X343" s="179"/>
      <c r="AC343" s="185" t="s">
        <v>442</v>
      </c>
      <c r="AD343" s="185"/>
    </row>
    <row r="344" spans="1:30" x14ac:dyDescent="0.2">
      <c r="C344" s="106" t="s">
        <v>1188</v>
      </c>
      <c r="D344" s="45"/>
      <c r="E344" s="34"/>
      <c r="F344" s="34"/>
      <c r="G344" s="34"/>
      <c r="H344" s="34"/>
      <c r="I344" s="34"/>
      <c r="J344" s="34"/>
      <c r="K344" s="34"/>
      <c r="L344" s="155"/>
      <c r="M344" s="34"/>
      <c r="N344" s="34"/>
      <c r="O344" s="34"/>
      <c r="P344" s="34"/>
      <c r="Q344" s="107"/>
      <c r="R344" s="107"/>
      <c r="S344" s="162"/>
      <c r="T344" s="162"/>
      <c r="U344" s="162"/>
      <c r="V344" s="162"/>
      <c r="W344" s="162"/>
      <c r="X344" s="162"/>
      <c r="AB344" s="13" t="s">
        <v>17</v>
      </c>
      <c r="AC344" s="78" t="s">
        <v>18</v>
      </c>
      <c r="AD344" s="79" t="s">
        <v>19</v>
      </c>
    </row>
    <row r="345" spans="1:30" x14ac:dyDescent="0.2">
      <c r="A345" s="3"/>
      <c r="C345" s="86" t="str" cm="1">
        <f t="array" ref="C345">_xll.BDP(D345&amp;" Equity","DS520")</f>
        <v>JPMorgan Ultra-Short Income ETF</v>
      </c>
      <c r="D345" s="183" t="s">
        <v>1173</v>
      </c>
      <c r="E345" s="34"/>
      <c r="F345" s="34"/>
      <c r="G345" s="34"/>
      <c r="H345" s="45" t="str" cm="1">
        <f t="array" ref="H345">_xll.BDP(D345&amp;" Equity", "ID_ISIN")</f>
        <v>US46641Q8371</v>
      </c>
      <c r="I345" s="34"/>
      <c r="J345" s="34" t="str" cm="1">
        <f t="array" ref="J345">_xll.BDP(D345&amp;" Equity","FD121")</f>
        <v>Fixed Income</v>
      </c>
      <c r="K345" s="111"/>
      <c r="L345" s="111"/>
      <c r="M345" s="34" t="str">
        <f>_xll.BDP(D345&amp;" Equity", "DS197")</f>
        <v>NYSE Arca</v>
      </c>
      <c r="N345" s="45" t="str">
        <f>_xll.BDP(D345&amp;" Equity","DS004")</f>
        <v>USD</v>
      </c>
      <c r="O345" s="111">
        <f>_xll.BDP(D345&amp;" Equity", "FUND_EXPENSE_RATIO")</f>
        <v>0.18</v>
      </c>
      <c r="P345" s="45">
        <f>_xll.BDP(D345&amp;" Equity","PX_LAST")</f>
        <v>50.58</v>
      </c>
      <c r="Q345" s="112">
        <f>AD345/$AD$350</f>
        <v>0.35017656217046705</v>
      </c>
      <c r="R345" s="112">
        <f>Q345*(1-$R$357)</f>
        <v>0.34842567935961472</v>
      </c>
      <c r="S345" s="180"/>
      <c r="T345" s="180"/>
      <c r="U345" s="180"/>
      <c r="V345" s="180"/>
      <c r="W345" s="180"/>
      <c r="X345" s="180"/>
      <c r="AB345" s="1" cm="1">
        <f t="array" ref="AB345">IF(N345="USD",1,_xll.BDP(N345&amp;"USD CURNCY","PX_LAST"))</f>
        <v>1</v>
      </c>
      <c r="AC345" s="80">
        <v>708089.40233562002</v>
      </c>
      <c r="AD345" s="81">
        <f>AC345*P345*AB345</f>
        <v>35815161.970135659</v>
      </c>
    </row>
    <row r="346" spans="1:30" x14ac:dyDescent="0.2">
      <c r="A346" s="3"/>
      <c r="C346" s="86" t="str" cm="1">
        <f t="array" ref="C346">_xll.BDP(D346&amp;" Equity","DS520")</f>
        <v>iShares Floating Rate Bond ETF</v>
      </c>
      <c r="D346" s="183" t="s">
        <v>1174</v>
      </c>
      <c r="E346" s="34"/>
      <c r="F346" s="34"/>
      <c r="G346" s="34"/>
      <c r="H346" s="45" t="str" cm="1">
        <f t="array" ref="H346">_xll.BDP(D346&amp;" Equity", "ID_ISIN")</f>
        <v>US46429B6552</v>
      </c>
      <c r="I346" s="34"/>
      <c r="J346" s="34" t="str" cm="1">
        <f t="array" ref="J346">_xll.BDP(D346&amp;" Equity","FD121")</f>
        <v>Fixed Income</v>
      </c>
      <c r="K346" s="111"/>
      <c r="L346" s="111"/>
      <c r="M346" s="34" t="str">
        <f>_xll.BDP(D346&amp;" Equity", "DS197")</f>
        <v>Cboe BZX</v>
      </c>
      <c r="N346" s="45" t="str">
        <f>_xll.BDP(D346&amp;" Equity","DS004")</f>
        <v>USD</v>
      </c>
      <c r="O346" s="111">
        <f>_xll.BDP(D346&amp;" Equity", "FUND_EXPENSE_RATIO")</f>
        <v>0.15</v>
      </c>
      <c r="P346" s="45">
        <f>_xll.BDP(D346&amp;" Equity","PX_LAST")</f>
        <v>50.87</v>
      </c>
      <c r="Q346" s="112">
        <f t="shared" ref="Q346:Q349" si="169">AD346/$AD$350</f>
        <v>0.20011639081661114</v>
      </c>
      <c r="R346" s="112">
        <f t="shared" ref="R346:R349" si="170">Q346*(1-$R$357)</f>
        <v>0.19911580886252808</v>
      </c>
      <c r="S346" s="180"/>
      <c r="T346" s="180"/>
      <c r="U346" s="180"/>
      <c r="V346" s="180"/>
      <c r="W346" s="180"/>
      <c r="X346" s="180"/>
      <c r="AB346" s="1" cm="1">
        <f t="array" ref="AB346">IF(N346="USD",1,_xll.BDP(N346&amp;"USD CURNCY","PX_LAST"))</f>
        <v>1</v>
      </c>
      <c r="AC346" s="80">
        <v>402347.00119796902</v>
      </c>
      <c r="AD346" s="81">
        <f t="shared" ref="AD346:AD349" si="171">AC346*P346*AB346</f>
        <v>20467391.950940683</v>
      </c>
    </row>
    <row r="347" spans="1:30" x14ac:dyDescent="0.2">
      <c r="A347" s="3"/>
      <c r="C347" s="86" t="str" cm="1">
        <f t="array" ref="C347">_xll.BDP(D347&amp;" Equity","DS520")</f>
        <v>iShares iBonds 2026 Term High Yield and Income ETF</v>
      </c>
      <c r="D347" s="183" t="s">
        <v>1175</v>
      </c>
      <c r="E347" s="34"/>
      <c r="F347" s="34"/>
      <c r="G347" s="34"/>
      <c r="H347" s="45" t="str" cm="1">
        <f t="array" ref="H347">_xll.BDP(D347&amp;" Equity", "ID_ISIN")</f>
        <v>US46436E5289</v>
      </c>
      <c r="I347" s="34"/>
      <c r="J347" s="34" t="str" cm="1">
        <f t="array" ref="J347">_xll.BDP(D347&amp;" Equity","FD121")</f>
        <v>Fixed Income</v>
      </c>
      <c r="K347" s="111"/>
      <c r="L347" s="111"/>
      <c r="M347" s="34" t="str">
        <f>_xll.BDP(D347&amp;" Equity", "DS197")</f>
        <v>Cboe BZX</v>
      </c>
      <c r="N347" s="45" t="str">
        <f>_xll.BDP(D347&amp;" Equity","DS004")</f>
        <v>USD</v>
      </c>
      <c r="O347" s="111">
        <f>_xll.BDP(D347&amp;" Equity", "FUND_EXPENSE_RATIO")</f>
        <v>0.35</v>
      </c>
      <c r="P347" s="45">
        <f>_xll.BDP(D347&amp;" Equity","PX_LAST")</f>
        <v>22.965</v>
      </c>
      <c r="Q347" s="112">
        <f t="shared" si="169"/>
        <v>0.1505432822518514</v>
      </c>
      <c r="R347" s="112">
        <f t="shared" si="170"/>
        <v>0.14979056584059214</v>
      </c>
      <c r="S347" s="180"/>
      <c r="T347" s="180"/>
      <c r="U347" s="180"/>
      <c r="V347" s="180"/>
      <c r="W347" s="180"/>
      <c r="X347" s="180"/>
      <c r="AB347" s="1" cm="1">
        <f t="array" ref="AB347">IF(N347="USD",1,_xll.BDP(N347&amp;"USD CURNCY","PX_LAST"))</f>
        <v>1</v>
      </c>
      <c r="AC347" s="80">
        <v>670462.93771330302</v>
      </c>
      <c r="AD347" s="81">
        <f t="shared" si="171"/>
        <v>15397181.364586003</v>
      </c>
    </row>
    <row r="348" spans="1:30" x14ac:dyDescent="0.2">
      <c r="A348" s="3"/>
      <c r="C348" s="86" t="str" cm="1">
        <f t="array" ref="C348">_xll.BDP(D348&amp;" Equity","DS520")</f>
        <v>Invesco Short Term Treasury ETF</v>
      </c>
      <c r="D348" s="183" t="s">
        <v>1176</v>
      </c>
      <c r="E348" s="34"/>
      <c r="F348" s="34"/>
      <c r="G348" s="34"/>
      <c r="H348" s="45" t="str" cm="1">
        <f t="array" ref="H348">_xll.BDP(D348&amp;" Equity", "ID_ISIN")</f>
        <v>US46138G8886</v>
      </c>
      <c r="I348" s="34"/>
      <c r="J348" s="34" t="str" cm="1">
        <f t="array" ref="J348">_xll.BDP(D348&amp;" Equity","FD121")</f>
        <v>Fixed Income</v>
      </c>
      <c r="K348" s="111"/>
      <c r="L348" s="111"/>
      <c r="M348" s="34" t="str">
        <f>_xll.BDP(D348&amp;" Equity", "DS197")</f>
        <v>NYSE Arca</v>
      </c>
      <c r="N348" s="45" t="str">
        <f>_xll.BDP(D348&amp;" Equity","DS004")</f>
        <v>USD</v>
      </c>
      <c r="O348" s="111">
        <f>_xll.BDP(D348&amp;" Equity", "FUND_EXPENSE_RATIO")</f>
        <v>0.08</v>
      </c>
      <c r="P348" s="45">
        <f>_xll.BDP(D348&amp;" Equity","PX_LAST")</f>
        <v>105.6</v>
      </c>
      <c r="Q348" s="112">
        <f t="shared" si="169"/>
        <v>0.14955726966098765</v>
      </c>
      <c r="R348" s="112">
        <f t="shared" si="170"/>
        <v>0.14880948331268271</v>
      </c>
      <c r="S348" s="180"/>
      <c r="T348" s="180"/>
      <c r="U348" s="180"/>
      <c r="V348" s="180"/>
      <c r="W348" s="180"/>
      <c r="X348" s="180"/>
      <c r="AB348" s="1" cm="1">
        <f t="array" ref="AB348">IF(N348="USD",1,_xll.BDP(N348&amp;"USD CURNCY","PX_LAST"))</f>
        <v>1</v>
      </c>
      <c r="AC348" s="80">
        <v>144851.65267035001</v>
      </c>
      <c r="AD348" s="81">
        <f t="shared" si="171"/>
        <v>15296334.52198896</v>
      </c>
    </row>
    <row r="349" spans="1:30" x14ac:dyDescent="0.2">
      <c r="A349" s="3"/>
      <c r="C349" s="86" t="str" cm="1">
        <f t="array" ref="C349">_xll.BDP(D349&amp;" Equity","DS520")</f>
        <v>WisdomTree Floating Rate Treasury Fund</v>
      </c>
      <c r="D349" s="183" t="s">
        <v>1177</v>
      </c>
      <c r="E349" s="34"/>
      <c r="F349" s="34"/>
      <c r="G349" s="34"/>
      <c r="H349" s="45" t="str" cm="1">
        <f t="array" ref="H349">_xll.BDP(D349&amp;" Equity", "ID_ISIN")</f>
        <v>US97717Y5270</v>
      </c>
      <c r="I349" s="34"/>
      <c r="J349" s="34" t="str" cm="1">
        <f t="array" ref="J349">_xll.BDP(D349&amp;" Equity","FD121")</f>
        <v>Fixed Income</v>
      </c>
      <c r="K349" s="111"/>
      <c r="L349" s="111"/>
      <c r="M349" s="34" t="str">
        <f>_xll.BDP(D349&amp;" Equity", "DS197")</f>
        <v>NYSE Arca</v>
      </c>
      <c r="N349" s="45" t="str">
        <f>_xll.BDP(D349&amp;" Equity","DS004")</f>
        <v>USD</v>
      </c>
      <c r="O349" s="111">
        <f>_xll.BDP(D349&amp;" Equity", "FUND_EXPENSE_RATIO")</f>
        <v>0.15</v>
      </c>
      <c r="P349" s="45">
        <f>_xll.BDP(D349&amp;" Equity","PX_LAST")</f>
        <v>50.36</v>
      </c>
      <c r="Q349" s="112">
        <f t="shared" si="169"/>
        <v>0.14960649510008264</v>
      </c>
      <c r="R349" s="112">
        <f t="shared" si="170"/>
        <v>0.14885846262458222</v>
      </c>
      <c r="S349" s="180"/>
      <c r="T349" s="180"/>
      <c r="U349" s="180"/>
      <c r="V349" s="180"/>
      <c r="W349" s="180"/>
      <c r="X349" s="180"/>
      <c r="AB349" s="1" cm="1">
        <f t="array" ref="AB349">IF(N349="USD",1,_xll.BDP(N349&amp;"USD CURNCY","PX_LAST"))</f>
        <v>1</v>
      </c>
      <c r="AC349" s="80">
        <v>303839.73736760003</v>
      </c>
      <c r="AD349" s="81">
        <f t="shared" si="171"/>
        <v>15301369.173832336</v>
      </c>
    </row>
    <row r="350" spans="1:30" x14ac:dyDescent="0.2">
      <c r="C350" s="86"/>
      <c r="D350" s="156"/>
      <c r="E350" s="34"/>
      <c r="F350" s="34"/>
      <c r="G350" s="34"/>
      <c r="H350" s="34"/>
      <c r="I350" s="34"/>
      <c r="J350" s="111"/>
      <c r="K350" s="111"/>
      <c r="L350" s="111"/>
      <c r="M350" s="34"/>
      <c r="N350" s="45"/>
      <c r="O350" s="34"/>
      <c r="P350" s="34"/>
      <c r="Q350" s="112"/>
      <c r="R350" s="112"/>
      <c r="S350" s="180"/>
      <c r="T350" s="180"/>
      <c r="U350" s="180"/>
      <c r="V350" s="180"/>
      <c r="W350" s="180"/>
      <c r="X350" s="180"/>
      <c r="AC350" s="40"/>
      <c r="AD350" s="82">
        <f>SUM(AD345:AD349)</f>
        <v>102277438.98148365</v>
      </c>
    </row>
    <row r="351" spans="1:30" x14ac:dyDescent="0.2">
      <c r="C351" s="119"/>
      <c r="D351" s="122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121" t="s">
        <v>81</v>
      </c>
      <c r="Q351" s="107">
        <f>SUM(Q345:Q350)</f>
        <v>0.99999999999999978</v>
      </c>
      <c r="R351" s="107"/>
      <c r="S351" s="162"/>
      <c r="T351" s="162"/>
      <c r="U351" s="162"/>
      <c r="V351" s="162"/>
      <c r="W351" s="162"/>
      <c r="X351" s="162"/>
      <c r="Y351" s="81"/>
    </row>
    <row r="352" spans="1:30" ht="15" thickBot="1" x14ac:dyDescent="0.25"/>
    <row r="353" spans="1:30" x14ac:dyDescent="0.2">
      <c r="Q353" s="129" t="s">
        <v>86</v>
      </c>
      <c r="R353" s="130">
        <v>100000</v>
      </c>
      <c r="S353" s="176"/>
      <c r="T353" s="176"/>
      <c r="W353" s="177"/>
      <c r="X353" s="178"/>
      <c r="Y353" s="40"/>
    </row>
    <row r="354" spans="1:30" x14ac:dyDescent="0.2">
      <c r="Q354" s="132" t="s">
        <v>85</v>
      </c>
      <c r="R354" s="133"/>
      <c r="S354" s="179"/>
      <c r="T354" s="179"/>
      <c r="U354" s="179"/>
      <c r="V354" s="179"/>
      <c r="W354" s="179"/>
      <c r="X354" s="179"/>
      <c r="AC354" s="185" t="s">
        <v>438</v>
      </c>
      <c r="AD354" s="185"/>
    </row>
    <row r="355" spans="1:30" x14ac:dyDescent="0.2">
      <c r="Q355" s="132" t="s">
        <v>88</v>
      </c>
      <c r="R355" s="134">
        <f>(R353-R354)*0.5%</f>
        <v>500</v>
      </c>
      <c r="S355" s="162"/>
      <c r="T355" s="162"/>
      <c r="U355" s="162"/>
      <c r="V355" s="162"/>
      <c r="W355" s="162"/>
      <c r="X355" s="162"/>
      <c r="AB355" s="13" t="s">
        <v>17</v>
      </c>
      <c r="AC355" s="78" t="s">
        <v>18</v>
      </c>
      <c r="AD355" s="79" t="s">
        <v>19</v>
      </c>
    </row>
    <row r="356" spans="1:30" x14ac:dyDescent="0.2">
      <c r="Q356" s="132" t="s">
        <v>87</v>
      </c>
      <c r="R356" s="134">
        <f>R354+R355</f>
        <v>500</v>
      </c>
      <c r="S356" s="180"/>
      <c r="T356" s="180"/>
      <c r="U356" s="180"/>
      <c r="V356" s="180"/>
      <c r="W356" s="180"/>
      <c r="X356" s="180"/>
      <c r="AB356" s="1" cm="1">
        <f t="array" ref="AB356">IF(N362="USD",1,_xll.BDP(N362&amp;"USD CURNCY","PX_LAST"))</f>
        <v>1</v>
      </c>
      <c r="AC356" s="80">
        <v>94397.406884461598</v>
      </c>
      <c r="AD356" s="81">
        <f>AC356*P362*AB356</f>
        <v>59633673.851120926</v>
      </c>
    </row>
    <row r="357" spans="1:30" ht="15" thickBot="1" x14ac:dyDescent="0.25">
      <c r="Q357" s="136" t="s">
        <v>89</v>
      </c>
      <c r="R357" s="137">
        <f>R356/R353</f>
        <v>5.0000000000000001E-3</v>
      </c>
      <c r="S357" s="180"/>
      <c r="T357" s="180"/>
      <c r="U357" s="180"/>
      <c r="V357" s="180"/>
      <c r="W357" s="180"/>
      <c r="X357" s="180"/>
      <c r="AB357" s="1" cm="1">
        <f t="array" ref="AB357">IF(N363="USD",1,_xll.BDP(N363&amp;"USD CURNCY","PX_LAST"))</f>
        <v>1</v>
      </c>
      <c r="AC357" s="80">
        <v>1416839.4859166001</v>
      </c>
      <c r="AD357" s="81">
        <f>AC357*P363*AB357</f>
        <v>60201509.756596342</v>
      </c>
    </row>
    <row r="358" spans="1:30" x14ac:dyDescent="0.2">
      <c r="Q358" s="34"/>
      <c r="R358" s="153"/>
      <c r="S358" s="180"/>
      <c r="T358" s="180"/>
      <c r="U358" s="180"/>
      <c r="V358" s="180"/>
      <c r="W358" s="180"/>
      <c r="X358" s="180"/>
      <c r="AC358" s="80"/>
      <c r="AD358" s="81"/>
    </row>
    <row r="359" spans="1:30" x14ac:dyDescent="0.2">
      <c r="A359" s="76" t="s">
        <v>0</v>
      </c>
      <c r="C359" s="95" t="s">
        <v>1180</v>
      </c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180"/>
      <c r="T359" s="180"/>
      <c r="U359" s="180"/>
      <c r="V359" s="180"/>
      <c r="W359" s="180"/>
      <c r="X359" s="180"/>
      <c r="AB359" s="1" cm="1">
        <f t="array" ref="AB359">IF(N364="USD",1,_xll.BDP(N364&amp;"USD CURNCY","PX_LAST"))</f>
        <v>1</v>
      </c>
      <c r="AC359" s="80">
        <v>1212046.52498156</v>
      </c>
      <c r="AD359" s="81">
        <f>AC359*P364*AB359</f>
        <v>22810715.600152958</v>
      </c>
    </row>
    <row r="360" spans="1:30" x14ac:dyDescent="0.2">
      <c r="A360" s="154" t="s">
        <v>1179</v>
      </c>
      <c r="C360" s="97" t="s">
        <v>5</v>
      </c>
      <c r="D360" s="98" t="s">
        <v>91</v>
      </c>
      <c r="E360" s="98" t="s">
        <v>533</v>
      </c>
      <c r="F360" s="98" t="s">
        <v>534</v>
      </c>
      <c r="G360" s="98" t="s">
        <v>535</v>
      </c>
      <c r="H360" s="98" t="s">
        <v>1426</v>
      </c>
      <c r="I360" s="98"/>
      <c r="J360" s="98" t="s">
        <v>434</v>
      </c>
      <c r="K360" s="98" t="s">
        <v>435</v>
      </c>
      <c r="L360" s="98"/>
      <c r="M360" s="98" t="s">
        <v>9</v>
      </c>
      <c r="N360" s="98" t="s">
        <v>13</v>
      </c>
      <c r="O360" s="98" t="s">
        <v>437</v>
      </c>
      <c r="P360" s="98" t="s">
        <v>14</v>
      </c>
      <c r="Q360" s="99" t="s">
        <v>438</v>
      </c>
      <c r="R360" s="99" t="s">
        <v>536</v>
      </c>
      <c r="S360" s="180"/>
      <c r="T360" s="180"/>
      <c r="U360" s="180"/>
      <c r="V360" s="180"/>
      <c r="W360" s="180"/>
      <c r="X360" s="180"/>
      <c r="AB360" s="1" cm="1">
        <f t="array" ref="AB360">IF(N365="USD",1,_xll.BDP(N365&amp;"USD CURNCY","PX_LAST"))</f>
        <v>1</v>
      </c>
      <c r="AC360" s="80">
        <v>186119.90319228999</v>
      </c>
      <c r="AD360" s="81">
        <f>AC360*P365*AB360</f>
        <v>6979496.3697108747</v>
      </c>
    </row>
    <row r="361" spans="1:30" x14ac:dyDescent="0.2">
      <c r="C361" s="106" t="s">
        <v>1188</v>
      </c>
      <c r="D361" s="45"/>
      <c r="E361" s="34"/>
      <c r="F361" s="34"/>
      <c r="G361" s="34"/>
      <c r="H361" s="34"/>
      <c r="I361" s="34"/>
      <c r="J361" s="34"/>
      <c r="K361" s="34"/>
      <c r="L361" s="155"/>
      <c r="M361" s="34"/>
      <c r="N361" s="34"/>
      <c r="O361" s="34"/>
      <c r="P361" s="34"/>
      <c r="Q361" s="107"/>
      <c r="R361" s="107"/>
      <c r="S361" s="180"/>
      <c r="T361" s="180"/>
      <c r="U361" s="180"/>
      <c r="V361" s="180"/>
      <c r="W361" s="180"/>
      <c r="X361" s="180"/>
      <c r="AB361" s="1" cm="1">
        <f t="array" ref="AB361">IF(N366="USD",1,_xll.BDP(N366&amp;"USD CURNCY","PX_LAST"))</f>
        <v>1</v>
      </c>
      <c r="AC361" s="80">
        <v>1490.21148555133</v>
      </c>
      <c r="AD361" s="81">
        <f>AC361*P366*AB361</f>
        <v>6011185.2861872446</v>
      </c>
    </row>
    <row r="362" spans="1:30" x14ac:dyDescent="0.2">
      <c r="A362" s="3"/>
      <c r="C362" s="86" t="str" cm="1">
        <f t="array" ref="C362">_xll.BDP(D362&amp;" Equity","DS520")</f>
        <v>Vanguard 500 Index Fund</v>
      </c>
      <c r="D362" s="183" t="s">
        <v>1181</v>
      </c>
      <c r="E362" s="34"/>
      <c r="F362" s="34"/>
      <c r="G362" s="34"/>
      <c r="H362" s="45" t="str" cm="1">
        <f t="array" ref="H362">_xll.BDP(D362&amp;" Equity", "ID_ISIN")</f>
        <v>US9229081081</v>
      </c>
      <c r="I362" s="34"/>
      <c r="J362" s="34" t="str" cm="1">
        <f t="array" ref="J362">_xll.BDP(D362&amp;" Equity","FD121")</f>
        <v>Equity</v>
      </c>
      <c r="K362" s="111"/>
      <c r="L362" s="111"/>
      <c r="M362" s="34"/>
      <c r="N362" s="45" t="str">
        <f>_xll.BDP(D362&amp;" Equity","DS004")</f>
        <v>USD</v>
      </c>
      <c r="O362" s="111">
        <f>_xll.BDP(D362&amp;" Equity", "FUND_EXPENSE_RATIO")</f>
        <v>0.14000000000000001</v>
      </c>
      <c r="P362" s="45">
        <f>_xll.BDP(D362&amp;" Equity","PX_LAST")</f>
        <v>631.73</v>
      </c>
      <c r="Q362" s="112">
        <f>AD356/$AD$363</f>
        <v>0.37174538290643594</v>
      </c>
      <c r="R362" s="112">
        <f>Q362*(1-$R$245)</f>
        <v>0.35139232319230856</v>
      </c>
      <c r="S362" s="180"/>
      <c r="T362" s="180"/>
      <c r="U362" s="180"/>
      <c r="V362" s="180"/>
      <c r="W362" s="180"/>
      <c r="X362" s="180"/>
      <c r="AB362" s="1" cm="1">
        <f t="array" ref="AB362">IF(N367="USD",1,_xll.BDP(N367&amp;"USD CURNCY","PX_LAST"))</f>
        <v>1</v>
      </c>
      <c r="AC362" s="80">
        <v>174663.415074527</v>
      </c>
      <c r="AD362" s="81">
        <f>AC362*P367*AB362</f>
        <v>4778791.0364390584</v>
      </c>
    </row>
    <row r="363" spans="1:30" x14ac:dyDescent="0.2">
      <c r="A363" s="3"/>
      <c r="C363" s="86" t="str" cm="1">
        <f t="array" ref="C363">_xll.BDP(D363&amp;" Equity","DS520")</f>
        <v>Vanguard Total International Stock Index Fund</v>
      </c>
      <c r="D363" s="183" t="s">
        <v>1182</v>
      </c>
      <c r="E363" s="34"/>
      <c r="F363" s="34"/>
      <c r="G363" s="34"/>
      <c r="H363" s="45" t="str" cm="1">
        <f t="array" ref="H363">_xll.BDP(D363&amp;" Equity", "ID_ISIN")</f>
        <v>US9219098186</v>
      </c>
      <c r="I363" s="34"/>
      <c r="J363" s="34" t="str" cm="1">
        <f t="array" ref="J363">_xll.BDP(D363&amp;" Equity","FD121")</f>
        <v>Equity</v>
      </c>
      <c r="K363" s="111"/>
      <c r="L363" s="111"/>
      <c r="M363" s="34"/>
      <c r="N363" s="45" t="str">
        <f>_xll.BDP(D363&amp;" Equity","DS004")</f>
        <v>USD</v>
      </c>
      <c r="O363" s="111">
        <f>_xll.BDP(D363&amp;" Equity", "FUND_EXPENSE_RATIO")</f>
        <v>0.09</v>
      </c>
      <c r="P363" s="45">
        <f>_xll.BDP(D363&amp;" Equity","PX_LAST")</f>
        <v>42.49</v>
      </c>
      <c r="Q363" s="112">
        <f>AD357/$AD$363</f>
        <v>0.37528516777087312</v>
      </c>
      <c r="R363" s="112">
        <f t="shared" ref="R363:R367" si="172">Q363*(1-$R$245)</f>
        <v>0.35473830483541785</v>
      </c>
      <c r="S363" s="180"/>
      <c r="T363" s="180"/>
      <c r="U363" s="180"/>
      <c r="V363" s="180"/>
      <c r="W363" s="180"/>
      <c r="X363" s="180"/>
      <c r="AC363" s="40"/>
      <c r="AD363" s="82">
        <f>SUM(AD356:AD362)</f>
        <v>160415371.9002074</v>
      </c>
    </row>
    <row r="364" spans="1:30" x14ac:dyDescent="0.2">
      <c r="A364" s="3"/>
      <c r="C364" s="86" t="str" cm="1">
        <f t="array" ref="C364">_xll.BDP(D364&amp;" Equity","DS520")</f>
        <v>BNY Mellon Sustainable US Equity Fund Inc</v>
      </c>
      <c r="D364" s="183" t="s">
        <v>1183</v>
      </c>
      <c r="E364" s="34"/>
      <c r="F364" s="34"/>
      <c r="G364" s="34"/>
      <c r="H364" s="45" t="str" cm="1">
        <f t="array" ref="H364">_xll.BDP(D364&amp;" Equity", "ID_ISIN")</f>
        <v>US09661D1028</v>
      </c>
      <c r="I364" s="34"/>
      <c r="J364" s="34" t="str" cm="1">
        <f t="array" ref="J364">_xll.BDP(D364&amp;" Equity","FD121")</f>
        <v>Equity</v>
      </c>
      <c r="K364" s="111"/>
      <c r="L364" s="111"/>
      <c r="M364" s="34"/>
      <c r="N364" s="45" t="str">
        <f>_xll.BDP(D364&amp;" Equity","DS004")</f>
        <v>USD</v>
      </c>
      <c r="O364" s="111">
        <f>_xll.BDP(D364&amp;" Equity", "FUND_EXPENSE_RATIO")</f>
        <v>0.95</v>
      </c>
      <c r="P364" s="45">
        <f>_xll.BDP(D364&amp;" Equity","PX_LAST")</f>
        <v>18.82</v>
      </c>
      <c r="Q364" s="112">
        <f>AD359/$AD$363</f>
        <v>0.14219781639345166</v>
      </c>
      <c r="R364" s="112">
        <f t="shared" si="172"/>
        <v>0.13441248594591018</v>
      </c>
      <c r="S364" s="162"/>
      <c r="T364" s="162"/>
      <c r="U364" s="162"/>
      <c r="V364" s="162"/>
      <c r="W364" s="162"/>
      <c r="X364" s="162"/>
      <c r="Y364" s="81"/>
    </row>
    <row r="365" spans="1:30" x14ac:dyDescent="0.2">
      <c r="A365" s="3"/>
      <c r="C365" s="86" t="str" cm="1">
        <f t="array" ref="C365">_xll.BDP(D365&amp;" Equity","DS520")</f>
        <v>Invesco Health Care Fund</v>
      </c>
      <c r="D365" s="183" t="s">
        <v>1184</v>
      </c>
      <c r="E365" s="34"/>
      <c r="F365" s="34"/>
      <c r="G365" s="34"/>
      <c r="H365" s="45" t="str" cm="1">
        <f t="array" ref="H365">_xll.BDP(D365&amp;" Equity", "ID_ISIN")</f>
        <v>US00141T1060</v>
      </c>
      <c r="I365" s="34"/>
      <c r="J365" s="34" t="str" cm="1">
        <f t="array" ref="J365">_xll.BDP(D365&amp;" Equity","FD121")</f>
        <v>Equity</v>
      </c>
      <c r="K365" s="111"/>
      <c r="L365" s="111"/>
      <c r="M365" s="34"/>
      <c r="N365" s="45" t="str">
        <f>_xll.BDP(D365&amp;" Equity","DS004")</f>
        <v>USD</v>
      </c>
      <c r="O365" s="111">
        <f>_xll.BDP(D365&amp;" Equity", "FUND_EXPENSE_RATIO")</f>
        <v>1.07</v>
      </c>
      <c r="P365" s="45">
        <f>_xll.BDP(D365&amp;" Equity","PX_LAST")</f>
        <v>37.5</v>
      </c>
      <c r="Q365" s="112">
        <f>AD360/$AD$363</f>
        <v>4.3508899970339132E-2</v>
      </c>
      <c r="R365" s="112">
        <f t="shared" si="172"/>
        <v>4.1126787696963069E-2</v>
      </c>
    </row>
    <row r="366" spans="1:30" x14ac:dyDescent="0.2">
      <c r="A366" s="3"/>
      <c r="C366" s="86" t="str" cm="1">
        <f t="array" ref="C366">_xll.BDP(D366&amp;" Equity","DS520")</f>
        <v>S&amp;P Emerging 50 ADR Index (USD)</v>
      </c>
      <c r="D366" s="183" t="s">
        <v>1185</v>
      </c>
      <c r="E366" s="34"/>
      <c r="F366" s="34"/>
      <c r="G366" s="34"/>
      <c r="H366" s="45"/>
      <c r="I366" s="34"/>
      <c r="J366" s="34"/>
      <c r="K366" s="111"/>
      <c r="L366" s="111"/>
      <c r="M366" s="34"/>
      <c r="N366" s="45" t="str">
        <f>_xll.BDP(D366&amp;" Equity","DS004")</f>
        <v>USD</v>
      </c>
      <c r="O366" s="111"/>
      <c r="P366" s="45">
        <f>_xll.BDP(D366&amp;" Equity","PX_LAST")</f>
        <v>4033.78</v>
      </c>
      <c r="Q366" s="112">
        <f>AD361/$AD$363</f>
        <v>3.7472626313684795E-2</v>
      </c>
      <c r="R366" s="112">
        <f t="shared" si="172"/>
        <v>3.5421000023010553E-2</v>
      </c>
      <c r="T366" s="131"/>
      <c r="V366" s="131"/>
      <c r="X366" s="131"/>
    </row>
    <row r="367" spans="1:30" x14ac:dyDescent="0.2">
      <c r="C367" s="86" t="str" cm="1">
        <f t="array" ref="C367">_xll.BDP(D367&amp;" Equity","DS520")</f>
        <v>Credit Suisse Commodity Return Strategy Fund</v>
      </c>
      <c r="D367" s="183" t="s">
        <v>1186</v>
      </c>
      <c r="E367" s="34"/>
      <c r="F367" s="34"/>
      <c r="G367" s="34"/>
      <c r="H367" s="45" t="str" cm="1">
        <f t="array" ref="H367">_xll.BDP(D367&amp;" Equity", "ID_ISIN")</f>
        <v>US22544R1077</v>
      </c>
      <c r="I367" s="34"/>
      <c r="J367" s="34" t="str" cm="1">
        <f t="array" ref="J367">_xll.BDP(D367&amp;" Equity","FD121")</f>
        <v>Commodity</v>
      </c>
      <c r="K367" s="111"/>
      <c r="L367" s="111"/>
      <c r="M367" s="34"/>
      <c r="N367" s="45" t="str">
        <f>_xll.BDP(D367&amp;" Equity","DS004")</f>
        <v>USD</v>
      </c>
      <c r="O367" s="111">
        <f>_xll.BDP(D367&amp;" Equity", "FUND_EXPENSE_RATIO")</f>
        <v>1.05</v>
      </c>
      <c r="P367" s="45">
        <f>_xll.BDP(D367&amp;" Equity","PX_LAST")</f>
        <v>27.36</v>
      </c>
      <c r="Q367" s="112">
        <f>AD362/$AD$363</f>
        <v>2.979010664521534E-2</v>
      </c>
      <c r="R367" s="112">
        <f t="shared" si="172"/>
        <v>2.8159098306389799E-2</v>
      </c>
      <c r="T367" s="131"/>
      <c r="V367" s="131"/>
      <c r="X367" s="131"/>
    </row>
    <row r="368" spans="1:30" x14ac:dyDescent="0.2">
      <c r="C368" s="86"/>
      <c r="D368" s="156"/>
      <c r="E368" s="34"/>
      <c r="F368" s="34"/>
      <c r="G368" s="34"/>
      <c r="H368" s="34"/>
      <c r="I368" s="34"/>
      <c r="J368" s="111"/>
      <c r="K368" s="111"/>
      <c r="L368" s="111"/>
      <c r="M368" s="34"/>
      <c r="N368" s="45"/>
      <c r="O368" s="34"/>
      <c r="P368" s="34"/>
      <c r="Q368" s="112"/>
      <c r="R368" s="112"/>
      <c r="T368" s="135"/>
      <c r="V368" s="135"/>
      <c r="X368" s="135"/>
    </row>
    <row r="369" spans="1:30" x14ac:dyDescent="0.2">
      <c r="C369" s="119"/>
      <c r="D369" s="122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121" t="s">
        <v>81</v>
      </c>
      <c r="Q369" s="107">
        <f>SUM(Q362:Q367)</f>
        <v>0.99999999999999989</v>
      </c>
      <c r="R369" s="107"/>
      <c r="T369" s="135"/>
      <c r="V369" s="135"/>
      <c r="X369" s="135"/>
    </row>
    <row r="370" spans="1:30" ht="15" thickBot="1" x14ac:dyDescent="0.25">
      <c r="T370" s="138"/>
      <c r="V370" s="138"/>
      <c r="X370" s="138"/>
    </row>
    <row r="371" spans="1:30" x14ac:dyDescent="0.2">
      <c r="Q371" s="129" t="s">
        <v>86</v>
      </c>
      <c r="R371" s="130">
        <v>100000</v>
      </c>
    </row>
    <row r="372" spans="1:30" x14ac:dyDescent="0.2">
      <c r="Q372" s="132" t="s">
        <v>85</v>
      </c>
      <c r="R372" s="133">
        <v>5000</v>
      </c>
      <c r="S372" s="176"/>
      <c r="T372" s="176"/>
      <c r="W372" s="177"/>
      <c r="X372" s="178"/>
      <c r="Y372" s="40"/>
    </row>
    <row r="373" spans="1:30" x14ac:dyDescent="0.2">
      <c r="Q373" s="132" t="s">
        <v>88</v>
      </c>
      <c r="R373" s="134">
        <f>(R371-R372)*0.5%</f>
        <v>475</v>
      </c>
      <c r="S373" s="179"/>
      <c r="T373" s="179"/>
      <c r="U373" s="179"/>
      <c r="V373" s="179"/>
      <c r="W373" s="179"/>
      <c r="X373" s="179"/>
      <c r="AC373" s="185" t="s">
        <v>438</v>
      </c>
      <c r="AD373" s="185"/>
    </row>
    <row r="374" spans="1:30" x14ac:dyDescent="0.2">
      <c r="Q374" s="132" t="s">
        <v>87</v>
      </c>
      <c r="R374" s="134">
        <f>R372+R373</f>
        <v>5475</v>
      </c>
      <c r="S374" s="162"/>
      <c r="T374" s="162"/>
      <c r="U374" s="162"/>
      <c r="V374" s="162"/>
      <c r="W374" s="162"/>
      <c r="X374" s="162"/>
      <c r="AB374" s="13" t="s">
        <v>17</v>
      </c>
      <c r="AC374" s="78" t="s">
        <v>18</v>
      </c>
      <c r="AD374" s="79" t="s">
        <v>19</v>
      </c>
    </row>
    <row r="375" spans="1:30" ht="15" thickBot="1" x14ac:dyDescent="0.25">
      <c r="Q375" s="136" t="s">
        <v>89</v>
      </c>
      <c r="R375" s="137">
        <f>R374/R371</f>
        <v>5.475E-2</v>
      </c>
      <c r="S375" s="180"/>
      <c r="T375" s="180"/>
      <c r="U375" s="180"/>
      <c r="V375" s="180"/>
      <c r="W375" s="180"/>
      <c r="X375" s="180"/>
      <c r="AB375" s="1" cm="1">
        <f t="array" ref="AB375">IF(N380="USD",1,_xll.BDP(N380&amp;"USD CURNCY","PX_LAST"))</f>
        <v>1</v>
      </c>
      <c r="AC375" s="80">
        <v>67859.940587683595</v>
      </c>
      <c r="AD375" s="81">
        <f t="shared" ref="AD375:AD384" si="173">AC375*P380*AB375</f>
        <v>42869160.267457359</v>
      </c>
    </row>
    <row r="376" spans="1:30" x14ac:dyDescent="0.2">
      <c r="S376" s="180"/>
      <c r="T376" s="180"/>
      <c r="U376" s="180"/>
      <c r="V376" s="180"/>
      <c r="W376" s="180"/>
      <c r="X376" s="180"/>
      <c r="AB376" s="1" cm="1">
        <f t="array" ref="AB376">IF(N381="USD",1,_xll.BDP(N381&amp;"USD CURNCY","PX_LAST"))</f>
        <v>1</v>
      </c>
      <c r="AC376" s="80">
        <v>1019733.27572329</v>
      </c>
      <c r="AD376" s="81">
        <f t="shared" si="173"/>
        <v>43328466.885482594</v>
      </c>
    </row>
    <row r="377" spans="1:30" x14ac:dyDescent="0.2">
      <c r="A377" s="76" t="s">
        <v>0</v>
      </c>
      <c r="C377" s="95" t="s">
        <v>1187</v>
      </c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180"/>
      <c r="T377" s="180"/>
      <c r="U377" s="180"/>
      <c r="V377" s="180"/>
      <c r="W377" s="180"/>
      <c r="X377" s="180"/>
      <c r="AB377" s="1" cm="1">
        <f t="array" ref="AB377">IF(N382="USD",1,_xll.BDP(N382&amp;"USD CURNCY","PX_LAST"))</f>
        <v>1</v>
      </c>
      <c r="AC377" s="80">
        <v>856770.09195111506</v>
      </c>
      <c r="AD377" s="81">
        <f t="shared" si="173"/>
        <v>16124413.130519986</v>
      </c>
    </row>
    <row r="378" spans="1:30" x14ac:dyDescent="0.2">
      <c r="A378" s="154" t="s">
        <v>1179</v>
      </c>
      <c r="C378" s="97" t="s">
        <v>5</v>
      </c>
      <c r="D378" s="98" t="s">
        <v>91</v>
      </c>
      <c r="E378" s="98" t="s">
        <v>533</v>
      </c>
      <c r="F378" s="98" t="s">
        <v>534</v>
      </c>
      <c r="G378" s="98" t="s">
        <v>535</v>
      </c>
      <c r="H378" s="98"/>
      <c r="I378" s="98"/>
      <c r="J378" s="98" t="s">
        <v>434</v>
      </c>
      <c r="K378" s="98" t="s">
        <v>435</v>
      </c>
      <c r="L378" s="98"/>
      <c r="M378" s="98" t="s">
        <v>9</v>
      </c>
      <c r="N378" s="98" t="s">
        <v>13</v>
      </c>
      <c r="O378" s="98" t="s">
        <v>437</v>
      </c>
      <c r="P378" s="98" t="s">
        <v>14</v>
      </c>
      <c r="Q378" s="99" t="s">
        <v>438</v>
      </c>
      <c r="R378" s="99" t="s">
        <v>536</v>
      </c>
      <c r="S378" s="180"/>
      <c r="T378" s="180"/>
      <c r="U378" s="180"/>
      <c r="V378" s="180"/>
      <c r="W378" s="180"/>
      <c r="X378" s="180"/>
      <c r="AB378" s="1" cm="1">
        <f t="array" ref="AB378">IF(N383="USD",1,_xll.BDP(N383&amp;"USD CURNCY","PX_LAST"))</f>
        <v>1</v>
      </c>
      <c r="AC378" s="80">
        <v>187509.029045212</v>
      </c>
      <c r="AD378" s="81">
        <f t="shared" si="173"/>
        <v>12944667.069233304</v>
      </c>
    </row>
    <row r="379" spans="1:30" x14ac:dyDescent="0.2">
      <c r="C379" s="106" t="s">
        <v>1188</v>
      </c>
      <c r="D379" s="45"/>
      <c r="E379" s="34"/>
      <c r="F379" s="34"/>
      <c r="G379" s="34"/>
      <c r="H379" s="34"/>
      <c r="I379" s="34"/>
      <c r="J379" s="34"/>
      <c r="K379" s="34"/>
      <c r="L379" s="155"/>
      <c r="M379" s="34"/>
      <c r="N379" s="34"/>
      <c r="O379" s="34"/>
      <c r="P379" s="34"/>
      <c r="Q379" s="107"/>
      <c r="R379" s="107"/>
      <c r="S379" s="180"/>
      <c r="T379" s="180"/>
      <c r="U379" s="180"/>
      <c r="V379" s="180"/>
      <c r="W379" s="180"/>
      <c r="X379" s="180"/>
      <c r="AB379" s="1" cm="1">
        <f t="array" ref="AB379">IF(N384="USD",1,_xll.BDP(N384&amp;"USD CURNCY","PX_LAST"))</f>
        <v>1</v>
      </c>
      <c r="AC379" s="80">
        <v>652050.10337239003</v>
      </c>
      <c r="AD379" s="81">
        <f t="shared" si="173"/>
        <v>9272152.4699553866</v>
      </c>
    </row>
    <row r="380" spans="1:30" x14ac:dyDescent="0.2">
      <c r="A380" s="3"/>
      <c r="C380" s="86" t="str" cm="1">
        <f t="array" ref="C380">_xll.BDP(D380&amp;" Equity","DS520")</f>
        <v>Vanguard 500 Index Fund</v>
      </c>
      <c r="D380" s="183" t="s">
        <v>1181</v>
      </c>
      <c r="E380" s="34"/>
      <c r="F380" s="34"/>
      <c r="G380" s="34"/>
      <c r="H380" s="34"/>
      <c r="I380" s="34"/>
      <c r="J380" s="34" t="str" cm="1">
        <f t="array" ref="J380">_xll.BDP(D380&amp;" Equity","FD121")</f>
        <v>Equity</v>
      </c>
      <c r="K380" s="111"/>
      <c r="L380" s="111"/>
      <c r="M380" s="34"/>
      <c r="N380" s="45" t="str">
        <f>_xll.BDP(D380&amp;" Equity","DS004")</f>
        <v>USD</v>
      </c>
      <c r="O380" s="111">
        <f>_xll.BDP(D380&amp;" Equity", "FUND_EXPENSE_RATIO")</f>
        <v>0.14000000000000001</v>
      </c>
      <c r="P380" s="45">
        <f>_xll.BDP(D380&amp;" Equity","PX_LAST")</f>
        <v>631.73</v>
      </c>
      <c r="Q380" s="112">
        <f t="shared" ref="Q380:Q389" si="174">AD375/$AD$385</f>
        <v>0.29323932405758973</v>
      </c>
      <c r="R380" s="112">
        <f>Q380*(1-$R$245)</f>
        <v>0.2771844710654367</v>
      </c>
      <c r="S380" s="180"/>
      <c r="T380" s="180"/>
      <c r="U380" s="180"/>
      <c r="V380" s="180"/>
      <c r="W380" s="180"/>
      <c r="X380" s="180"/>
      <c r="AB380" s="1" cm="1">
        <f t="array" ref="AB380">IF(N385="USD",1,_xll.BDP(N385&amp;"USD CURNCY","PX_LAST"))</f>
        <v>1</v>
      </c>
      <c r="AC380" s="80">
        <v>714203.23048403498</v>
      </c>
      <c r="AD380" s="81">
        <f t="shared" si="173"/>
        <v>5235109.6794479769</v>
      </c>
    </row>
    <row r="381" spans="1:30" x14ac:dyDescent="0.2">
      <c r="A381" s="3"/>
      <c r="C381" s="86" t="str" cm="1">
        <f t="array" ref="C381">_xll.BDP(D381&amp;" Equity","DS520")</f>
        <v>Vanguard Total International Stock Index Fund</v>
      </c>
      <c r="D381" s="183" t="s">
        <v>1182</v>
      </c>
      <c r="E381" s="34"/>
      <c r="F381" s="34"/>
      <c r="G381" s="34"/>
      <c r="H381" s="34"/>
      <c r="I381" s="34"/>
      <c r="J381" s="34" t="str" cm="1">
        <f t="array" ref="J381">_xll.BDP(D381&amp;" Equity","FD121")</f>
        <v>Equity</v>
      </c>
      <c r="K381" s="111"/>
      <c r="L381" s="111"/>
      <c r="M381" s="34"/>
      <c r="N381" s="45" t="str">
        <f>_xll.BDP(D381&amp;" Equity","DS004")</f>
        <v>USD</v>
      </c>
      <c r="O381" s="111">
        <f>_xll.BDP(D381&amp;" Equity", "FUND_EXPENSE_RATIO")</f>
        <v>0.09</v>
      </c>
      <c r="P381" s="45">
        <f>_xll.BDP(D381&amp;" Equity","PX_LAST")</f>
        <v>42.49</v>
      </c>
      <c r="Q381" s="112">
        <f t="shared" si="174"/>
        <v>0.2963811341925352</v>
      </c>
      <c r="R381" s="112">
        <f t="shared" ref="R381:R389" si="175">Q381*(1-$R$245)</f>
        <v>0.2801542670954939</v>
      </c>
      <c r="S381" s="180"/>
      <c r="T381" s="180"/>
      <c r="U381" s="180"/>
      <c r="V381" s="180"/>
      <c r="W381" s="180"/>
      <c r="X381" s="180"/>
      <c r="AB381" s="1" cm="1">
        <f t="array" ref="AB381">IF(N386="USD",1,_xll.BDP(N386&amp;"USD CURNCY","PX_LAST"))</f>
        <v>1</v>
      </c>
      <c r="AC381" s="80">
        <v>133785.4432564</v>
      </c>
      <c r="AD381" s="81">
        <f t="shared" si="173"/>
        <v>5016954.1221150002</v>
      </c>
    </row>
    <row r="382" spans="1:30" x14ac:dyDescent="0.2">
      <c r="A382" s="3"/>
      <c r="C382" s="86" t="str" cm="1">
        <f t="array" ref="C382">_xll.BDP(D382&amp;" Equity","DS520")</f>
        <v>BNY Mellon Sustainable US Equity Fund Inc</v>
      </c>
      <c r="D382" s="183" t="s">
        <v>1183</v>
      </c>
      <c r="E382" s="34"/>
      <c r="F382" s="34"/>
      <c r="G382" s="34"/>
      <c r="H382" s="34"/>
      <c r="I382" s="34"/>
      <c r="J382" s="34" t="str" cm="1">
        <f t="array" ref="J382">_xll.BDP(D382&amp;" Equity","FD121")</f>
        <v>Equity</v>
      </c>
      <c r="K382" s="111"/>
      <c r="L382" s="111"/>
      <c r="M382" s="34"/>
      <c r="N382" s="45" t="str">
        <f>_xll.BDP(D382&amp;" Equity","DS004")</f>
        <v>USD</v>
      </c>
      <c r="O382" s="111">
        <f>_xll.BDP(D382&amp;" Equity", "FUND_EXPENSE_RATIO")</f>
        <v>0.95</v>
      </c>
      <c r="P382" s="45">
        <f>_xll.BDP(D382&amp;" Equity","PX_LAST")</f>
        <v>18.82</v>
      </c>
      <c r="Q382" s="112">
        <f t="shared" si="174"/>
        <v>0.11029635238291197</v>
      </c>
      <c r="R382" s="112">
        <f t="shared" si="175"/>
        <v>0.10425762708994754</v>
      </c>
      <c r="S382" s="180"/>
      <c r="T382" s="180"/>
      <c r="U382" s="180"/>
      <c r="V382" s="180"/>
      <c r="W382" s="180"/>
      <c r="X382" s="180"/>
      <c r="AB382" s="1" cm="1">
        <f t="array" ref="AB382">IF(N387="USD",1,_xll.BDP(N387&amp;"USD CURNCY","PX_LAST"))</f>
        <v>1</v>
      </c>
      <c r="AC382" s="80">
        <v>1072.2559430218</v>
      </c>
      <c r="AD382" s="81">
        <f t="shared" si="173"/>
        <v>4325244.5778424768</v>
      </c>
    </row>
    <row r="383" spans="1:30" x14ac:dyDescent="0.2">
      <c r="A383" s="3"/>
      <c r="C383" s="86" t="str" cm="1">
        <f t="array" ref="C383">_xll.BDP(D383&amp;" Equity","DS520")</f>
        <v>Vanguard Total World Bond ETF</v>
      </c>
      <c r="D383" s="183" t="s">
        <v>1189</v>
      </c>
      <c r="E383" s="34"/>
      <c r="F383" s="34"/>
      <c r="G383" s="34"/>
      <c r="H383" s="34"/>
      <c r="I383" s="34"/>
      <c r="J383" s="34" t="str" cm="1">
        <f t="array" ref="J383">_xll.BDP(D383&amp;" Equity","FD121")</f>
        <v>Fixed Income</v>
      </c>
      <c r="K383" s="111"/>
      <c r="L383" s="111"/>
      <c r="M383" s="34"/>
      <c r="N383" s="45" t="str">
        <f>_xll.BDP(D383&amp;" Equity","DS004")</f>
        <v>USD</v>
      </c>
      <c r="O383" s="111">
        <f>_xll.BDP(D383&amp;" Equity", "FUND_EXPENSE_RATIO")</f>
        <v>0.05</v>
      </c>
      <c r="P383" s="45">
        <f>_xll.BDP(D383&amp;" Equity","PX_LAST")</f>
        <v>69.034899999999993</v>
      </c>
      <c r="Q383" s="112">
        <f t="shared" si="174"/>
        <v>8.8545831032151814E-2</v>
      </c>
      <c r="R383" s="112">
        <f t="shared" si="175"/>
        <v>8.3697946783141505E-2</v>
      </c>
      <c r="S383" s="180"/>
      <c r="T383" s="180"/>
      <c r="U383" s="180"/>
      <c r="V383" s="180"/>
      <c r="W383" s="180"/>
      <c r="X383" s="180"/>
      <c r="AB383" s="1" cm="1">
        <f t="array" ref="AB383">IF(N388="USD",1,_xll.BDP(N388&amp;"USD CURNCY","PX_LAST"))</f>
        <v>1</v>
      </c>
      <c r="AC383" s="80">
        <v>411957.36186088598</v>
      </c>
      <c r="AD383" s="81">
        <f t="shared" si="173"/>
        <v>3682898.8150363206</v>
      </c>
    </row>
    <row r="384" spans="1:30" x14ac:dyDescent="0.2">
      <c r="A384" s="3"/>
      <c r="C384" s="86" t="str" cm="1">
        <f t="array" ref="C384">_xll.BDP(D384&amp;" Equity","DS520")</f>
        <v>PIMCO Long-Term US Government Fund</v>
      </c>
      <c r="D384" s="183" t="s">
        <v>1190</v>
      </c>
      <c r="E384" s="34"/>
      <c r="F384" s="34"/>
      <c r="G384" s="34"/>
      <c r="H384" s="34"/>
      <c r="I384" s="34"/>
      <c r="J384" s="34" t="str" cm="1">
        <f t="array" ref="J384">_xll.BDP(D384&amp;" Equity","FD121")</f>
        <v>Fixed Income</v>
      </c>
      <c r="K384" s="111"/>
      <c r="L384" s="111"/>
      <c r="M384" s="34"/>
      <c r="N384" s="45" t="str">
        <f>_xll.BDP(D384&amp;" Equity","DS004")</f>
        <v>USD</v>
      </c>
      <c r="O384" s="111">
        <f>_xll.BDP(D384&amp;" Equity", "FUND_EXPENSE_RATIO")</f>
        <v>4.0049999999999999</v>
      </c>
      <c r="P384" s="45">
        <f>_xll.BDP(D384&amp;" Equity","PX_LAST")</f>
        <v>14.22</v>
      </c>
      <c r="Q384" s="112">
        <f t="shared" si="174"/>
        <v>6.3424608876993402E-2</v>
      </c>
      <c r="R384" s="112">
        <f t="shared" si="175"/>
        <v>5.9952111540978015E-2</v>
      </c>
      <c r="S384" s="180"/>
      <c r="T384" s="180"/>
      <c r="U384" s="180"/>
      <c r="V384" s="180"/>
      <c r="W384" s="180"/>
      <c r="X384" s="180"/>
      <c r="AB384" s="1" cm="1">
        <f t="array" ref="AB384">IF(N389="USD",1,_xll.BDP(N389&amp;"USD CURNCY","PX_LAST"))</f>
        <v>1</v>
      </c>
      <c r="AC384" s="80">
        <v>124000.36382032</v>
      </c>
      <c r="AD384" s="81">
        <f t="shared" si="173"/>
        <v>3392649.9541239552</v>
      </c>
    </row>
    <row r="385" spans="1:30" x14ac:dyDescent="0.2">
      <c r="A385" s="3"/>
      <c r="C385" s="86" t="str" cm="1">
        <f t="array" ref="C385">_xll.BDP(D385&amp;" Equity","DS520")</f>
        <v>Fidelity Investment Grade Bond Fund</v>
      </c>
      <c r="D385" s="183" t="s">
        <v>1191</v>
      </c>
      <c r="E385" s="34"/>
      <c r="F385" s="34"/>
      <c r="G385" s="34"/>
      <c r="H385" s="34"/>
      <c r="I385" s="34"/>
      <c r="J385" s="34" t="str" cm="1">
        <f t="array" ref="J385">_xll.BDP(D385&amp;" Equity","FD121")</f>
        <v>Fixed Income</v>
      </c>
      <c r="K385" s="111"/>
      <c r="L385" s="111"/>
      <c r="M385" s="34"/>
      <c r="N385" s="45" t="str">
        <f>_xll.BDP(D385&amp;" Equity","DS004")</f>
        <v>USD</v>
      </c>
      <c r="O385" s="111">
        <f>_xll.BDP(D385&amp;" Equity", "FUND_EXPENSE_RATIO")</f>
        <v>0.45</v>
      </c>
      <c r="P385" s="45">
        <f>_xll.BDP(D385&amp;" Equity","PX_LAST")</f>
        <v>7.33</v>
      </c>
      <c r="Q385" s="112">
        <f t="shared" si="174"/>
        <v>3.5809892570581058E-2</v>
      </c>
      <c r="R385" s="112">
        <f t="shared" si="175"/>
        <v>3.3849300952341746E-2</v>
      </c>
      <c r="S385" s="180"/>
      <c r="T385" s="180"/>
      <c r="U385" s="180"/>
      <c r="V385" s="180"/>
      <c r="W385" s="180"/>
      <c r="X385" s="180"/>
      <c r="AC385" s="40"/>
      <c r="AD385" s="82">
        <f>SUM(AD375:AD384)</f>
        <v>146191716.97121432</v>
      </c>
    </row>
    <row r="386" spans="1:30" x14ac:dyDescent="0.2">
      <c r="A386" s="3"/>
      <c r="C386" s="86" t="str" cm="1">
        <f t="array" ref="C386">_xll.BDP(D386&amp;" Equity","DS520")</f>
        <v>Invesco Health Care Fund</v>
      </c>
      <c r="D386" s="183" t="s">
        <v>1184</v>
      </c>
      <c r="E386" s="34"/>
      <c r="F386" s="34"/>
      <c r="G386" s="34"/>
      <c r="H386" s="34"/>
      <c r="I386" s="34"/>
      <c r="J386" s="34" t="str" cm="1">
        <f t="array" ref="J386">_xll.BDP(D386&amp;" Equity","FD121")</f>
        <v>Equity</v>
      </c>
      <c r="K386" s="111"/>
      <c r="L386" s="111"/>
      <c r="M386" s="34"/>
      <c r="N386" s="45" t="str">
        <f>_xll.BDP(D386&amp;" Equity","DS004")</f>
        <v>USD</v>
      </c>
      <c r="O386" s="111">
        <f>_xll.BDP(D386&amp;" Equity", "FUND_EXPENSE_RATIO")</f>
        <v>1.07</v>
      </c>
      <c r="P386" s="45">
        <f>_xll.BDP(D386&amp;" Equity","PX_LAST")</f>
        <v>37.5</v>
      </c>
      <c r="Q386" s="112">
        <f t="shared" si="174"/>
        <v>3.4317635951309447E-2</v>
      </c>
      <c r="R386" s="112">
        <f t="shared" si="175"/>
        <v>3.2438745382975254E-2</v>
      </c>
      <c r="S386" s="162"/>
      <c r="T386" s="162"/>
      <c r="U386" s="162"/>
      <c r="V386" s="162"/>
      <c r="W386" s="162"/>
      <c r="X386" s="162"/>
      <c r="Y386" s="81"/>
    </row>
    <row r="387" spans="1:30" x14ac:dyDescent="0.2">
      <c r="A387" s="3"/>
      <c r="C387" s="86" t="str" cm="1">
        <f t="array" ref="C387">_xll.BDP(D387&amp;" Equity","DS520")</f>
        <v>S&amp;P Emerging 50 ADR Index (USD)</v>
      </c>
      <c r="D387" s="183" t="s">
        <v>1185</v>
      </c>
      <c r="E387" s="34"/>
      <c r="F387" s="34"/>
      <c r="G387" s="34"/>
      <c r="H387" s="34"/>
      <c r="I387" s="34"/>
      <c r="J387" s="34"/>
      <c r="K387" s="111"/>
      <c r="L387" s="111"/>
      <c r="M387" s="34"/>
      <c r="N387" s="45" t="str">
        <f>_xll.BDP(D387&amp;" Equity","DS004")</f>
        <v>USD</v>
      </c>
      <c r="O387" s="111"/>
      <c r="P387" s="45">
        <f>_xll.BDP(D387&amp;" Equity","PX_LAST")</f>
        <v>4033.78</v>
      </c>
      <c r="Q387" s="112">
        <f t="shared" si="174"/>
        <v>2.9586112451871215E-2</v>
      </c>
      <c r="R387" s="112">
        <f t="shared" si="175"/>
        <v>2.7966272795131267E-2</v>
      </c>
    </row>
    <row r="388" spans="1:30" x14ac:dyDescent="0.2">
      <c r="A388" s="3"/>
      <c r="C388" s="86" t="str" cm="1">
        <f t="array" ref="C388">_xll.BDP(D388&amp;" Equity","DS520")</f>
        <v>American Funds Mortgage Fund</v>
      </c>
      <c r="D388" s="183" t="s">
        <v>1192</v>
      </c>
      <c r="E388" s="34"/>
      <c r="F388" s="34"/>
      <c r="G388" s="34"/>
      <c r="H388" s="34"/>
      <c r="I388" s="34"/>
      <c r="J388" s="34" t="str" cm="1">
        <f t="array" ref="J388">_xll.BDP(D388&amp;" Equity","FD121")</f>
        <v>Fixed Income</v>
      </c>
      <c r="K388" s="111"/>
      <c r="L388" s="111"/>
      <c r="M388" s="34"/>
      <c r="N388" s="45" t="str">
        <f>_xll.BDP(D388&amp;" Equity","DS004")</f>
        <v>USD</v>
      </c>
      <c r="O388" s="111">
        <f>_xll.BDP(D388&amp;" Equity", "FUND_EXPENSE_RATIO")</f>
        <v>0.68</v>
      </c>
      <c r="P388" s="45">
        <f>_xll.BDP(D388&amp;" Equity","PX_LAST")</f>
        <v>8.94</v>
      </c>
      <c r="Q388" s="112">
        <f t="shared" si="174"/>
        <v>2.5192253647048257E-2</v>
      </c>
      <c r="R388" s="112">
        <f t="shared" si="175"/>
        <v>2.3812977759872365E-2</v>
      </c>
      <c r="T388" s="131"/>
      <c r="V388" s="131"/>
      <c r="X388" s="131"/>
    </row>
    <row r="389" spans="1:30" x14ac:dyDescent="0.2">
      <c r="C389" s="86" t="str" cm="1">
        <f t="array" ref="C389">_xll.BDP(D389&amp;" Equity","DS520")</f>
        <v>Credit Suisse Commodity Return Strategy Fund</v>
      </c>
      <c r="D389" s="183" t="s">
        <v>1186</v>
      </c>
      <c r="E389" s="34"/>
      <c r="F389" s="34"/>
      <c r="G389" s="34"/>
      <c r="H389" s="34"/>
      <c r="I389" s="34"/>
      <c r="J389" s="34" t="str" cm="1">
        <f t="array" ref="J389">_xll.BDP(D389&amp;" Equity","FD121")</f>
        <v>Commodity</v>
      </c>
      <c r="K389" s="111"/>
      <c r="L389" s="111"/>
      <c r="M389" s="34"/>
      <c r="N389" s="45" t="str">
        <f>_xll.BDP(D389&amp;" Equity","DS004")</f>
        <v>USD</v>
      </c>
      <c r="O389" s="111">
        <f>_xll.BDP(D389&amp;" Equity", "FUND_EXPENSE_RATIO")</f>
        <v>1.05</v>
      </c>
      <c r="P389" s="45">
        <f>_xll.BDP(D389&amp;" Equity","PX_LAST")</f>
        <v>27.36</v>
      </c>
      <c r="Q389" s="112">
        <f t="shared" si="174"/>
        <v>2.3206854837008174E-2</v>
      </c>
      <c r="R389" s="112">
        <f t="shared" si="175"/>
        <v>2.1936279534681975E-2</v>
      </c>
      <c r="T389" s="131"/>
      <c r="V389" s="131"/>
      <c r="X389" s="131"/>
    </row>
    <row r="390" spans="1:30" x14ac:dyDescent="0.2">
      <c r="C390" s="86"/>
      <c r="D390" s="156"/>
      <c r="E390" s="34"/>
      <c r="F390" s="34"/>
      <c r="G390" s="34"/>
      <c r="H390" s="34"/>
      <c r="I390" s="34"/>
      <c r="J390" s="111"/>
      <c r="K390" s="111"/>
      <c r="L390" s="111"/>
      <c r="M390" s="34"/>
      <c r="N390" s="45"/>
      <c r="O390" s="34"/>
      <c r="P390" s="34"/>
      <c r="Q390" s="112"/>
      <c r="R390" s="112"/>
      <c r="T390" s="135"/>
      <c r="V390" s="135"/>
      <c r="X390" s="135"/>
    </row>
    <row r="391" spans="1:30" x14ac:dyDescent="0.2">
      <c r="C391" s="119"/>
      <c r="D391" s="122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121" t="s">
        <v>81</v>
      </c>
      <c r="Q391" s="107">
        <f>SUM(Q380:Q389)</f>
        <v>1.0000000000000004</v>
      </c>
      <c r="R391" s="107"/>
      <c r="T391" s="135"/>
      <c r="V391" s="135"/>
      <c r="X391" s="135"/>
    </row>
    <row r="392" spans="1:30" ht="15" thickBot="1" x14ac:dyDescent="0.25">
      <c r="T392" s="138"/>
      <c r="V392" s="138"/>
      <c r="X392" s="138"/>
    </row>
    <row r="393" spans="1:30" x14ac:dyDescent="0.2">
      <c r="Q393" s="129" t="s">
        <v>86</v>
      </c>
      <c r="R393" s="130">
        <v>100000</v>
      </c>
    </row>
    <row r="394" spans="1:30" x14ac:dyDescent="0.2">
      <c r="Q394" s="132" t="s">
        <v>85</v>
      </c>
      <c r="R394" s="133">
        <v>5000</v>
      </c>
      <c r="S394" s="176"/>
      <c r="T394" s="176"/>
      <c r="W394" s="177"/>
      <c r="X394" s="178"/>
      <c r="Y394" s="40"/>
    </row>
    <row r="395" spans="1:30" x14ac:dyDescent="0.2">
      <c r="Q395" s="132" t="s">
        <v>88</v>
      </c>
      <c r="R395" s="134">
        <f>(R393-R394)*0.5%</f>
        <v>475</v>
      </c>
      <c r="S395" s="179"/>
      <c r="T395" s="179"/>
      <c r="U395" s="179"/>
      <c r="V395" s="179"/>
      <c r="W395" s="179"/>
      <c r="X395" s="179"/>
      <c r="AC395" s="185" t="s">
        <v>442</v>
      </c>
      <c r="AD395" s="185"/>
    </row>
    <row r="396" spans="1:30" x14ac:dyDescent="0.2">
      <c r="Q396" s="132" t="s">
        <v>87</v>
      </c>
      <c r="R396" s="134">
        <f>R394+R395</f>
        <v>5475</v>
      </c>
      <c r="S396" s="162"/>
      <c r="T396" s="162"/>
      <c r="U396" s="162"/>
      <c r="V396" s="162"/>
      <c r="W396" s="162"/>
      <c r="X396" s="162"/>
      <c r="AB396" s="13" t="s">
        <v>17</v>
      </c>
      <c r="AC396" s="78" t="s">
        <v>18</v>
      </c>
      <c r="AD396" s="79" t="s">
        <v>19</v>
      </c>
    </row>
    <row r="397" spans="1:30" ht="15" thickBot="1" x14ac:dyDescent="0.25">
      <c r="Q397" s="136" t="s">
        <v>89</v>
      </c>
      <c r="R397" s="137">
        <f>R396/R393</f>
        <v>5.475E-2</v>
      </c>
      <c r="S397" s="180"/>
      <c r="T397" s="180"/>
      <c r="U397" s="180"/>
      <c r="V397" s="180"/>
      <c r="W397" s="180"/>
      <c r="X397" s="180"/>
      <c r="AB397" s="1" cm="1">
        <f t="array" ref="AB397">IF(N402="USD",1,_xll.BDP(N402&amp;"USD CURNCY","PX_LAST"))</f>
        <v>1</v>
      </c>
      <c r="AC397" s="80">
        <v>566982.36411762098</v>
      </c>
      <c r="AD397" s="81">
        <f t="shared" ref="AD397:AD409" si="176">AC397*P402*AB397</f>
        <v>36224503.243474804</v>
      </c>
    </row>
    <row r="398" spans="1:30" x14ac:dyDescent="0.2">
      <c r="S398" s="180"/>
      <c r="T398" s="180"/>
      <c r="U398" s="180"/>
      <c r="V398" s="180"/>
      <c r="W398" s="180"/>
      <c r="X398" s="180"/>
      <c r="AB398" s="1" cm="1">
        <f t="array" ref="AB398">IF(N403="USD",1,_xll.BDP(N403&amp;"USD CURNCY","PX_LAST"))</f>
        <v>1</v>
      </c>
      <c r="AC398" s="80">
        <v>739918.35807313805</v>
      </c>
      <c r="AD398" s="81">
        <f t="shared" si="176"/>
        <v>31439131.034527637</v>
      </c>
    </row>
    <row r="399" spans="1:30" x14ac:dyDescent="0.2">
      <c r="A399" s="76" t="s">
        <v>0</v>
      </c>
      <c r="C399" s="95" t="s">
        <v>1193</v>
      </c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180"/>
      <c r="T399" s="180"/>
      <c r="U399" s="180"/>
      <c r="V399" s="180"/>
      <c r="W399" s="180"/>
      <c r="X399" s="180"/>
      <c r="AB399" s="1" cm="1">
        <f t="array" ref="AB399">IF(N404="USD",1,_xll.BDP(N404&amp;"USD CURNCY","PX_LAST"))</f>
        <v>1</v>
      </c>
      <c r="AC399" s="80">
        <v>659604.89103849698</v>
      </c>
      <c r="AD399" s="81">
        <f t="shared" si="176"/>
        <v>14254061.695341919</v>
      </c>
    </row>
    <row r="400" spans="1:30" x14ac:dyDescent="0.2">
      <c r="A400" s="154">
        <v>45846</v>
      </c>
      <c r="C400" s="97" t="s">
        <v>5</v>
      </c>
      <c r="D400" s="98" t="s">
        <v>91</v>
      </c>
      <c r="E400" s="98" t="s">
        <v>533</v>
      </c>
      <c r="F400" s="98" t="s">
        <v>534</v>
      </c>
      <c r="G400" s="98" t="s">
        <v>535</v>
      </c>
      <c r="H400" s="98"/>
      <c r="I400" s="98"/>
      <c r="J400" s="98" t="s">
        <v>434</v>
      </c>
      <c r="K400" s="98" t="s">
        <v>435</v>
      </c>
      <c r="L400" s="98"/>
      <c r="M400" s="98" t="s">
        <v>9</v>
      </c>
      <c r="N400" s="98" t="s">
        <v>13</v>
      </c>
      <c r="O400" s="98" t="s">
        <v>437</v>
      </c>
      <c r="P400" s="98" t="s">
        <v>14</v>
      </c>
      <c r="Q400" s="99" t="s">
        <v>442</v>
      </c>
      <c r="R400" s="99" t="s">
        <v>536</v>
      </c>
      <c r="S400" s="180"/>
      <c r="T400" s="180"/>
      <c r="U400" s="180"/>
      <c r="V400" s="180"/>
      <c r="W400" s="180"/>
      <c r="X400" s="180"/>
      <c r="AB400" s="1" cm="1">
        <f t="array" ref="AB400">IF(N405="USD",1,_xll.BDP(N405&amp;"USD CURNCY","PX_LAST"))</f>
        <v>1</v>
      </c>
      <c r="AC400" s="80">
        <v>814396.40878992295</v>
      </c>
      <c r="AD400" s="81">
        <f t="shared" si="176"/>
        <v>8771049.3226674702</v>
      </c>
    </row>
    <row r="401" spans="1:30" x14ac:dyDescent="0.2">
      <c r="C401" s="106" t="s">
        <v>1188</v>
      </c>
      <c r="D401" s="45"/>
      <c r="E401" s="34"/>
      <c r="F401" s="34"/>
      <c r="G401" s="34"/>
      <c r="H401" s="34"/>
      <c r="I401" s="34"/>
      <c r="J401" s="34"/>
      <c r="K401" s="34"/>
      <c r="L401" s="155"/>
      <c r="M401" s="34"/>
      <c r="N401" s="34"/>
      <c r="O401" s="34"/>
      <c r="P401" s="34"/>
      <c r="Q401" s="107"/>
      <c r="R401" s="107"/>
      <c r="S401" s="180"/>
      <c r="T401" s="180"/>
      <c r="U401" s="180"/>
      <c r="V401" s="180"/>
      <c r="W401" s="180"/>
      <c r="X401" s="180"/>
      <c r="AB401" s="1" cm="1">
        <f t="array" ref="AB401">IF(N406="USD",1,_xll.BDP(N406&amp;"USD CURNCY","PX_LAST"))</f>
        <v>1</v>
      </c>
      <c r="AC401" s="80">
        <v>666270.39433486899</v>
      </c>
      <c r="AD401" s="81">
        <f t="shared" si="176"/>
        <v>6582751.4960285062</v>
      </c>
    </row>
    <row r="402" spans="1:30" x14ac:dyDescent="0.2">
      <c r="A402" s="3"/>
      <c r="C402" s="86" t="str" cm="1">
        <f t="array" ref="C402">_xll.BDP(D402&amp;" Equity","DS520")</f>
        <v>Vanguard FTSE Social Index Fund</v>
      </c>
      <c r="D402" s="183" t="s">
        <v>1194</v>
      </c>
      <c r="E402" s="34"/>
      <c r="F402" s="34"/>
      <c r="G402" s="34"/>
      <c r="H402" s="34"/>
      <c r="I402" s="34"/>
      <c r="J402" s="34" t="str" cm="1">
        <f t="array" ref="J402">_xll.BDP(D402&amp;" Equity","FD121")</f>
        <v>Equity</v>
      </c>
      <c r="K402" s="111"/>
      <c r="L402" s="111"/>
      <c r="M402" s="34"/>
      <c r="N402" s="45" t="str">
        <f>_xll.BDP(D402&amp;" Equity","DS004")</f>
        <v>USD</v>
      </c>
      <c r="O402" s="111">
        <f>_xll.BDP(D402&amp;" Equity", "FUND_EXPENSE_RATIO")</f>
        <v>0.11</v>
      </c>
      <c r="P402" s="45">
        <f>_xll.BDP(D402&amp;" Equity","PX_LAST")</f>
        <v>63.89</v>
      </c>
      <c r="Q402" s="112">
        <f t="shared" ref="Q402:Q414" si="177">AD397/$AD$410</f>
        <v>0.29737126078913412</v>
      </c>
      <c r="R402" s="112">
        <f>Q402*(1-$R$422)/(1-$Q$414)</f>
        <v>0.28240656949614829</v>
      </c>
      <c r="S402" s="180"/>
      <c r="T402" s="180"/>
      <c r="U402" s="180"/>
      <c r="V402" s="180"/>
      <c r="W402" s="180"/>
      <c r="X402" s="180"/>
      <c r="AB402" s="1" cm="1">
        <f t="array" ref="AB402">IF(N407="USD",1,_xll.BDP(N407&amp;"USD CURNCY","PX_LAST"))</f>
        <v>1</v>
      </c>
      <c r="AC402" s="80">
        <v>44588.621328096597</v>
      </c>
      <c r="AD402" s="81">
        <f t="shared" si="176"/>
        <v>4737986.902323545</v>
      </c>
    </row>
    <row r="403" spans="1:30" x14ac:dyDescent="0.2">
      <c r="A403" s="3"/>
      <c r="C403" s="86" t="str" cm="1">
        <f t="array" ref="C403">_xll.BDP(D403&amp;" Equity","DS520")</f>
        <v>Vanguard Total International Stock Index Fund</v>
      </c>
      <c r="D403" s="183" t="s">
        <v>1182</v>
      </c>
      <c r="E403" s="34"/>
      <c r="F403" s="34"/>
      <c r="G403" s="34"/>
      <c r="H403" s="34"/>
      <c r="I403" s="34"/>
      <c r="J403" s="34" t="str" cm="1">
        <f t="array" ref="J403">_xll.BDP(D403&amp;" Equity","FD121")</f>
        <v>Equity</v>
      </c>
      <c r="K403" s="111"/>
      <c r="L403" s="111"/>
      <c r="M403" s="34"/>
      <c r="N403" s="45" t="str">
        <f>_xll.BDP(D403&amp;" Equity","DS004")</f>
        <v>USD</v>
      </c>
      <c r="O403" s="111">
        <f>_xll.BDP(D403&amp;" Equity", "FUND_EXPENSE_RATIO")</f>
        <v>0.09</v>
      </c>
      <c r="P403" s="45">
        <f>_xll.BDP(D403&amp;" Equity","PX_LAST")</f>
        <v>42.49</v>
      </c>
      <c r="Q403" s="112">
        <f t="shared" si="177"/>
        <v>0.25808757047721148</v>
      </c>
      <c r="R403" s="112">
        <f t="shared" ref="R403:R413" si="178">Q403*(1-$R$422)/(1-$Q$414)</f>
        <v>0.24509976254816321</v>
      </c>
      <c r="S403" s="180"/>
      <c r="T403" s="180"/>
      <c r="U403" s="180"/>
      <c r="V403" s="180"/>
      <c r="W403" s="180"/>
      <c r="X403" s="180"/>
      <c r="AB403" s="1" cm="1">
        <f t="array" ref="AB403">IF(N408="USD",1,_xll.BDP(N408&amp;"USD CURNCY","PX_LAST"))</f>
        <v>1</v>
      </c>
      <c r="AC403" s="80">
        <v>68005.594698638306</v>
      </c>
      <c r="AD403" s="81">
        <f t="shared" si="176"/>
        <v>4302713.9765828457</v>
      </c>
    </row>
    <row r="404" spans="1:30" x14ac:dyDescent="0.2">
      <c r="A404" s="3"/>
      <c r="C404" s="86" t="str" cm="1">
        <f t="array" ref="C404">_xll.BDP(D404&amp;" Equity","DS520")</f>
        <v>Avantis US Equity Fund</v>
      </c>
      <c r="D404" s="183" t="s">
        <v>1195</v>
      </c>
      <c r="E404" s="34"/>
      <c r="F404" s="34"/>
      <c r="G404" s="34"/>
      <c r="H404" s="34"/>
      <c r="I404" s="34"/>
      <c r="J404" s="34" t="str" cm="1">
        <f t="array" ref="J404">_xll.BDP(D404&amp;" Equity","FD121")</f>
        <v>Equity</v>
      </c>
      <c r="K404" s="111"/>
      <c r="L404" s="111"/>
      <c r="M404" s="34"/>
      <c r="N404" s="45" t="str">
        <f>_xll.BDP(D404&amp;" Equity","DS004")</f>
        <v>USD</v>
      </c>
      <c r="O404" s="111">
        <f>_xll.BDP(D404&amp;" Equity", "FUND_EXPENSE_RATIO")</f>
        <v>0.15</v>
      </c>
      <c r="P404" s="45">
        <f>_xll.BDP(D404&amp;" Equity","PX_LAST")</f>
        <v>21.61</v>
      </c>
      <c r="Q404" s="112">
        <f t="shared" si="177"/>
        <v>0.11701328985024698</v>
      </c>
      <c r="R404" s="112">
        <f t="shared" si="178"/>
        <v>0.1111247996338797</v>
      </c>
      <c r="S404" s="180"/>
      <c r="T404" s="180"/>
      <c r="U404" s="180"/>
      <c r="V404" s="180"/>
      <c r="W404" s="180"/>
      <c r="X404" s="180"/>
      <c r="AB404" s="1" cm="1">
        <f t="array" ref="AB404">IF(N409="USD",1,_xll.BDP(N409&amp;"USD CURNCY","PX_LAST"))</f>
        <v>1</v>
      </c>
      <c r="AC404" s="80">
        <v>69550.179683750306</v>
      </c>
      <c r="AD404" s="81">
        <f t="shared" si="176"/>
        <v>4157709.7414945932</v>
      </c>
    </row>
    <row r="405" spans="1:30" x14ac:dyDescent="0.2">
      <c r="A405" s="3"/>
      <c r="C405" s="86" t="str" cm="1">
        <f t="array" ref="C405">_xll.BDP(D405&amp;" Equity","DS520")</f>
        <v>Fidelity Corporate Bond Fund</v>
      </c>
      <c r="D405" s="183" t="s">
        <v>1196</v>
      </c>
      <c r="E405" s="34"/>
      <c r="F405" s="34"/>
      <c r="G405" s="34"/>
      <c r="H405" s="34"/>
      <c r="I405" s="34"/>
      <c r="J405" s="34" t="str" cm="1">
        <f t="array" ref="J405">_xll.BDP(D405&amp;" Equity","FD121")</f>
        <v>Fixed Income</v>
      </c>
      <c r="K405" s="111"/>
      <c r="L405" s="111"/>
      <c r="M405" s="34"/>
      <c r="N405" s="45" t="str">
        <f>_xll.BDP(D405&amp;" Equity","DS004")</f>
        <v>USD</v>
      </c>
      <c r="O405" s="111">
        <f>_xll.BDP(D405&amp;" Equity", "FUND_EXPENSE_RATIO")</f>
        <v>0.45</v>
      </c>
      <c r="P405" s="45">
        <f>_xll.BDP(D405&amp;" Equity","PX_LAST")</f>
        <v>10.77</v>
      </c>
      <c r="Q405" s="112">
        <f t="shared" si="177"/>
        <v>7.2002588358341058E-2</v>
      </c>
      <c r="R405" s="112">
        <f t="shared" si="178"/>
        <v>6.8379183378925235E-2</v>
      </c>
      <c r="S405" s="180"/>
      <c r="T405" s="180"/>
      <c r="U405" s="180"/>
      <c r="V405" s="180"/>
      <c r="W405" s="180"/>
      <c r="X405" s="180"/>
      <c r="AB405" s="1" cm="1">
        <f t="array" ref="AB405">IF(N410="USD",1,_xll.BDP(N410&amp;"USD CURNCY","PX_LAST"))</f>
        <v>1</v>
      </c>
      <c r="AC405" s="80">
        <v>163920.495406795</v>
      </c>
      <c r="AD405" s="81">
        <f t="shared" si="176"/>
        <v>4094733.975261739</v>
      </c>
    </row>
    <row r="406" spans="1:30" x14ac:dyDescent="0.2">
      <c r="A406" s="3"/>
      <c r="C406" s="86" t="str" cm="1">
        <f t="array" ref="C406">_xll.BDP(D406&amp;" Equity","DS520")</f>
        <v>Fidelity Intermediate Treasury Bond Index Fund</v>
      </c>
      <c r="D406" s="183" t="s">
        <v>1197</v>
      </c>
      <c r="E406" s="34"/>
      <c r="F406" s="34"/>
      <c r="G406" s="34"/>
      <c r="H406" s="34"/>
      <c r="I406" s="34"/>
      <c r="J406" s="34" t="str" cm="1">
        <f t="array" ref="J406">_xll.BDP(D406&amp;" Equity","FD121")</f>
        <v>Fixed Income</v>
      </c>
      <c r="K406" s="111"/>
      <c r="L406" s="111"/>
      <c r="M406" s="34"/>
      <c r="N406" s="45" t="str">
        <f>_xll.BDP(D406&amp;" Equity","DS004")</f>
        <v>USD</v>
      </c>
      <c r="O406" s="111">
        <f>_xll.BDP(D406&amp;" Equity", "FUND_EXPENSE_RATIO")</f>
        <v>0.03</v>
      </c>
      <c r="P406" s="45">
        <f>_xll.BDP(D406&amp;" Equity","PX_LAST")</f>
        <v>9.8800000000000008</v>
      </c>
      <c r="Q406" s="112">
        <f t="shared" si="177"/>
        <v>5.40385909139601E-2</v>
      </c>
      <c r="R406" s="112">
        <f t="shared" si="178"/>
        <v>5.1319192849771267E-2</v>
      </c>
      <c r="S406" s="180"/>
      <c r="T406" s="180"/>
      <c r="U406" s="180"/>
      <c r="V406" s="180"/>
      <c r="W406" s="180"/>
      <c r="X406" s="180"/>
      <c r="AB406" s="1" cm="1">
        <f t="array" ref="AB406">IF(N411="USD",1,_xll.BDP(N411&amp;"USD CURNCY","PX_LAST"))</f>
        <v>1</v>
      </c>
      <c r="AC406" s="80">
        <v>105497.660870658</v>
      </c>
      <c r="AD406" s="81">
        <f t="shared" si="176"/>
        <v>2886416.0014212029</v>
      </c>
    </row>
    <row r="407" spans="1:30" x14ac:dyDescent="0.2">
      <c r="A407" s="3"/>
      <c r="C407" s="86" t="str" cm="1">
        <f t="array" ref="C407">_xll.BDP(D407&amp;" Equity","DS520")</f>
        <v>Vanguard European Stock Index Fund</v>
      </c>
      <c r="D407" s="183" t="s">
        <v>1198</v>
      </c>
      <c r="E407" s="34"/>
      <c r="F407" s="34"/>
      <c r="G407" s="34"/>
      <c r="H407" s="34"/>
      <c r="I407" s="34"/>
      <c r="J407" s="34" t="str" cm="1">
        <f t="array" ref="J407">_xll.BDP(D407&amp;" Equity","FD121")</f>
        <v>Equity</v>
      </c>
      <c r="K407" s="111"/>
      <c r="L407" s="111"/>
      <c r="M407" s="34"/>
      <c r="N407" s="45" t="str">
        <f>_xll.BDP(D407&amp;" Equity","DS004")</f>
        <v>USD</v>
      </c>
      <c r="O407" s="111">
        <f>_xll.BDP(D407&amp;" Equity", "FUND_EXPENSE_RATIO")</f>
        <v>0.08</v>
      </c>
      <c r="P407" s="45">
        <f>_xll.BDP(D407&amp;" Equity","PX_LAST")</f>
        <v>106.26</v>
      </c>
      <c r="Q407" s="112">
        <f t="shared" si="177"/>
        <v>3.8894698687142168E-2</v>
      </c>
      <c r="R407" s="112">
        <f t="shared" si="178"/>
        <v>3.6937390649902105E-2</v>
      </c>
      <c r="S407" s="180"/>
      <c r="T407" s="180"/>
      <c r="U407" s="180"/>
      <c r="V407" s="180"/>
      <c r="W407" s="180"/>
      <c r="X407" s="180"/>
      <c r="AB407" s="1" cm="1">
        <f t="array" ref="AB407">IF(N412="USD",1,_xll.BDP(N412&amp;"USD CURNCY","PX_LAST"))</f>
        <v>1</v>
      </c>
      <c r="AC407" s="80">
        <v>129928.336603339</v>
      </c>
      <c r="AD407" s="81">
        <f t="shared" si="176"/>
        <v>2524507.5802028771</v>
      </c>
    </row>
    <row r="408" spans="1:30" x14ac:dyDescent="0.2">
      <c r="A408" s="3"/>
      <c r="C408" s="86" t="str" cm="1">
        <f t="array" ref="C408">_xll.BDP(D408&amp;" Equity","DS520")</f>
        <v>Putnam Global Health Care Fund</v>
      </c>
      <c r="D408" s="183" t="s">
        <v>1199</v>
      </c>
      <c r="E408" s="34"/>
      <c r="F408" s="34"/>
      <c r="G408" s="34"/>
      <c r="H408" s="34"/>
      <c r="I408" s="34"/>
      <c r="J408" s="34" t="str" cm="1">
        <f t="array" ref="J408">_xll.BDP(D408&amp;" Equity","FD121")</f>
        <v>Equity</v>
      </c>
      <c r="K408" s="111"/>
      <c r="L408" s="111"/>
      <c r="M408" s="34"/>
      <c r="N408" s="45" t="str">
        <f>_xll.BDP(D408&amp;" Equity","DS004")</f>
        <v>USD</v>
      </c>
      <c r="O408" s="111">
        <f>_xll.BDP(D408&amp;" Equity", "FUND_EXPENSE_RATIO")</f>
        <v>1.04</v>
      </c>
      <c r="P408" s="45">
        <f>_xll.BDP(D408&amp;" Equity","PX_LAST")</f>
        <v>63.27</v>
      </c>
      <c r="Q408" s="112">
        <f t="shared" si="177"/>
        <v>3.5321491406840738E-2</v>
      </c>
      <c r="R408" s="112">
        <f t="shared" si="178"/>
        <v>3.3543998808838682E-2</v>
      </c>
      <c r="S408" s="180"/>
      <c r="T408" s="180"/>
      <c r="U408" s="180"/>
      <c r="V408" s="180"/>
      <c r="W408" s="180"/>
      <c r="X408" s="180"/>
      <c r="AB408" s="1" cm="1">
        <f t="array" ref="AB408">IF(N413="USD",1,_xll.BDP(N413&amp;"USD CURNCY","PX_LAST"))</f>
        <v>1</v>
      </c>
      <c r="AC408" s="80">
        <v>134927.25801039601</v>
      </c>
      <c r="AD408" s="81">
        <f t="shared" si="176"/>
        <v>1272364.0430380343</v>
      </c>
    </row>
    <row r="409" spans="1:30" x14ac:dyDescent="0.2">
      <c r="A409" s="3"/>
      <c r="C409" s="86" t="str" cm="1">
        <f t="array" ref="C409">_xll.BDP(D409&amp;" Equity","DS520")</f>
        <v>Fidelity China Region Fund</v>
      </c>
      <c r="D409" s="183" t="s">
        <v>1200</v>
      </c>
      <c r="E409" s="34"/>
      <c r="F409" s="34"/>
      <c r="G409" s="34"/>
      <c r="H409" s="34"/>
      <c r="I409" s="34"/>
      <c r="J409" s="34" t="str" cm="1">
        <f t="array" ref="J409">_xll.BDP(D409&amp;" Equity","FD121")</f>
        <v>Equity</v>
      </c>
      <c r="K409" s="111"/>
      <c r="L409" s="111"/>
      <c r="M409" s="34"/>
      <c r="N409" s="45" t="str">
        <f>_xll.BDP(D409&amp;" Equity","DS004")</f>
        <v>USD</v>
      </c>
      <c r="O409" s="111">
        <f>_xll.BDP(D409&amp;" Equity", "FUND_EXPENSE_RATIO")</f>
        <v>0.91</v>
      </c>
      <c r="P409" s="45">
        <f>_xll.BDP(D409&amp;" Equity","PX_LAST")</f>
        <v>59.78</v>
      </c>
      <c r="Q409" s="112">
        <f t="shared" si="177"/>
        <v>3.4131134373698399E-2</v>
      </c>
      <c r="R409" s="112">
        <f t="shared" si="178"/>
        <v>3.2413544422247122E-2</v>
      </c>
      <c r="S409" s="180"/>
      <c r="T409" s="180"/>
      <c r="U409" s="180"/>
      <c r="V409" s="180"/>
      <c r="W409" s="180"/>
      <c r="X409" s="180"/>
      <c r="AB409" s="1" cm="1">
        <f t="array" ref="AB409">IF(N414="USD",1,_xll.BDP(N414&amp;"USD CURNCY","PX_LAST"))</f>
        <v>1</v>
      </c>
      <c r="AC409" s="80">
        <v>567821.26338723197</v>
      </c>
      <c r="AD409" s="81">
        <f t="shared" si="176"/>
        <v>567821.26338723197</v>
      </c>
    </row>
    <row r="410" spans="1:30" x14ac:dyDescent="0.2">
      <c r="A410" s="3"/>
      <c r="C410" s="86" t="str" cm="1">
        <f t="array" ref="C410">_xll.BDP(D410&amp;" Equity","DS520")</f>
        <v>Vanguard Emerging Markets Bond Fund</v>
      </c>
      <c r="D410" s="183" t="s">
        <v>1201</v>
      </c>
      <c r="E410" s="34"/>
      <c r="F410" s="34"/>
      <c r="G410" s="34"/>
      <c r="H410" s="34"/>
      <c r="I410" s="34"/>
      <c r="J410" s="34" t="str" cm="1">
        <f t="array" ref="J410">_xll.BDP(D410&amp;" Equity","FD121")</f>
        <v>Fixed Income</v>
      </c>
      <c r="K410" s="111"/>
      <c r="L410" s="111"/>
      <c r="M410" s="34"/>
      <c r="N410" s="45" t="str">
        <f>_xll.BDP(D410&amp;" Equity","DS004")</f>
        <v>USD</v>
      </c>
      <c r="O410" s="111">
        <f>_xll.BDP(D410&amp;" Equity", "FUND_EXPENSE_RATIO")</f>
        <v>0.35</v>
      </c>
      <c r="P410" s="45">
        <f>_xll.BDP(D410&amp;" Equity","PX_LAST")</f>
        <v>24.98</v>
      </c>
      <c r="Q410" s="112">
        <f t="shared" si="177"/>
        <v>3.3614158809452427E-2</v>
      </c>
      <c r="R410" s="112">
        <f t="shared" si="178"/>
        <v>3.1922584753768711E-2</v>
      </c>
      <c r="S410" s="180"/>
      <c r="T410" s="180"/>
      <c r="U410" s="180"/>
      <c r="V410" s="180"/>
      <c r="W410" s="180"/>
      <c r="X410" s="180"/>
      <c r="AC410" s="40"/>
      <c r="AD410" s="82">
        <f>SUM(AD397:AD409)</f>
        <v>121815750.2757524</v>
      </c>
    </row>
    <row r="411" spans="1:30" x14ac:dyDescent="0.2">
      <c r="A411" s="3"/>
      <c r="C411" s="86" t="str" cm="1">
        <f t="array" ref="C411">_xll.BDP(D411&amp;" Equity","DS520")</f>
        <v>Credit Suisse Commodity Return Strategy Fund</v>
      </c>
      <c r="D411" s="183" t="s">
        <v>1186</v>
      </c>
      <c r="E411" s="34"/>
      <c r="F411" s="34"/>
      <c r="G411" s="34"/>
      <c r="H411" s="34"/>
      <c r="I411" s="34"/>
      <c r="J411" s="34" t="str" cm="1">
        <f t="array" ref="J411">_xll.BDP(D411&amp;" Equity","FD121")</f>
        <v>Commodity</v>
      </c>
      <c r="K411" s="111"/>
      <c r="L411" s="111"/>
      <c r="M411" s="34"/>
      <c r="N411" s="45" t="str">
        <f>_xll.BDP(D411&amp;" Equity","DS004")</f>
        <v>USD</v>
      </c>
      <c r="O411" s="111">
        <f>_xll.BDP(D411&amp;" Equity", "FUND_EXPENSE_RATIO")</f>
        <v>1.05</v>
      </c>
      <c r="P411" s="45">
        <f>_xll.BDP(D411&amp;" Equity","PX_LAST")</f>
        <v>27.36</v>
      </c>
      <c r="Q411" s="112">
        <f t="shared" si="177"/>
        <v>2.3694932674036554E-2</v>
      </c>
      <c r="R411" s="112">
        <f t="shared" si="178"/>
        <v>2.2502526414823504E-2</v>
      </c>
      <c r="S411" s="162"/>
      <c r="T411" s="162"/>
      <c r="U411" s="162"/>
      <c r="V411" s="162"/>
      <c r="W411" s="162"/>
      <c r="X411" s="162"/>
      <c r="Y411" s="81"/>
    </row>
    <row r="412" spans="1:30" x14ac:dyDescent="0.2">
      <c r="A412" s="3"/>
      <c r="C412" s="86" t="str" cm="1">
        <f t="array" ref="C412">_xll.BDP(D412&amp;" Equity","DS520")</f>
        <v>Vanguard Total International Bond Index Fund</v>
      </c>
      <c r="D412" s="183" t="s">
        <v>1202</v>
      </c>
      <c r="E412" s="34"/>
      <c r="F412" s="34"/>
      <c r="G412" s="34"/>
      <c r="H412" s="34"/>
      <c r="I412" s="34"/>
      <c r="J412" s="34" t="str" cm="1">
        <f t="array" ref="J412">_xll.BDP(D412&amp;" Equity","FD121")</f>
        <v>Fixed Income</v>
      </c>
      <c r="K412" s="111"/>
      <c r="L412" s="111"/>
      <c r="M412" s="34"/>
      <c r="N412" s="45" t="str">
        <f>_xll.BDP(D412&amp;" Equity","DS004")</f>
        <v>USD</v>
      </c>
      <c r="O412" s="111">
        <f>_xll.BDP(D412&amp;" Equity", "FUND_EXPENSE_RATIO")</f>
        <v>0.1</v>
      </c>
      <c r="P412" s="45">
        <f>_xll.BDP(D412&amp;" Equity","PX_LAST")</f>
        <v>19.43</v>
      </c>
      <c r="Q412" s="112">
        <f t="shared" si="177"/>
        <v>2.072398334770495E-2</v>
      </c>
      <c r="R412" s="112">
        <f t="shared" si="178"/>
        <v>1.9681084944085186E-2</v>
      </c>
    </row>
    <row r="413" spans="1:30" x14ac:dyDescent="0.2">
      <c r="A413" s="3"/>
      <c r="C413" s="86" t="str" cm="1">
        <f t="array" ref="C413">_xll.BDP(D413&amp;" Equity","DS520")</f>
        <v>Fidelity Long-Term Treasury Bond Index Fund</v>
      </c>
      <c r="D413" s="183" t="s">
        <v>1203</v>
      </c>
      <c r="E413" s="34"/>
      <c r="F413" s="34"/>
      <c r="G413" s="34"/>
      <c r="H413" s="34"/>
      <c r="I413" s="34"/>
      <c r="J413" s="34" t="str" cm="1">
        <f t="array" ref="J413">_xll.BDP(D413&amp;" Equity","FD121")</f>
        <v>Fixed Income</v>
      </c>
      <c r="K413" s="111"/>
      <c r="L413" s="111"/>
      <c r="M413" s="34"/>
      <c r="N413" s="45" t="str">
        <f>_xll.BDP(D413&amp;" Equity","DS004")</f>
        <v>USD</v>
      </c>
      <c r="O413" s="111">
        <f>_xll.BDP(D413&amp;" Equity", "FUND_EXPENSE_RATIO")</f>
        <v>0.03</v>
      </c>
      <c r="P413" s="45">
        <f>_xll.BDP(D413&amp;" Equity","PX_LAST")</f>
        <v>9.43</v>
      </c>
      <c r="Q413" s="112">
        <f t="shared" si="177"/>
        <v>1.0444987944151753E-2</v>
      </c>
      <c r="R413" s="112">
        <f t="shared" si="178"/>
        <v>9.919362099447054E-3</v>
      </c>
      <c r="T413" s="131"/>
      <c r="V413" s="131"/>
      <c r="X413" s="131"/>
    </row>
    <row r="414" spans="1:30" x14ac:dyDescent="0.2">
      <c r="A414" s="3"/>
      <c r="B414" s="3"/>
      <c r="C414" s="86" t="str" cm="1">
        <f t="array" ref="C414">_xll.BDP(D414&amp;" Curncy","DS520")</f>
        <v>USDUSD Spot Exchange Rate - Price of 1 USD in USD</v>
      </c>
      <c r="D414" s="183" t="s">
        <v>34</v>
      </c>
      <c r="E414" s="34"/>
      <c r="F414" s="34"/>
      <c r="G414" s="34"/>
      <c r="H414" s="34"/>
      <c r="I414" s="34"/>
      <c r="J414" s="157" t="s">
        <v>80</v>
      </c>
      <c r="K414" s="111"/>
      <c r="L414" s="111"/>
      <c r="M414" s="34"/>
      <c r="N414" s="45" t="str">
        <f>_xll.BDP(D414&amp;" CURNCY","DS004")</f>
        <v>USD</v>
      </c>
      <c r="O414" s="34"/>
      <c r="P414" s="45">
        <v>1</v>
      </c>
      <c r="Q414" s="112">
        <f t="shared" si="177"/>
        <v>4.6613123680793655E-3</v>
      </c>
      <c r="R414" s="112">
        <f>R422</f>
        <v>5.475E-2</v>
      </c>
      <c r="T414" s="131"/>
      <c r="V414" s="131"/>
      <c r="X414" s="131"/>
    </row>
    <row r="415" spans="1:30" x14ac:dyDescent="0.2">
      <c r="C415" s="86"/>
      <c r="D415" s="156"/>
      <c r="E415" s="34"/>
      <c r="F415" s="34"/>
      <c r="G415" s="34"/>
      <c r="H415" s="34"/>
      <c r="I415" s="34"/>
      <c r="J415" s="111"/>
      <c r="K415" s="111"/>
      <c r="L415" s="111"/>
      <c r="M415" s="34"/>
      <c r="N415" s="45"/>
      <c r="O415" s="34"/>
      <c r="P415" s="34"/>
      <c r="Q415" s="112"/>
      <c r="R415" s="112"/>
      <c r="T415" s="135"/>
      <c r="V415" s="135"/>
      <c r="X415" s="135"/>
    </row>
    <row r="416" spans="1:30" x14ac:dyDescent="0.2">
      <c r="C416" s="119"/>
      <c r="D416" s="122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121" t="s">
        <v>81</v>
      </c>
      <c r="Q416" s="107">
        <f>SUM(Q402:Q414)</f>
        <v>0.99999999999999989</v>
      </c>
      <c r="R416" s="107"/>
      <c r="T416" s="135"/>
      <c r="V416" s="135"/>
      <c r="X416" s="135"/>
    </row>
    <row r="417" spans="17:24" ht="15" thickBot="1" x14ac:dyDescent="0.25">
      <c r="T417" s="138"/>
      <c r="V417" s="138"/>
      <c r="X417" s="138"/>
    </row>
    <row r="418" spans="17:24" x14ac:dyDescent="0.2">
      <c r="Q418" s="129" t="s">
        <v>86</v>
      </c>
      <c r="R418" s="130">
        <v>100000</v>
      </c>
    </row>
    <row r="419" spans="17:24" x14ac:dyDescent="0.2">
      <c r="Q419" s="132" t="s">
        <v>85</v>
      </c>
      <c r="R419" s="133">
        <v>5000</v>
      </c>
    </row>
    <row r="420" spans="17:24" x14ac:dyDescent="0.2">
      <c r="Q420" s="132" t="s">
        <v>88</v>
      </c>
      <c r="R420" s="134">
        <f>(R418-R419)*0.5%</f>
        <v>475</v>
      </c>
    </row>
    <row r="421" spans="17:24" x14ac:dyDescent="0.2">
      <c r="Q421" s="132" t="s">
        <v>87</v>
      </c>
      <c r="R421" s="134">
        <f>R419+R420</f>
        <v>5475</v>
      </c>
    </row>
    <row r="422" spans="17:24" ht="15" thickBot="1" x14ac:dyDescent="0.25">
      <c r="Q422" s="136" t="s">
        <v>89</v>
      </c>
      <c r="R422" s="137">
        <f>R421/R418</f>
        <v>5.475E-2</v>
      </c>
    </row>
  </sheetData>
  <mergeCells count="17">
    <mergeCell ref="AC373:AD373"/>
    <mergeCell ref="AC395:AD395"/>
    <mergeCell ref="AC287:AD287"/>
    <mergeCell ref="AC307:AD307"/>
    <mergeCell ref="AC325:AD325"/>
    <mergeCell ref="AC343:AD343"/>
    <mergeCell ref="AC354:AD354"/>
    <mergeCell ref="AC248:AD248"/>
    <mergeCell ref="AG248:AH248"/>
    <mergeCell ref="AI248:AJ248"/>
    <mergeCell ref="AC266:AD266"/>
    <mergeCell ref="AI225:AJ225"/>
    <mergeCell ref="AC203:AD203"/>
    <mergeCell ref="AE203:AF203"/>
    <mergeCell ref="AE225:AF225"/>
    <mergeCell ref="AC225:AD225"/>
    <mergeCell ref="AG225:AH225"/>
  </mergeCells>
  <conditionalFormatting sqref="A2">
    <cfRule type="cellIs" dxfId="129" priority="21" operator="lessThan">
      <formula>TODAY()-14</formula>
    </cfRule>
  </conditionalFormatting>
  <conditionalFormatting sqref="A122">
    <cfRule type="cellIs" dxfId="128" priority="18" operator="lessThan">
      <formula>TODAY()-14</formula>
    </cfRule>
  </conditionalFormatting>
  <conditionalFormatting sqref="A143">
    <cfRule type="cellIs" dxfId="127" priority="17" operator="lessThan">
      <formula>TODAY()-14</formula>
    </cfRule>
  </conditionalFormatting>
  <conditionalFormatting sqref="A164">
    <cfRule type="cellIs" dxfId="126" priority="16" operator="lessThan">
      <formula>TODAY()-14</formula>
    </cfRule>
  </conditionalFormatting>
  <conditionalFormatting sqref="A183">
    <cfRule type="cellIs" dxfId="125" priority="15" operator="lessThan">
      <formula>TODAY()-14</formula>
    </cfRule>
  </conditionalFormatting>
  <conditionalFormatting sqref="A42">
    <cfRule type="cellIs" dxfId="124" priority="14" operator="lessThan">
      <formula>TODAY()-14</formula>
    </cfRule>
  </conditionalFormatting>
  <conditionalFormatting sqref="A83">
    <cfRule type="cellIs" dxfId="123" priority="13" operator="lessThan">
      <formula>TODAY()-14</formula>
    </cfRule>
  </conditionalFormatting>
  <conditionalFormatting sqref="A203">
    <cfRule type="cellIs" dxfId="122" priority="12" operator="lessThan">
      <formula>TODAY()-14</formula>
    </cfRule>
  </conditionalFormatting>
  <conditionalFormatting sqref="A225">
    <cfRule type="cellIs" dxfId="121" priority="11" operator="lessThan">
      <formula>TODAY()-14</formula>
    </cfRule>
  </conditionalFormatting>
  <conditionalFormatting sqref="A248">
    <cfRule type="cellIs" dxfId="120" priority="10" operator="lessThan">
      <formula>TODAY()-14</formula>
    </cfRule>
  </conditionalFormatting>
  <conditionalFormatting sqref="A266">
    <cfRule type="cellIs" dxfId="119" priority="9" operator="lessThan">
      <formula>TODAY()-14</formula>
    </cfRule>
  </conditionalFormatting>
  <conditionalFormatting sqref="A287">
    <cfRule type="cellIs" dxfId="118" priority="8" operator="lessThan">
      <formula>TODAY()-14</formula>
    </cfRule>
  </conditionalFormatting>
  <conditionalFormatting sqref="A307">
    <cfRule type="cellIs" dxfId="117" priority="7" operator="lessThan">
      <formula>TODAY()-14</formula>
    </cfRule>
  </conditionalFormatting>
  <conditionalFormatting sqref="A325">
    <cfRule type="cellIs" dxfId="116" priority="6" operator="lessThan">
      <formula>TODAY()-14</formula>
    </cfRule>
  </conditionalFormatting>
  <conditionalFormatting sqref="A343">
    <cfRule type="cellIs" dxfId="115" priority="5" operator="lessThan">
      <formula>TODAY()-14</formula>
    </cfRule>
  </conditionalFormatting>
  <conditionalFormatting sqref="A360">
    <cfRule type="cellIs" dxfId="114" priority="4" operator="lessThan">
      <formula>TODAY()-14</formula>
    </cfRule>
  </conditionalFormatting>
  <conditionalFormatting sqref="A378">
    <cfRule type="cellIs" dxfId="113" priority="3" operator="lessThan">
      <formula>TODAY()-14</formula>
    </cfRule>
  </conditionalFormatting>
  <conditionalFormatting sqref="A400">
    <cfRule type="cellIs" dxfId="112" priority="1" operator="lessThan">
      <formula>TODAY()-14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6987-F8E4-4ADD-A6DE-53DCD999A7EC}">
  <sheetPr codeName="Sheet7"/>
  <dimension ref="A1:AJ36"/>
  <sheetViews>
    <sheetView workbookViewId="0">
      <selection activeCell="P11" sqref="P11"/>
    </sheetView>
  </sheetViews>
  <sheetFormatPr defaultColWidth="8.796875" defaultRowHeight="14.25" x14ac:dyDescent="0.2"/>
  <cols>
    <col min="1" max="1" width="11" style="1" bestFit="1" customWidth="1"/>
    <col min="2" max="2" width="8.796875" style="1"/>
    <col min="3" max="3" width="51" style="1" bestFit="1" customWidth="1"/>
    <col min="4" max="4" width="8.19921875" style="1" bestFit="1" customWidth="1"/>
    <col min="5" max="5" width="7.296875" style="1" bestFit="1" customWidth="1"/>
    <col min="6" max="6" width="14.19921875" style="1" bestFit="1" customWidth="1"/>
    <col min="7" max="7" width="11.09765625" style="1" bestFit="1" customWidth="1"/>
    <col min="8" max="8" width="9.5" style="1" bestFit="1" customWidth="1"/>
    <col min="9" max="9" width="13.3984375" style="1" bestFit="1" customWidth="1"/>
    <col min="10" max="10" width="10.3984375" style="1" bestFit="1" customWidth="1"/>
    <col min="11" max="11" width="5.796875" style="1" bestFit="1" customWidth="1"/>
    <col min="12" max="12" width="5.796875" style="1" customWidth="1"/>
    <col min="13" max="13" width="11.796875" style="1" bestFit="1" customWidth="1"/>
    <col min="14" max="14" width="4" style="1" bestFit="1" customWidth="1"/>
    <col min="15" max="15" width="10.3984375" style="1" bestFit="1" customWidth="1"/>
    <col min="16" max="16" width="5.5" style="1" bestFit="1" customWidth="1"/>
    <col min="17" max="17" width="24" style="1" bestFit="1" customWidth="1"/>
    <col min="18" max="18" width="8" style="1" bestFit="1" customWidth="1"/>
    <col min="19" max="19" width="24" style="1" bestFit="1" customWidth="1"/>
    <col min="20" max="20" width="8" style="1" bestFit="1" customWidth="1"/>
    <col min="21" max="21" width="24" style="1" bestFit="1" customWidth="1"/>
    <col min="22" max="22" width="8" style="1" bestFit="1" customWidth="1"/>
    <col min="23" max="23" width="24" style="1" bestFit="1" customWidth="1"/>
    <col min="24" max="24" width="8" style="1" bestFit="1" customWidth="1"/>
    <col min="25" max="25" width="8.796875" style="1"/>
    <col min="26" max="26" width="8.09765625" style="1" bestFit="1" customWidth="1"/>
    <col min="27" max="27" width="11.296875" style="1" bestFit="1" customWidth="1"/>
    <col min="28" max="28" width="7.8984375" style="1" bestFit="1" customWidth="1"/>
    <col min="29" max="29" width="11" style="1" bestFit="1" customWidth="1"/>
    <col min="30" max="30" width="11.5" style="1" bestFit="1" customWidth="1"/>
    <col min="31" max="31" width="11.3984375" style="1" bestFit="1" customWidth="1"/>
    <col min="32" max="32" width="11.5" style="1" bestFit="1" customWidth="1"/>
    <col min="33" max="33" width="11.3984375" style="1" bestFit="1" customWidth="1"/>
    <col min="34" max="34" width="11.5" style="1" bestFit="1" customWidth="1"/>
    <col min="35" max="35" width="11.8984375" style="1" bestFit="1" customWidth="1"/>
    <col min="36" max="36" width="11.5" style="1" bestFit="1" customWidth="1"/>
    <col min="37" max="16384" width="8.796875" style="1"/>
  </cols>
  <sheetData>
    <row r="1" spans="1:36" x14ac:dyDescent="0.2">
      <c r="A1" s="76" t="s">
        <v>0</v>
      </c>
      <c r="C1" s="95" t="s">
        <v>511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6"/>
    </row>
    <row r="2" spans="1:36" x14ac:dyDescent="0.2">
      <c r="A2" s="85" t="s">
        <v>433</v>
      </c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555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554</v>
      </c>
      <c r="Q2" s="99" t="s">
        <v>470</v>
      </c>
      <c r="R2" s="99" t="s">
        <v>536</v>
      </c>
      <c r="S2" s="100" t="s">
        <v>500</v>
      </c>
      <c r="T2" s="100" t="s">
        <v>537</v>
      </c>
      <c r="U2" s="101" t="s">
        <v>501</v>
      </c>
      <c r="V2" s="101" t="s">
        <v>538</v>
      </c>
      <c r="W2" s="102" t="s">
        <v>502</v>
      </c>
      <c r="X2" s="102" t="s">
        <v>539</v>
      </c>
      <c r="AC2" s="163" t="s">
        <v>470</v>
      </c>
      <c r="AD2" s="163"/>
      <c r="AE2" s="164" t="s">
        <v>500</v>
      </c>
      <c r="AF2" s="164"/>
      <c r="AG2" s="165" t="s">
        <v>501</v>
      </c>
      <c r="AH2" s="165"/>
      <c r="AI2" s="166" t="s">
        <v>502</v>
      </c>
      <c r="AJ2" s="166"/>
    </row>
    <row r="3" spans="1:36" x14ac:dyDescent="0.2">
      <c r="C3" s="106" t="s">
        <v>16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AB3" s="13" t="s">
        <v>279</v>
      </c>
      <c r="AC3" s="14" t="s">
        <v>18</v>
      </c>
      <c r="AD3" s="15" t="s">
        <v>19</v>
      </c>
      <c r="AE3" s="14" t="s">
        <v>18</v>
      </c>
      <c r="AF3" s="15" t="s">
        <v>19</v>
      </c>
      <c r="AG3" s="14" t="s">
        <v>18</v>
      </c>
      <c r="AH3" s="15" t="s">
        <v>19</v>
      </c>
      <c r="AI3" s="14" t="s">
        <v>18</v>
      </c>
      <c r="AJ3" s="15" t="s">
        <v>19</v>
      </c>
    </row>
    <row r="4" spans="1:36" x14ac:dyDescent="0.2">
      <c r="C4" s="86" t="str" cm="1">
        <f t="array" ref="C4">_xll.BDP(D4&amp;" Equity","DS520")</f>
        <v>Xtrackers MSCI USA UCITS ETF</v>
      </c>
      <c r="D4" s="86" t="s">
        <v>1359</v>
      </c>
      <c r="E4" s="86" t="s">
        <v>1360</v>
      </c>
      <c r="F4" s="34"/>
      <c r="G4" s="86" t="s">
        <v>26</v>
      </c>
      <c r="H4" s="86"/>
      <c r="I4" s="86"/>
      <c r="J4" s="34" t="str" cm="1">
        <f t="array" ref="J4">_xll.BDP(D4&amp;" Equity","FD121")</f>
        <v>Equity</v>
      </c>
      <c r="K4" s="34" t="s">
        <v>453</v>
      </c>
      <c r="L4" s="34" t="s">
        <v>1284</v>
      </c>
      <c r="M4" s="34" t="str">
        <f>_xll.BDP(D4&amp;" Equity", "DS197")</f>
        <v>BrsaItaliana</v>
      </c>
      <c r="N4" s="34" t="str">
        <f>_xll.BDP(D4&amp;" Equity", "DS004")</f>
        <v>EUR</v>
      </c>
      <c r="O4" s="111">
        <f>_xll.BDP(D4&amp;" Equity", "FUND_EXPENSE_RATIO")</f>
        <v>0.08</v>
      </c>
      <c r="P4" s="111">
        <f>_xll.BDP(D4&amp;" Equity", "PX_LAST")</f>
        <v>136.27000000000001</v>
      </c>
      <c r="Q4" s="112">
        <f t="shared" ref="Q4:Q12" si="0">AD4/$AD$21</f>
        <v>0.25648468659916529</v>
      </c>
      <c r="R4" s="112">
        <f t="shared" ref="R4:R12" si="1">Q4*(1-$R$36)/(1-$Q$20)</f>
        <v>0.24367749250014747</v>
      </c>
      <c r="S4" s="113">
        <f t="shared" ref="S4:S12" si="2">AF4/$AF$21</f>
        <v>0.18566691100197519</v>
      </c>
      <c r="T4" s="113">
        <f t="shared" ref="T4:T12" si="3">S4*(1-$T$36)/(1-$S$20)</f>
        <v>0.17637332591668847</v>
      </c>
      <c r="U4" s="114">
        <f t="shared" ref="U4:U12" si="4">AH4/$AH$21</f>
        <v>0.12332326318642353</v>
      </c>
      <c r="V4" s="114">
        <f t="shared" ref="V4:V12" si="5">U4*(1-$V$36)/(1-$U$20)</f>
        <v>0.11717198703914443</v>
      </c>
      <c r="W4" s="115">
        <f t="shared" ref="W4:W12" si="6">AJ4/$AJ$21</f>
        <v>8.6178711749469963E-2</v>
      </c>
      <c r="X4" s="115">
        <f t="shared" ref="X4:X12" si="7">W4*(1-$X$36)/(1-$W$20)</f>
        <v>8.1846305351216106E-2</v>
      </c>
      <c r="AB4" s="1" cm="1">
        <f t="array" ref="AB4">IF(N4="EUR",1,_xll.BDP(N4&amp;"EUR CURNCY","PX_LAST"))</f>
        <v>1</v>
      </c>
      <c r="AC4" s="18">
        <v>375514.28103685298</v>
      </c>
      <c r="AD4" s="11">
        <f t="shared" ref="AD4:AD12" si="8">AC4*P4*AB4</f>
        <v>51171331.076891959</v>
      </c>
      <c r="AE4" s="18">
        <v>239441.98713592099</v>
      </c>
      <c r="AF4" s="11">
        <f t="shared" ref="AF4:AF12" si="9">AE4*P4*AB4</f>
        <v>32628759.587011956</v>
      </c>
      <c r="AG4" s="18">
        <v>139163.930638633</v>
      </c>
      <c r="AH4" s="11">
        <f t="shared" ref="AH4:AH12" si="10">AG4*P4*AB4</f>
        <v>18963868.82812652</v>
      </c>
      <c r="AI4" s="18">
        <v>89908.215357499997</v>
      </c>
      <c r="AJ4" s="11">
        <f t="shared" ref="AJ4:AJ12" si="11">AI4*P4*AB4</f>
        <v>12251792.506766526</v>
      </c>
    </row>
    <row r="5" spans="1:36" x14ac:dyDescent="0.2">
      <c r="C5" s="86" t="str" cm="1">
        <f t="array" ref="C5">_xll.BDP(D5&amp;" Equity","DS520")</f>
        <v>Xtrackers MSCI World ex USA UCITS ETF</v>
      </c>
      <c r="D5" s="86" t="s">
        <v>1364</v>
      </c>
      <c r="E5" s="86" t="s">
        <v>1264</v>
      </c>
      <c r="F5" s="34"/>
      <c r="G5" s="86" t="s">
        <v>26</v>
      </c>
      <c r="H5" s="86"/>
      <c r="I5" s="86"/>
      <c r="J5" s="34" t="str" cm="1">
        <f t="array" ref="J5">_xll.BDP(D5&amp;" Equity","FD121")</f>
        <v>Equity</v>
      </c>
      <c r="K5" s="34" t="s">
        <v>453</v>
      </c>
      <c r="L5" s="34" t="s">
        <v>444</v>
      </c>
      <c r="M5" s="34" t="str">
        <f>_xll.BDP(D5&amp;" Equity", "DS197")</f>
        <v>Xetra ETF</v>
      </c>
      <c r="N5" s="34" t="str">
        <f>_xll.BDP(D5&amp;" Equity", "DS004")</f>
        <v>EUR</v>
      </c>
      <c r="O5" s="111">
        <f>_xll.BDP(D5&amp;" Equity", "FUND_EXPENSE_RATIO")</f>
        <v>0.15</v>
      </c>
      <c r="P5" s="111">
        <f>_xll.BDP(D5&amp;" Equity", "PX_LAST")</f>
        <v>36.619999999999997</v>
      </c>
      <c r="Q5" s="112">
        <f t="shared" si="0"/>
        <v>8.6930621266977426E-2</v>
      </c>
      <c r="R5" s="112">
        <f t="shared" si="1"/>
        <v>8.2589865666802709E-2</v>
      </c>
      <c r="S5" s="113">
        <f t="shared" si="2"/>
        <v>6.2873497528857181E-2</v>
      </c>
      <c r="T5" s="113">
        <f t="shared" si="3"/>
        <v>5.9726355177316781E-2</v>
      </c>
      <c r="U5" s="114">
        <f t="shared" si="4"/>
        <v>4.1772734167895086E-2</v>
      </c>
      <c r="V5" s="114">
        <f t="shared" si="5"/>
        <v>3.9689140070119928E-2</v>
      </c>
      <c r="W5" s="115">
        <f t="shared" si="6"/>
        <v>2.9241719164073959E-2</v>
      </c>
      <c r="X5" s="115">
        <f t="shared" si="7"/>
        <v>2.777166921054636E-2</v>
      </c>
      <c r="AB5" s="1" cm="1">
        <f t="array" ref="AB5">IF(N5="EUR",1,_xll.BDP(N5&amp;"EUR CURNCY","PX_LAST"))</f>
        <v>1</v>
      </c>
      <c r="AC5" s="18">
        <v>473608.74928986601</v>
      </c>
      <c r="AD5" s="11">
        <f t="shared" si="8"/>
        <v>17343552.398994893</v>
      </c>
      <c r="AE5" s="18">
        <v>301727.80404744099</v>
      </c>
      <c r="AF5" s="11">
        <f t="shared" si="9"/>
        <v>11049272.184217289</v>
      </c>
      <c r="AG5" s="18">
        <v>175410.867803117</v>
      </c>
      <c r="AH5" s="11">
        <f t="shared" si="10"/>
        <v>6423545.9789501438</v>
      </c>
      <c r="AI5" s="18">
        <v>113523.088312878</v>
      </c>
      <c r="AJ5" s="11">
        <f t="shared" si="11"/>
        <v>4157215.4940175922</v>
      </c>
    </row>
    <row r="6" spans="1:36" x14ac:dyDescent="0.2">
      <c r="C6" s="86" t="str" cm="1">
        <f t="array" ref="C6">_xll.BDP(D6&amp;" Equity","DS520")</f>
        <v>Xtrackers MSCI Emerging Markets UCITS ETF</v>
      </c>
      <c r="D6" s="86" t="s">
        <v>1365</v>
      </c>
      <c r="E6" s="1" t="s">
        <v>1263</v>
      </c>
      <c r="F6" s="86"/>
      <c r="G6" s="86" t="s">
        <v>26</v>
      </c>
      <c r="H6" s="86"/>
      <c r="I6" s="86"/>
      <c r="J6" s="34" t="str" cm="1">
        <f t="array" ref="J6">_xll.BDP(D6&amp;" Equity","FD121")</f>
        <v>Equity</v>
      </c>
      <c r="K6" s="34" t="s">
        <v>453</v>
      </c>
      <c r="L6" s="34" t="s">
        <v>450</v>
      </c>
      <c r="M6" s="34" t="str">
        <f>_xll.BDP(D6&amp;" Equity", "DS197")</f>
        <v>Xetra ETF</v>
      </c>
      <c r="N6" s="34" t="str">
        <f>_xll.BDP(D6&amp;" Equity", "DS004")</f>
        <v>EUR</v>
      </c>
      <c r="O6" s="111">
        <f>_xll.BDP(D6&amp;" Equity", "FUND_EXPENSE_RATIO")</f>
        <v>0.18</v>
      </c>
      <c r="P6" s="111">
        <f>_xll.BDP(D6&amp;" Equity", "PX_LAST")</f>
        <v>68.528000000000006</v>
      </c>
      <c r="Q6" s="112">
        <f t="shared" si="0"/>
        <v>0.16018358624304171</v>
      </c>
      <c r="R6" s="112">
        <f t="shared" si="1"/>
        <v>0.15218504914637096</v>
      </c>
      <c r="S6" s="113">
        <f t="shared" si="2"/>
        <v>0.1159247845474177</v>
      </c>
      <c r="T6" s="113">
        <f t="shared" si="3"/>
        <v>0.11012215206502833</v>
      </c>
      <c r="U6" s="114">
        <f t="shared" si="4"/>
        <v>7.7019656909451062E-2</v>
      </c>
      <c r="V6" s="114">
        <f t="shared" si="5"/>
        <v>7.3177971519545776E-2</v>
      </c>
      <c r="W6" s="115">
        <f t="shared" si="6"/>
        <v>5.3783500008323493E-2</v>
      </c>
      <c r="X6" s="115">
        <f t="shared" si="7"/>
        <v>5.1079677047567981E-2</v>
      </c>
      <c r="AB6" s="1" cm="1">
        <f t="array" ref="AB6">IF(N6="EUR",1,_xll.BDP(N6&amp;"EUR CURNCY","PX_LAST"))</f>
        <v>1</v>
      </c>
      <c r="AC6" s="18">
        <v>466353.48750332202</v>
      </c>
      <c r="AD6" s="11">
        <f t="shared" si="8"/>
        <v>31958271.791627653</v>
      </c>
      <c r="AE6" s="18">
        <v>297285.88690021401</v>
      </c>
      <c r="AF6" s="11">
        <f t="shared" si="9"/>
        <v>20372407.257497869</v>
      </c>
      <c r="AG6" s="18">
        <v>172828.53852801301</v>
      </c>
      <c r="AH6" s="11">
        <f t="shared" si="10"/>
        <v>11843594.088247677</v>
      </c>
      <c r="AI6" s="18">
        <v>111578.530968369</v>
      </c>
      <c r="AJ6" s="11">
        <f t="shared" si="11"/>
        <v>7646253.5702003911</v>
      </c>
    </row>
    <row r="7" spans="1:36" x14ac:dyDescent="0.2">
      <c r="C7" s="86" t="str" cm="1">
        <f t="array" ref="C7">_xll.BDP(D7&amp;" Equity","DS520")</f>
        <v>JPMorgan Global Research Enhanced Index Equity Active UCITS ETF</v>
      </c>
      <c r="D7" s="86" t="s">
        <v>512</v>
      </c>
      <c r="E7" s="86" t="s">
        <v>619</v>
      </c>
      <c r="F7" s="34"/>
      <c r="G7" s="86" t="s">
        <v>26</v>
      </c>
      <c r="H7" s="86"/>
      <c r="I7" s="86"/>
      <c r="J7" s="34" t="str" cm="1">
        <f t="array" ref="J7">_xll.BDP(D7&amp;" Equity","FD121")</f>
        <v>Equity</v>
      </c>
      <c r="K7" s="34" t="s">
        <v>443</v>
      </c>
      <c r="L7" s="34" t="s">
        <v>444</v>
      </c>
      <c r="M7" s="34" t="str">
        <f>_xll.BDP(D7&amp;" Equity", "DS197")</f>
        <v>Xetra ETF</v>
      </c>
      <c r="N7" s="34" t="str">
        <f>_xll.BDP(D7&amp;" Equity", "DS004")</f>
        <v>EUR</v>
      </c>
      <c r="O7" s="111">
        <f>_xll.BDP(D7&amp;" Equity", "FUND_EXPENSE_RATIO")</f>
        <v>0.25</v>
      </c>
      <c r="P7" s="111">
        <f>_xll.BDP(D7&amp;" Equity", "PX_LAST")</f>
        <v>50.98</v>
      </c>
      <c r="Q7" s="112">
        <f t="shared" si="0"/>
        <v>0.18453387847659636</v>
      </c>
      <c r="R7" s="112">
        <f t="shared" si="1"/>
        <v>0.17531944454359591</v>
      </c>
      <c r="S7" s="113">
        <f t="shared" si="2"/>
        <v>0.13355948272905818</v>
      </c>
      <c r="T7" s="113">
        <f t="shared" si="3"/>
        <v>0.12687414278350279</v>
      </c>
      <c r="U7" s="114">
        <f t="shared" si="4"/>
        <v>8.8703070390761696E-2</v>
      </c>
      <c r="V7" s="114">
        <f t="shared" si="5"/>
        <v>8.4278624694248683E-2</v>
      </c>
      <c r="W7" s="115">
        <f t="shared" si="6"/>
        <v>6.1974813203204138E-2</v>
      </c>
      <c r="X7" s="115">
        <f t="shared" si="7"/>
        <v>5.8859193674883667E-2</v>
      </c>
      <c r="AB7" s="1" cm="1">
        <f t="array" ref="AB7">IF(N7="EUR",1,_xll.BDP(N7&amp;"EUR CURNCY","PX_LAST"))</f>
        <v>1</v>
      </c>
      <c r="AC7" s="18">
        <v>722173.50647017697</v>
      </c>
      <c r="AD7" s="11">
        <f t="shared" si="8"/>
        <v>36816405.359849617</v>
      </c>
      <c r="AE7" s="18">
        <v>460405.97301333101</v>
      </c>
      <c r="AF7" s="11">
        <f t="shared" si="9"/>
        <v>23471496.504219614</v>
      </c>
      <c r="AG7" s="18">
        <v>267559.73465684801</v>
      </c>
      <c r="AH7" s="11">
        <f t="shared" si="10"/>
        <v>13640195.272806112</v>
      </c>
      <c r="AI7" s="18">
        <v>172828.368688594</v>
      </c>
      <c r="AJ7" s="11">
        <f t="shared" si="11"/>
        <v>8810790.235744521</v>
      </c>
    </row>
    <row r="8" spans="1:36" x14ac:dyDescent="0.2">
      <c r="C8" s="86" t="str" cm="1">
        <f t="array" ref="C8">_xll.BDP(D8&amp;" Equity","DS520")</f>
        <v>Invesco Global Enhanced Equity UCITS ETF</v>
      </c>
      <c r="D8" s="86" t="s">
        <v>1366</v>
      </c>
      <c r="E8" s="86" t="s">
        <v>1361</v>
      </c>
      <c r="F8" s="86"/>
      <c r="G8" s="86" t="s">
        <v>26</v>
      </c>
      <c r="H8" s="86"/>
      <c r="I8" s="86"/>
      <c r="J8" s="34" t="str" cm="1">
        <f t="array" ref="J8">_xll.BDP(D8&amp;" Equity","FD121")</f>
        <v>Equity</v>
      </c>
      <c r="K8" s="34" t="s">
        <v>443</v>
      </c>
      <c r="L8" s="34" t="s">
        <v>444</v>
      </c>
      <c r="M8" s="34" t="str">
        <f>_xll.BDP(D8&amp;" Equity", "DS197")</f>
        <v>Xetra ETF</v>
      </c>
      <c r="N8" s="34" t="str">
        <f>_xll.BDP(D8&amp;" Equity", "DS004")</f>
        <v>EUR</v>
      </c>
      <c r="O8" s="111">
        <f>_xll.BDP(D8&amp;" Equity", "FUND_EXPENSE_RATIO")</f>
        <v>0.28999999999999998</v>
      </c>
      <c r="P8" s="111">
        <f>_xll.BDP(D8&amp;" Equity", "PX_LAST")</f>
        <v>5.883</v>
      </c>
      <c r="Q8" s="112">
        <f t="shared" si="0"/>
        <v>0.18484095534154507</v>
      </c>
      <c r="R8" s="112">
        <f t="shared" si="1"/>
        <v>0.17561118796675179</v>
      </c>
      <c r="S8" s="113">
        <f t="shared" si="2"/>
        <v>0.1337817347490079</v>
      </c>
      <c r="T8" s="113">
        <f t="shared" si="3"/>
        <v>0.12708526994525007</v>
      </c>
      <c r="U8" s="114">
        <f t="shared" si="4"/>
        <v>8.8850678304234348E-2</v>
      </c>
      <c r="V8" s="114">
        <f t="shared" si="5"/>
        <v>8.4418870030590051E-2</v>
      </c>
      <c r="W8" s="115">
        <f t="shared" si="6"/>
        <v>6.207794348747124E-2</v>
      </c>
      <c r="X8" s="115">
        <f t="shared" si="7"/>
        <v>5.8957139357358253E-2</v>
      </c>
      <c r="AB8" s="1" cm="1">
        <f t="array" ref="AB8">IF(N8="EUR",1,_xll.BDP(N8&amp;"EUR CURNCY","PX_LAST"))</f>
        <v>1</v>
      </c>
      <c r="AC8" s="18">
        <v>6268514.4229957396</v>
      </c>
      <c r="AD8" s="11">
        <f t="shared" si="8"/>
        <v>36877670.350483939</v>
      </c>
      <c r="AE8" s="18">
        <v>3996354.6937270998</v>
      </c>
      <c r="AF8" s="11">
        <f t="shared" si="9"/>
        <v>23510554.663196526</v>
      </c>
      <c r="AG8" s="18">
        <v>2322436.4237718401</v>
      </c>
      <c r="AH8" s="11">
        <f t="shared" si="10"/>
        <v>13662893.481049735</v>
      </c>
      <c r="AI8" s="18">
        <v>1500161.8200071901</v>
      </c>
      <c r="AJ8" s="11">
        <f t="shared" si="11"/>
        <v>8825451.9871022999</v>
      </c>
    </row>
    <row r="9" spans="1:36" x14ac:dyDescent="0.2">
      <c r="C9" s="86" t="str" cm="1">
        <f t="array" ref="C9">_xll.BDP(D9&amp;" Equity","DS520")</f>
        <v>Xtrackers MSCI Europe UCITS ETF</v>
      </c>
      <c r="D9" s="86" t="s">
        <v>513</v>
      </c>
      <c r="E9" s="86" t="s">
        <v>603</v>
      </c>
      <c r="F9" s="86"/>
      <c r="G9" s="86" t="s">
        <v>26</v>
      </c>
      <c r="H9" s="86"/>
      <c r="I9" s="86"/>
      <c r="J9" s="34" t="str" cm="1">
        <f t="array" ref="J9">_xll.BDP(D9&amp;" Equity","FD121")</f>
        <v>Equity</v>
      </c>
      <c r="K9" s="34" t="s">
        <v>446</v>
      </c>
      <c r="L9" s="34" t="s">
        <v>452</v>
      </c>
      <c r="M9" s="34" t="str">
        <f>_xll.BDP(D9&amp;" Equity", "DS197")</f>
        <v>Xetra ETF</v>
      </c>
      <c r="N9" s="34" t="str">
        <f>_xll.BDP(D9&amp;" Equity", "DS004")</f>
        <v>EUR</v>
      </c>
      <c r="O9" s="111">
        <f>_xll.BDP(D9&amp;" Equity", "FUND_EXPENSE_RATIO")</f>
        <v>0.12</v>
      </c>
      <c r="P9" s="111">
        <f>_xll.BDP(D9&amp;" Equity", "PX_LAST")</f>
        <v>109.74</v>
      </c>
      <c r="Q9" s="112">
        <f t="shared" si="0"/>
        <v>4.0125184754301477E-2</v>
      </c>
      <c r="R9" s="112">
        <f t="shared" si="1"/>
        <v>3.8121591338175234E-2</v>
      </c>
      <c r="S9" s="113">
        <f t="shared" si="2"/>
        <v>2.9038576964497135E-2</v>
      </c>
      <c r="T9" s="113">
        <f t="shared" si="3"/>
        <v>2.7585046637963455E-2</v>
      </c>
      <c r="U9" s="114">
        <f t="shared" si="4"/>
        <v>1.9293037668139189E-2</v>
      </c>
      <c r="V9" s="114">
        <f t="shared" si="5"/>
        <v>1.8330714750708906E-2</v>
      </c>
      <c r="W9" s="115">
        <f t="shared" si="6"/>
        <v>1.3497308162429375E-2</v>
      </c>
      <c r="X9" s="115">
        <f t="shared" si="7"/>
        <v>1.2818766756378793E-2</v>
      </c>
      <c r="AB9" s="1" cm="1">
        <f t="array" ref="AB9">IF(N9="EUR",1,_xll.BDP(N9&amp;"EUR CURNCY","PX_LAST"))</f>
        <v>1</v>
      </c>
      <c r="AC9" s="18">
        <v>72948.667372217795</v>
      </c>
      <c r="AD9" s="11">
        <f t="shared" si="8"/>
        <v>8005386.7574271802</v>
      </c>
      <c r="AE9" s="18">
        <v>46502.513348919703</v>
      </c>
      <c r="AF9" s="11">
        <f t="shared" si="9"/>
        <v>5103185.8149104482</v>
      </c>
      <c r="AG9" s="18">
        <v>27034.453279212801</v>
      </c>
      <c r="AH9" s="11">
        <f t="shared" si="10"/>
        <v>2966760.9028608128</v>
      </c>
      <c r="AI9" s="18">
        <v>17485.652494426999</v>
      </c>
      <c r="AJ9" s="11">
        <f t="shared" si="11"/>
        <v>1918875.5047384189</v>
      </c>
    </row>
    <row r="10" spans="1:36" x14ac:dyDescent="0.2">
      <c r="C10" s="86" t="str" cm="1">
        <f t="array" ref="C10">_xll.BDP(D10&amp;" Equity","DS520")</f>
        <v>Xtrackers MSCI World Health Care UCITS ETF</v>
      </c>
      <c r="D10" s="86" t="s">
        <v>514</v>
      </c>
      <c r="E10" s="86" t="s">
        <v>543</v>
      </c>
      <c r="F10" s="86"/>
      <c r="G10" s="86" t="s">
        <v>26</v>
      </c>
      <c r="H10" s="86"/>
      <c r="I10" s="86"/>
      <c r="J10" s="34" t="str" cm="1">
        <f t="array" ref="J10">_xll.BDP(D10&amp;" Equity","FD121")</f>
        <v>Equity</v>
      </c>
      <c r="K10" s="34" t="s">
        <v>446</v>
      </c>
      <c r="L10" s="34" t="s">
        <v>455</v>
      </c>
      <c r="M10" s="34" t="str">
        <f>_xll.BDP(D10&amp;" Equity", "DS197")</f>
        <v>BrsaItaliana</v>
      </c>
      <c r="N10" s="34" t="str">
        <f>_xll.BDP(D10&amp;" Equity", "DS004")</f>
        <v>EUR</v>
      </c>
      <c r="O10" s="111">
        <f>_xll.BDP(D10&amp;" Equity", "FUND_EXPENSE_RATIO")</f>
        <v>0.25</v>
      </c>
      <c r="P10" s="111">
        <f>_xll.BDP(D10&amp;" Equity", "PX_LAST")</f>
        <v>50.1</v>
      </c>
      <c r="Q10" s="112">
        <f t="shared" si="0"/>
        <v>4.0524283636336055E-2</v>
      </c>
      <c r="R10" s="112">
        <f t="shared" si="1"/>
        <v>3.850076179128608E-2</v>
      </c>
      <c r="S10" s="113">
        <f t="shared" si="2"/>
        <v>2.9327404634035988E-2</v>
      </c>
      <c r="T10" s="113">
        <f t="shared" si="3"/>
        <v>2.7859416995171537E-2</v>
      </c>
      <c r="U10" s="114">
        <f t="shared" si="4"/>
        <v>1.9484932853458651E-2</v>
      </c>
      <c r="V10" s="114">
        <f t="shared" si="5"/>
        <v>1.8513038341458662E-2</v>
      </c>
      <c r="W10" s="115">
        <f t="shared" si="6"/>
        <v>1.3631557029595979E-2</v>
      </c>
      <c r="X10" s="115">
        <f t="shared" si="7"/>
        <v>1.2946266617447908E-2</v>
      </c>
      <c r="AB10" s="1" cm="1">
        <f t="array" ref="AB10">IF(N10="EUR",1,_xll.BDP(N10&amp;"EUR CURNCY","PX_LAST"))</f>
        <v>1</v>
      </c>
      <c r="AC10" s="18">
        <v>161377.46679151201</v>
      </c>
      <c r="AD10" s="11">
        <f t="shared" si="8"/>
        <v>8085011.0862547522</v>
      </c>
      <c r="AE10" s="18">
        <v>102873.13084687199</v>
      </c>
      <c r="AF10" s="11">
        <f t="shared" si="9"/>
        <v>5153943.8554282868</v>
      </c>
      <c r="AG10" s="18">
        <v>59805.774984648699</v>
      </c>
      <c r="AH10" s="11">
        <f t="shared" si="10"/>
        <v>2996269.3267309</v>
      </c>
      <c r="AI10" s="18">
        <v>38681.862279255998</v>
      </c>
      <c r="AJ10" s="11">
        <f t="shared" si="11"/>
        <v>1937961.3001907256</v>
      </c>
    </row>
    <row r="11" spans="1:36" x14ac:dyDescent="0.2">
      <c r="C11" s="86" t="str" cm="1">
        <f t="array" ref="C11">_xll.BDP(D11&amp;" Equity","DS520")</f>
        <v>Ishares III PLC - Ishares Msci World Small Cap UCITS ETF</v>
      </c>
      <c r="D11" s="86" t="s">
        <v>1367</v>
      </c>
      <c r="E11" s="86" t="s">
        <v>1362</v>
      </c>
      <c r="F11" s="86"/>
      <c r="G11" s="86" t="s">
        <v>26</v>
      </c>
      <c r="H11" s="86"/>
      <c r="I11" s="86"/>
      <c r="J11" s="34" t="str" cm="1">
        <f t="array" ref="J11">_xll.BDP(D11&amp;" Equity","FD121")</f>
        <v>Equity</v>
      </c>
      <c r="K11" s="34" t="s">
        <v>446</v>
      </c>
      <c r="L11" s="34" t="s">
        <v>1283</v>
      </c>
      <c r="M11" s="34" t="str">
        <f>_xll.BDP(D11&amp;" Equity", "DS197")</f>
        <v>Xetra ETF</v>
      </c>
      <c r="N11" s="34" t="str">
        <f>_xll.BDP(D11&amp;" Equity", "DS004")</f>
        <v>EUR</v>
      </c>
      <c r="O11" s="111">
        <f>_xll.BDP(D11&amp;" Equity", "FUND_EXPENSE_RATIO")</f>
        <v>0.35</v>
      </c>
      <c r="P11" s="111">
        <f>_xll.BDP(D11&amp;" Equity", "PX_LAST")</f>
        <v>8.2550000000000008</v>
      </c>
      <c r="Q11" s="112">
        <f t="shared" si="0"/>
        <v>4.130722388781026E-2</v>
      </c>
      <c r="R11" s="112">
        <f t="shared" si="1"/>
        <v>3.9244607046869814E-2</v>
      </c>
      <c r="S11" s="113">
        <f t="shared" si="2"/>
        <v>2.9894018118565884E-2</v>
      </c>
      <c r="T11" s="113">
        <f t="shared" si="3"/>
        <v>2.8397668556725868E-2</v>
      </c>
      <c r="U11" s="114">
        <f t="shared" si="4"/>
        <v>1.9861387089273149E-2</v>
      </c>
      <c r="V11" s="114">
        <f t="shared" si="5"/>
        <v>1.8870715309290822E-2</v>
      </c>
      <c r="W11" s="115">
        <f t="shared" si="6"/>
        <v>1.389492244240666E-2</v>
      </c>
      <c r="X11" s="115">
        <f t="shared" si="7"/>
        <v>1.3196392031929806E-2</v>
      </c>
      <c r="AB11" s="1" cm="1">
        <f t="array" ref="AB11">IF(N11="EUR",1,_xll.BDP(N11&amp;"EUR CURNCY","PX_LAST"))</f>
        <v>1</v>
      </c>
      <c r="AC11" s="18">
        <v>998330.18938018405</v>
      </c>
      <c r="AD11" s="11">
        <f t="shared" si="8"/>
        <v>8241215.7133334205</v>
      </c>
      <c r="AE11" s="18">
        <v>636404.53802124201</v>
      </c>
      <c r="AF11" s="11">
        <f t="shared" si="9"/>
        <v>5253519.4613653533</v>
      </c>
      <c r="AG11" s="18">
        <v>369976.74987418699</v>
      </c>
      <c r="AH11" s="11">
        <f t="shared" si="10"/>
        <v>3054158.0702114138</v>
      </c>
      <c r="AI11" s="18">
        <v>239297.78836297401</v>
      </c>
      <c r="AJ11" s="11">
        <f t="shared" si="11"/>
        <v>1975403.2429363506</v>
      </c>
    </row>
    <row r="12" spans="1:36" x14ac:dyDescent="0.2">
      <c r="C12" s="86" t="str" cm="1">
        <f t="array" ref="C12">_xll.BDP(D12&amp;" Equity","DS520")</f>
        <v>Wisdomtree Enhanced Commodity EX-Agriculture UCITS ETF</v>
      </c>
      <c r="D12" s="86" t="s">
        <v>1368</v>
      </c>
      <c r="E12" s="86" t="s">
        <v>1363</v>
      </c>
      <c r="F12" s="86"/>
      <c r="G12" s="86" t="s">
        <v>26</v>
      </c>
      <c r="H12" s="86"/>
      <c r="I12" s="86"/>
      <c r="J12" s="34" t="str" cm="1">
        <f t="array" ref="J12">_xll.BDP(D12&amp;" Equity","FD121")</f>
        <v>Commodity</v>
      </c>
      <c r="K12" s="34" t="s">
        <v>446</v>
      </c>
      <c r="L12" s="34" t="s">
        <v>447</v>
      </c>
      <c r="M12" s="34" t="str">
        <f>_xll.BDP(D12&amp;" Equity", "DS197")</f>
        <v>Xetra ETF</v>
      </c>
      <c r="N12" s="34" t="str">
        <f>_xll.BDP(D12&amp;" Equity", "DS004")</f>
        <v>EUR</v>
      </c>
      <c r="O12" s="111">
        <f>_xll.BDP(D12&amp;" Equity", "FUND_EXPENSE_RATIO")</f>
        <v>0.35</v>
      </c>
      <c r="P12" s="111">
        <f>_xll.BDP(D12&amp;" Equity", "PX_LAST")</f>
        <v>14.996</v>
      </c>
      <c r="Q12" s="112">
        <f t="shared" si="0"/>
        <v>0</v>
      </c>
      <c r="R12" s="112">
        <f t="shared" si="1"/>
        <v>0</v>
      </c>
      <c r="S12" s="113">
        <f t="shared" si="2"/>
        <v>3.1642790883724674E-2</v>
      </c>
      <c r="T12" s="113">
        <f t="shared" si="3"/>
        <v>3.0058906238761188E-2</v>
      </c>
      <c r="U12" s="114">
        <f t="shared" si="4"/>
        <v>3.1534890149290291E-2</v>
      </c>
      <c r="V12" s="114">
        <f t="shared" si="5"/>
        <v>2.9961952387424846E-2</v>
      </c>
      <c r="W12" s="115">
        <f t="shared" si="6"/>
        <v>3.1470286405042902E-2</v>
      </c>
      <c r="X12" s="115">
        <f t="shared" si="7"/>
        <v>2.9888201138179672E-2</v>
      </c>
      <c r="AB12" s="1" cm="1">
        <f t="array" ref="AB12">IF(N12="EUR",1,_xll.BDP(N12&amp;"EUR CURNCY","PX_LAST"))</f>
        <v>1</v>
      </c>
      <c r="AC12" s="18"/>
      <c r="AD12" s="11">
        <f t="shared" si="8"/>
        <v>0</v>
      </c>
      <c r="AE12" s="18">
        <v>370821.92272082798</v>
      </c>
      <c r="AF12" s="11">
        <f t="shared" si="9"/>
        <v>5560845.553121537</v>
      </c>
      <c r="AG12" s="18">
        <v>323368.584494057</v>
      </c>
      <c r="AH12" s="11">
        <f t="shared" si="10"/>
        <v>4849235.2930728784</v>
      </c>
      <c r="AI12" s="18">
        <v>298349.21466310398</v>
      </c>
      <c r="AJ12" s="11">
        <f t="shared" si="11"/>
        <v>4474044.8230879074</v>
      </c>
    </row>
    <row r="13" spans="1:36" x14ac:dyDescent="0.2">
      <c r="C13" s="116" t="s">
        <v>456</v>
      </c>
      <c r="D13" s="86"/>
      <c r="E13" s="86"/>
      <c r="F13" s="86"/>
      <c r="G13" s="86"/>
      <c r="H13" s="86"/>
      <c r="I13" s="86"/>
      <c r="J13" s="45"/>
      <c r="K13" s="45"/>
      <c r="L13" s="45"/>
      <c r="M13" s="34"/>
      <c r="N13" s="34"/>
      <c r="O13" s="111"/>
      <c r="P13" s="111"/>
      <c r="Q13" s="112"/>
      <c r="R13" s="112"/>
      <c r="S13" s="113"/>
      <c r="T13" s="113"/>
      <c r="U13" s="114"/>
      <c r="V13" s="114"/>
      <c r="W13" s="115"/>
      <c r="X13" s="115"/>
      <c r="AC13" s="18"/>
      <c r="AD13" s="11"/>
      <c r="AE13" s="18"/>
      <c r="AF13" s="11"/>
      <c r="AG13" s="18"/>
      <c r="AH13" s="11"/>
      <c r="AI13" s="18"/>
      <c r="AJ13" s="11"/>
    </row>
    <row r="14" spans="1:36" x14ac:dyDescent="0.2">
      <c r="C14" s="86" t="str" cm="1">
        <f t="array" ref="C14">_xll.BDP(D14&amp;" Equity","DS520")</f>
        <v>iShares Asia Investment Grade Corp Bond UCITS ETF</v>
      </c>
      <c r="D14" s="86" t="s">
        <v>457</v>
      </c>
      <c r="E14" s="86" t="s">
        <v>544</v>
      </c>
      <c r="F14" s="86" t="s">
        <v>551</v>
      </c>
      <c r="G14" s="86" t="s">
        <v>26</v>
      </c>
      <c r="H14" s="86"/>
      <c r="I14" s="86"/>
      <c r="J14" s="34" t="str" cm="1">
        <f t="array" ref="J14">_xll.BDP(D14&amp;" Equity","FD121")</f>
        <v>Fixed Income</v>
      </c>
      <c r="K14" s="34" t="s">
        <v>458</v>
      </c>
      <c r="L14" s="34" t="s">
        <v>459</v>
      </c>
      <c r="M14" s="34" t="str">
        <f>_xll.BDP(D14&amp;" Equity", "DS197")</f>
        <v>EN Amsterdam</v>
      </c>
      <c r="N14" s="34" t="str">
        <f>_xll.BDP(D14&amp;" Equity", "DS004")</f>
        <v>USD</v>
      </c>
      <c r="O14" s="111">
        <f>_xll.BDP(D14&amp;" Equity", "FUND_EXPENSE_RATIO")</f>
        <v>0.2</v>
      </c>
      <c r="P14" s="111">
        <f>_xll.BDP(D14&amp;" Equity", "PX_LAST")</f>
        <v>5.4771999999999998</v>
      </c>
      <c r="Q14" s="112"/>
      <c r="R14" s="112"/>
      <c r="S14" s="113">
        <f t="shared" ref="S14:S20" si="12">AF14/$AF$21</f>
        <v>2.7850539671709019E-2</v>
      </c>
      <c r="T14" s="113">
        <f t="shared" ref="T14:T19" si="13">S14*(1-$T$36)/(1-$S$20)</f>
        <v>2.6456476730103727E-2</v>
      </c>
      <c r="U14" s="114">
        <f t="shared" ref="U14:U20" si="14">AH14/$AH$21</f>
        <v>5.5407187297298259E-2</v>
      </c>
      <c r="V14" s="114">
        <f t="shared" ref="V14:V19" si="15">U14*(1-$V$36)/(1-$U$20)</f>
        <v>5.2643516430963141E-2</v>
      </c>
      <c r="W14" s="115">
        <f t="shared" ref="W14:W20" si="16">AJ14/$AJ$21</f>
        <v>7.1995895579992933E-2</v>
      </c>
      <c r="X14" s="115">
        <f t="shared" ref="X14:X19" si="17">W14*(1-$X$36)/(1-$W$20)</f>
        <v>6.8376492686555074E-2</v>
      </c>
      <c r="AB14" s="1" cm="1">
        <f t="array" ref="AB14">IF(N14="EUR",1,_xll.BDP(N14&amp;"EUR CURNCY","PX_LAST"))</f>
        <v>0.86150000000000004</v>
      </c>
      <c r="AC14" s="18"/>
      <c r="AD14" s="11">
        <f t="shared" ref="AD14:AD20" si="18">AC14*P14*AB14</f>
        <v>0</v>
      </c>
      <c r="AE14" s="18">
        <v>1037255.59435235</v>
      </c>
      <c r="AF14" s="11">
        <f t="shared" ref="AF14:AF20" si="19">AE14*P14*AB14</f>
        <v>4894402.3381046345</v>
      </c>
      <c r="AG14" s="18">
        <v>1805652.4341112101</v>
      </c>
      <c r="AH14" s="11">
        <f t="shared" ref="AH14:AH20" si="20">AG14*P14*AB14</f>
        <v>8520165.6596861426</v>
      </c>
      <c r="AI14" s="18">
        <v>2169169.5159568</v>
      </c>
      <c r="AJ14" s="11">
        <f t="shared" ref="AJ14:AJ20" si="21">AI14*P14*AB14</f>
        <v>10235460.197515981</v>
      </c>
    </row>
    <row r="15" spans="1:36" x14ac:dyDescent="0.2">
      <c r="C15" s="86" t="str" cm="1">
        <f t="array" ref="C15">_xll.BDP(D15&amp;" Equity","DS520")</f>
        <v>iShares Core EUR Govt Bond UCITS ETF</v>
      </c>
      <c r="D15" s="117" t="s">
        <v>1369</v>
      </c>
      <c r="E15" s="117" t="s">
        <v>624</v>
      </c>
      <c r="F15" s="117" t="s">
        <v>551</v>
      </c>
      <c r="G15" s="86" t="s">
        <v>26</v>
      </c>
      <c r="H15" s="117"/>
      <c r="I15" s="117"/>
      <c r="J15" s="34" t="str" cm="1">
        <f t="array" ref="J15">_xll.BDP(D15&amp;" Equity","FD121")</f>
        <v>Fixed Income</v>
      </c>
      <c r="K15" s="34" t="s">
        <v>458</v>
      </c>
      <c r="L15" s="34" t="s">
        <v>461</v>
      </c>
      <c r="M15" s="34" t="str">
        <f>_xll.BDP(D15&amp;" Equity", "DS197")</f>
        <v>Xetra ETF</v>
      </c>
      <c r="N15" s="34" t="str">
        <f>_xll.BDP(D15&amp;" Equity", "DS004")</f>
        <v>EUR</v>
      </c>
      <c r="O15" s="111">
        <f>_xll.BDP(D15&amp;" Equity", "FUND_EXPENSE_RATIO")</f>
        <v>7.0000000000000007E-2</v>
      </c>
      <c r="P15" s="111">
        <f>_xll.BDP(D15&amp;" Equity", "PX_LAST")</f>
        <v>109.75</v>
      </c>
      <c r="Q15" s="112"/>
      <c r="R15" s="112"/>
      <c r="S15" s="113">
        <f t="shared" si="12"/>
        <v>7.085428442409461E-2</v>
      </c>
      <c r="T15" s="113">
        <f t="shared" si="13"/>
        <v>6.7307662587178158E-2</v>
      </c>
      <c r="U15" s="114">
        <f t="shared" si="14"/>
        <v>0.1412253479240124</v>
      </c>
      <c r="V15" s="114">
        <f t="shared" si="15"/>
        <v>0.13418112859644754</v>
      </c>
      <c r="W15" s="115">
        <f t="shared" si="16"/>
        <v>0.18323688361218174</v>
      </c>
      <c r="X15" s="115">
        <f t="shared" si="17"/>
        <v>0.17402513478417264</v>
      </c>
      <c r="AB15" s="1" cm="1">
        <f t="array" ref="AB15">IF(N15="EUR",1,_xll.BDP(N15&amp;"EUR CURNCY","PX_LAST"))</f>
        <v>1</v>
      </c>
      <c r="AC15" s="18"/>
      <c r="AD15" s="11">
        <f t="shared" si="18"/>
        <v>0</v>
      </c>
      <c r="AE15" s="18">
        <v>113456.04477790299</v>
      </c>
      <c r="AF15" s="11">
        <f t="shared" si="19"/>
        <v>12451800.914374853</v>
      </c>
      <c r="AG15" s="18">
        <v>197874.604246337</v>
      </c>
      <c r="AH15" s="11">
        <f t="shared" si="20"/>
        <v>21716737.816035487</v>
      </c>
      <c r="AI15" s="18">
        <v>237360.25692905899</v>
      </c>
      <c r="AJ15" s="11">
        <f t="shared" si="21"/>
        <v>26050288.197964225</v>
      </c>
    </row>
    <row r="16" spans="1:36" x14ac:dyDescent="0.2">
      <c r="C16" s="86" t="str" cm="1">
        <f t="array" ref="C16">_xll.BDP(D16&amp;" Equity","DS520")</f>
        <v>iShares Global Corp Bond EUR Hedged UCITS ETF Dist</v>
      </c>
      <c r="D16" s="117" t="s">
        <v>515</v>
      </c>
      <c r="E16" s="117" t="s">
        <v>620</v>
      </c>
      <c r="F16" s="117" t="s">
        <v>61</v>
      </c>
      <c r="G16" s="86" t="s">
        <v>26</v>
      </c>
      <c r="H16" s="117"/>
      <c r="I16" s="117"/>
      <c r="J16" s="34" t="str" cm="1">
        <f t="array" ref="J16">_xll.BDP(D16&amp;" Equity","FD121")</f>
        <v>Fixed Income</v>
      </c>
      <c r="K16" s="34" t="s">
        <v>458</v>
      </c>
      <c r="L16" s="34" t="s">
        <v>1403</v>
      </c>
      <c r="M16" s="34" t="str">
        <f>_xll.BDP(D16&amp;" Equity", "DS197")</f>
        <v>Xetra ETF</v>
      </c>
      <c r="N16" s="34" t="str">
        <f>_xll.BDP(D16&amp;" Equity", "DS004")</f>
        <v>EUR</v>
      </c>
      <c r="O16" s="111">
        <f>_xll.BDP(D16&amp;" Equity", "FUND_EXPENSE_RATIO")</f>
        <v>0.25</v>
      </c>
      <c r="P16" s="111">
        <f>_xll.BDP(D16&amp;" Equity", "PX_LAST")</f>
        <v>86.24</v>
      </c>
      <c r="Q16" s="112"/>
      <c r="R16" s="112"/>
      <c r="S16" s="113">
        <f t="shared" si="12"/>
        <v>5.3532216069538466E-2</v>
      </c>
      <c r="T16" s="113">
        <f t="shared" si="13"/>
        <v>5.0852652962890363E-2</v>
      </c>
      <c r="U16" s="114">
        <f t="shared" si="14"/>
        <v>0.10679943962196196</v>
      </c>
      <c r="V16" s="114">
        <f t="shared" si="15"/>
        <v>0.10147235997360513</v>
      </c>
      <c r="W16" s="115">
        <f t="shared" si="16"/>
        <v>0.13854485053872664</v>
      </c>
      <c r="X16" s="115">
        <f t="shared" si="17"/>
        <v>0.13157987525963405</v>
      </c>
      <c r="AB16" s="1" cm="1">
        <f t="array" ref="AB16">IF(N16="EUR",1,_xll.BDP(N16&amp;"EUR CURNCY","PX_LAST"))</f>
        <v>1</v>
      </c>
      <c r="AC16" s="18"/>
      <c r="AD16" s="11">
        <f t="shared" si="18"/>
        <v>0</v>
      </c>
      <c r="AE16" s="18">
        <v>109086.881439249</v>
      </c>
      <c r="AF16" s="11">
        <f t="shared" si="19"/>
        <v>9407652.6553208325</v>
      </c>
      <c r="AG16" s="18">
        <v>190432.978864242</v>
      </c>
      <c r="AH16" s="11">
        <f t="shared" si="20"/>
        <v>16422940.097252229</v>
      </c>
      <c r="AI16" s="18">
        <v>228392.20427295199</v>
      </c>
      <c r="AJ16" s="11">
        <f t="shared" si="21"/>
        <v>19696543.696499377</v>
      </c>
    </row>
    <row r="17" spans="3:36" x14ac:dyDescent="0.2">
      <c r="C17" s="86" t="str" cm="1">
        <f t="array" ref="C17">_xll.BDP(D17&amp;" Equity","DS520")</f>
        <v>iShares JP Morgan EM Local Government Bond UCITS ETF</v>
      </c>
      <c r="D17" s="117" t="s">
        <v>516</v>
      </c>
      <c r="E17" s="117" t="s">
        <v>609</v>
      </c>
      <c r="F17" s="117" t="s">
        <v>623</v>
      </c>
      <c r="G17" s="86" t="s">
        <v>26</v>
      </c>
      <c r="H17" s="117"/>
      <c r="I17" s="117"/>
      <c r="J17" s="34" t="str" cm="1">
        <f t="array" ref="J17">_xll.BDP(D17&amp;" Equity","FD121")</f>
        <v>Fixed Income</v>
      </c>
      <c r="K17" s="34" t="s">
        <v>458</v>
      </c>
      <c r="L17" s="34" t="s">
        <v>450</v>
      </c>
      <c r="M17" s="34" t="str">
        <f>_xll.BDP(D17&amp;" Equity", "DS197")</f>
        <v>BrsaItaliana</v>
      </c>
      <c r="N17" s="34" t="str">
        <f>_xll.BDP(D17&amp;" Equity", "DS004")</f>
        <v>EUR</v>
      </c>
      <c r="O17" s="111">
        <f>_xll.BDP(D17&amp;" Equity", "FUND_EXPENSE_RATIO")</f>
        <v>0.5</v>
      </c>
      <c r="P17" s="111">
        <f>_xll.BDP(D17&amp;" Equity", "PX_LAST")</f>
        <v>40.22</v>
      </c>
      <c r="Q17" s="112"/>
      <c r="R17" s="112"/>
      <c r="S17" s="113">
        <f t="shared" si="12"/>
        <v>2.7355220910785013E-2</v>
      </c>
      <c r="T17" s="113">
        <f t="shared" si="13"/>
        <v>2.5985951224069052E-2</v>
      </c>
      <c r="U17" s="114">
        <f t="shared" si="14"/>
        <v>5.44217766129136E-2</v>
      </c>
      <c r="V17" s="114">
        <f t="shared" si="15"/>
        <v>5.1707257326592759E-2</v>
      </c>
      <c r="W17" s="115">
        <f t="shared" si="16"/>
        <v>7.0715456557602557E-2</v>
      </c>
      <c r="X17" s="115">
        <f t="shared" si="17"/>
        <v>6.7160424343426006E-2</v>
      </c>
      <c r="AB17" s="1" cm="1">
        <f t="array" ref="AB17">IF(N17="EUR",1,_xll.BDP(N17&amp;"EUR CURNCY","PX_LAST"))</f>
        <v>1</v>
      </c>
      <c r="AC17" s="18"/>
      <c r="AD17" s="11">
        <f t="shared" si="18"/>
        <v>0</v>
      </c>
      <c r="AE17" s="18">
        <v>119526.502611866</v>
      </c>
      <c r="AF17" s="11">
        <f t="shared" si="19"/>
        <v>4807355.9350492507</v>
      </c>
      <c r="AG17" s="18">
        <v>208071.493233713</v>
      </c>
      <c r="AH17" s="11">
        <f t="shared" si="20"/>
        <v>8368635.4578599371</v>
      </c>
      <c r="AI17" s="18">
        <v>249960.80737118499</v>
      </c>
      <c r="AJ17" s="11">
        <f t="shared" si="21"/>
        <v>10053423.672469059</v>
      </c>
    </row>
    <row r="18" spans="3:36" x14ac:dyDescent="0.2">
      <c r="C18" s="86" t="str" cm="1">
        <f t="array" ref="C18">_xll.BDP(D18&amp;" Equity","DS520")</f>
        <v>iShares USD Treasury Bond 20+yr UCITS ETF</v>
      </c>
      <c r="D18" s="86" t="s">
        <v>517</v>
      </c>
      <c r="E18" s="86" t="s">
        <v>621</v>
      </c>
      <c r="F18" s="117" t="s">
        <v>552</v>
      </c>
      <c r="G18" s="86" t="s">
        <v>26</v>
      </c>
      <c r="H18" s="86"/>
      <c r="I18" s="86"/>
      <c r="J18" s="34" t="str" cm="1">
        <f t="array" ref="J18">_xll.BDP(D18&amp;" Equity","FD121")</f>
        <v>Fixed Income</v>
      </c>
      <c r="K18" s="34" t="s">
        <v>458</v>
      </c>
      <c r="L18" s="34" t="s">
        <v>464</v>
      </c>
      <c r="M18" s="34" t="str">
        <f>_xll.BDP(D18&amp;" Equity", "DS197")</f>
        <v>London</v>
      </c>
      <c r="N18" s="34" t="str">
        <f>_xll.BDP(D18&amp;" Equity", "DS004")</f>
        <v>EUR</v>
      </c>
      <c r="O18" s="111">
        <f>_xll.BDP(D18&amp;" Equity", "FUND_EXPENSE_RATIO")</f>
        <v>0.1</v>
      </c>
      <c r="P18" s="111">
        <f>_xll.BDP(D18&amp;" Equity", "PX_LAST")</f>
        <v>2.9235000000000002</v>
      </c>
      <c r="Q18" s="112"/>
      <c r="R18" s="112"/>
      <c r="S18" s="113">
        <f t="shared" si="12"/>
        <v>1.1136802433614423E-2</v>
      </c>
      <c r="T18" s="113">
        <f t="shared" si="13"/>
        <v>1.0579348116976804E-2</v>
      </c>
      <c r="U18" s="114">
        <f t="shared" si="14"/>
        <v>2.2197652706987776E-2</v>
      </c>
      <c r="V18" s="114">
        <f t="shared" si="15"/>
        <v>2.1090449669263493E-2</v>
      </c>
      <c r="W18" s="115">
        <f t="shared" si="16"/>
        <v>2.8858800218491614E-2</v>
      </c>
      <c r="X18" s="115">
        <f t="shared" si="17"/>
        <v>2.7408000500389627E-2</v>
      </c>
      <c r="AB18" s="1" cm="1">
        <f t="array" ref="AB18">IF(N18="EUR",1,_xll.BDP(N18&amp;"EUR CURNCY","PX_LAST"))</f>
        <v>1</v>
      </c>
      <c r="AC18" s="18"/>
      <c r="AD18" s="11">
        <f t="shared" si="18"/>
        <v>0</v>
      </c>
      <c r="AE18" s="18">
        <v>669458.205738066</v>
      </c>
      <c r="AF18" s="11">
        <f t="shared" si="19"/>
        <v>1957161.064475236</v>
      </c>
      <c r="AG18" s="18">
        <v>1167577.9618371001</v>
      </c>
      <c r="AH18" s="11">
        <f t="shared" si="20"/>
        <v>3413414.1714307624</v>
      </c>
      <c r="AI18" s="18">
        <v>1403378.4680854401</v>
      </c>
      <c r="AJ18" s="11">
        <f t="shared" si="21"/>
        <v>4102776.9514477844</v>
      </c>
    </row>
    <row r="19" spans="3:36" x14ac:dyDescent="0.2">
      <c r="C19" s="86" t="str" cm="1">
        <f t="array" ref="C19">_xll.BDP(D19&amp;" Equity","DS520")</f>
        <v>Xtrackers iBoxx EUR Corporate Bond Yield Plus UCITS ETF</v>
      </c>
      <c r="D19" s="117" t="s">
        <v>518</v>
      </c>
      <c r="E19" s="117" t="s">
        <v>622</v>
      </c>
      <c r="F19" s="117" t="s">
        <v>61</v>
      </c>
      <c r="G19" s="86" t="s">
        <v>26</v>
      </c>
      <c r="H19" s="117"/>
      <c r="I19" s="117"/>
      <c r="J19" s="34" t="str" cm="1">
        <f t="array" ref="J19">_xll.BDP(D19&amp;" Equity","FD121")</f>
        <v>Fixed Income</v>
      </c>
      <c r="K19" s="34" t="s">
        <v>458</v>
      </c>
      <c r="L19" s="34" t="s">
        <v>1403</v>
      </c>
      <c r="M19" s="34" t="str">
        <f>_xll.BDP(D19&amp;" Equity", "DS197")</f>
        <v>Xetra ETF</v>
      </c>
      <c r="N19" s="34" t="str">
        <f>_xll.BDP(D19&amp;" Equity", "DS004")</f>
        <v>EUR</v>
      </c>
      <c r="O19" s="111">
        <f>_xll.BDP(D19&amp;" Equity", "FUND_EXPENSE_RATIO")</f>
        <v>0.25</v>
      </c>
      <c r="P19" s="111">
        <f>_xll.BDP(D19&amp;" Equity", "PX_LAST")</f>
        <v>15.164</v>
      </c>
      <c r="Q19" s="112"/>
      <c r="R19" s="112"/>
      <c r="S19" s="113">
        <f t="shared" si="12"/>
        <v>5.2619501083461209E-2</v>
      </c>
      <c r="T19" s="113">
        <f t="shared" si="13"/>
        <v>4.9985624062373259E-2</v>
      </c>
      <c r="U19" s="114">
        <f t="shared" si="14"/>
        <v>0.10497852772619864</v>
      </c>
      <c r="V19" s="114">
        <f t="shared" si="15"/>
        <v>9.974227386059599E-2</v>
      </c>
      <c r="W19" s="115">
        <f t="shared" si="16"/>
        <v>0.1361826849006314</v>
      </c>
      <c r="X19" s="115">
        <f t="shared" si="17"/>
        <v>0.12933646124031409</v>
      </c>
      <c r="AB19" s="1" cm="1">
        <f t="array" ref="AB19">IF(N19="EUR",1,_xll.BDP(N19&amp;"EUR CURNCY","PX_LAST"))</f>
        <v>1</v>
      </c>
      <c r="AC19" s="18"/>
      <c r="AD19" s="11">
        <f t="shared" si="18"/>
        <v>0</v>
      </c>
      <c r="AE19" s="18">
        <v>609816.26296127902</v>
      </c>
      <c r="AF19" s="11">
        <f t="shared" si="19"/>
        <v>9247253.8115448356</v>
      </c>
      <c r="AG19" s="18">
        <v>1064556.3057941999</v>
      </c>
      <c r="AH19" s="11">
        <f t="shared" si="20"/>
        <v>16142931.821063247</v>
      </c>
      <c r="AI19" s="18">
        <v>1276755.5425698401</v>
      </c>
      <c r="AJ19" s="11">
        <f t="shared" si="21"/>
        <v>19360721.047529057</v>
      </c>
    </row>
    <row r="20" spans="3:36" x14ac:dyDescent="0.2">
      <c r="C20" s="86" t="str" cm="1">
        <f t="array" ref="C20">_xll.BDP(D20&amp;" Curncy","DS520")</f>
        <v>EURUSD Spot Exchange Rate - Price of 1 EUR in USD</v>
      </c>
      <c r="D20" s="118" t="s">
        <v>83</v>
      </c>
      <c r="E20" s="118"/>
      <c r="F20" s="118"/>
      <c r="G20" s="118"/>
      <c r="H20" s="118"/>
      <c r="I20" s="118"/>
      <c r="J20" s="34" t="s">
        <v>80</v>
      </c>
      <c r="K20" s="34"/>
      <c r="L20" s="34"/>
      <c r="M20" s="34"/>
      <c r="N20" s="34" t="str">
        <f>_xll.BDP(D20&amp;" Curncy", "DS004")</f>
        <v>EUR</v>
      </c>
      <c r="O20" s="111"/>
      <c r="P20" s="111">
        <v>1</v>
      </c>
      <c r="Q20" s="112">
        <f>AD20/AD21</f>
        <v>5.0695797942262632E-3</v>
      </c>
      <c r="R20" s="112">
        <f>R36</f>
        <v>5.475E-2</v>
      </c>
      <c r="S20" s="113">
        <f t="shared" si="12"/>
        <v>4.9422342496572291E-3</v>
      </c>
      <c r="T20" s="113">
        <f>T36</f>
        <v>5.475E-2</v>
      </c>
      <c r="U20" s="114">
        <f t="shared" si="14"/>
        <v>5.1264173917004441E-3</v>
      </c>
      <c r="V20" s="114">
        <f>V36</f>
        <v>5.475E-2</v>
      </c>
      <c r="W20" s="115">
        <f t="shared" si="16"/>
        <v>4.714666940355384E-3</v>
      </c>
      <c r="X20" s="115">
        <f>X36</f>
        <v>5.475E-2</v>
      </c>
      <c r="AB20" s="1">
        <v>1</v>
      </c>
      <c r="AC20" s="18">
        <v>1011433.2731158</v>
      </c>
      <c r="AD20" s="11">
        <f t="shared" si="18"/>
        <v>1011433.2731158</v>
      </c>
      <c r="AE20" s="18">
        <v>868539.10739672196</v>
      </c>
      <c r="AF20" s="11">
        <f t="shared" si="19"/>
        <v>868539.10739672196</v>
      </c>
      <c r="AG20" s="18">
        <v>788307.93527961196</v>
      </c>
      <c r="AH20" s="11">
        <f t="shared" si="20"/>
        <v>788307.93527961196</v>
      </c>
      <c r="AI20" s="18">
        <v>670271.345662129</v>
      </c>
      <c r="AJ20" s="11">
        <f t="shared" si="21"/>
        <v>670271.345662129</v>
      </c>
    </row>
    <row r="21" spans="3:36" x14ac:dyDescent="0.2">
      <c r="C21" s="119"/>
      <c r="D21" s="120"/>
      <c r="E21" s="120"/>
      <c r="F21" s="120"/>
      <c r="G21" s="120"/>
      <c r="H21" s="120"/>
      <c r="I21" s="120"/>
      <c r="J21" s="77"/>
      <c r="K21" s="77"/>
      <c r="L21" s="77"/>
      <c r="M21" s="77"/>
      <c r="N21" s="77"/>
      <c r="O21" s="121" t="s">
        <v>81</v>
      </c>
      <c r="P21" s="121"/>
      <c r="Q21" s="107">
        <f t="shared" ref="Q21:X21" si="22">SUM(Q4:Q20)</f>
        <v>1</v>
      </c>
      <c r="R21" s="107">
        <f t="shared" si="22"/>
        <v>1</v>
      </c>
      <c r="S21" s="108">
        <f t="shared" si="22"/>
        <v>0.99999999999999989</v>
      </c>
      <c r="T21" s="108">
        <f t="shared" si="22"/>
        <v>0.99999999999999989</v>
      </c>
      <c r="U21" s="109">
        <f t="shared" si="22"/>
        <v>1</v>
      </c>
      <c r="V21" s="109">
        <f t="shared" si="22"/>
        <v>1.0000000000000002</v>
      </c>
      <c r="W21" s="110">
        <f t="shared" si="22"/>
        <v>1.0000000000000002</v>
      </c>
      <c r="X21" s="110">
        <f t="shared" si="22"/>
        <v>0.99999999999999989</v>
      </c>
      <c r="AC21" s="5"/>
      <c r="AD21" s="24">
        <f>SUM(AD4:AD20)</f>
        <v>199510277.80797923</v>
      </c>
      <c r="AE21" s="5"/>
      <c r="AF21" s="24">
        <f>SUM(AF4:AF20)</f>
        <v>175738150.70723528</v>
      </c>
      <c r="AG21" s="5"/>
      <c r="AH21" s="24">
        <f>SUM(AH4:AH20)</f>
        <v>153773654.2006636</v>
      </c>
      <c r="AI21" s="5"/>
      <c r="AJ21" s="24">
        <f>SUM(AJ4:AJ20)</f>
        <v>142167273.77387235</v>
      </c>
    </row>
    <row r="22" spans="3:36" x14ac:dyDescent="0.2">
      <c r="C22" s="119"/>
      <c r="D22" s="120"/>
      <c r="E22" s="120"/>
      <c r="F22" s="120"/>
      <c r="G22" s="120"/>
      <c r="H22" s="120"/>
      <c r="I22" s="120"/>
      <c r="J22" s="77"/>
      <c r="K22" s="77"/>
      <c r="L22" s="77"/>
      <c r="M22" s="77"/>
      <c r="N22" s="77"/>
      <c r="O22" s="122" t="s">
        <v>470</v>
      </c>
      <c r="P22" s="122"/>
      <c r="Q22" s="112">
        <f>SUMIF($J$4:$J$20,$O22,Q$4:Q$20)</f>
        <v>0.99493042020577382</v>
      </c>
      <c r="R22" s="112"/>
      <c r="S22" s="113">
        <f>SUMIF($J$4:$J$20,$O22,S$4:S$20)</f>
        <v>0.72006641027341511</v>
      </c>
      <c r="T22" s="113"/>
      <c r="U22" s="114">
        <f>SUMIF($J$4:$J$20,$O22,U$4:U$20)</f>
        <v>0.47830876056963673</v>
      </c>
      <c r="V22" s="114"/>
      <c r="W22" s="115">
        <f>SUMIF($J$4:$J$20,$O22,W$4:W$20)</f>
        <v>0.3342804752469748</v>
      </c>
      <c r="X22" s="115"/>
    </row>
    <row r="23" spans="3:36" x14ac:dyDescent="0.2">
      <c r="C23" s="119"/>
      <c r="D23" s="120"/>
      <c r="E23" s="120"/>
      <c r="F23" s="120"/>
      <c r="G23" s="120"/>
      <c r="H23" s="120"/>
      <c r="I23" s="120"/>
      <c r="J23" s="77"/>
      <c r="K23" s="77"/>
      <c r="L23" s="77"/>
      <c r="M23" s="77"/>
      <c r="N23" s="77"/>
      <c r="O23" s="123" t="s">
        <v>453</v>
      </c>
      <c r="P23" s="123"/>
      <c r="Q23" s="112">
        <f>SUMIF($K$4:$K$20,$O23,Q$4:Q$20)</f>
        <v>0.50359889410918446</v>
      </c>
      <c r="R23" s="112"/>
      <c r="S23" s="113">
        <f>SUMIF($K$4:$K$20,$O23,S$4:S$20)</f>
        <v>0.36446519307825009</v>
      </c>
      <c r="T23" s="113"/>
      <c r="U23" s="114">
        <f>SUMIF($K$4:$K$20,$O23,U$4:U$20)</f>
        <v>0.24211565426376969</v>
      </c>
      <c r="V23" s="114"/>
      <c r="W23" s="115">
        <f>SUMIF($K$4:$K$20,$O23,W$4:W$20)</f>
        <v>0.16920393092186742</v>
      </c>
      <c r="X23" s="115"/>
    </row>
    <row r="24" spans="3:36" x14ac:dyDescent="0.2">
      <c r="C24" s="119"/>
      <c r="D24" s="120"/>
      <c r="E24" s="120"/>
      <c r="F24" s="120"/>
      <c r="G24" s="120"/>
      <c r="H24" s="120"/>
      <c r="I24" s="120"/>
      <c r="J24" s="77"/>
      <c r="K24" s="77"/>
      <c r="L24" s="77"/>
      <c r="M24" s="77"/>
      <c r="N24" s="77"/>
      <c r="O24" s="123" t="s">
        <v>443</v>
      </c>
      <c r="P24" s="123"/>
      <c r="Q24" s="112">
        <f>SUMIF($K$4:$K$20,$O24,Q$4:Q$20)</f>
        <v>0.3693748338181414</v>
      </c>
      <c r="R24" s="112"/>
      <c r="S24" s="113">
        <f>SUMIF($K$4:$K$20,$O24,S$4:S$20)</f>
        <v>0.26734121747806605</v>
      </c>
      <c r="T24" s="113"/>
      <c r="U24" s="114">
        <f>SUMIF($K$4:$K$20,$O24,U$4:U$20)</f>
        <v>0.17755374869499604</v>
      </c>
      <c r="V24" s="114"/>
      <c r="W24" s="115">
        <f>SUMIF($K$4:$K$20,$O24,W$4:W$20)</f>
        <v>0.12405275669067538</v>
      </c>
      <c r="X24" s="115"/>
    </row>
    <row r="25" spans="3:36" x14ac:dyDescent="0.2">
      <c r="C25" s="119"/>
      <c r="D25" s="120"/>
      <c r="E25" s="120"/>
      <c r="F25" s="120"/>
      <c r="G25" s="120"/>
      <c r="H25" s="120"/>
      <c r="I25" s="120"/>
      <c r="J25" s="77"/>
      <c r="K25" s="77"/>
      <c r="L25" s="77"/>
      <c r="M25" s="77"/>
      <c r="N25" s="77"/>
      <c r="O25" s="123" t="s">
        <v>446</v>
      </c>
      <c r="P25" s="123"/>
      <c r="Q25" s="112">
        <f>SUMIF($K$4:$K$20,$O25,Q$4:Q$20)</f>
        <v>0.12195669227844778</v>
      </c>
      <c r="R25" s="112"/>
      <c r="S25" s="113">
        <f>SUMIF($K$4:$K$20,$O25,S$4:S$20)</f>
        <v>0.11990279060082368</v>
      </c>
      <c r="T25" s="113"/>
      <c r="U25" s="114">
        <f>SUMIF($K$4:$K$20,$O25,U$4:U$20)</f>
        <v>9.017424776016128E-2</v>
      </c>
      <c r="V25" s="114"/>
      <c r="W25" s="115">
        <f>SUMIF($K$4:$K$20,$O25,W$4:W$20)</f>
        <v>7.2494074039474915E-2</v>
      </c>
      <c r="X25" s="115"/>
    </row>
    <row r="26" spans="3:36" x14ac:dyDescent="0.2">
      <c r="C26" s="119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124" t="s">
        <v>447</v>
      </c>
      <c r="P26" s="124"/>
      <c r="Q26" s="112">
        <f>SUMIF($J$4:$J$20,$O26,Q$4:Q$20)</f>
        <v>0</v>
      </c>
      <c r="R26" s="112"/>
      <c r="S26" s="113">
        <f>SUMIF($J$4:$J$20,$O26,S$4:S$20)</f>
        <v>3.1642790883724674E-2</v>
      </c>
      <c r="T26" s="113"/>
      <c r="U26" s="114">
        <f>SUMIF($J$4:$J$20,$O26,U$4:U$20)</f>
        <v>3.1534890149290291E-2</v>
      </c>
      <c r="V26" s="114"/>
      <c r="W26" s="115">
        <f>SUMIF($J$4:$J$20,$O26,W$4:W$20)</f>
        <v>3.1470286405042902E-2</v>
      </c>
      <c r="X26" s="115"/>
    </row>
    <row r="27" spans="3:36" x14ac:dyDescent="0.2">
      <c r="C27" s="119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122" t="s">
        <v>458</v>
      </c>
      <c r="P27" s="122"/>
      <c r="Q27" s="112">
        <f>SUMIF($J$4:$J$20,$O27,Q$4:Q$20)</f>
        <v>0</v>
      </c>
      <c r="R27" s="112"/>
      <c r="S27" s="113">
        <f>SUMIF($J$4:$J$20,$O27,S$4:S$20)</f>
        <v>0.24334856459320275</v>
      </c>
      <c r="T27" s="113"/>
      <c r="U27" s="114">
        <f>SUMIF($J$4:$J$20,$O27,U$4:U$20)</f>
        <v>0.4850299318893726</v>
      </c>
      <c r="V27" s="114"/>
      <c r="W27" s="115">
        <f>SUMIF($J$4:$J$20,$O27,W$4:W$20)</f>
        <v>0.62953457140762703</v>
      </c>
      <c r="X27" s="115"/>
    </row>
    <row r="28" spans="3:36" x14ac:dyDescent="0.2">
      <c r="C28" s="119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122" t="s">
        <v>80</v>
      </c>
      <c r="P28" s="122"/>
      <c r="Q28" s="112">
        <f>Q20</f>
        <v>5.0695797942262632E-3</v>
      </c>
      <c r="R28" s="112"/>
      <c r="S28" s="113">
        <f t="shared" ref="S28:W28" si="23">S20</f>
        <v>4.9422342496572291E-3</v>
      </c>
      <c r="T28" s="113"/>
      <c r="U28" s="114">
        <f t="shared" si="23"/>
        <v>5.1264173917004441E-3</v>
      </c>
      <c r="V28" s="114"/>
      <c r="W28" s="115">
        <f t="shared" si="23"/>
        <v>4.714666940355384E-3</v>
      </c>
      <c r="X28" s="115"/>
    </row>
    <row r="29" spans="3:36" x14ac:dyDescent="0.2">
      <c r="C29" s="119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122"/>
      <c r="P29" s="122"/>
      <c r="Q29" s="112"/>
      <c r="R29" s="112"/>
      <c r="S29" s="113"/>
      <c r="T29" s="113"/>
      <c r="U29" s="114"/>
      <c r="V29" s="114"/>
      <c r="W29" s="115"/>
      <c r="X29" s="115"/>
    </row>
    <row r="30" spans="3:36" x14ac:dyDescent="0.2">
      <c r="C30" s="119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121" t="s">
        <v>437</v>
      </c>
      <c r="P30" s="121"/>
      <c r="Q30" s="125">
        <f>SUMPRODUCT(Q4:Q20,$O4:$O20)/Q21</f>
        <v>0.1915323817502583</v>
      </c>
      <c r="R30" s="125"/>
      <c r="S30" s="126">
        <f>SUMPRODUCT(S4:S20,$O4:$O20)/S21</f>
        <v>0.20155090386358129</v>
      </c>
      <c r="T30" s="126"/>
      <c r="U30" s="127">
        <f>SUMPRODUCT(U4:U20,$O4:$O20)/U21</f>
        <v>0.20645522572509253</v>
      </c>
      <c r="V30" s="127"/>
      <c r="W30" s="128">
        <f>SUMPRODUCT(W4:W20,$O4:$O20)/W21</f>
        <v>0.20951453419107369</v>
      </c>
      <c r="X30" s="128"/>
    </row>
    <row r="31" spans="3:36" ht="15" thickBot="1" x14ac:dyDescent="0.25"/>
    <row r="32" spans="3:36" x14ac:dyDescent="0.2">
      <c r="Q32" s="129" t="s">
        <v>86</v>
      </c>
      <c r="R32" s="130">
        <v>100000</v>
      </c>
      <c r="S32" s="129" t="s">
        <v>86</v>
      </c>
      <c r="T32" s="130">
        <v>100000</v>
      </c>
      <c r="U32" s="129" t="s">
        <v>86</v>
      </c>
      <c r="V32" s="130">
        <v>100000</v>
      </c>
      <c r="W32" s="129" t="s">
        <v>86</v>
      </c>
      <c r="X32" s="130">
        <v>100000</v>
      </c>
      <c r="Z32" s="131"/>
    </row>
    <row r="33" spans="17:26" x14ac:dyDescent="0.2">
      <c r="Q33" s="132" t="s">
        <v>85</v>
      </c>
      <c r="R33" s="133">
        <v>5000</v>
      </c>
      <c r="S33" s="132" t="s">
        <v>85</v>
      </c>
      <c r="T33" s="133">
        <v>5000</v>
      </c>
      <c r="U33" s="132" t="s">
        <v>85</v>
      </c>
      <c r="V33" s="133">
        <v>5000</v>
      </c>
      <c r="W33" s="132" t="s">
        <v>85</v>
      </c>
      <c r="X33" s="133">
        <v>5000</v>
      </c>
      <c r="Z33" s="131"/>
    </row>
    <row r="34" spans="17:26" x14ac:dyDescent="0.2">
      <c r="Q34" s="132" t="s">
        <v>88</v>
      </c>
      <c r="R34" s="134">
        <f>(R32-R33)*0.5%</f>
        <v>475</v>
      </c>
      <c r="S34" s="132" t="s">
        <v>88</v>
      </c>
      <c r="T34" s="134">
        <f>(T32-T33)*0.5%</f>
        <v>475</v>
      </c>
      <c r="U34" s="132" t="s">
        <v>88</v>
      </c>
      <c r="V34" s="134">
        <f>(V32-V33)*0.5%</f>
        <v>475</v>
      </c>
      <c r="W34" s="132" t="s">
        <v>88</v>
      </c>
      <c r="X34" s="134">
        <f>(X32-X33)*0.5%</f>
        <v>475</v>
      </c>
      <c r="Z34" s="135"/>
    </row>
    <row r="35" spans="17:26" x14ac:dyDescent="0.2">
      <c r="Q35" s="132" t="s">
        <v>87</v>
      </c>
      <c r="R35" s="134">
        <f>R33+R34</f>
        <v>5475</v>
      </c>
      <c r="S35" s="132" t="s">
        <v>87</v>
      </c>
      <c r="T35" s="134">
        <f>T33+T34</f>
        <v>5475</v>
      </c>
      <c r="U35" s="132" t="s">
        <v>87</v>
      </c>
      <c r="V35" s="134">
        <f>V33+V34</f>
        <v>5475</v>
      </c>
      <c r="W35" s="132" t="s">
        <v>87</v>
      </c>
      <c r="X35" s="134">
        <f>X33+X34</f>
        <v>5475</v>
      </c>
      <c r="Z35" s="135"/>
    </row>
    <row r="36" spans="17:26" ht="15" thickBot="1" x14ac:dyDescent="0.25">
      <c r="Q36" s="136" t="s">
        <v>89</v>
      </c>
      <c r="R36" s="137">
        <f>R35/R32</f>
        <v>5.475E-2</v>
      </c>
      <c r="S36" s="136" t="s">
        <v>89</v>
      </c>
      <c r="T36" s="137">
        <f>T35/T32</f>
        <v>5.475E-2</v>
      </c>
      <c r="U36" s="136" t="s">
        <v>89</v>
      </c>
      <c r="V36" s="137">
        <f>V35/V32</f>
        <v>5.475E-2</v>
      </c>
      <c r="W36" s="136" t="s">
        <v>89</v>
      </c>
      <c r="X36" s="137">
        <f>X35/X32</f>
        <v>5.475E-2</v>
      </c>
      <c r="Z36" s="138"/>
    </row>
  </sheetData>
  <conditionalFormatting sqref="A2">
    <cfRule type="cellIs" dxfId="111" priority="1" operator="lessThan">
      <formula>TODAY()-14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9DB5F-BD53-4D65-9D37-98CFE8F7DE72}">
  <sheetPr codeName="Sheet8"/>
  <dimension ref="A1:AJ34"/>
  <sheetViews>
    <sheetView workbookViewId="0">
      <selection activeCell="P11" sqref="P11"/>
    </sheetView>
  </sheetViews>
  <sheetFormatPr defaultColWidth="8.796875" defaultRowHeight="14.25" x14ac:dyDescent="0.2"/>
  <cols>
    <col min="1" max="1" width="11" style="1" bestFit="1" customWidth="1"/>
    <col min="2" max="2" width="8.796875" style="1"/>
    <col min="3" max="3" width="49.5" style="1" bestFit="1" customWidth="1"/>
    <col min="4" max="4" width="9.8984375" style="1" bestFit="1" customWidth="1"/>
    <col min="5" max="5" width="8.19921875" style="1" bestFit="1" customWidth="1"/>
    <col min="6" max="6" width="9.8984375" style="1" bestFit="1" customWidth="1"/>
    <col min="7" max="7" width="11.09765625" style="1" bestFit="1" customWidth="1"/>
    <col min="8" max="8" width="9.5" style="1" bestFit="1" customWidth="1"/>
    <col min="9" max="9" width="13.3984375" style="1" bestFit="1" customWidth="1"/>
    <col min="10" max="10" width="10.3984375" style="1" bestFit="1" customWidth="1"/>
    <col min="11" max="11" width="5.796875" style="1" bestFit="1" customWidth="1"/>
    <col min="12" max="12" width="5.796875" style="1" customWidth="1"/>
    <col min="13" max="13" width="8.09765625" style="1" bestFit="1" customWidth="1"/>
    <col min="14" max="14" width="4.19921875" style="1" bestFit="1" customWidth="1"/>
    <col min="15" max="15" width="10.3984375" style="1" bestFit="1" customWidth="1"/>
    <col min="16" max="16" width="5.5" style="1" bestFit="1" customWidth="1"/>
    <col min="17" max="17" width="24" style="1" bestFit="1" customWidth="1"/>
    <col min="18" max="18" width="8" style="1" bestFit="1" customWidth="1"/>
    <col min="19" max="19" width="24" style="1" bestFit="1" customWidth="1"/>
    <col min="20" max="20" width="8" style="1" bestFit="1" customWidth="1"/>
    <col min="21" max="21" width="24" style="1" bestFit="1" customWidth="1"/>
    <col min="22" max="22" width="8" style="1" bestFit="1" customWidth="1"/>
    <col min="23" max="23" width="24" style="1" bestFit="1" customWidth="1"/>
    <col min="24" max="24" width="8" style="1" bestFit="1" customWidth="1"/>
    <col min="25" max="25" width="8.796875" style="1"/>
    <col min="26" max="26" width="8.19921875" style="1" bestFit="1" customWidth="1"/>
    <col min="27" max="27" width="11" style="1" bestFit="1" customWidth="1"/>
    <col min="28" max="28" width="8.19921875" style="1" bestFit="1" customWidth="1"/>
    <col min="29" max="29" width="11.3984375" style="1" bestFit="1" customWidth="1"/>
    <col min="30" max="30" width="11.69921875" style="1" bestFit="1" customWidth="1"/>
    <col min="31" max="31" width="10.296875" style="1" bestFit="1" customWidth="1"/>
    <col min="32" max="32" width="11.5" style="1" bestFit="1" customWidth="1"/>
    <col min="33" max="33" width="10.3984375" style="1" bestFit="1" customWidth="1"/>
    <col min="34" max="34" width="11.5" style="1" bestFit="1" customWidth="1"/>
    <col min="35" max="35" width="11.8984375" style="1" bestFit="1" customWidth="1"/>
    <col min="36" max="36" width="11.5" style="1" bestFit="1" customWidth="1"/>
    <col min="37" max="16384" width="8.796875" style="1"/>
  </cols>
  <sheetData>
    <row r="1" spans="1:36" x14ac:dyDescent="0.2">
      <c r="A1" s="76" t="s">
        <v>0</v>
      </c>
      <c r="C1" s="95" t="s">
        <v>519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6"/>
    </row>
    <row r="2" spans="1:36" x14ac:dyDescent="0.2">
      <c r="A2" s="85" t="s">
        <v>433</v>
      </c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555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554</v>
      </c>
      <c r="Q2" s="99" t="s">
        <v>470</v>
      </c>
      <c r="R2" s="99" t="s">
        <v>536</v>
      </c>
      <c r="S2" s="100" t="s">
        <v>500</v>
      </c>
      <c r="T2" s="100" t="s">
        <v>537</v>
      </c>
      <c r="U2" s="101" t="s">
        <v>501</v>
      </c>
      <c r="V2" s="101" t="s">
        <v>538</v>
      </c>
      <c r="W2" s="102" t="s">
        <v>502</v>
      </c>
      <c r="X2" s="102" t="s">
        <v>539</v>
      </c>
      <c r="AC2" s="163" t="s">
        <v>470</v>
      </c>
      <c r="AD2" s="163"/>
      <c r="AE2" s="164" t="s">
        <v>500</v>
      </c>
      <c r="AF2" s="164"/>
      <c r="AG2" s="165" t="s">
        <v>501</v>
      </c>
      <c r="AH2" s="165"/>
      <c r="AI2" s="166" t="s">
        <v>502</v>
      </c>
      <c r="AJ2" s="166"/>
    </row>
    <row r="3" spans="1:36" x14ac:dyDescent="0.2">
      <c r="C3" s="106" t="s">
        <v>16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AB3" s="13" t="s">
        <v>530</v>
      </c>
      <c r="AC3" s="14" t="s">
        <v>18</v>
      </c>
      <c r="AD3" s="15" t="s">
        <v>19</v>
      </c>
      <c r="AE3" s="14" t="s">
        <v>18</v>
      </c>
      <c r="AF3" s="15" t="s">
        <v>19</v>
      </c>
      <c r="AG3" s="14" t="s">
        <v>18</v>
      </c>
      <c r="AH3" s="15" t="s">
        <v>19</v>
      </c>
      <c r="AI3" s="14" t="s">
        <v>18</v>
      </c>
      <c r="AJ3" s="15" t="s">
        <v>19</v>
      </c>
    </row>
    <row r="4" spans="1:36" x14ac:dyDescent="0.2">
      <c r="C4" s="86" t="str" cm="1">
        <f t="array" ref="C4">_xll.BDP(D4&amp;" Equity","DS520")</f>
        <v>Vanguard MSCI Index International Shares Hedged ETF</v>
      </c>
      <c r="D4" s="86" t="s">
        <v>522</v>
      </c>
      <c r="E4" s="86" t="s">
        <v>689</v>
      </c>
      <c r="F4" s="86" t="s">
        <v>323</v>
      </c>
      <c r="G4" s="86" t="s">
        <v>26</v>
      </c>
      <c r="H4" s="86"/>
      <c r="I4" s="86"/>
      <c r="J4" s="34" t="str" cm="1">
        <f t="array" ref="J4">_xll.BDP(D4&amp;" Equity","FD121")</f>
        <v>Equity</v>
      </c>
      <c r="K4" s="34" t="s">
        <v>453</v>
      </c>
      <c r="L4" s="34" t="s">
        <v>444</v>
      </c>
      <c r="M4" s="34" t="str">
        <f>_xll.BDP(D4&amp;" Equity", "DS197")</f>
        <v>ASE</v>
      </c>
      <c r="N4" s="34" t="str">
        <f>_xll.BDP(D4&amp;" Equity", "DS004")</f>
        <v>AUD</v>
      </c>
      <c r="O4" s="111">
        <f>_xll.BDP(D4&amp;" Equity", "FUND_EXPENSE_RATIO")</f>
        <v>0.21</v>
      </c>
      <c r="P4" s="111">
        <f>_xll.BDP(D4&amp;" Equity", "PX_LAST")</f>
        <v>120.71</v>
      </c>
      <c r="Q4" s="112">
        <f t="shared" ref="Q4:Q11" si="0">AD4/$AD$19</f>
        <v>0.37318077586691623</v>
      </c>
      <c r="R4" s="112">
        <f>Q4*(1-$R$34)/(1-$Q$18)</f>
        <v>0.35452841874229252</v>
      </c>
      <c r="S4" s="113">
        <f t="shared" ref="S4:S11" si="1">AF4/$AF$19</f>
        <v>0.2702988732358339</v>
      </c>
      <c r="T4" s="113">
        <f t="shared" ref="T4:T11" si="2">S4*(1-$T$34)/(1-$S$18)</f>
        <v>0.25652611481652854</v>
      </c>
      <c r="U4" s="114">
        <f t="shared" ref="U4:U11" si="3">AH4/$AH$19</f>
        <v>0.18002674065397276</v>
      </c>
      <c r="V4" s="114">
        <f t="shared" ref="V4:V11" si="4">U4*(1-$V$34)/(1-$U$18)</f>
        <v>0.17099828602606748</v>
      </c>
      <c r="W4" s="115">
        <f t="shared" ref="W4:W11" si="5">AJ4/$AJ$19</f>
        <v>0.12589001348746465</v>
      </c>
      <c r="X4" s="115">
        <f t="shared" ref="X4:X11" si="6">W4*(1-$X$34)/(1-$W$18)</f>
        <v>0.11957717726486276</v>
      </c>
      <c r="AB4" s="1" cm="1">
        <f t="array" ref="AB4">IF(N4="AUD",1,_xll.BDP(N4&amp;"AUD CURNCY","PX_LAST"))</f>
        <v>1</v>
      </c>
      <c r="AC4" s="18">
        <v>1640771.48995733</v>
      </c>
      <c r="AD4" s="11">
        <f t="shared" ref="AD4:AD12" si="7">AC4*P4*AB4</f>
        <v>198057526.55274931</v>
      </c>
      <c r="AE4" s="18">
        <v>528269.03195238195</v>
      </c>
      <c r="AF4" s="11">
        <f t="shared" ref="AF4:AF12" si="8">AE4*P4*AB4</f>
        <v>63767354.846972018</v>
      </c>
      <c r="AG4" s="18">
        <v>289095.705563027</v>
      </c>
      <c r="AH4" s="11">
        <f t="shared" ref="AH4:AH12" si="9">AG4*P4*AB4</f>
        <v>34896742.618512988</v>
      </c>
      <c r="AI4" s="18">
        <v>127779.681519836</v>
      </c>
      <c r="AJ4" s="11">
        <f t="shared" ref="AJ4:AJ12" si="10">AI4*P4*AB4</f>
        <v>15424285.356259402</v>
      </c>
    </row>
    <row r="5" spans="1:36" x14ac:dyDescent="0.2">
      <c r="C5" s="86" t="str" cm="1">
        <f t="array" ref="C5">_xll.BDP(D5&amp;" Equity","DS520")</f>
        <v>iShares S&amp;P 500 AUD Hedged ETF</v>
      </c>
      <c r="D5" s="86" t="s">
        <v>1287</v>
      </c>
      <c r="E5" s="86" t="s">
        <v>1291</v>
      </c>
      <c r="F5" s="86" t="s">
        <v>323</v>
      </c>
      <c r="G5" s="86" t="s">
        <v>26</v>
      </c>
      <c r="H5" s="86"/>
      <c r="I5" s="86"/>
      <c r="J5" s="34" t="str" cm="1">
        <f t="array" ref="J5">_xll.BDP(D5&amp;" Equity","FD121")</f>
        <v>Equity</v>
      </c>
      <c r="K5" s="34" t="s">
        <v>453</v>
      </c>
      <c r="L5" s="34" t="s">
        <v>1284</v>
      </c>
      <c r="M5" s="34" t="str">
        <f>_xll.BDP(D5&amp;" Equity", "DS197")</f>
        <v>ASE</v>
      </c>
      <c r="N5" s="34" t="str">
        <f>_xll.BDP(D5&amp;" Equity", "DS004")</f>
        <v>AUD</v>
      </c>
      <c r="O5" s="111">
        <f>_xll.BDP(D5&amp;" Equity", "FUND_EXPENSE_RATIO")</f>
        <v>0.1</v>
      </c>
      <c r="P5" s="111">
        <f>_xll.BDP(D5&amp;" Equity", "PX_LAST")</f>
        <v>62.5</v>
      </c>
      <c r="Q5" s="112">
        <f t="shared" si="0"/>
        <v>0.20023748821732973</v>
      </c>
      <c r="R5" s="112">
        <f t="shared" ref="R5:R12" si="11">Q5*(1-$R$34)/(1-$Q$18)</f>
        <v>0.19022919898728857</v>
      </c>
      <c r="S5" s="113">
        <f t="shared" si="1"/>
        <v>0.14562725556376432</v>
      </c>
      <c r="T5" s="113">
        <f t="shared" si="2"/>
        <v>0.13820699151998408</v>
      </c>
      <c r="U5" s="114">
        <f t="shared" si="3"/>
        <v>9.6596890010646128E-2</v>
      </c>
      <c r="V5" s="114">
        <f t="shared" si="4"/>
        <v>9.1752495030823847E-2</v>
      </c>
      <c r="W5" s="115">
        <f t="shared" si="5"/>
        <v>6.7551452652220567E-2</v>
      </c>
      <c r="X5" s="115">
        <f t="shared" si="6"/>
        <v>6.4164041328805502E-2</v>
      </c>
      <c r="AB5" s="1" cm="1">
        <f t="array" ref="AB5">IF(N5="AUD",1,_xll.BDP(N5&amp;"AUD CURNCY","PX_LAST"))</f>
        <v>1</v>
      </c>
      <c r="AC5" s="18">
        <v>1700346.6075048901</v>
      </c>
      <c r="AD5" s="11">
        <f t="shared" si="7"/>
        <v>106271662.96905562</v>
      </c>
      <c r="AE5" s="18">
        <v>549688.70686030795</v>
      </c>
      <c r="AF5" s="11">
        <f t="shared" si="8"/>
        <v>34355544.178769246</v>
      </c>
      <c r="AG5" s="18">
        <v>299592.54241497599</v>
      </c>
      <c r="AH5" s="11">
        <f t="shared" si="9"/>
        <v>18724533.900936</v>
      </c>
      <c r="AI5" s="18">
        <v>132424.53193209899</v>
      </c>
      <c r="AJ5" s="11">
        <f t="shared" si="10"/>
        <v>8276533.2457561875</v>
      </c>
    </row>
    <row r="6" spans="1:36" x14ac:dyDescent="0.2">
      <c r="C6" s="86" t="str" cm="1">
        <f t="array" ref="C6">_xll.BDP(D6&amp;" Equity","DS520")</f>
        <v>Vanguard FTSE Emerging Markets ETF/Australia</v>
      </c>
      <c r="D6" s="86" t="s">
        <v>524</v>
      </c>
      <c r="E6" s="86" t="s">
        <v>626</v>
      </c>
      <c r="F6" s="86" t="s">
        <v>323</v>
      </c>
      <c r="G6" s="86" t="s">
        <v>26</v>
      </c>
      <c r="H6" s="86"/>
      <c r="I6" s="86"/>
      <c r="J6" s="34" t="str" cm="1">
        <f t="array" ref="J6">_xll.BDP(D6&amp;" Equity","FD121")</f>
        <v>Equity</v>
      </c>
      <c r="K6" s="34" t="s">
        <v>453</v>
      </c>
      <c r="L6" s="34" t="s">
        <v>450</v>
      </c>
      <c r="M6" s="34" t="str">
        <f>_xll.BDP(D6&amp;" Equity", "DS197")</f>
        <v>ASE</v>
      </c>
      <c r="N6" s="34" t="str">
        <f>_xll.BDP(D6&amp;" Equity", "DS004")</f>
        <v>AUD</v>
      </c>
      <c r="O6" s="111">
        <f>_xll.BDP(D6&amp;" Equity", "FUND_EXPENSE_RATIO")</f>
        <v>0.48</v>
      </c>
      <c r="P6" s="111">
        <f>_xll.BDP(D6&amp;" Equity", "PX_LAST")</f>
        <v>87</v>
      </c>
      <c r="Q6" s="112">
        <f t="shared" si="0"/>
        <v>0.15732695298532523</v>
      </c>
      <c r="R6" s="112">
        <f t="shared" si="11"/>
        <v>0.14946342221905212</v>
      </c>
      <c r="S6" s="113">
        <f t="shared" si="1"/>
        <v>0.11363589955956241</v>
      </c>
      <c r="T6" s="113">
        <f t="shared" si="2"/>
        <v>0.10784571710834374</v>
      </c>
      <c r="U6" s="114">
        <f t="shared" si="3"/>
        <v>7.5896349422536785E-2</v>
      </c>
      <c r="V6" s="114">
        <f t="shared" si="4"/>
        <v>7.2090099613781516E-2</v>
      </c>
      <c r="W6" s="115">
        <f t="shared" si="5"/>
        <v>5.3075297288844976E-2</v>
      </c>
      <c r="X6" s="115">
        <f t="shared" si="6"/>
        <v>5.0413802147423394E-2</v>
      </c>
      <c r="AB6" s="1" cm="1">
        <f t="array" ref="AB6">IF(N6="AUD",1,_xll.BDP(N6&amp;"AUD CURNCY","PX_LAST"))</f>
        <v>1</v>
      </c>
      <c r="AC6" s="18">
        <v>959745.23973657202</v>
      </c>
      <c r="AD6" s="11">
        <f t="shared" si="7"/>
        <v>83497835.857081771</v>
      </c>
      <c r="AE6" s="18">
        <v>308141.69599688402</v>
      </c>
      <c r="AF6" s="11">
        <f t="shared" si="8"/>
        <v>26808327.551728912</v>
      </c>
      <c r="AG6" s="18">
        <v>169102.29665778499</v>
      </c>
      <c r="AH6" s="11">
        <f t="shared" si="9"/>
        <v>14711899.809227293</v>
      </c>
      <c r="AI6" s="18">
        <v>74745.827459658496</v>
      </c>
      <c r="AJ6" s="11">
        <f t="shared" si="10"/>
        <v>6502886.9889902892</v>
      </c>
    </row>
    <row r="7" spans="1:36" x14ac:dyDescent="0.2">
      <c r="C7" s="86" t="str" cm="1">
        <f t="array" ref="C7">_xll.BDP(D7&amp;" Equity","DS520")</f>
        <v>Betashares Global Shares Ex US ETF</v>
      </c>
      <c r="D7" s="86" t="s">
        <v>1288</v>
      </c>
      <c r="E7" s="86" t="s">
        <v>1264</v>
      </c>
      <c r="F7" s="86" t="s">
        <v>323</v>
      </c>
      <c r="G7" s="86" t="s">
        <v>26</v>
      </c>
      <c r="H7" s="86"/>
      <c r="I7" s="86"/>
      <c r="J7" s="34" t="str" cm="1">
        <f t="array" ref="J7">_xll.BDP(D7&amp;" Equity","FD121")</f>
        <v>Equity</v>
      </c>
      <c r="K7" s="34" t="s">
        <v>453</v>
      </c>
      <c r="L7" s="34" t="s">
        <v>444</v>
      </c>
      <c r="M7" s="34" t="str">
        <f>_xll.BDP(D7&amp;" Equity", "DS197")</f>
        <v>ASE</v>
      </c>
      <c r="N7" s="34" t="str">
        <f>_xll.BDP(D7&amp;" Equity", "DS004")</f>
        <v>AUD</v>
      </c>
      <c r="O7" s="111">
        <f>_xll.BDP(D7&amp;" Equity", "FUND_EXPENSE_RATIO")</f>
        <v>0.14000000000000001</v>
      </c>
      <c r="P7" s="111">
        <f>_xll.BDP(D7&amp;" Equity", "PX_LAST")</f>
        <v>35.47</v>
      </c>
      <c r="Q7" s="112">
        <f t="shared" si="0"/>
        <v>8.4532332751326378E-2</v>
      </c>
      <c r="R7" s="112">
        <f t="shared" si="11"/>
        <v>8.0307229635035199E-2</v>
      </c>
      <c r="S7" s="113">
        <f t="shared" si="1"/>
        <v>6.1428517427654747E-2</v>
      </c>
      <c r="T7" s="113">
        <f t="shared" si="2"/>
        <v>5.8298500197249886E-2</v>
      </c>
      <c r="U7" s="114">
        <f t="shared" si="3"/>
        <v>4.0784325087936335E-2</v>
      </c>
      <c r="V7" s="114">
        <f t="shared" si="4"/>
        <v>3.8738965452759018E-2</v>
      </c>
      <c r="W7" s="115">
        <f t="shared" si="5"/>
        <v>2.8520017009750976E-2</v>
      </c>
      <c r="X7" s="115">
        <f t="shared" si="6"/>
        <v>2.708986229405301E-2</v>
      </c>
      <c r="AB7" s="1" cm="1">
        <f t="array" ref="AB7">IF(N7="AUD",1,_xll.BDP(N7&amp;"AUD CURNCY","PX_LAST"))</f>
        <v>1</v>
      </c>
      <c r="AC7" s="18">
        <v>1264834.6461217599</v>
      </c>
      <c r="AD7" s="11">
        <f t="shared" si="7"/>
        <v>44863684.897938825</v>
      </c>
      <c r="AE7" s="18">
        <v>408566.74275957502</v>
      </c>
      <c r="AF7" s="11">
        <f t="shared" si="8"/>
        <v>14491862.365682125</v>
      </c>
      <c r="AG7" s="18">
        <v>222884.54898905501</v>
      </c>
      <c r="AH7" s="11">
        <f t="shared" si="9"/>
        <v>7905714.9526417805</v>
      </c>
      <c r="AI7" s="18">
        <v>98515.000284337701</v>
      </c>
      <c r="AJ7" s="11">
        <f t="shared" si="10"/>
        <v>3494327.0600854582</v>
      </c>
    </row>
    <row r="8" spans="1:36" x14ac:dyDescent="0.2">
      <c r="C8" s="86" t="str" cm="1">
        <f t="array" ref="C8">_xll.BDP(D8&amp;" Equity","DS520")</f>
        <v>BetaShares Australia 200 ETF</v>
      </c>
      <c r="D8" s="86" t="s">
        <v>520</v>
      </c>
      <c r="E8" s="86" t="s">
        <v>625</v>
      </c>
      <c r="F8" s="86" t="s">
        <v>323</v>
      </c>
      <c r="G8" s="86" t="s">
        <v>26</v>
      </c>
      <c r="H8" s="86"/>
      <c r="I8" s="86"/>
      <c r="J8" s="34" t="str" cm="1">
        <f t="array" ref="J8">_xll.BDP(D8&amp;" Equity","FD121")</f>
        <v>Equity</v>
      </c>
      <c r="K8" s="34" t="s">
        <v>453</v>
      </c>
      <c r="L8" s="34" t="s">
        <v>1404</v>
      </c>
      <c r="M8" s="34" t="str">
        <f>_xll.BDP(D8&amp;" Equity", "DS197")</f>
        <v>ASE</v>
      </c>
      <c r="N8" s="34" t="str">
        <f>_xll.BDP(D8&amp;" Equity", "DS004")</f>
        <v>AUD</v>
      </c>
      <c r="O8" s="111">
        <f>_xll.BDP(D8&amp;" Equity", "FUND_EXPENSE_RATIO")</f>
        <v>0.04</v>
      </c>
      <c r="P8" s="111">
        <f>_xll.BDP(D8&amp;" Equity", "PX_LAST")</f>
        <v>148.58000000000001</v>
      </c>
      <c r="Q8" s="112">
        <f t="shared" si="0"/>
        <v>6.1259908177221468E-2</v>
      </c>
      <c r="R8" s="112">
        <f t="shared" si="11"/>
        <v>5.8198009605172088E-2</v>
      </c>
      <c r="S8" s="113">
        <f t="shared" si="1"/>
        <v>4.4756094657114671E-2</v>
      </c>
      <c r="T8" s="113">
        <f t="shared" si="2"/>
        <v>4.2475600949816873E-2</v>
      </c>
      <c r="U8" s="114">
        <f t="shared" si="3"/>
        <v>2.9552491219000408E-2</v>
      </c>
      <c r="V8" s="114">
        <f t="shared" si="4"/>
        <v>2.8070415138841003E-2</v>
      </c>
      <c r="W8" s="115">
        <f t="shared" si="5"/>
        <v>2.0666438755072371E-2</v>
      </c>
      <c r="X8" s="115">
        <f t="shared" si="6"/>
        <v>1.9630106805054788E-2</v>
      </c>
      <c r="AB8" s="1" cm="1">
        <f t="array" ref="AB8">IF(N8="AUD",1,_xll.BDP(N8&amp;"AUD CURNCY","PX_LAST"))</f>
        <v>1</v>
      </c>
      <c r="AC8" s="18">
        <v>218820.53486600201</v>
      </c>
      <c r="AD8" s="11">
        <f t="shared" si="7"/>
        <v>32512355.070390582</v>
      </c>
      <c r="AE8" s="18">
        <v>71063.402345195005</v>
      </c>
      <c r="AF8" s="11">
        <f t="shared" si="8"/>
        <v>10558600.320449075</v>
      </c>
      <c r="AG8" s="18">
        <v>38555.0805252051</v>
      </c>
      <c r="AH8" s="11">
        <f t="shared" si="9"/>
        <v>5728513.8644349743</v>
      </c>
      <c r="AI8" s="18">
        <v>17041.9412012022</v>
      </c>
      <c r="AJ8" s="11">
        <f t="shared" si="10"/>
        <v>2532091.6236746232</v>
      </c>
    </row>
    <row r="9" spans="1:36" x14ac:dyDescent="0.2">
      <c r="C9" s="86" t="str" cm="1">
        <f t="array" ref="C9">_xll.BDP(D9&amp;" Equity","DS520")</f>
        <v>iShares Global Healthcare ETF/AU</v>
      </c>
      <c r="D9" s="86" t="s">
        <v>523</v>
      </c>
      <c r="E9" s="86" t="s">
        <v>591</v>
      </c>
      <c r="F9" s="86" t="s">
        <v>323</v>
      </c>
      <c r="G9" s="86" t="s">
        <v>26</v>
      </c>
      <c r="H9" s="86"/>
      <c r="I9" s="86"/>
      <c r="J9" s="34" t="str" cm="1">
        <f t="array" ref="J9">_xll.BDP(D9&amp;" Equity","FD121")</f>
        <v>Equity</v>
      </c>
      <c r="K9" s="34" t="s">
        <v>446</v>
      </c>
      <c r="L9" s="34" t="s">
        <v>455</v>
      </c>
      <c r="M9" s="34" t="str">
        <f>_xll.BDP(D9&amp;" Equity", "DS197")</f>
        <v>ASE</v>
      </c>
      <c r="N9" s="34" t="str">
        <f>_xll.BDP(D9&amp;" Equity", "DS004")</f>
        <v>AUD</v>
      </c>
      <c r="O9" s="111">
        <f>_xll.BDP(D9&amp;" Equity", "FUND_EXPENSE_RATIO")</f>
        <v>0.41</v>
      </c>
      <c r="P9" s="111">
        <f>_xll.BDP(D9&amp;" Equity", "PX_LAST")</f>
        <v>137.08000000000001</v>
      </c>
      <c r="Q9" s="112">
        <f t="shared" si="0"/>
        <v>3.9111459899569004E-2</v>
      </c>
      <c r="R9" s="112">
        <f t="shared" si="11"/>
        <v>3.7156587181333592E-2</v>
      </c>
      <c r="S9" s="113">
        <f t="shared" si="1"/>
        <v>2.8249869742216556E-2</v>
      </c>
      <c r="T9" s="113">
        <f t="shared" si="2"/>
        <v>2.6810431143458786E-2</v>
      </c>
      <c r="U9" s="114">
        <f t="shared" si="3"/>
        <v>1.8867822522693256E-2</v>
      </c>
      <c r="V9" s="114">
        <f t="shared" si="4"/>
        <v>1.7921589318922002E-2</v>
      </c>
      <c r="W9" s="115">
        <f t="shared" si="5"/>
        <v>1.3194511952214424E-2</v>
      </c>
      <c r="X9" s="115">
        <f t="shared" si="6"/>
        <v>1.2532864608759443E-2</v>
      </c>
      <c r="AB9" s="1" cm="1">
        <f t="array" ref="AB9">IF(N9="AUD",1,_xll.BDP(N9&amp;"AUD CURNCY","PX_LAST"))</f>
        <v>1</v>
      </c>
      <c r="AC9" s="18">
        <v>151426.546938966</v>
      </c>
      <c r="AD9" s="11">
        <f t="shared" si="7"/>
        <v>20757551.054393463</v>
      </c>
      <c r="AE9" s="18">
        <v>48617.936365625501</v>
      </c>
      <c r="AF9" s="11">
        <f t="shared" si="8"/>
        <v>6664546.7169999443</v>
      </c>
      <c r="AG9" s="18">
        <v>26680.597935932899</v>
      </c>
      <c r="AH9" s="11">
        <f t="shared" si="9"/>
        <v>3657376.3650576822</v>
      </c>
      <c r="AI9" s="18">
        <v>11793.236456602201</v>
      </c>
      <c r="AJ9" s="11">
        <f t="shared" si="10"/>
        <v>1616616.8534710298</v>
      </c>
    </row>
    <row r="10" spans="1:36" x14ac:dyDescent="0.2">
      <c r="C10" s="86" t="str" cm="1">
        <f t="array" ref="C10">_xll.BDP(D10&amp;" Equity","DS520")</f>
        <v>Vanguard FTSE Europe Shares ETF</v>
      </c>
      <c r="D10" s="86" t="s">
        <v>525</v>
      </c>
      <c r="E10" s="86" t="s">
        <v>627</v>
      </c>
      <c r="F10" s="86" t="s">
        <v>323</v>
      </c>
      <c r="G10" s="86" t="s">
        <v>26</v>
      </c>
      <c r="H10" s="86"/>
      <c r="I10" s="86"/>
      <c r="J10" s="34" t="str" cm="1">
        <f t="array" ref="J10">_xll.BDP(D10&amp;" Equity","FD121")</f>
        <v>Equity</v>
      </c>
      <c r="K10" s="34" t="s">
        <v>446</v>
      </c>
      <c r="L10" s="34" t="s">
        <v>452</v>
      </c>
      <c r="M10" s="34" t="str">
        <f>_xll.BDP(D10&amp;" Equity", "DS197")</f>
        <v>ASE</v>
      </c>
      <c r="N10" s="34" t="str">
        <f>_xll.BDP(D10&amp;" Equity", "DS004")</f>
        <v>AUD</v>
      </c>
      <c r="O10" s="111">
        <f>_xll.BDP(D10&amp;" Equity", "FUND_EXPENSE_RATIO")</f>
        <v>0.35</v>
      </c>
      <c r="P10" s="111">
        <f>_xll.BDP(D10&amp;" Equity", "PX_LAST")</f>
        <v>86.06</v>
      </c>
      <c r="Q10" s="112">
        <f t="shared" si="0"/>
        <v>3.898579099146441E-2</v>
      </c>
      <c r="R10" s="112">
        <f t="shared" si="11"/>
        <v>3.7037199468577239E-2</v>
      </c>
      <c r="S10" s="113">
        <f t="shared" si="1"/>
        <v>2.815910017509447E-2</v>
      </c>
      <c r="T10" s="113">
        <f t="shared" si="2"/>
        <v>2.6724286631945815E-2</v>
      </c>
      <c r="U10" s="114">
        <f t="shared" si="3"/>
        <v>1.8807198381819358E-2</v>
      </c>
      <c r="V10" s="114">
        <f t="shared" si="4"/>
        <v>1.7864005516962468E-2</v>
      </c>
      <c r="W10" s="115">
        <f t="shared" si="5"/>
        <v>1.3152116707591453E-2</v>
      </c>
      <c r="X10" s="115">
        <f t="shared" si="6"/>
        <v>1.2492595301123115E-2</v>
      </c>
      <c r="AB10" s="1" cm="1">
        <f t="array" ref="AB10">IF(N10="AUD",1,_xll.BDP(N10&amp;"AUD CURNCY","PX_LAST"))</f>
        <v>1</v>
      </c>
      <c r="AC10" s="18">
        <v>240423.60019464299</v>
      </c>
      <c r="AD10" s="11">
        <f t="shared" si="7"/>
        <v>20690855.032750975</v>
      </c>
      <c r="AE10" s="18">
        <v>77191.876400438006</v>
      </c>
      <c r="AF10" s="11">
        <f t="shared" si="8"/>
        <v>6643132.8830216946</v>
      </c>
      <c r="AG10" s="18">
        <v>42361.432263843803</v>
      </c>
      <c r="AH10" s="11">
        <f t="shared" si="9"/>
        <v>3645624.8606263977</v>
      </c>
      <c r="AI10" s="18">
        <v>18724.407471206901</v>
      </c>
      <c r="AJ10" s="11">
        <f t="shared" si="10"/>
        <v>1611422.5069720659</v>
      </c>
    </row>
    <row r="11" spans="1:36" x14ac:dyDescent="0.2">
      <c r="C11" s="86" t="str" cm="1">
        <f t="array" ref="C11">_xll.BDP(D11&amp;" Equity","DS520")</f>
        <v>Vanguard MSCI International Small Companies Index ETF</v>
      </c>
      <c r="D11" s="86" t="s">
        <v>1289</v>
      </c>
      <c r="E11" s="86" t="s">
        <v>1290</v>
      </c>
      <c r="F11" s="86" t="s">
        <v>323</v>
      </c>
      <c r="G11" s="86" t="s">
        <v>26</v>
      </c>
      <c r="H11" s="86"/>
      <c r="I11" s="86"/>
      <c r="J11" s="34" t="str" cm="1">
        <f t="array" ref="J11">_xll.BDP(D11&amp;" Equity","FD121")</f>
        <v>Equity</v>
      </c>
      <c r="K11" s="34" t="s">
        <v>446</v>
      </c>
      <c r="L11" s="34" t="s">
        <v>1283</v>
      </c>
      <c r="M11" s="34" t="str">
        <f>_xll.BDP(D11&amp;" Equity", "DS197")</f>
        <v>ASE</v>
      </c>
      <c r="N11" s="34" t="str">
        <f>_xll.BDP(D11&amp;" Equity", "DS004")</f>
        <v>AUD</v>
      </c>
      <c r="O11" s="111">
        <f>_xll.BDP(D11&amp;" Equity", "FUND_EXPENSE_RATIO")</f>
        <v>0.33</v>
      </c>
      <c r="P11" s="111">
        <f>_xll.BDP(D11&amp;" Equity", "PX_LAST")</f>
        <v>73.91</v>
      </c>
      <c r="Q11" s="112">
        <f t="shared" si="0"/>
        <v>4.0346538706168313E-2</v>
      </c>
      <c r="R11" s="112">
        <f t="shared" si="11"/>
        <v>3.8329934161248559E-2</v>
      </c>
      <c r="S11" s="113">
        <f t="shared" si="1"/>
        <v>2.9141956498819371E-2</v>
      </c>
      <c r="T11" s="113">
        <f t="shared" si="2"/>
        <v>2.7657062677697308E-2</v>
      </c>
      <c r="U11" s="114">
        <f t="shared" si="3"/>
        <v>1.9463638884043524E-2</v>
      </c>
      <c r="V11" s="114">
        <f t="shared" si="4"/>
        <v>1.8487525113832677E-2</v>
      </c>
      <c r="W11" s="115">
        <f t="shared" si="5"/>
        <v>1.3611174028175042E-2</v>
      </c>
      <c r="X11" s="115">
        <f t="shared" si="6"/>
        <v>1.2928632895190277E-2</v>
      </c>
      <c r="AB11" s="1" cm="1">
        <f t="array" ref="AB11">IF(N11="AUD",1,_xll.BDP(N11&amp;"AUD CURNCY","PX_LAST"))</f>
        <v>1</v>
      </c>
      <c r="AC11" s="18">
        <v>289717.79313733801</v>
      </c>
      <c r="AD11" s="11">
        <f t="shared" si="7"/>
        <v>21413042.090780653</v>
      </c>
      <c r="AE11" s="18">
        <v>93018.572472750806</v>
      </c>
      <c r="AF11" s="11">
        <f t="shared" si="8"/>
        <v>6875002.6914610118</v>
      </c>
      <c r="AG11" s="18">
        <v>51046.821774907898</v>
      </c>
      <c r="AH11" s="11">
        <f t="shared" si="9"/>
        <v>3772870.5973834423</v>
      </c>
      <c r="AI11" s="18">
        <v>22563.4838092871</v>
      </c>
      <c r="AJ11" s="11">
        <f t="shared" si="10"/>
        <v>1667667.0883444094</v>
      </c>
    </row>
    <row r="12" spans="1:36" x14ac:dyDescent="0.2">
      <c r="C12" s="86" t="str" cm="1">
        <f t="array" ref="C12">_xll.BDP(D12&amp;" Equity","DS520")</f>
        <v>Global X Precious Metals Basket Structured</v>
      </c>
      <c r="D12" s="86" t="s">
        <v>521</v>
      </c>
      <c r="E12" s="86" t="s">
        <v>632</v>
      </c>
      <c r="F12" s="86" t="s">
        <v>323</v>
      </c>
      <c r="G12" s="86" t="s">
        <v>26</v>
      </c>
      <c r="H12" s="86"/>
      <c r="I12" s="86"/>
      <c r="J12" s="34" t="str" cm="1">
        <f t="array" ref="J12">_xll.BDP(D12&amp;" Equity","FD121")</f>
        <v>Commodity</v>
      </c>
      <c r="K12" s="34" t="s">
        <v>446</v>
      </c>
      <c r="L12" s="34" t="s">
        <v>447</v>
      </c>
      <c r="M12" s="34" t="str">
        <f>_xll.BDP(D12&amp;" Equity", "DS197")</f>
        <v>ASE</v>
      </c>
      <c r="N12" s="34" t="str">
        <f>_xll.BDP(D12&amp;" Equity", "DS004")</f>
        <v>AUD</v>
      </c>
      <c r="O12" s="111">
        <f>_xll.BDP(D12&amp;" Equity", "FUND_EXPENSE_RATIO")</f>
        <v>0.44</v>
      </c>
      <c r="P12" s="111">
        <f t="shared" ref="P12" si="12">_xll.BDP(D12&amp;" Equity", "PX_LAST")</f>
        <v>476.73</v>
      </c>
      <c r="Q12" s="112">
        <f t="shared" ref="Q12" si="13">AD12/$AD$19</f>
        <v>0</v>
      </c>
      <c r="R12" s="112">
        <f t="shared" si="11"/>
        <v>0</v>
      </c>
      <c r="S12" s="113">
        <f t="shared" ref="S12" si="14">AF12/$AF$19</f>
        <v>3.1953140169713422E-2</v>
      </c>
      <c r="T12" s="113">
        <f t="shared" ref="T12" si="15">S12*(1-$T$34)/(1-$S$18)</f>
        <v>3.032500581966123E-2</v>
      </c>
      <c r="U12" s="114">
        <f t="shared" ref="U12" si="16">AH12/$AH$19</f>
        <v>3.1901796863524116E-2</v>
      </c>
      <c r="V12" s="114">
        <f t="shared" ref="V12" si="17">U12*(1-$V$34)/(1-$U$18)</f>
        <v>3.0301901623046565E-2</v>
      </c>
      <c r="W12" s="115">
        <f t="shared" ref="W12" si="18">AJ12/$AJ$19</f>
        <v>3.1870483616569627E-2</v>
      </c>
      <c r="X12" s="115">
        <f t="shared" ref="X12" si="19">W12*(1-$X$34)/(1-$W$18)</f>
        <v>3.0272317583911648E-2</v>
      </c>
      <c r="AB12" s="1" cm="1">
        <f t="array" ref="AB12">IF(N12="AUD",1,_xll.BDP(N12&amp;"AUD CURNCY","PX_LAST"))</f>
        <v>1</v>
      </c>
      <c r="AC12" s="18"/>
      <c r="AD12" s="11">
        <f t="shared" si="7"/>
        <v>0</v>
      </c>
      <c r="AE12" s="18">
        <v>15812.306687780399</v>
      </c>
      <c r="AF12" s="11">
        <f t="shared" si="8"/>
        <v>7538200.96726555</v>
      </c>
      <c r="AG12" s="18">
        <v>12971.509991348201</v>
      </c>
      <c r="AH12" s="11">
        <f t="shared" si="9"/>
        <v>6183907.9581754282</v>
      </c>
      <c r="AI12" s="18">
        <v>8190.8682906948497</v>
      </c>
      <c r="AJ12" s="11">
        <f t="shared" si="10"/>
        <v>3904832.640222956</v>
      </c>
    </row>
    <row r="13" spans="1:36" x14ac:dyDescent="0.2">
      <c r="C13" s="116" t="s">
        <v>456</v>
      </c>
      <c r="D13" s="86"/>
      <c r="E13" s="86"/>
      <c r="F13" s="86"/>
      <c r="G13" s="86"/>
      <c r="H13" s="86"/>
      <c r="I13" s="86"/>
      <c r="J13" s="45"/>
      <c r="K13" s="45"/>
      <c r="L13" s="45"/>
      <c r="M13" s="34"/>
      <c r="N13" s="34"/>
      <c r="O13" s="111"/>
      <c r="P13" s="111"/>
      <c r="Q13" s="112"/>
      <c r="R13" s="112"/>
      <c r="S13" s="113"/>
      <c r="T13" s="113"/>
      <c r="U13" s="114"/>
      <c r="V13" s="114"/>
      <c r="W13" s="115"/>
      <c r="X13" s="115"/>
      <c r="AB13" s="1">
        <v>1</v>
      </c>
      <c r="AC13" s="18"/>
      <c r="AD13" s="11"/>
      <c r="AE13" s="18"/>
      <c r="AF13" s="11"/>
      <c r="AG13" s="18"/>
      <c r="AH13" s="11"/>
      <c r="AI13" s="18"/>
      <c r="AJ13" s="11"/>
    </row>
    <row r="14" spans="1:36" x14ac:dyDescent="0.2">
      <c r="C14" s="86" t="str" cm="1">
        <f t="array" ref="C14">_xll.BDP(D14&amp;" Equity","DS520")</f>
        <v>iShares CORE Composite Bond ETF</v>
      </c>
      <c r="D14" s="86" t="s">
        <v>526</v>
      </c>
      <c r="E14" s="86" t="s">
        <v>628</v>
      </c>
      <c r="F14" s="86" t="s">
        <v>323</v>
      </c>
      <c r="G14" s="86" t="s">
        <v>26</v>
      </c>
      <c r="H14" s="86"/>
      <c r="I14" s="86"/>
      <c r="J14" s="34" t="str" cm="1">
        <f t="array" ref="J14">_xll.BDP(D14&amp;" Equity","FD121")</f>
        <v>Fixed Income</v>
      </c>
      <c r="K14" s="34" t="s">
        <v>458</v>
      </c>
      <c r="L14" s="34" t="s">
        <v>1403</v>
      </c>
      <c r="M14" s="34" t="str">
        <f>_xll.BDP(D14&amp;" Equity", "DS197")</f>
        <v>ASE</v>
      </c>
      <c r="N14" s="34" t="str">
        <f>_xll.BDP(D14&amp;" Equity", "DS004")</f>
        <v>AUD</v>
      </c>
      <c r="O14" s="111">
        <f>_xll.BDP(D14&amp;" Equity", "FUND_EXPENSE_RATIO")</f>
        <v>0.1</v>
      </c>
      <c r="P14" s="111">
        <f t="shared" ref="P14:P17" si="20">_xll.BDP(D14&amp;" Equity", "PX_LAST")</f>
        <v>101.26</v>
      </c>
      <c r="Q14" s="112"/>
      <c r="R14" s="112"/>
      <c r="S14" s="113">
        <f>AF14/$AF$19</f>
        <v>9.8863355144252762E-2</v>
      </c>
      <c r="T14" s="113">
        <f>S14*(1-$T$34)/(1-$S$18)</f>
        <v>9.3825890168452525E-2</v>
      </c>
      <c r="U14" s="114">
        <f>AH14/$AH$19</f>
        <v>0.19825645968403147</v>
      </c>
      <c r="V14" s="114">
        <f>U14*(1-$V$34)/(1-$U$18)</f>
        <v>0.18831377314510864</v>
      </c>
      <c r="W14" s="115">
        <f>AJ14/$AJ$19</f>
        <v>0.25747543888130231</v>
      </c>
      <c r="X14" s="115">
        <f>W14*(1-$X$34)/(1-$W$18)</f>
        <v>0.24456416631906644</v>
      </c>
      <c r="AB14" s="1" cm="1">
        <f t="array" ref="AB14">IF(N14="AUD",1,_xll.BDP(N14&amp;"AUD CURNCY","PX_LAST"))</f>
        <v>1</v>
      </c>
      <c r="AC14" s="18"/>
      <c r="AD14" s="11">
        <f>AC14*P14*AB14</f>
        <v>0</v>
      </c>
      <c r="AE14" s="18">
        <v>230330.57353319399</v>
      </c>
      <c r="AF14" s="11">
        <f>AE14*P14*AB14</f>
        <v>23323273.875971224</v>
      </c>
      <c r="AG14" s="18">
        <v>379522.29635927902</v>
      </c>
      <c r="AH14" s="11">
        <f>AG14*P14*AB14</f>
        <v>38430427.729340598</v>
      </c>
      <c r="AI14" s="18">
        <v>311538.45030670601</v>
      </c>
      <c r="AJ14" s="11">
        <f>AI14*P14*AB14</f>
        <v>31546383.478057053</v>
      </c>
    </row>
    <row r="15" spans="1:36" x14ac:dyDescent="0.2">
      <c r="C15" s="86" t="str" cm="1">
        <f t="array" ref="C15">_xll.BDP(D15&amp;" Equity","DS520")</f>
        <v>iShares Core Global Corporate Bond AUD Hedged ETF</v>
      </c>
      <c r="D15" s="117" t="s">
        <v>527</v>
      </c>
      <c r="E15" s="86" t="s">
        <v>629</v>
      </c>
      <c r="F15" s="86" t="s">
        <v>323</v>
      </c>
      <c r="G15" s="86" t="s">
        <v>26</v>
      </c>
      <c r="H15" s="117"/>
      <c r="I15" s="117"/>
      <c r="J15" s="34" t="str" cm="1">
        <f t="array" ref="J15">_xll.BDP(D15&amp;" Equity","FD121")</f>
        <v>Fixed Income</v>
      </c>
      <c r="K15" s="34" t="s">
        <v>458</v>
      </c>
      <c r="L15" s="34" t="s">
        <v>1403</v>
      </c>
      <c r="M15" s="34" t="str">
        <f>_xll.BDP(D15&amp;" Equity", "DS197")</f>
        <v>ASE</v>
      </c>
      <c r="N15" s="34" t="str">
        <f>_xll.BDP(D15&amp;" Equity", "DS004")</f>
        <v>AUD</v>
      </c>
      <c r="O15" s="111">
        <f>_xll.BDP(D15&amp;" Equity", "FUND_EXPENSE_RATIO")</f>
        <v>0.28000000000000003</v>
      </c>
      <c r="P15" s="111">
        <f t="shared" si="20"/>
        <v>93.37</v>
      </c>
      <c r="Q15" s="112"/>
      <c r="R15" s="112"/>
      <c r="S15" s="113">
        <f>AF15/$AF$19</f>
        <v>7.9076255348696306E-2</v>
      </c>
      <c r="T15" s="113">
        <f>S15*(1-$T$34)/(1-$S$18)</f>
        <v>7.5047018568746182E-2</v>
      </c>
      <c r="U15" s="114">
        <f>AH15/$AH$19</f>
        <v>0.15751863067829738</v>
      </c>
      <c r="V15" s="114">
        <f>U15*(1-$V$34)/(1-$U$18)</f>
        <v>0.14961897196669371</v>
      </c>
      <c r="W15" s="115">
        <f>AJ15/$AJ$19</f>
        <v>0.20457721700460471</v>
      </c>
      <c r="X15" s="115">
        <f>W15*(1-$X$34)/(1-$W$18)</f>
        <v>0.1943185600226166</v>
      </c>
      <c r="AB15" s="1" cm="1">
        <f t="array" ref="AB15">IF(N15="AUD",1,_xll.BDP(N15&amp;"AUD CURNCY","PX_LAST"))</f>
        <v>1</v>
      </c>
      <c r="AC15" s="18"/>
      <c r="AD15" s="11">
        <f>AC15*P15*AB15</f>
        <v>0</v>
      </c>
      <c r="AE15" s="18">
        <v>199798.81277883999</v>
      </c>
      <c r="AF15" s="11">
        <f>AE15*P15*AB15</f>
        <v>18655215.149160292</v>
      </c>
      <c r="AG15" s="18">
        <v>327018.58916190697</v>
      </c>
      <c r="AH15" s="11">
        <f>AG15*P15*AB15</f>
        <v>30533725.670047257</v>
      </c>
      <c r="AI15" s="18">
        <v>268450.16715663997</v>
      </c>
      <c r="AJ15" s="11">
        <f>AI15*P15*AB15</f>
        <v>25065192.107415475</v>
      </c>
    </row>
    <row r="16" spans="1:36" x14ac:dyDescent="0.2">
      <c r="C16" s="86" t="str" cm="1">
        <f t="array" ref="C16">_xll.BDP(D16&amp;" Equity","DS520")</f>
        <v>Betashares US Treasury Bond 20+ Year Currency Hedged ETF</v>
      </c>
      <c r="D16" s="117" t="s">
        <v>528</v>
      </c>
      <c r="E16" s="86" t="s">
        <v>630</v>
      </c>
      <c r="F16" s="86" t="s">
        <v>323</v>
      </c>
      <c r="G16" s="86" t="s">
        <v>26</v>
      </c>
      <c r="H16" s="117"/>
      <c r="I16" s="117"/>
      <c r="J16" s="34" t="str" cm="1">
        <f t="array" ref="J16">_xll.BDP(D16&amp;" Equity","FD121")</f>
        <v>Fixed Income</v>
      </c>
      <c r="K16" s="34" t="s">
        <v>458</v>
      </c>
      <c r="L16" s="34" t="s">
        <v>464</v>
      </c>
      <c r="M16" s="34" t="str">
        <f>_xll.BDP(D16&amp;" Equity", "DS197")</f>
        <v>ASE</v>
      </c>
      <c r="N16" s="34" t="str">
        <f>_xll.BDP(D16&amp;" Equity", "DS004")</f>
        <v>AUD</v>
      </c>
      <c r="O16" s="111">
        <f>_xll.BDP(D16&amp;" Equity", "FUND_EXPENSE_RATIO")</f>
        <v>0.22</v>
      </c>
      <c r="P16" s="111">
        <f t="shared" si="20"/>
        <v>13.4</v>
      </c>
      <c r="Q16" s="112"/>
      <c r="R16" s="112"/>
      <c r="S16" s="113">
        <f>AF16/$AF$19</f>
        <v>1.5308460353754093E-2</v>
      </c>
      <c r="T16" s="113">
        <f>S16*(1-$T$34)/(1-$S$18)</f>
        <v>1.452843591747088E-2</v>
      </c>
      <c r="U16" s="114">
        <f>AH16/$AH$19</f>
        <v>2.9650692746174743E-2</v>
      </c>
      <c r="V16" s="114">
        <f>U16*(1-$V$34)/(1-$U$18)</f>
        <v>2.8163691797469345E-2</v>
      </c>
      <c r="W16" s="115">
        <f>AJ16/$AJ$19</f>
        <v>3.8508065795114781E-2</v>
      </c>
      <c r="X16" s="115">
        <f>W16*(1-$X$34)/(1-$W$18)</f>
        <v>3.657705390720245E-2</v>
      </c>
      <c r="AB16" s="1" cm="1">
        <f t="array" ref="AB16">IF(N16="AUD",1,_xll.BDP(N16&amp;"AUD CURNCY","PX_LAST"))</f>
        <v>1</v>
      </c>
      <c r="AC16" s="18"/>
      <c r="AD16" s="11">
        <f>AC16*P16*AB16</f>
        <v>0</v>
      </c>
      <c r="AE16" s="18">
        <v>269513.72240607801</v>
      </c>
      <c r="AF16" s="11">
        <f>AE16*P16*AB16</f>
        <v>3611483.8802414453</v>
      </c>
      <c r="AG16" s="18">
        <v>428921.60032876697</v>
      </c>
      <c r="AH16" s="11">
        <f>AG16*P16*AB16</f>
        <v>5747549.4444054775</v>
      </c>
      <c r="AI16" s="18">
        <v>352095.66495892499</v>
      </c>
      <c r="AJ16" s="11">
        <f>AI16*P16*AB16</f>
        <v>4718081.9104495952</v>
      </c>
    </row>
    <row r="17" spans="3:36" x14ac:dyDescent="0.2">
      <c r="C17" s="86" t="str" cm="1">
        <f t="array" ref="C17">_xll.BDP(D17&amp;" Equity","DS520")</f>
        <v>iShares JP Morgan USD Emerging Markets Bond AUD Hedged ETF</v>
      </c>
      <c r="D17" s="117" t="s">
        <v>529</v>
      </c>
      <c r="E17" s="86" t="s">
        <v>631</v>
      </c>
      <c r="F17" s="86" t="s">
        <v>323</v>
      </c>
      <c r="G17" s="86" t="s">
        <v>26</v>
      </c>
      <c r="H17" s="117"/>
      <c r="I17" s="117"/>
      <c r="J17" s="34" t="str" cm="1">
        <f t="array" ref="J17">_xll.BDP(D17&amp;" Equity","FD121")</f>
        <v>Fixed Income</v>
      </c>
      <c r="K17" s="34" t="s">
        <v>458</v>
      </c>
      <c r="L17" s="34" t="s">
        <v>450</v>
      </c>
      <c r="M17" s="34" t="str">
        <f>_xll.BDP(D17&amp;" Equity", "DS197")</f>
        <v>ASE</v>
      </c>
      <c r="N17" s="34" t="str">
        <f>_xll.BDP(D17&amp;" Equity", "DS004")</f>
        <v>AUD</v>
      </c>
      <c r="O17" s="111">
        <f>_xll.BDP(D17&amp;" Equity", "FUND_EXPENSE_RATIO")</f>
        <v>0.54</v>
      </c>
      <c r="P17" s="111">
        <f t="shared" si="20"/>
        <v>80</v>
      </c>
      <c r="Q17" s="112"/>
      <c r="R17" s="112"/>
      <c r="S17" s="113">
        <f>AF17/$AF$19</f>
        <v>4.9501220443029417E-2</v>
      </c>
      <c r="T17" s="113">
        <f>S17*(1-$T$34)/(1-$S$18)</f>
        <v>4.6978944480643936E-2</v>
      </c>
      <c r="U17" s="114">
        <f>AH17/$AH$19</f>
        <v>9.7834754942869959E-2</v>
      </c>
      <c r="V17" s="114">
        <f>U17*(1-$V$34)/(1-$U$18)</f>
        <v>9.292828025569165E-2</v>
      </c>
      <c r="W17" s="115">
        <f>AJ17/$AJ$19</f>
        <v>0.12706034265843605</v>
      </c>
      <c r="X17" s="115">
        <f>W17*(1-$X$34)/(1-$W$18)</f>
        <v>0.12068881952193045</v>
      </c>
      <c r="AB17" s="1" cm="1">
        <f t="array" ref="AB17">IF(N17="AUD",1,_xll.BDP(N17&amp;"AUD CURNCY","PX_LAST"))</f>
        <v>1</v>
      </c>
      <c r="AC17" s="18"/>
      <c r="AD17" s="11">
        <f>AC17*P17*AB17</f>
        <v>0</v>
      </c>
      <c r="AE17" s="18">
        <v>145975.538649155</v>
      </c>
      <c r="AF17" s="11">
        <f>AE17*P17*AB17</f>
        <v>11678043.091932401</v>
      </c>
      <c r="AG17" s="18">
        <v>237056.051366617</v>
      </c>
      <c r="AH17" s="11">
        <f>AG17*P17*AB17</f>
        <v>18964484.109329361</v>
      </c>
      <c r="AI17" s="18">
        <v>194595.95407293399</v>
      </c>
      <c r="AJ17" s="11">
        <f>AI17*P17*AB17</f>
        <v>15567676.325834719</v>
      </c>
    </row>
    <row r="18" spans="3:36" x14ac:dyDescent="0.2">
      <c r="C18" s="86" t="str" cm="1">
        <f t="array" ref="C18">_xll.BDP(D18&amp;" Curncy","DS520")</f>
        <v>AUDUSD Spot Exchange Rate - Price of 1 AUD in USD</v>
      </c>
      <c r="D18" s="118" t="s">
        <v>431</v>
      </c>
      <c r="E18" s="86"/>
      <c r="F18" s="118"/>
      <c r="G18" s="118"/>
      <c r="H18" s="118"/>
      <c r="I18" s="118"/>
      <c r="J18" s="34" t="s">
        <v>80</v>
      </c>
      <c r="K18" s="34"/>
      <c r="L18" s="34"/>
      <c r="M18" s="34"/>
      <c r="N18" s="34" t="str">
        <f>_xll.BDP(D18&amp;" Curncy", "DS004")</f>
        <v>AUD</v>
      </c>
      <c r="O18" s="111"/>
      <c r="P18" s="111">
        <v>1</v>
      </c>
      <c r="Q18" s="112">
        <f>AD18/AD19</f>
        <v>5.0187524046791327E-3</v>
      </c>
      <c r="R18" s="112">
        <f>$R$34</f>
        <v>5.475E-2</v>
      </c>
      <c r="S18" s="113">
        <f>AF18/$AF$19</f>
        <v>4.0000016804933591E-3</v>
      </c>
      <c r="T18" s="113">
        <f>T34</f>
        <v>5.475E-2</v>
      </c>
      <c r="U18" s="114">
        <f>AH18/$AH$19</f>
        <v>4.8422089024536645E-3</v>
      </c>
      <c r="V18" s="114">
        <f>V34</f>
        <v>5.475E-2</v>
      </c>
      <c r="W18" s="115">
        <f>AJ18/$AJ$19</f>
        <v>4.8474301626378587E-3</v>
      </c>
      <c r="X18" s="115">
        <f>X34</f>
        <v>5.475E-2</v>
      </c>
      <c r="AB18" s="1">
        <v>1</v>
      </c>
      <c r="AC18" s="18">
        <v>2663592.9606563998</v>
      </c>
      <c r="AD18" s="11">
        <f>AC18*P18*AB18</f>
        <v>2663592.9606563998</v>
      </c>
      <c r="AE18" s="18">
        <v>943657.38005114801</v>
      </c>
      <c r="AF18" s="11">
        <f>AE18*P18*AB18</f>
        <v>943657.38005114801</v>
      </c>
      <c r="AG18" s="18">
        <v>938623.43538611894</v>
      </c>
      <c r="AH18" s="11">
        <f>AG18*P18*AB18</f>
        <v>938623.43538611894</v>
      </c>
      <c r="AI18" s="18">
        <v>593916.41959360195</v>
      </c>
      <c r="AJ18" s="11">
        <f>AI18*P18*AB18</f>
        <v>593916.41959360195</v>
      </c>
    </row>
    <row r="19" spans="3:36" x14ac:dyDescent="0.2">
      <c r="C19" s="119"/>
      <c r="D19" s="120"/>
      <c r="E19" s="120"/>
      <c r="F19" s="120"/>
      <c r="G19" s="120"/>
      <c r="H19" s="120"/>
      <c r="I19" s="120"/>
      <c r="J19" s="77"/>
      <c r="K19" s="77"/>
      <c r="L19" s="77"/>
      <c r="M19" s="77"/>
      <c r="N19" s="77"/>
      <c r="O19" s="121" t="s">
        <v>81</v>
      </c>
      <c r="P19" s="121"/>
      <c r="Q19" s="107">
        <f t="shared" ref="Q19:X19" si="21">SUM(Q4:Q18)</f>
        <v>0.99999999999999978</v>
      </c>
      <c r="R19" s="107">
        <f t="shared" si="21"/>
        <v>0.99999999999999989</v>
      </c>
      <c r="S19" s="108">
        <f t="shared" si="21"/>
        <v>0.99999999999999978</v>
      </c>
      <c r="T19" s="108">
        <f t="shared" si="21"/>
        <v>0.99999999999999989</v>
      </c>
      <c r="U19" s="109">
        <f t="shared" si="21"/>
        <v>0.99999999999999989</v>
      </c>
      <c r="V19" s="109">
        <f t="shared" si="21"/>
        <v>1</v>
      </c>
      <c r="W19" s="110">
        <f t="shared" si="21"/>
        <v>0.99999999999999978</v>
      </c>
      <c r="X19" s="110">
        <f t="shared" si="21"/>
        <v>0.99999999999999978</v>
      </c>
      <c r="AC19" s="5"/>
      <c r="AD19" s="24">
        <f>SUM(AD4:AD18)</f>
        <v>530728106.48579764</v>
      </c>
      <c r="AE19" s="5"/>
      <c r="AF19" s="24">
        <f>SUM(AF4:AF18)</f>
        <v>235914245.89970613</v>
      </c>
      <c r="AG19" s="5"/>
      <c r="AH19" s="24">
        <f>SUM(AH4:AH18)</f>
        <v>193841995.31550482</v>
      </c>
      <c r="AI19" s="5"/>
      <c r="AJ19" s="24">
        <f>SUM(AJ4:AJ18)</f>
        <v>122521913.60512689</v>
      </c>
    </row>
    <row r="20" spans="3:36" x14ac:dyDescent="0.2">
      <c r="C20" s="119"/>
      <c r="D20" s="120"/>
      <c r="E20" s="120"/>
      <c r="F20" s="120"/>
      <c r="G20" s="120"/>
      <c r="H20" s="120"/>
      <c r="I20" s="120"/>
      <c r="J20" s="77"/>
      <c r="K20" s="77"/>
      <c r="L20" s="77"/>
      <c r="M20" s="77"/>
      <c r="N20" s="77"/>
      <c r="O20" s="122" t="s">
        <v>470</v>
      </c>
      <c r="P20" s="122"/>
      <c r="Q20" s="112">
        <f>SUMIF($J$4:$J$18,$O20,Q$4:Q$18)</f>
        <v>0.99498124759532069</v>
      </c>
      <c r="R20" s="112"/>
      <c r="S20" s="113">
        <f>SUMIF($J$4:$J$18,$O20,S$4:S$18)</f>
        <v>0.72129756686006052</v>
      </c>
      <c r="T20" s="113"/>
      <c r="U20" s="114">
        <f>SUMIF($J$4:$J$18,$O20,U$4:U$18)</f>
        <v>0.47999545618264855</v>
      </c>
      <c r="V20" s="114"/>
      <c r="W20" s="115">
        <f>SUMIF($J$4:$J$18,$O20,W$4:W$18)</f>
        <v>0.33566102188133445</v>
      </c>
      <c r="X20" s="115"/>
    </row>
    <row r="21" spans="3:36" x14ac:dyDescent="0.2">
      <c r="C21" s="119"/>
      <c r="D21" s="120"/>
      <c r="E21" s="120"/>
      <c r="F21" s="120"/>
      <c r="G21" s="120"/>
      <c r="H21" s="120"/>
      <c r="I21" s="120"/>
      <c r="J21" s="77"/>
      <c r="K21" s="77"/>
      <c r="L21" s="77"/>
      <c r="M21" s="77"/>
      <c r="N21" s="77"/>
      <c r="O21" s="123" t="s">
        <v>453</v>
      </c>
      <c r="P21" s="123"/>
      <c r="Q21" s="112">
        <f>SUMIF($K$4:$K$18,$O21,Q$4:Q$18)</f>
        <v>0.876537457998119</v>
      </c>
      <c r="R21" s="112"/>
      <c r="S21" s="113">
        <f>SUMIF($K$4:$K$18,$O21,S$4:S$18)</f>
        <v>0.63574664044393014</v>
      </c>
      <c r="T21" s="113"/>
      <c r="U21" s="114">
        <f>SUMIF($K$4:$K$18,$O21,U$4:U$18)</f>
        <v>0.4228567963940924</v>
      </c>
      <c r="V21" s="114"/>
      <c r="W21" s="115">
        <f>SUMIF($K$4:$K$18,$O21,W$4:W$18)</f>
        <v>0.29570321919335352</v>
      </c>
      <c r="X21" s="115"/>
    </row>
    <row r="22" spans="3:36" x14ac:dyDescent="0.2">
      <c r="C22" s="119"/>
      <c r="D22" s="120"/>
      <c r="E22" s="120"/>
      <c r="F22" s="120"/>
      <c r="G22" s="120"/>
      <c r="H22" s="120"/>
      <c r="I22" s="120"/>
      <c r="J22" s="77"/>
      <c r="K22" s="77"/>
      <c r="L22" s="77"/>
      <c r="M22" s="77"/>
      <c r="N22" s="77"/>
      <c r="O22" s="123" t="s">
        <v>443</v>
      </c>
      <c r="P22" s="123"/>
      <c r="Q22" s="112">
        <f>SUMIF($K$4:$K$18,$O22,Q$4:Q$18)</f>
        <v>0</v>
      </c>
      <c r="R22" s="112"/>
      <c r="S22" s="113">
        <f>SUMIF($K$4:$K$18,$O22,S$4:S$18)</f>
        <v>0</v>
      </c>
      <c r="T22" s="113"/>
      <c r="U22" s="114">
        <f>SUMIF($K$4:$K$18,$O22,U$4:U$18)</f>
        <v>0</v>
      </c>
      <c r="V22" s="114"/>
      <c r="W22" s="115">
        <f>SUMIF($K$4:$K$18,$O22,W$4:W$18)</f>
        <v>0</v>
      </c>
      <c r="X22" s="115"/>
    </row>
    <row r="23" spans="3:36" x14ac:dyDescent="0.2">
      <c r="C23" s="119"/>
      <c r="D23" s="120"/>
      <c r="E23" s="120"/>
      <c r="F23" s="120"/>
      <c r="G23" s="120"/>
      <c r="H23" s="120"/>
      <c r="I23" s="120"/>
      <c r="J23" s="77"/>
      <c r="K23" s="77"/>
      <c r="L23" s="77"/>
      <c r="M23" s="77"/>
      <c r="N23" s="77"/>
      <c r="O23" s="123" t="s">
        <v>446</v>
      </c>
      <c r="P23" s="123"/>
      <c r="Q23" s="112">
        <f>SUMIF($K$4:$K$18,$O23,Q$4:Q$18)</f>
        <v>0.11844378959720173</v>
      </c>
      <c r="R23" s="112"/>
      <c r="S23" s="113">
        <f>SUMIF($K$4:$K$18,$O23,S$4:S$18)</f>
        <v>0.11750406658584381</v>
      </c>
      <c r="T23" s="113"/>
      <c r="U23" s="114">
        <f>SUMIF($K$4:$K$18,$O23,U$4:U$18)</f>
        <v>8.9040456652080255E-2</v>
      </c>
      <c r="V23" s="114"/>
      <c r="W23" s="115">
        <f>SUMIF($K$4:$K$18,$O23,W$4:W$18)</f>
        <v>7.1828286304550543E-2</v>
      </c>
      <c r="X23" s="115"/>
    </row>
    <row r="24" spans="3:36" x14ac:dyDescent="0.2">
      <c r="C24" s="119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124" t="s">
        <v>447</v>
      </c>
      <c r="P24" s="124"/>
      <c r="Q24" s="112">
        <f>SUMIF($J$4:$J$18,$O24,Q$4:Q$18)</f>
        <v>0</v>
      </c>
      <c r="R24" s="112"/>
      <c r="S24" s="113">
        <f>SUMIF($J$4:$J$18,$O24,S$4:S$18)</f>
        <v>3.1953140169713422E-2</v>
      </c>
      <c r="T24" s="113"/>
      <c r="U24" s="114">
        <f>SUMIF($J$4:$J$18,$O24,U$4:U$18)</f>
        <v>3.1901796863524116E-2</v>
      </c>
      <c r="V24" s="114"/>
      <c r="W24" s="115">
        <f>SUMIF($J$4:$J$18,$O24,W$4:W$18)</f>
        <v>3.1870483616569627E-2</v>
      </c>
      <c r="X24" s="115"/>
    </row>
    <row r="25" spans="3:36" x14ac:dyDescent="0.2">
      <c r="C25" s="119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122" t="s">
        <v>458</v>
      </c>
      <c r="P25" s="122"/>
      <c r="Q25" s="112">
        <f>SUMIF($J$4:$J$18,$O25,Q$4:Q$18)</f>
        <v>0</v>
      </c>
      <c r="R25" s="112"/>
      <c r="S25" s="113">
        <f>SUMIF($J$4:$J$18,$O25,S$4:S$18)</f>
        <v>0.2427492912897326</v>
      </c>
      <c r="T25" s="113"/>
      <c r="U25" s="114">
        <f>SUMIF($J$4:$J$18,$O25,U$4:U$18)</f>
        <v>0.48326053805137359</v>
      </c>
      <c r="V25" s="114"/>
      <c r="W25" s="115">
        <f>SUMIF($J$4:$J$18,$O25,W$4:W$18)</f>
        <v>0.62762106433945786</v>
      </c>
      <c r="X25" s="115"/>
    </row>
    <row r="26" spans="3:36" x14ac:dyDescent="0.2">
      <c r="C26" s="119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122" t="s">
        <v>80</v>
      </c>
      <c r="P26" s="122"/>
      <c r="Q26" s="112">
        <f>Q18</f>
        <v>5.0187524046791327E-3</v>
      </c>
      <c r="R26" s="112"/>
      <c r="S26" s="113">
        <f t="shared" ref="S26:W26" si="22">S18</f>
        <v>4.0000016804933591E-3</v>
      </c>
      <c r="T26" s="113"/>
      <c r="U26" s="114">
        <f t="shared" si="22"/>
        <v>4.8422089024536645E-3</v>
      </c>
      <c r="V26" s="114"/>
      <c r="W26" s="115">
        <f t="shared" si="22"/>
        <v>4.8474301626378587E-3</v>
      </c>
      <c r="X26" s="115"/>
    </row>
    <row r="27" spans="3:36" x14ac:dyDescent="0.2">
      <c r="C27" s="119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122"/>
      <c r="P27" s="122"/>
      <c r="Q27" s="112"/>
      <c r="R27" s="112"/>
      <c r="S27" s="113"/>
      <c r="T27" s="113"/>
      <c r="U27" s="114"/>
      <c r="V27" s="114"/>
      <c r="W27" s="115"/>
      <c r="X27" s="115"/>
    </row>
    <row r="28" spans="3:36" x14ac:dyDescent="0.2">
      <c r="C28" s="119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121" t="s">
        <v>437</v>
      </c>
      <c r="P28" s="121"/>
      <c r="Q28" s="125">
        <f>SUMPRODUCT(Q4:Q18,$O4:$O18)/Q19</f>
        <v>0.23118865527788746</v>
      </c>
      <c r="R28" s="125"/>
      <c r="S28" s="126">
        <f>SUMPRODUCT(S4:S18,$O4:$O18)/S19</f>
        <v>0.24350152325464602</v>
      </c>
      <c r="T28" s="126"/>
      <c r="U28" s="127">
        <f>SUMPRODUCT(U4:U18,$O4:$O18)/U19</f>
        <v>0.24885035817354825</v>
      </c>
      <c r="V28" s="127"/>
      <c r="W28" s="128">
        <f>SUMPRODUCT(W4:W18,$O4:$O18)/W19</f>
        <v>0.25212886585635685</v>
      </c>
      <c r="X28" s="128"/>
    </row>
    <row r="29" spans="3:36" ht="15" thickBot="1" x14ac:dyDescent="0.25"/>
    <row r="30" spans="3:36" x14ac:dyDescent="0.2">
      <c r="Q30" s="129" t="s">
        <v>86</v>
      </c>
      <c r="R30" s="130">
        <v>100000</v>
      </c>
      <c r="S30" s="129" t="s">
        <v>86</v>
      </c>
      <c r="T30" s="130">
        <v>100000</v>
      </c>
      <c r="U30" s="129" t="s">
        <v>86</v>
      </c>
      <c r="V30" s="130">
        <v>100000</v>
      </c>
      <c r="W30" s="129" t="s">
        <v>86</v>
      </c>
      <c r="X30" s="130">
        <v>100000</v>
      </c>
      <c r="Z30" s="131"/>
    </row>
    <row r="31" spans="3:36" x14ac:dyDescent="0.2">
      <c r="Q31" s="132" t="s">
        <v>85</v>
      </c>
      <c r="R31" s="133">
        <v>5000</v>
      </c>
      <c r="S31" s="132" t="s">
        <v>85</v>
      </c>
      <c r="T31" s="133">
        <v>5000</v>
      </c>
      <c r="U31" s="132" t="s">
        <v>85</v>
      </c>
      <c r="V31" s="133">
        <v>5000</v>
      </c>
      <c r="W31" s="132" t="s">
        <v>85</v>
      </c>
      <c r="X31" s="133">
        <v>5000</v>
      </c>
      <c r="Z31" s="131"/>
    </row>
    <row r="32" spans="3:36" x14ac:dyDescent="0.2">
      <c r="Q32" s="132" t="s">
        <v>88</v>
      </c>
      <c r="R32" s="134">
        <f>(R30-R31)*0.5%</f>
        <v>475</v>
      </c>
      <c r="S32" s="132" t="s">
        <v>88</v>
      </c>
      <c r="T32" s="134">
        <f>(T30-T31)*0.5%</f>
        <v>475</v>
      </c>
      <c r="U32" s="132" t="s">
        <v>88</v>
      </c>
      <c r="V32" s="134">
        <f>(V30-V31)*0.5%</f>
        <v>475</v>
      </c>
      <c r="W32" s="132" t="s">
        <v>88</v>
      </c>
      <c r="X32" s="134">
        <f>(X30-X31)*0.5%</f>
        <v>475</v>
      </c>
      <c r="Z32" s="135"/>
    </row>
    <row r="33" spans="17:26" x14ac:dyDescent="0.2">
      <c r="Q33" s="132" t="s">
        <v>87</v>
      </c>
      <c r="R33" s="134">
        <f>R31+R32</f>
        <v>5475</v>
      </c>
      <c r="S33" s="132" t="s">
        <v>87</v>
      </c>
      <c r="T33" s="134">
        <f>T31+T32</f>
        <v>5475</v>
      </c>
      <c r="U33" s="132" t="s">
        <v>87</v>
      </c>
      <c r="V33" s="134">
        <f>V31+V32</f>
        <v>5475</v>
      </c>
      <c r="W33" s="132" t="s">
        <v>87</v>
      </c>
      <c r="X33" s="134">
        <f>X31+X32</f>
        <v>5475</v>
      </c>
      <c r="Z33" s="135"/>
    </row>
    <row r="34" spans="17:26" ht="15" thickBot="1" x14ac:dyDescent="0.25">
      <c r="Q34" s="136" t="s">
        <v>89</v>
      </c>
      <c r="R34" s="137">
        <f>R33/R30</f>
        <v>5.475E-2</v>
      </c>
      <c r="S34" s="136" t="s">
        <v>89</v>
      </c>
      <c r="T34" s="137">
        <f>T33/T30</f>
        <v>5.475E-2</v>
      </c>
      <c r="U34" s="136" t="s">
        <v>89</v>
      </c>
      <c r="V34" s="137">
        <f>V33/V30</f>
        <v>5.475E-2</v>
      </c>
      <c r="W34" s="136" t="s">
        <v>89</v>
      </c>
      <c r="X34" s="137">
        <f>X33/X30</f>
        <v>5.475E-2</v>
      </c>
      <c r="Z34" s="138"/>
    </row>
  </sheetData>
  <conditionalFormatting sqref="A2">
    <cfRule type="cellIs" dxfId="110" priority="1" operator="lessThan">
      <formula>TODAY()-14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2110-941E-456D-8378-F9C12A5DF21D}">
  <sheetPr codeName="Sheet3"/>
  <dimension ref="A1:M13"/>
  <sheetViews>
    <sheetView workbookViewId="0">
      <selection activeCell="P11" sqref="P11"/>
    </sheetView>
  </sheetViews>
  <sheetFormatPr defaultColWidth="8.796875" defaultRowHeight="14.25" x14ac:dyDescent="0.2"/>
  <cols>
    <col min="1" max="1" width="4.796875" style="1" bestFit="1" customWidth="1"/>
    <col min="2" max="2" width="18.796875" style="1" bestFit="1" customWidth="1"/>
    <col min="3" max="3" width="19.59765625" style="1" bestFit="1" customWidth="1"/>
    <col min="4" max="12" width="15.796875" style="1" bestFit="1" customWidth="1"/>
    <col min="13" max="13" width="11.296875" style="1" bestFit="1" customWidth="1"/>
    <col min="14" max="16384" width="8.796875" style="1"/>
  </cols>
  <sheetData>
    <row r="1" spans="1:13" ht="39.75" customHeight="1" x14ac:dyDescent="0.2">
      <c r="A1" s="167" t="s">
        <v>91</v>
      </c>
      <c r="B1" s="167" t="s">
        <v>656</v>
      </c>
      <c r="C1" s="168" t="s">
        <v>657</v>
      </c>
      <c r="D1" s="168" t="s">
        <v>658</v>
      </c>
      <c r="E1" s="168" t="s">
        <v>659</v>
      </c>
      <c r="F1" s="168" t="s">
        <v>660</v>
      </c>
      <c r="G1" s="168" t="s">
        <v>661</v>
      </c>
      <c r="H1" s="168" t="s">
        <v>662</v>
      </c>
      <c r="I1" s="168" t="s">
        <v>663</v>
      </c>
      <c r="J1" s="168" t="s">
        <v>664</v>
      </c>
      <c r="K1" s="168" t="s">
        <v>665</v>
      </c>
      <c r="L1" s="168" t="s">
        <v>666</v>
      </c>
      <c r="M1" s="168" t="s">
        <v>667</v>
      </c>
    </row>
    <row r="2" spans="1:13" x14ac:dyDescent="0.2">
      <c r="A2" s="171" t="s">
        <v>668</v>
      </c>
      <c r="B2" s="172" t="s">
        <v>669</v>
      </c>
      <c r="C2" s="173">
        <v>0</v>
      </c>
      <c r="D2" s="173">
        <v>0.03</v>
      </c>
      <c r="E2" s="173">
        <v>0.06</v>
      </c>
      <c r="F2" s="173">
        <v>0.09</v>
      </c>
      <c r="G2" s="173">
        <v>0.121</v>
      </c>
      <c r="H2" s="173">
        <v>0.151</v>
      </c>
      <c r="I2" s="173">
        <v>0.18099999999999999</v>
      </c>
      <c r="J2" s="173">
        <v>0.21099999999999999</v>
      </c>
      <c r="K2" s="173">
        <v>0.24099999999999999</v>
      </c>
      <c r="L2" s="173">
        <v>0.27100000000000002</v>
      </c>
      <c r="M2" s="173">
        <v>0.30099999999999999</v>
      </c>
    </row>
    <row r="3" spans="1:13" x14ac:dyDescent="0.2">
      <c r="A3" s="171" t="s">
        <v>670</v>
      </c>
      <c r="B3" s="172" t="s">
        <v>671</v>
      </c>
      <c r="C3" s="173">
        <v>0</v>
      </c>
      <c r="D3" s="173">
        <v>2.3E-2</v>
      </c>
      <c r="E3" s="173">
        <v>4.4999999999999998E-2</v>
      </c>
      <c r="F3" s="173">
        <v>6.8000000000000005E-2</v>
      </c>
      <c r="G3" s="173">
        <v>0.09</v>
      </c>
      <c r="H3" s="173">
        <v>0.113</v>
      </c>
      <c r="I3" s="173">
        <v>0.13500000000000001</v>
      </c>
      <c r="J3" s="173">
        <v>0.158</v>
      </c>
      <c r="K3" s="173">
        <v>0.18</v>
      </c>
      <c r="L3" s="173">
        <v>0.20300000000000001</v>
      </c>
      <c r="M3" s="173">
        <v>0.22500000000000001</v>
      </c>
    </row>
    <row r="4" spans="1:13" x14ac:dyDescent="0.2">
      <c r="A4" s="171" t="s">
        <v>672</v>
      </c>
      <c r="B4" s="172" t="s">
        <v>673</v>
      </c>
      <c r="C4" s="173">
        <v>0</v>
      </c>
      <c r="D4" s="173">
        <v>6.0000000000000001E-3</v>
      </c>
      <c r="E4" s="173">
        <v>1.2999999999999999E-2</v>
      </c>
      <c r="F4" s="173">
        <v>1.7999999999999999E-2</v>
      </c>
      <c r="G4" s="173">
        <v>2.4E-2</v>
      </c>
      <c r="H4" s="173">
        <v>0.03</v>
      </c>
      <c r="I4" s="173">
        <v>3.6999999999999998E-2</v>
      </c>
      <c r="J4" s="173">
        <v>4.2999999999999997E-2</v>
      </c>
      <c r="K4" s="173">
        <v>4.9000000000000002E-2</v>
      </c>
      <c r="L4" s="173">
        <v>5.5E-2</v>
      </c>
      <c r="M4" s="173">
        <v>6.2E-2</v>
      </c>
    </row>
    <row r="5" spans="1:13" x14ac:dyDescent="0.2">
      <c r="A5" s="171" t="s">
        <v>674</v>
      </c>
      <c r="B5" s="172" t="s">
        <v>675</v>
      </c>
      <c r="C5" s="173">
        <v>0</v>
      </c>
      <c r="D5" s="173">
        <v>2.9000000000000001E-2</v>
      </c>
      <c r="E5" s="173">
        <v>5.8000000000000003E-2</v>
      </c>
      <c r="F5" s="173">
        <v>8.5999999999999993E-2</v>
      </c>
      <c r="G5" s="173">
        <v>0.115</v>
      </c>
      <c r="H5" s="173">
        <v>0.14399999999999999</v>
      </c>
      <c r="I5" s="173">
        <v>0.17299999999999999</v>
      </c>
      <c r="J5" s="173">
        <v>0.20100000000000001</v>
      </c>
      <c r="K5" s="173">
        <v>0.23</v>
      </c>
      <c r="L5" s="173">
        <v>0.25900000000000001</v>
      </c>
      <c r="M5" s="173">
        <v>0.28799999999999998</v>
      </c>
    </row>
    <row r="6" spans="1:13" x14ac:dyDescent="0.2">
      <c r="A6" s="171" t="s">
        <v>676</v>
      </c>
      <c r="B6" s="172" t="s">
        <v>677</v>
      </c>
      <c r="C6" s="173">
        <v>0</v>
      </c>
      <c r="D6" s="173">
        <v>0.01</v>
      </c>
      <c r="E6" s="173">
        <v>0.02</v>
      </c>
      <c r="F6" s="173">
        <v>3.2000000000000001E-2</v>
      </c>
      <c r="G6" s="173">
        <v>4.2000000000000003E-2</v>
      </c>
      <c r="H6" s="173">
        <v>5.1999999999999998E-2</v>
      </c>
      <c r="I6" s="173">
        <v>6.2E-2</v>
      </c>
      <c r="J6" s="173">
        <v>7.2999999999999995E-2</v>
      </c>
      <c r="K6" s="173">
        <v>8.4000000000000005E-2</v>
      </c>
      <c r="L6" s="173">
        <v>9.4E-2</v>
      </c>
      <c r="M6" s="173">
        <v>0.104</v>
      </c>
    </row>
    <row r="7" spans="1:13" x14ac:dyDescent="0.2">
      <c r="A7" s="171" t="s">
        <v>678</v>
      </c>
      <c r="B7" s="172" t="s">
        <v>679</v>
      </c>
      <c r="C7" s="173">
        <v>0.28299999999999997</v>
      </c>
      <c r="D7" s="173">
        <v>0.255</v>
      </c>
      <c r="E7" s="173">
        <v>0.22700000000000001</v>
      </c>
      <c r="F7" s="173">
        <v>0.19800000000000001</v>
      </c>
      <c r="G7" s="173">
        <v>0.17</v>
      </c>
      <c r="H7" s="173">
        <v>0.14199999999999999</v>
      </c>
      <c r="I7" s="173">
        <v>0.113</v>
      </c>
      <c r="J7" s="173">
        <v>8.5000000000000006E-2</v>
      </c>
      <c r="K7" s="173">
        <v>5.7000000000000002E-2</v>
      </c>
      <c r="L7" s="173">
        <v>2.8000000000000001E-2</v>
      </c>
      <c r="M7" s="173">
        <v>0</v>
      </c>
    </row>
    <row r="8" spans="1:13" x14ac:dyDescent="0.2">
      <c r="A8" s="171" t="s">
        <v>680</v>
      </c>
      <c r="B8" s="172" t="s">
        <v>681</v>
      </c>
      <c r="C8" s="173">
        <v>0.13500000000000001</v>
      </c>
      <c r="D8" s="173">
        <v>0.122</v>
      </c>
      <c r="E8" s="173">
        <v>0.108</v>
      </c>
      <c r="F8" s="173">
        <v>9.5000000000000001E-2</v>
      </c>
      <c r="G8" s="173">
        <v>8.1000000000000003E-2</v>
      </c>
      <c r="H8" s="173">
        <v>6.8000000000000005E-2</v>
      </c>
      <c r="I8" s="173">
        <v>5.3999999999999999E-2</v>
      </c>
      <c r="J8" s="173">
        <v>4.1000000000000002E-2</v>
      </c>
      <c r="K8" s="173">
        <v>2.7E-2</v>
      </c>
      <c r="L8" s="173">
        <v>1.4E-2</v>
      </c>
      <c r="M8" s="173">
        <v>0</v>
      </c>
    </row>
    <row r="9" spans="1:13" x14ac:dyDescent="0.2">
      <c r="A9" s="171" t="s">
        <v>682</v>
      </c>
      <c r="B9" s="172" t="s">
        <v>683</v>
      </c>
      <c r="C9" s="173">
        <v>0.13100000000000001</v>
      </c>
      <c r="D9" s="173">
        <v>0.11600000000000001</v>
      </c>
      <c r="E9" s="173">
        <v>0.104</v>
      </c>
      <c r="F9" s="173">
        <v>9.0999999999999998E-2</v>
      </c>
      <c r="G9" s="173">
        <v>7.9000000000000001E-2</v>
      </c>
      <c r="H9" s="173">
        <v>6.4000000000000001E-2</v>
      </c>
      <c r="I9" s="173">
        <v>5.1999999999999998E-2</v>
      </c>
      <c r="J9" s="173">
        <v>3.9E-2</v>
      </c>
      <c r="K9" s="173">
        <v>2.5999999999999999E-2</v>
      </c>
      <c r="L9" s="173">
        <v>1.2999999999999999E-2</v>
      </c>
      <c r="M9" s="173">
        <v>0</v>
      </c>
    </row>
    <row r="10" spans="1:13" x14ac:dyDescent="0.2">
      <c r="A10" s="171" t="s">
        <v>684</v>
      </c>
      <c r="B10" s="172" t="s">
        <v>685</v>
      </c>
      <c r="C10" s="173">
        <v>0.13700000000000001</v>
      </c>
      <c r="D10" s="173">
        <v>0.124</v>
      </c>
      <c r="E10" s="173">
        <v>0.11</v>
      </c>
      <c r="F10" s="173">
        <v>9.6000000000000002E-2</v>
      </c>
      <c r="G10" s="173">
        <v>8.2000000000000003E-2</v>
      </c>
      <c r="H10" s="173">
        <v>6.9000000000000006E-2</v>
      </c>
      <c r="I10" s="173">
        <v>5.5E-2</v>
      </c>
      <c r="J10" s="173">
        <v>4.1000000000000002E-2</v>
      </c>
      <c r="K10" s="173">
        <v>2.7E-2</v>
      </c>
      <c r="L10" s="173">
        <v>1.4E-2</v>
      </c>
      <c r="M10" s="173">
        <v>0</v>
      </c>
    </row>
    <row r="11" spans="1:13" x14ac:dyDescent="0.2">
      <c r="A11" s="171" t="s">
        <v>686</v>
      </c>
      <c r="B11" s="172" t="s">
        <v>687</v>
      </c>
      <c r="C11" s="173">
        <v>0.29399999999999998</v>
      </c>
      <c r="D11" s="173">
        <v>0.26500000000000001</v>
      </c>
      <c r="E11" s="173">
        <v>0.23499999999999999</v>
      </c>
      <c r="F11" s="173">
        <v>0.20599999999999999</v>
      </c>
      <c r="G11" s="173">
        <v>0.17599999999999999</v>
      </c>
      <c r="H11" s="173">
        <v>0.14699999999999999</v>
      </c>
      <c r="I11" s="173">
        <v>0.11799999999999999</v>
      </c>
      <c r="J11" s="173">
        <v>8.7999999999999995E-2</v>
      </c>
      <c r="K11" s="173">
        <v>5.8999999999999997E-2</v>
      </c>
      <c r="L11" s="173">
        <v>2.9000000000000001E-2</v>
      </c>
      <c r="M11" s="173">
        <v>0</v>
      </c>
    </row>
    <row r="12" spans="1:13" x14ac:dyDescent="0.2">
      <c r="A12" s="175"/>
      <c r="B12" s="169" t="s">
        <v>80</v>
      </c>
      <c r="C12" s="170">
        <v>0.02</v>
      </c>
      <c r="D12" s="170">
        <v>0.02</v>
      </c>
      <c r="E12" s="170">
        <v>0.02</v>
      </c>
      <c r="F12" s="170">
        <v>0.02</v>
      </c>
      <c r="G12" s="170">
        <v>0.02</v>
      </c>
      <c r="H12" s="170">
        <v>0.02</v>
      </c>
      <c r="I12" s="170">
        <v>0.02</v>
      </c>
      <c r="J12" s="170">
        <v>0.02</v>
      </c>
      <c r="K12" s="170">
        <v>0.02</v>
      </c>
      <c r="L12" s="170">
        <v>0.02</v>
      </c>
      <c r="M12" s="170">
        <v>0.02</v>
      </c>
    </row>
    <row r="13" spans="1:13" x14ac:dyDescent="0.2">
      <c r="C13" s="174">
        <f>SUM(C2:C12)</f>
        <v>1</v>
      </c>
      <c r="D13" s="174">
        <f t="shared" ref="D13:M13" si="0">SUM(D2:D12)</f>
        <v>1</v>
      </c>
      <c r="E13" s="174">
        <f t="shared" si="0"/>
        <v>1</v>
      </c>
      <c r="F13" s="174">
        <f t="shared" si="0"/>
        <v>1</v>
      </c>
      <c r="G13" s="174">
        <f t="shared" si="0"/>
        <v>0.99999999999999978</v>
      </c>
      <c r="H13" s="174">
        <f t="shared" si="0"/>
        <v>1</v>
      </c>
      <c r="I13" s="174">
        <f t="shared" si="0"/>
        <v>1.0000000000000002</v>
      </c>
      <c r="J13" s="174">
        <f t="shared" si="0"/>
        <v>1</v>
      </c>
      <c r="K13" s="174">
        <f t="shared" si="0"/>
        <v>1</v>
      </c>
      <c r="L13" s="174">
        <f t="shared" si="0"/>
        <v>1</v>
      </c>
      <c r="M13" s="174">
        <f t="shared" si="0"/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52AA6-869E-40D9-A4B0-44005D6B95C0}">
  <sheetPr codeName="Sheet13"/>
  <dimension ref="A1:MB36"/>
  <sheetViews>
    <sheetView topLeftCell="KJ1" zoomScale="80" zoomScaleNormal="80" workbookViewId="0">
      <selection activeCell="KV68" sqref="KV68"/>
    </sheetView>
  </sheetViews>
  <sheetFormatPr defaultRowHeight="14.25" x14ac:dyDescent="0.2"/>
  <cols>
    <col min="1" max="1" width="3.8984375" bestFit="1" customWidth="1"/>
    <col min="2" max="2" width="5.69921875" bestFit="1" customWidth="1"/>
    <col min="3" max="3" width="3.69921875" bestFit="1" customWidth="1"/>
    <col min="4" max="4" width="12.3984375" bestFit="1" customWidth="1"/>
    <col min="10" max="10" width="6.09765625" bestFit="1" customWidth="1"/>
    <col min="12" max="12" width="3.8984375" bestFit="1" customWidth="1"/>
    <col min="13" max="13" width="5.69921875" bestFit="1" customWidth="1"/>
    <col min="14" max="14" width="3.69921875" bestFit="1" customWidth="1"/>
    <col min="15" max="15" width="12.3984375" bestFit="1" customWidth="1"/>
    <col min="21" max="21" width="5.69921875" bestFit="1" customWidth="1"/>
    <col min="23" max="23" width="3.8984375" bestFit="1" customWidth="1"/>
    <col min="24" max="24" width="5.69921875" bestFit="1" customWidth="1"/>
    <col min="25" max="25" width="3.69921875" bestFit="1" customWidth="1"/>
    <col min="26" max="26" width="12.3984375" bestFit="1" customWidth="1"/>
    <col min="32" max="32" width="5.3984375" bestFit="1" customWidth="1"/>
    <col min="34" max="34" width="3.8984375" bestFit="1" customWidth="1"/>
    <col min="35" max="35" width="5.69921875" bestFit="1" customWidth="1"/>
    <col min="36" max="36" width="3.69921875" bestFit="1" customWidth="1"/>
    <col min="37" max="37" width="12.3984375" bestFit="1" customWidth="1"/>
    <col min="43" max="43" width="5.69921875" bestFit="1" customWidth="1"/>
    <col min="45" max="45" width="3.8984375" bestFit="1" customWidth="1"/>
    <col min="46" max="46" width="5.3984375" bestFit="1" customWidth="1"/>
    <col min="47" max="47" width="3.69921875" bestFit="1" customWidth="1"/>
    <col min="48" max="48" width="12.3984375" bestFit="1" customWidth="1"/>
    <col min="54" max="54" width="6.09765625" bestFit="1" customWidth="1"/>
    <col min="56" max="56" width="3.8984375" bestFit="1" customWidth="1"/>
    <col min="57" max="57" width="5.5" bestFit="1" customWidth="1"/>
    <col min="58" max="58" width="3.69921875" bestFit="1" customWidth="1"/>
    <col min="59" max="59" width="11.09765625" bestFit="1" customWidth="1"/>
    <col min="65" max="65" width="6.09765625" bestFit="1" customWidth="1"/>
    <col min="67" max="67" width="3.8984375" bestFit="1" customWidth="1"/>
    <col min="68" max="68" width="5.5" bestFit="1" customWidth="1"/>
    <col min="69" max="69" width="3.69921875" bestFit="1" customWidth="1"/>
    <col min="70" max="70" width="11.09765625" bestFit="1" customWidth="1"/>
    <col min="76" max="76" width="7.5" bestFit="1" customWidth="1"/>
    <col min="78" max="78" width="3.8984375" bestFit="1" customWidth="1"/>
    <col min="79" max="79" width="5.5" bestFit="1" customWidth="1"/>
    <col min="80" max="80" width="3.69921875" bestFit="1" customWidth="1"/>
    <col min="81" max="81" width="11.09765625" bestFit="1" customWidth="1"/>
    <col min="87" max="87" width="6.09765625" bestFit="1" customWidth="1"/>
    <col min="89" max="89" width="3.8984375" bestFit="1" customWidth="1"/>
    <col min="90" max="90" width="5.5" bestFit="1" customWidth="1"/>
    <col min="91" max="91" width="3.69921875" bestFit="1" customWidth="1"/>
    <col min="92" max="92" width="11.09765625" bestFit="1" customWidth="1"/>
    <col min="98" max="98" width="6.09765625" bestFit="1" customWidth="1"/>
    <col min="100" max="100" width="3.8984375" bestFit="1" customWidth="1"/>
    <col min="101" max="101" width="5.09765625" bestFit="1" customWidth="1"/>
    <col min="102" max="102" width="3.69921875" bestFit="1" customWidth="1"/>
    <col min="103" max="103" width="11.09765625" bestFit="1" customWidth="1"/>
    <col min="109" max="109" width="6.09765625" bestFit="1" customWidth="1"/>
    <col min="111" max="111" width="3.8984375" bestFit="1" customWidth="1"/>
    <col min="112" max="112" width="5.09765625" bestFit="1" customWidth="1"/>
    <col min="113" max="113" width="3.69921875" bestFit="1" customWidth="1"/>
    <col min="114" max="114" width="11.09765625" bestFit="1" customWidth="1"/>
    <col min="120" max="120" width="6.296875" bestFit="1" customWidth="1"/>
    <col min="122" max="122" width="3.8984375" bestFit="1" customWidth="1"/>
    <col min="123" max="123" width="5.19921875" bestFit="1" customWidth="1"/>
    <col min="124" max="124" width="3.69921875" bestFit="1" customWidth="1"/>
    <col min="125" max="125" width="11.09765625" bestFit="1" customWidth="1"/>
    <col min="131" max="131" width="6.09765625" bestFit="1" customWidth="1"/>
    <col min="133" max="133" width="3.8984375" bestFit="1" customWidth="1"/>
    <col min="134" max="134" width="5.19921875" bestFit="1" customWidth="1"/>
    <col min="135" max="135" width="3.69921875" bestFit="1" customWidth="1"/>
    <col min="136" max="136" width="11.09765625" bestFit="1" customWidth="1"/>
    <col min="142" max="142" width="6.09765625" bestFit="1" customWidth="1"/>
    <col min="144" max="144" width="3.8984375" bestFit="1" customWidth="1"/>
    <col min="145" max="145" width="5.19921875" bestFit="1" customWidth="1"/>
    <col min="146" max="146" width="3.69921875" bestFit="1" customWidth="1"/>
    <col min="147" max="147" width="11.09765625" bestFit="1" customWidth="1"/>
    <col min="153" max="153" width="7.59765625" bestFit="1" customWidth="1"/>
    <col min="155" max="155" width="3.8984375" bestFit="1" customWidth="1"/>
    <col min="156" max="156" width="5.19921875" bestFit="1" customWidth="1"/>
    <col min="157" max="157" width="3.69921875" bestFit="1" customWidth="1"/>
    <col min="158" max="158" width="11.09765625" bestFit="1" customWidth="1"/>
    <col min="164" max="164" width="6.09765625" bestFit="1" customWidth="1"/>
    <col min="166" max="166" width="3.8984375" bestFit="1" customWidth="1"/>
    <col min="167" max="167" width="8.69921875" bestFit="1" customWidth="1"/>
    <col min="168" max="168" width="3.69921875" bestFit="1" customWidth="1"/>
    <col min="169" max="169" width="12.3984375" bestFit="1" customWidth="1"/>
    <col min="175" max="175" width="6.19921875" bestFit="1" customWidth="1"/>
    <col min="177" max="177" width="3.8984375" bestFit="1" customWidth="1"/>
    <col min="178" max="178" width="5.09765625" bestFit="1" customWidth="1"/>
    <col min="179" max="179" width="3.69921875" bestFit="1" customWidth="1"/>
    <col min="180" max="180" width="12.3984375" bestFit="1" customWidth="1"/>
    <col min="186" max="186" width="6.09765625" bestFit="1" customWidth="1"/>
    <col min="188" max="188" width="3.8984375" bestFit="1" customWidth="1"/>
    <col min="189" max="189" width="5.19921875" bestFit="1" customWidth="1"/>
    <col min="190" max="190" width="3.69921875" bestFit="1" customWidth="1"/>
    <col min="191" max="191" width="11.09765625" bestFit="1" customWidth="1"/>
    <col min="197" max="197" width="6.09765625" bestFit="1" customWidth="1"/>
    <col min="199" max="199" width="3.8984375" bestFit="1" customWidth="1"/>
    <col min="200" max="200" width="5.19921875" bestFit="1" customWidth="1"/>
    <col min="201" max="201" width="3.69921875" bestFit="1" customWidth="1"/>
    <col min="202" max="202" width="11.09765625" bestFit="1" customWidth="1"/>
    <col min="208" max="208" width="6.09765625" bestFit="1" customWidth="1"/>
    <col min="210" max="210" width="3.8984375" bestFit="1" customWidth="1"/>
    <col min="211" max="211" width="7.69921875" bestFit="1" customWidth="1"/>
    <col min="212" max="212" width="3.69921875" bestFit="1" customWidth="1"/>
    <col min="213" max="213" width="12.3984375" bestFit="1" customWidth="1"/>
    <col min="219" max="219" width="6.19921875" bestFit="1" customWidth="1"/>
    <col min="221" max="221" width="3.8984375" bestFit="1" customWidth="1"/>
    <col min="222" max="222" width="7.69921875" bestFit="1" customWidth="1"/>
    <col min="223" max="223" width="3.69921875" bestFit="1" customWidth="1"/>
    <col min="224" max="224" width="12.3984375" bestFit="1" customWidth="1"/>
    <col min="230" max="230" width="5.796875" bestFit="1" customWidth="1"/>
    <col min="232" max="232" width="3.8984375" bestFit="1" customWidth="1"/>
    <col min="233" max="233" width="7.69921875" bestFit="1" customWidth="1"/>
    <col min="234" max="234" width="3.69921875" bestFit="1" customWidth="1"/>
    <col min="235" max="235" width="12.3984375" bestFit="1" customWidth="1"/>
    <col min="241" max="241" width="5.796875" bestFit="1" customWidth="1"/>
    <col min="243" max="243" width="3.8984375" bestFit="1" customWidth="1"/>
    <col min="244" max="244" width="7.69921875" bestFit="1" customWidth="1"/>
    <col min="245" max="245" width="3.69921875" bestFit="1" customWidth="1"/>
    <col min="246" max="246" width="12.3984375" bestFit="1" customWidth="1"/>
    <col min="252" max="252" width="5.796875" bestFit="1" customWidth="1"/>
    <col min="254" max="254" width="3.8984375" bestFit="1" customWidth="1"/>
    <col min="255" max="255" width="7.59765625" bestFit="1" customWidth="1"/>
    <col min="256" max="256" width="3.69921875" bestFit="1" customWidth="1"/>
    <col min="257" max="257" width="14.5" bestFit="1" customWidth="1"/>
    <col min="263" max="263" width="5.69921875" bestFit="1" customWidth="1"/>
    <col min="265" max="265" width="3.8984375" bestFit="1" customWidth="1"/>
    <col min="266" max="266" width="7.59765625" bestFit="1" customWidth="1"/>
    <col min="267" max="267" width="3.69921875" bestFit="1" customWidth="1"/>
    <col min="268" max="268" width="14.5" bestFit="1" customWidth="1"/>
    <col min="274" max="274" width="5.69921875" bestFit="1" customWidth="1"/>
    <col min="276" max="276" width="3.8984375" bestFit="1" customWidth="1"/>
    <col min="277" max="277" width="7.59765625" bestFit="1" customWidth="1"/>
    <col min="278" max="278" width="3.69921875" bestFit="1" customWidth="1"/>
    <col min="279" max="279" width="14.5" bestFit="1" customWidth="1"/>
    <col min="285" max="285" width="5.796875" bestFit="1" customWidth="1"/>
    <col min="287" max="287" width="3.8984375" bestFit="1" customWidth="1"/>
    <col min="288" max="288" width="7.59765625" bestFit="1" customWidth="1"/>
    <col min="289" max="289" width="3.69921875" bestFit="1" customWidth="1"/>
    <col min="290" max="290" width="14.5" bestFit="1" customWidth="1"/>
    <col min="296" max="296" width="5.8984375" bestFit="1" customWidth="1"/>
    <col min="298" max="298" width="3.8984375" bestFit="1" customWidth="1"/>
    <col min="299" max="299" width="8.19921875" bestFit="1" customWidth="1"/>
    <col min="300" max="300" width="3.69921875" bestFit="1" customWidth="1"/>
    <col min="301" max="301" width="9.69921875" bestFit="1" customWidth="1"/>
    <col min="307" max="307" width="6.09765625" bestFit="1" customWidth="1"/>
    <col min="309" max="309" width="3.8984375" bestFit="1" customWidth="1"/>
    <col min="310" max="310" width="8.19921875" bestFit="1" customWidth="1"/>
    <col min="311" max="311" width="3.69921875" bestFit="1" customWidth="1"/>
    <col min="312" max="312" width="9.69921875" bestFit="1" customWidth="1"/>
    <col min="318" max="318" width="6.09765625" bestFit="1" customWidth="1"/>
    <col min="320" max="320" width="3.8984375" bestFit="1" customWidth="1"/>
    <col min="321" max="321" width="8.19921875" bestFit="1" customWidth="1"/>
    <col min="322" max="322" width="3.69921875" bestFit="1" customWidth="1"/>
    <col min="323" max="323" width="9.69921875" bestFit="1" customWidth="1"/>
    <col min="329" max="329" width="6.09765625" bestFit="1" customWidth="1"/>
    <col min="331" max="331" width="3.8984375" bestFit="1" customWidth="1"/>
    <col min="332" max="332" width="8.19921875" bestFit="1" customWidth="1"/>
    <col min="333" max="333" width="3.69921875" bestFit="1" customWidth="1"/>
    <col min="334" max="334" width="9.69921875" bestFit="1" customWidth="1"/>
    <col min="340" max="340" width="6.09765625" bestFit="1" customWidth="1"/>
  </cols>
  <sheetData>
    <row r="1" spans="1:340" x14ac:dyDescent="0.2">
      <c r="A1" s="190" t="s">
        <v>557</v>
      </c>
      <c r="B1" s="190"/>
      <c r="C1" s="190"/>
      <c r="D1" s="190"/>
      <c r="E1" s="190"/>
      <c r="F1" s="190"/>
      <c r="G1" s="190"/>
      <c r="H1" s="190"/>
      <c r="I1" s="190"/>
      <c r="J1" s="190"/>
      <c r="L1" s="190" t="s">
        <v>558</v>
      </c>
      <c r="M1" s="190"/>
      <c r="N1" s="190"/>
      <c r="O1" s="190"/>
      <c r="P1" s="190"/>
      <c r="Q1" s="190"/>
      <c r="R1" s="190"/>
      <c r="S1" s="190"/>
      <c r="T1" s="190"/>
      <c r="U1" s="190"/>
      <c r="W1" s="190" t="s">
        <v>559</v>
      </c>
      <c r="X1" s="190"/>
      <c r="Y1" s="190"/>
      <c r="Z1" s="190"/>
      <c r="AA1" s="190"/>
      <c r="AB1" s="190"/>
      <c r="AC1" s="190"/>
      <c r="AD1" s="190"/>
      <c r="AE1" s="190"/>
      <c r="AF1" s="190"/>
      <c r="AH1" s="190" t="s">
        <v>560</v>
      </c>
      <c r="AI1" s="190"/>
      <c r="AJ1" s="190"/>
      <c r="AK1" s="190"/>
      <c r="AL1" s="190"/>
      <c r="AM1" s="190"/>
      <c r="AN1" s="190"/>
      <c r="AO1" s="190"/>
      <c r="AP1" s="190"/>
      <c r="AQ1" s="190"/>
      <c r="AS1" s="190" t="s">
        <v>561</v>
      </c>
      <c r="AT1" s="190"/>
      <c r="AU1" s="190"/>
      <c r="AV1" s="190"/>
      <c r="AW1" s="190"/>
      <c r="AX1" s="190"/>
      <c r="AY1" s="190"/>
      <c r="AZ1" s="190"/>
      <c r="BA1" s="190"/>
      <c r="BB1" s="190"/>
      <c r="BD1" s="190" t="s">
        <v>562</v>
      </c>
      <c r="BE1" s="190"/>
      <c r="BF1" s="190"/>
      <c r="BG1" s="190"/>
      <c r="BH1" s="190"/>
      <c r="BI1" s="190"/>
      <c r="BJ1" s="190"/>
      <c r="BK1" s="190"/>
      <c r="BL1" s="190"/>
      <c r="BM1" s="190"/>
      <c r="BO1" s="190" t="s">
        <v>563</v>
      </c>
      <c r="BP1" s="190"/>
      <c r="BQ1" s="190"/>
      <c r="BR1" s="190"/>
      <c r="BS1" s="190"/>
      <c r="BT1" s="190"/>
      <c r="BU1" s="190"/>
      <c r="BV1" s="190"/>
      <c r="BW1" s="190"/>
      <c r="BX1" s="190"/>
      <c r="BZ1" s="190" t="s">
        <v>564</v>
      </c>
      <c r="CA1" s="190"/>
      <c r="CB1" s="190"/>
      <c r="CC1" s="190"/>
      <c r="CD1" s="190"/>
      <c r="CE1" s="190"/>
      <c r="CF1" s="190"/>
      <c r="CG1" s="190"/>
      <c r="CH1" s="190"/>
      <c r="CI1" s="190"/>
      <c r="CK1" s="190" t="s">
        <v>565</v>
      </c>
      <c r="CL1" s="190"/>
      <c r="CM1" s="190"/>
      <c r="CN1" s="190"/>
      <c r="CO1" s="190"/>
      <c r="CP1" s="190"/>
      <c r="CQ1" s="190"/>
      <c r="CR1" s="190"/>
      <c r="CS1" s="190"/>
      <c r="CT1" s="190"/>
      <c r="CV1" s="190" t="s">
        <v>566</v>
      </c>
      <c r="CW1" s="190"/>
      <c r="CX1" s="190"/>
      <c r="CY1" s="190"/>
      <c r="CZ1" s="190"/>
      <c r="DA1" s="190"/>
      <c r="DB1" s="190"/>
      <c r="DC1" s="190"/>
      <c r="DD1" s="190"/>
      <c r="DE1" s="190"/>
      <c r="DG1" s="190" t="s">
        <v>567</v>
      </c>
      <c r="DH1" s="190"/>
      <c r="DI1" s="190"/>
      <c r="DJ1" s="190"/>
      <c r="DK1" s="190"/>
      <c r="DL1" s="190"/>
      <c r="DM1" s="190"/>
      <c r="DN1" s="190"/>
      <c r="DO1" s="190"/>
      <c r="DP1" s="190"/>
      <c r="DR1" s="190" t="s">
        <v>568</v>
      </c>
      <c r="DS1" s="190"/>
      <c r="DT1" s="190"/>
      <c r="DU1" s="190"/>
      <c r="DV1" s="190"/>
      <c r="DW1" s="190"/>
      <c r="DX1" s="190"/>
      <c r="DY1" s="190"/>
      <c r="DZ1" s="190"/>
      <c r="EA1" s="190"/>
      <c r="EC1" s="190" t="s">
        <v>569</v>
      </c>
      <c r="ED1" s="190"/>
      <c r="EE1" s="190"/>
      <c r="EF1" s="190"/>
      <c r="EG1" s="190"/>
      <c r="EH1" s="190"/>
      <c r="EI1" s="190"/>
      <c r="EJ1" s="190"/>
      <c r="EK1" s="190"/>
      <c r="EL1" s="190"/>
      <c r="EN1" s="190" t="s">
        <v>570</v>
      </c>
      <c r="EO1" s="190"/>
      <c r="EP1" s="190"/>
      <c r="EQ1" s="190"/>
      <c r="ER1" s="190"/>
      <c r="ES1" s="190"/>
      <c r="ET1" s="190"/>
      <c r="EU1" s="190"/>
      <c r="EV1" s="190"/>
      <c r="EW1" s="190"/>
      <c r="EY1" s="190" t="s">
        <v>571</v>
      </c>
      <c r="EZ1" s="190"/>
      <c r="FA1" s="190"/>
      <c r="FB1" s="190"/>
      <c r="FC1" s="190"/>
      <c r="FD1" s="190"/>
      <c r="FE1" s="190"/>
      <c r="FF1" s="190"/>
      <c r="FG1" s="190"/>
      <c r="FH1" s="190"/>
      <c r="FJ1" s="190" t="s">
        <v>489</v>
      </c>
      <c r="FK1" s="190"/>
      <c r="FL1" s="190"/>
      <c r="FM1" s="190"/>
      <c r="FN1" s="190"/>
      <c r="FO1" s="190"/>
      <c r="FP1" s="190"/>
      <c r="FQ1" s="190"/>
      <c r="FR1" s="190"/>
      <c r="FS1" s="190"/>
      <c r="FU1" s="190" t="s">
        <v>572</v>
      </c>
      <c r="FV1" s="190"/>
      <c r="FW1" s="190"/>
      <c r="FX1" s="190"/>
      <c r="FY1" s="190"/>
      <c r="FZ1" s="190"/>
      <c r="GA1" s="190"/>
      <c r="GB1" s="190"/>
      <c r="GC1" s="190"/>
      <c r="GD1" s="190"/>
      <c r="GF1" s="190" t="s">
        <v>573</v>
      </c>
      <c r="GG1" s="190"/>
      <c r="GH1" s="190"/>
      <c r="GI1" s="190"/>
      <c r="GJ1" s="190"/>
      <c r="GK1" s="190"/>
      <c r="GL1" s="190"/>
      <c r="GM1" s="190"/>
      <c r="GN1" s="190"/>
      <c r="GO1" s="190"/>
      <c r="GQ1" s="190" t="s">
        <v>574</v>
      </c>
      <c r="GR1" s="190"/>
      <c r="GS1" s="190"/>
      <c r="GT1" s="190"/>
      <c r="GU1" s="190"/>
      <c r="GV1" s="190"/>
      <c r="GW1" s="190"/>
      <c r="GX1" s="190"/>
      <c r="GY1" s="190"/>
      <c r="GZ1" s="190"/>
      <c r="HB1" s="190" t="s">
        <v>633</v>
      </c>
      <c r="HC1" s="190"/>
      <c r="HD1" s="190"/>
      <c r="HE1" s="190"/>
      <c r="HF1" s="190"/>
      <c r="HG1" s="190"/>
      <c r="HH1" s="190"/>
      <c r="HI1" s="190"/>
      <c r="HJ1" s="190"/>
      <c r="HK1" s="190"/>
      <c r="HM1" s="190" t="s">
        <v>634</v>
      </c>
      <c r="HN1" s="190"/>
      <c r="HO1" s="190"/>
      <c r="HP1" s="190"/>
      <c r="HQ1" s="190"/>
      <c r="HR1" s="190"/>
      <c r="HS1" s="190"/>
      <c r="HT1" s="190"/>
      <c r="HU1" s="190"/>
      <c r="HV1" s="190"/>
      <c r="HX1" s="190" t="s">
        <v>635</v>
      </c>
      <c r="HY1" s="190"/>
      <c r="HZ1" s="190"/>
      <c r="IA1" s="190"/>
      <c r="IB1" s="190"/>
      <c r="IC1" s="190"/>
      <c r="ID1" s="190"/>
      <c r="IE1" s="190"/>
      <c r="IF1" s="190"/>
      <c r="IG1" s="190"/>
      <c r="II1" s="190" t="s">
        <v>636</v>
      </c>
      <c r="IJ1" s="190"/>
      <c r="IK1" s="190"/>
      <c r="IL1" s="190"/>
      <c r="IM1" s="190"/>
      <c r="IN1" s="190"/>
      <c r="IO1" s="190"/>
      <c r="IP1" s="190"/>
      <c r="IQ1" s="190"/>
      <c r="IR1" s="190"/>
      <c r="IT1" s="190" t="s">
        <v>637</v>
      </c>
      <c r="IU1" s="190"/>
      <c r="IV1" s="190"/>
      <c r="IW1" s="190"/>
      <c r="IX1" s="190"/>
      <c r="IY1" s="190"/>
      <c r="IZ1" s="190"/>
      <c r="JA1" s="190"/>
      <c r="JB1" s="190"/>
      <c r="JC1" s="190"/>
      <c r="JE1" s="190" t="s">
        <v>638</v>
      </c>
      <c r="JF1" s="190"/>
      <c r="JG1" s="190"/>
      <c r="JH1" s="190"/>
      <c r="JI1" s="190"/>
      <c r="JJ1" s="190"/>
      <c r="JK1" s="190"/>
      <c r="JL1" s="190"/>
      <c r="JM1" s="190"/>
      <c r="JN1" s="190"/>
      <c r="JP1" s="190" t="s">
        <v>639</v>
      </c>
      <c r="JQ1" s="190"/>
      <c r="JR1" s="190"/>
      <c r="JS1" s="190"/>
      <c r="JT1" s="190"/>
      <c r="JU1" s="190"/>
      <c r="JV1" s="190"/>
      <c r="JW1" s="190"/>
      <c r="JX1" s="190"/>
      <c r="JY1" s="190"/>
      <c r="KA1" s="190" t="s">
        <v>640</v>
      </c>
      <c r="KB1" s="190"/>
      <c r="KC1" s="190"/>
      <c r="KD1" s="190"/>
      <c r="KE1" s="190"/>
      <c r="KF1" s="190"/>
      <c r="KG1" s="190"/>
      <c r="KH1" s="190"/>
      <c r="KI1" s="190"/>
      <c r="KJ1" s="190"/>
      <c r="KL1" s="190" t="s">
        <v>641</v>
      </c>
      <c r="KM1" s="190"/>
      <c r="KN1" s="190"/>
      <c r="KO1" s="190"/>
      <c r="KP1" s="190"/>
      <c r="KQ1" s="190"/>
      <c r="KR1" s="190"/>
      <c r="KS1" s="190"/>
      <c r="KT1" s="190"/>
      <c r="KU1" s="190"/>
      <c r="KW1" s="190" t="s">
        <v>642</v>
      </c>
      <c r="KX1" s="190"/>
      <c r="KY1" s="190"/>
      <c r="KZ1" s="190"/>
      <c r="LA1" s="190"/>
      <c r="LB1" s="190"/>
      <c r="LC1" s="190"/>
      <c r="LD1" s="190"/>
      <c r="LE1" s="190"/>
      <c r="LF1" s="190"/>
      <c r="LH1" s="190" t="s">
        <v>643</v>
      </c>
      <c r="LI1" s="190"/>
      <c r="LJ1" s="190"/>
      <c r="LK1" s="190"/>
      <c r="LL1" s="190"/>
      <c r="LM1" s="190"/>
      <c r="LN1" s="190"/>
      <c r="LO1" s="190"/>
      <c r="LP1" s="190"/>
      <c r="LQ1" s="190"/>
      <c r="LS1" s="190" t="s">
        <v>644</v>
      </c>
      <c r="LT1" s="190"/>
      <c r="LU1" s="190"/>
      <c r="LV1" s="190"/>
      <c r="LW1" s="190"/>
      <c r="LX1" s="190"/>
      <c r="LY1" s="190"/>
      <c r="LZ1" s="190"/>
      <c r="MA1" s="190"/>
      <c r="MB1" s="190"/>
    </row>
    <row r="2" spans="1:340" x14ac:dyDescent="0.2">
      <c r="A2" t="s">
        <v>84</v>
      </c>
      <c r="B2" t="str">
        <f>'USD VO'!E4</f>
        <v>XD9U</v>
      </c>
      <c r="C2" t="str">
        <f>'USD VO'!G4</f>
        <v>STK</v>
      </c>
      <c r="D2" t="str">
        <f>'USD VO'!F4</f>
        <v>SMART/LSEETF</v>
      </c>
      <c r="J2" s="38">
        <f>'USD VO'!R4*100</f>
        <v>24.699423746475194</v>
      </c>
      <c r="L2" t="s">
        <v>84</v>
      </c>
      <c r="M2" t="str">
        <f>'USD VO'!E4</f>
        <v>XD9U</v>
      </c>
      <c r="N2" t="str">
        <f>'USD VO'!G4</f>
        <v>STK</v>
      </c>
      <c r="O2" t="str">
        <f>'USD VO'!F4</f>
        <v>SMART/LSEETF</v>
      </c>
      <c r="U2" s="38">
        <f>'USD VO'!T4*100</f>
        <v>17.873017915279409</v>
      </c>
      <c r="W2" t="s">
        <v>84</v>
      </c>
      <c r="X2" t="str">
        <f>'USD VO'!E4</f>
        <v>XD9U</v>
      </c>
      <c r="Y2" t="str">
        <f>'USD VO'!G4</f>
        <v>STK</v>
      </c>
      <c r="Z2" t="str">
        <f>'USD VO'!F4</f>
        <v>SMART/LSEETF</v>
      </c>
      <c r="AF2" s="38">
        <f>'USD VO'!V4*100</f>
        <v>11.851669618533514</v>
      </c>
      <c r="AH2" t="s">
        <v>84</v>
      </c>
      <c r="AI2" t="str">
        <f>'USD VO'!E4</f>
        <v>XD9U</v>
      </c>
      <c r="AJ2" t="str">
        <f>'USD VO'!G4</f>
        <v>STK</v>
      </c>
      <c r="AK2" t="str">
        <f>'USD VO'!F4</f>
        <v>SMART/LSEETF</v>
      </c>
      <c r="AQ2" s="38">
        <f>'USD VO'!X4*100</f>
        <v>8.2711233435375071</v>
      </c>
      <c r="AS2" t="s">
        <v>84</v>
      </c>
      <c r="AT2" t="str">
        <f>'USD VO'!E14</f>
        <v>ASIG</v>
      </c>
      <c r="AU2" t="str">
        <f>'USD VO'!G14</f>
        <v>STK</v>
      </c>
      <c r="AV2" t="str">
        <f>'USD VO'!F14</f>
        <v>SMART/AEB</v>
      </c>
      <c r="BB2" s="38">
        <f>'USD VO'!Z14*100</f>
        <v>10.893227396047509</v>
      </c>
      <c r="BD2" t="s">
        <v>84</v>
      </c>
      <c r="BE2" t="str">
        <f>'USD VO'!E44</f>
        <v>ESGV</v>
      </c>
      <c r="BF2" t="str">
        <f>'USD VO'!G44</f>
        <v>STK</v>
      </c>
      <c r="BG2" t="str">
        <f>'USD VO'!F44</f>
        <v>SMART/AMEX</v>
      </c>
      <c r="BM2" s="38">
        <f>'USD VO'!R44*100</f>
        <v>22.141135232131077</v>
      </c>
      <c r="BO2" t="s">
        <v>84</v>
      </c>
      <c r="BP2" t="str">
        <f>'USD VO'!E44</f>
        <v>ESGV</v>
      </c>
      <c r="BQ2" t="str">
        <f>'USD VO'!G44</f>
        <v>STK</v>
      </c>
      <c r="BR2" t="str">
        <f>'USD VO'!F44</f>
        <v>SMART/AMEX</v>
      </c>
      <c r="BX2" s="38">
        <f>'USD VO'!T44*100</f>
        <v>16.011472625123542</v>
      </c>
      <c r="BZ2" t="s">
        <v>84</v>
      </c>
      <c r="CA2" t="str">
        <f>'USD VO'!E44</f>
        <v>ESGV</v>
      </c>
      <c r="CB2" t="str">
        <f>'USD VO'!G44</f>
        <v>STK</v>
      </c>
      <c r="CC2" t="str">
        <f>'USD VO'!F44</f>
        <v>SMART/AMEX</v>
      </c>
      <c r="CI2" s="38">
        <f>'USD VO'!V44*100</f>
        <v>10.622655289397969</v>
      </c>
      <c r="CK2" t="s">
        <v>84</v>
      </c>
      <c r="CL2" t="str">
        <f>'USD VO'!E44</f>
        <v>ESGV</v>
      </c>
      <c r="CM2" t="str">
        <f>'USD VO'!G44</f>
        <v>STK</v>
      </c>
      <c r="CN2" t="str">
        <f>'USD VO'!F44</f>
        <v>SMART/AMEX</v>
      </c>
      <c r="CT2" s="38">
        <f>'USD VO'!X44*100</f>
        <v>7.4119768024032346</v>
      </c>
      <c r="CV2" t="s">
        <v>84</v>
      </c>
      <c r="CW2" t="str">
        <f>'USD VO'!E56</f>
        <v>TLT</v>
      </c>
      <c r="CX2" t="str">
        <f>'USD VO'!G56</f>
        <v>STK</v>
      </c>
      <c r="CY2" t="str">
        <f>'USD VO'!F56</f>
        <v>SMART/AMEX</v>
      </c>
      <c r="DE2" s="38">
        <f>'USD VO'!Z56*100</f>
        <v>4.8431851728520448</v>
      </c>
      <c r="DG2" t="s">
        <v>84</v>
      </c>
      <c r="DH2" t="str">
        <f>'USD VO'!E85</f>
        <v>AVUS</v>
      </c>
      <c r="DI2" t="str">
        <f>'USD VO'!G85</f>
        <v>STK</v>
      </c>
      <c r="DJ2" t="str">
        <f>'USD VO'!F85</f>
        <v>SMART/AMEX</v>
      </c>
      <c r="DP2" s="38">
        <f>'USD VO'!R85*100</f>
        <v>18.763028922167614</v>
      </c>
      <c r="DR2" t="s">
        <v>84</v>
      </c>
      <c r="DS2" t="str">
        <f>'USD VO'!E85</f>
        <v>AVUS</v>
      </c>
      <c r="DT2" t="str">
        <f>'USD VO'!G85</f>
        <v>STK</v>
      </c>
      <c r="DU2" t="str">
        <f>'USD VO'!F85</f>
        <v>SMART/AMEX</v>
      </c>
      <c r="EA2" s="38">
        <f>'USD VO'!T85*100</f>
        <v>13.58589771560483</v>
      </c>
      <c r="EC2" t="s">
        <v>84</v>
      </c>
      <c r="ED2" t="str">
        <f>'USD VO'!E85</f>
        <v>AVUS</v>
      </c>
      <c r="EE2" t="str">
        <f>'USD VO'!G85</f>
        <v>STK</v>
      </c>
      <c r="EF2" t="str">
        <f>'USD VO'!F85</f>
        <v>SMART/AMEX</v>
      </c>
      <c r="EL2" s="38">
        <f>'USD VO'!V85*100</f>
        <v>9.0086153574803198</v>
      </c>
      <c r="EN2" t="s">
        <v>84</v>
      </c>
      <c r="EO2" t="str">
        <f>'USD VO'!E85</f>
        <v>AVUS</v>
      </c>
      <c r="EP2" t="str">
        <f>'USD VO'!G85</f>
        <v>STK</v>
      </c>
      <c r="EQ2" t="str">
        <f>'USD VO'!F85</f>
        <v>SMART/AMEX</v>
      </c>
      <c r="EW2" s="38">
        <f>'USD VO'!X85*100</f>
        <v>6.2885155234290808</v>
      </c>
      <c r="EY2" t="s">
        <v>84</v>
      </c>
      <c r="EZ2" t="str">
        <f>'USD VO'!E96</f>
        <v>LQD</v>
      </c>
      <c r="FA2" t="str">
        <f>'USD VO'!G96</f>
        <v>STK</v>
      </c>
      <c r="FB2" t="str">
        <f>'USD VO'!F96</f>
        <v>SMART/AMEX</v>
      </c>
      <c r="FH2" s="38">
        <f>'USD VO'!Z96*100</f>
        <v>22.851120320919282</v>
      </c>
      <c r="FJ2" t="s">
        <v>84</v>
      </c>
      <c r="FK2" t="str">
        <f>'USD VO'!E125</f>
        <v>AIGE</v>
      </c>
      <c r="FL2" t="str">
        <f>'USD VO'!G125</f>
        <v>STK</v>
      </c>
      <c r="FM2" t="str">
        <f>'USD VO'!F125</f>
        <v>SMART/LSE</v>
      </c>
      <c r="FS2" s="38">
        <f>'USD VO'!R125*100</f>
        <v>4.1689781540976707</v>
      </c>
      <c r="FU2" t="s">
        <v>84</v>
      </c>
      <c r="FV2" t="str">
        <f>'USD VO'!E167</f>
        <v>AIGE</v>
      </c>
      <c r="FW2" t="str">
        <f>'USD VO'!G167</f>
        <v>STK</v>
      </c>
      <c r="FX2" t="str">
        <f>'USD VO'!F167</f>
        <v>SMART/LSE</v>
      </c>
      <c r="GD2" s="38">
        <f>'USD VO'!R167*100</f>
        <v>4.6174414181076262</v>
      </c>
      <c r="GF2" t="s">
        <v>84</v>
      </c>
      <c r="GG2" t="str">
        <f>'USD VO'!E146</f>
        <v>PALL</v>
      </c>
      <c r="GH2" t="str">
        <f>'USD VO'!G146</f>
        <v>STK</v>
      </c>
      <c r="GI2" t="str">
        <f>'USD VO'!F146</f>
        <v>SMART/AMEX</v>
      </c>
      <c r="GO2" s="38">
        <f>'USD VO'!R146*100</f>
        <v>4.0611564394912554</v>
      </c>
      <c r="GQ2" t="s">
        <v>84</v>
      </c>
      <c r="GR2" t="str">
        <f>'USD VO'!E186</f>
        <v>PALL</v>
      </c>
      <c r="GS2" t="str">
        <f>'USD VO'!G186</f>
        <v>STK</v>
      </c>
      <c r="GT2" t="str">
        <f>'USD VO'!F186</f>
        <v>SMART/AMEX</v>
      </c>
      <c r="GZ2" s="38">
        <f>'USD VO'!R186*100</f>
        <v>4.4581018075775649</v>
      </c>
      <c r="HB2" t="s">
        <v>84</v>
      </c>
      <c r="HC2" t="str">
        <f>'GBP VO'!E4</f>
        <v>SPPG</v>
      </c>
      <c r="HD2" t="str">
        <f>'GBP VO'!G4</f>
        <v>STK</v>
      </c>
      <c r="HE2" t="str">
        <f>'GBP VO'!F4</f>
        <v>SMART/LSEETF</v>
      </c>
      <c r="HK2" s="38">
        <f>'GBP VO'!R4*100</f>
        <v>25.692142588775909</v>
      </c>
      <c r="HM2" t="s">
        <v>84</v>
      </c>
      <c r="HN2" t="str">
        <f>'GBP VO'!E4</f>
        <v>SPPG</v>
      </c>
      <c r="HO2" t="str">
        <f>'GBP VO'!G4</f>
        <v>STK</v>
      </c>
      <c r="HP2" t="str">
        <f>'GBP VO'!F4</f>
        <v>SMART/LSEETF</v>
      </c>
      <c r="HV2" s="38">
        <f>'GBP VO'!T4*100</f>
        <v>17.64331625036634</v>
      </c>
      <c r="HX2" t="s">
        <v>84</v>
      </c>
      <c r="HY2" t="str">
        <f>'GBP VO'!E4</f>
        <v>SPPG</v>
      </c>
      <c r="HZ2" t="str">
        <f>'GBP VO'!G4</f>
        <v>STK</v>
      </c>
      <c r="IA2" t="str">
        <f>'GBP VO'!F4</f>
        <v>SMART/LSEETF</v>
      </c>
      <c r="IG2" s="38">
        <f>'GBP VO'!V4*100</f>
        <v>11.701834641895321</v>
      </c>
      <c r="II2" t="s">
        <v>84</v>
      </c>
      <c r="IJ2" t="str">
        <f>'GBP VO'!E4</f>
        <v>SPPG</v>
      </c>
      <c r="IK2" t="str">
        <f>'GBP VO'!G4</f>
        <v>STK</v>
      </c>
      <c r="IL2" t="str">
        <f>'GBP VO'!F4</f>
        <v>SMART/LSEETF</v>
      </c>
      <c r="IR2" s="38">
        <f>'GBP VO'!X4*100</f>
        <v>8.1691997467115236</v>
      </c>
      <c r="IT2" t="s">
        <v>84</v>
      </c>
      <c r="IU2" t="str">
        <f>'EUR VO'!E4</f>
        <v>XD9E</v>
      </c>
      <c r="IV2" t="str">
        <f>'EUR VO'!G4</f>
        <v>STK</v>
      </c>
      <c r="IW2">
        <f>'EUR VO'!F4</f>
        <v>0</v>
      </c>
      <c r="JC2" s="38">
        <f>'EUR VO'!R4*100</f>
        <v>24.367749250014747</v>
      </c>
      <c r="JE2" t="s">
        <v>84</v>
      </c>
      <c r="JF2" t="str">
        <f>'EUR VO'!E4</f>
        <v>XD9E</v>
      </c>
      <c r="JG2" t="str">
        <f>'EUR VO'!G4</f>
        <v>STK</v>
      </c>
      <c r="JH2">
        <f>'EUR VO'!F4</f>
        <v>0</v>
      </c>
      <c r="JN2" s="38">
        <f>'EUR VO'!T4*100</f>
        <v>17.637332591668848</v>
      </c>
      <c r="JP2" t="s">
        <v>84</v>
      </c>
      <c r="JQ2" t="str">
        <f>'EUR VO'!E4</f>
        <v>XD9E</v>
      </c>
      <c r="JR2" t="str">
        <f>'EUR VO'!G4</f>
        <v>STK</v>
      </c>
      <c r="JS2">
        <f>'EUR VO'!F4</f>
        <v>0</v>
      </c>
      <c r="JY2" s="38">
        <f>'EUR VO'!V4*100</f>
        <v>11.717198703914443</v>
      </c>
      <c r="KA2" t="s">
        <v>84</v>
      </c>
      <c r="KB2" t="str">
        <f>'EUR VO'!E4</f>
        <v>XD9E</v>
      </c>
      <c r="KC2" t="str">
        <f>'EUR VO'!G4</f>
        <v>STK</v>
      </c>
      <c r="KD2">
        <f>'EUR VO'!F4</f>
        <v>0</v>
      </c>
      <c r="KJ2" s="38">
        <f>'EUR VO'!X4*100</f>
        <v>8.1846305351216113</v>
      </c>
      <c r="KL2" t="s">
        <v>84</v>
      </c>
      <c r="KM2" t="str">
        <f>'AUD VO'!E4</f>
        <v>VGAD</v>
      </c>
      <c r="KN2" t="str">
        <f>'AUD VO'!G4</f>
        <v>STK</v>
      </c>
      <c r="KO2" t="str">
        <f>'AUD VO'!F4</f>
        <v>SMART/ASX</v>
      </c>
      <c r="KU2" s="38">
        <f>'AUD VO'!R4*100</f>
        <v>35.45284187422925</v>
      </c>
      <c r="KW2" t="s">
        <v>84</v>
      </c>
      <c r="KX2" t="str">
        <f>'AUD VO'!E4</f>
        <v>VGAD</v>
      </c>
      <c r="KY2" t="str">
        <f>'AUD VO'!G4</f>
        <v>STK</v>
      </c>
      <c r="KZ2" t="str">
        <f>'AUD VO'!F4</f>
        <v>SMART/ASX</v>
      </c>
      <c r="LF2" s="38">
        <f>'AUD VO'!T4*100</f>
        <v>25.652611481652855</v>
      </c>
      <c r="LH2" t="s">
        <v>84</v>
      </c>
      <c r="LI2" t="str">
        <f>'AUD VO'!E4</f>
        <v>VGAD</v>
      </c>
      <c r="LJ2" t="str">
        <f>'AUD VO'!G4</f>
        <v>STK</v>
      </c>
      <c r="LK2" t="str">
        <f>'AUD VO'!F4</f>
        <v>SMART/ASX</v>
      </c>
      <c r="LQ2" s="38">
        <f>'AUD VO'!V4*100</f>
        <v>17.099828602606749</v>
      </c>
      <c r="LS2" t="s">
        <v>84</v>
      </c>
      <c r="LT2" t="str">
        <f>'AUD VO'!E4</f>
        <v>VGAD</v>
      </c>
      <c r="LU2" t="str">
        <f>'AUD VO'!G4</f>
        <v>STK</v>
      </c>
      <c r="LV2" t="str">
        <f>'AUD VO'!F4</f>
        <v>SMART/ASX</v>
      </c>
      <c r="MB2" s="38">
        <f>'AUD VO'!X4*100</f>
        <v>11.957717726486276</v>
      </c>
    </row>
    <row r="3" spans="1:340" x14ac:dyDescent="0.2">
      <c r="A3" t="s">
        <v>84</v>
      </c>
      <c r="B3" t="str">
        <f>'USD VO'!E5</f>
        <v>IQGA</v>
      </c>
      <c r="C3" t="str">
        <f>'USD VO'!G5</f>
        <v>STK</v>
      </c>
      <c r="D3" t="str">
        <f>'USD VO'!F5</f>
        <v>SMART/LSEETF</v>
      </c>
      <c r="J3" s="38">
        <f>'USD VO'!R5*100</f>
        <v>17.661484761444331</v>
      </c>
      <c r="L3" t="s">
        <v>84</v>
      </c>
      <c r="M3" t="str">
        <f>'USD VO'!E5</f>
        <v>IQGA</v>
      </c>
      <c r="N3" t="str">
        <f>'USD VO'!G5</f>
        <v>STK</v>
      </c>
      <c r="O3" t="str">
        <f>'USD VO'!F5</f>
        <v>SMART/LSEETF</v>
      </c>
      <c r="U3" s="38">
        <f>'USD VO'!T5*100</f>
        <v>12.778027781092973</v>
      </c>
      <c r="W3" t="s">
        <v>84</v>
      </c>
      <c r="X3" t="str">
        <f>'USD VO'!E5</f>
        <v>IQGA</v>
      </c>
      <c r="Y3" t="str">
        <f>'USD VO'!G5</f>
        <v>STK</v>
      </c>
      <c r="Z3" t="str">
        <f>'USD VO'!F5</f>
        <v>SMART/LSEETF</v>
      </c>
      <c r="AF3" s="38">
        <f>'USD VO'!V5*100</f>
        <v>8.4722527292574838</v>
      </c>
      <c r="AH3" t="s">
        <v>84</v>
      </c>
      <c r="AI3" t="str">
        <f>'USD VO'!E5</f>
        <v>IQGA</v>
      </c>
      <c r="AJ3" t="str">
        <f>'USD VO'!G5</f>
        <v>STK</v>
      </c>
      <c r="AK3" t="str">
        <f>'USD VO'!F5</f>
        <v>SMART/LSEETF</v>
      </c>
      <c r="AQ3" s="38">
        <f>'USD VO'!X5*100</f>
        <v>5.911605533395619</v>
      </c>
      <c r="AS3" t="s">
        <v>84</v>
      </c>
      <c r="AT3" t="str">
        <f>'USD VO'!E15</f>
        <v>CORP</v>
      </c>
      <c r="AU3" t="str">
        <f>'USD VO'!G15</f>
        <v>STK</v>
      </c>
      <c r="AV3" t="str">
        <f>'USD VO'!F15</f>
        <v>SMART/LSEETF</v>
      </c>
      <c r="BB3" s="38">
        <f>'USD VO'!Z15*100</f>
        <v>17.321543721872597</v>
      </c>
      <c r="BD3" t="s">
        <v>84</v>
      </c>
      <c r="BE3" t="str">
        <f>'USD VO'!E45</f>
        <v>VSGX</v>
      </c>
      <c r="BF3" t="str">
        <f>'USD VO'!G45</f>
        <v>STK</v>
      </c>
      <c r="BG3" t="str">
        <f>'USD VO'!F45</f>
        <v>SMART/AMEX</v>
      </c>
      <c r="BM3" s="38">
        <f>'USD VO'!R45*100</f>
        <v>18.363237810110711</v>
      </c>
      <c r="BO3" t="s">
        <v>84</v>
      </c>
      <c r="BP3" t="str">
        <f>'USD VO'!E45</f>
        <v>VSGX</v>
      </c>
      <c r="BQ3" t="str">
        <f>'USD VO'!G45</f>
        <v>STK</v>
      </c>
      <c r="BR3" t="str">
        <f>'USD VO'!F45</f>
        <v>SMART/AMEX</v>
      </c>
      <c r="BX3" s="38">
        <f>'USD VO'!T45*100</f>
        <v>13.289423334714574</v>
      </c>
      <c r="BZ3" t="s">
        <v>84</v>
      </c>
      <c r="CA3" t="str">
        <f>'USD VO'!E45</f>
        <v>VSGX</v>
      </c>
      <c r="CB3" t="str">
        <f>'USD VO'!G45</f>
        <v>STK</v>
      </c>
      <c r="CC3" t="str">
        <f>'USD VO'!F45</f>
        <v>SMART/AMEX</v>
      </c>
      <c r="CI3" s="38">
        <f>'USD VO'!V45*100</f>
        <v>8.8105292760811444</v>
      </c>
      <c r="CK3" t="s">
        <v>84</v>
      </c>
      <c r="CL3" t="str">
        <f>'USD VO'!E45</f>
        <v>VSGX</v>
      </c>
      <c r="CM3" t="str">
        <f>'USD VO'!G45</f>
        <v>STK</v>
      </c>
      <c r="CN3" t="str">
        <f>'USD VO'!F45</f>
        <v>SMART/AMEX</v>
      </c>
      <c r="CT3" s="38">
        <f>'USD VO'!X45*100</f>
        <v>6.1457059139908701</v>
      </c>
      <c r="CV3" t="s">
        <v>84</v>
      </c>
      <c r="CW3" t="str">
        <f>'USD VO'!E57</f>
        <v>LQD</v>
      </c>
      <c r="CX3" t="str">
        <f>'USD VO'!G57</f>
        <v>STK</v>
      </c>
      <c r="CY3" t="str">
        <f>'USD VO'!F57</f>
        <v>SMART/AMEX</v>
      </c>
      <c r="DE3" s="38">
        <f>'USD VO'!Z57*100</f>
        <v>19.092371105207363</v>
      </c>
      <c r="DG3" t="s">
        <v>84</v>
      </c>
      <c r="DH3" t="str">
        <f>'USD VO'!E87</f>
        <v>GSLC</v>
      </c>
      <c r="DI3" t="str">
        <f>'USD VO'!G87</f>
        <v>STK</v>
      </c>
      <c r="DJ3" t="str">
        <f>'USD VO'!F87</f>
        <v>SMART/AMEX</v>
      </c>
      <c r="DP3" s="38">
        <f>'USD VO'!R87*100</f>
        <v>20.042634528285546</v>
      </c>
      <c r="DR3" t="s">
        <v>84</v>
      </c>
      <c r="DS3" t="str">
        <f>'USD VO'!E86</f>
        <v>GCC</v>
      </c>
      <c r="DT3" t="str">
        <f>'USD VO'!G86</f>
        <v>STK</v>
      </c>
      <c r="DU3" t="str">
        <f>'USD VO'!F86</f>
        <v>SMART/AMEX</v>
      </c>
      <c r="EA3" s="38">
        <f>'USD VO'!T86*100</f>
        <v>2.8138512477126567</v>
      </c>
      <c r="EC3" t="s">
        <v>84</v>
      </c>
      <c r="ED3" t="str">
        <f>'USD VO'!E86</f>
        <v>GCC</v>
      </c>
      <c r="EE3" t="str">
        <f>'USD VO'!G86</f>
        <v>STK</v>
      </c>
      <c r="EF3" t="str">
        <f>'USD VO'!F86</f>
        <v>SMART/AMEX</v>
      </c>
      <c r="EL3" s="38">
        <f>'USD VO'!V86*100</f>
        <v>2.7987370537936767</v>
      </c>
      <c r="EN3" t="s">
        <v>84</v>
      </c>
      <c r="EO3" t="str">
        <f>'USD VO'!E86</f>
        <v>GCC</v>
      </c>
      <c r="EP3" t="str">
        <f>'USD VO'!G86</f>
        <v>STK</v>
      </c>
      <c r="EQ3" t="str">
        <f>'USD VO'!F86</f>
        <v>SMART/AMEX</v>
      </c>
      <c r="EW3" s="38">
        <f>'USD VO'!X86*100</f>
        <v>2.7918066525248242</v>
      </c>
      <c r="EY3" t="s">
        <v>84</v>
      </c>
      <c r="EZ3" t="str">
        <f>'USD VO'!E97</f>
        <v>CEMB</v>
      </c>
      <c r="FA3" t="str">
        <f>'USD VO'!G97</f>
        <v>STK</v>
      </c>
      <c r="FB3" t="str">
        <f>'USD VO'!F97</f>
        <v>SMART/AMEX</v>
      </c>
      <c r="FH3" s="38">
        <f>'USD VO'!Z97*100</f>
        <v>9.467057232576332</v>
      </c>
      <c r="FJ3" t="s">
        <v>84</v>
      </c>
      <c r="FK3" t="str">
        <f>'USD VO'!E126</f>
        <v>AIGI</v>
      </c>
      <c r="FL3" t="str">
        <f>'USD VO'!G126</f>
        <v>STK</v>
      </c>
      <c r="FM3" t="str">
        <f>'USD VO'!F126</f>
        <v>SMART/LSE</v>
      </c>
      <c r="FS3" s="38">
        <f>'USD VO'!R126*100</f>
        <v>11.501839810083521</v>
      </c>
      <c r="FU3" t="s">
        <v>84</v>
      </c>
      <c r="FV3" t="str">
        <f>'USD VO'!E168</f>
        <v>AIGI</v>
      </c>
      <c r="FW3" t="str">
        <f>'USD VO'!G168</f>
        <v>STK</v>
      </c>
      <c r="FX3" t="str">
        <f>'USD VO'!F168</f>
        <v>SMART/LSE</v>
      </c>
      <c r="GD3" s="38">
        <f>'USD VO'!R168*100</f>
        <v>12.739110055378466</v>
      </c>
      <c r="GF3" t="s">
        <v>84</v>
      </c>
      <c r="GG3" t="str">
        <f>'USD VO'!E147</f>
        <v>SIVR</v>
      </c>
      <c r="GH3" t="str">
        <f>'USD VO'!G147</f>
        <v>STK</v>
      </c>
      <c r="GI3" t="str">
        <f>'USD VO'!F147</f>
        <v>SMART/AMEX</v>
      </c>
      <c r="GO3" s="38">
        <f>'USD VO'!R147*100</f>
        <v>16.730026078838261</v>
      </c>
      <c r="GQ3" t="s">
        <v>84</v>
      </c>
      <c r="GR3" t="str">
        <f>'USD VO'!E187</f>
        <v>SIVR</v>
      </c>
      <c r="GS3" t="str">
        <f>'USD VO'!G187</f>
        <v>STK</v>
      </c>
      <c r="GT3" t="str">
        <f>'USD VO'!F187</f>
        <v>SMART/AMEX</v>
      </c>
      <c r="GZ3" s="38">
        <f>'USD VO'!R187*100</f>
        <v>18.60273322806351</v>
      </c>
      <c r="HB3" t="s">
        <v>84</v>
      </c>
      <c r="HC3" t="str">
        <f>'GBP VO'!E5</f>
        <v>XMWX</v>
      </c>
      <c r="HD3" t="str">
        <f>'GBP VO'!G5</f>
        <v>STK</v>
      </c>
      <c r="HE3" t="str">
        <f>'GBP VO'!F5</f>
        <v>SMART/LSEETF</v>
      </c>
      <c r="HK3" s="38">
        <f>'GBP VO'!R5*100</f>
        <v>8.6744814029290414</v>
      </c>
      <c r="HM3" t="s">
        <v>84</v>
      </c>
      <c r="HN3" t="str">
        <f>'GBP VO'!E5</f>
        <v>XMWX</v>
      </c>
      <c r="HO3" t="str">
        <f>'GBP VO'!G5</f>
        <v>STK</v>
      </c>
      <c r="HP3" t="str">
        <f>'GBP VO'!F5</f>
        <v>SMART/LSEETF</v>
      </c>
      <c r="HV3" s="38">
        <f>'GBP VO'!T5*100</f>
        <v>5.9517568532498686</v>
      </c>
      <c r="HX3" t="s">
        <v>84</v>
      </c>
      <c r="HY3" t="str">
        <f>'GBP VO'!E5</f>
        <v>XMWX</v>
      </c>
      <c r="HZ3" t="str">
        <f>'GBP VO'!G5</f>
        <v>STK</v>
      </c>
      <c r="IA3" t="str">
        <f>'GBP VO'!F5</f>
        <v>SMART/LSEETF</v>
      </c>
      <c r="IG3" s="38">
        <f>'GBP VO'!V5*100</f>
        <v>3.9509101520251235</v>
      </c>
      <c r="II3" t="s">
        <v>84</v>
      </c>
      <c r="IJ3" t="str">
        <f>'GBP VO'!E5</f>
        <v>XMWX</v>
      </c>
      <c r="IK3" t="str">
        <f>'GBP VO'!G5</f>
        <v>STK</v>
      </c>
      <c r="IL3" t="str">
        <f>'GBP VO'!F5</f>
        <v>SMART/LSEETF</v>
      </c>
      <c r="IR3" s="38">
        <f>'GBP VO'!X5*100</f>
        <v>2.7613043260067385</v>
      </c>
      <c r="IT3" t="s">
        <v>84</v>
      </c>
      <c r="IU3" t="str">
        <f>'EUR VO'!E5</f>
        <v>EXUS</v>
      </c>
      <c r="IV3" t="str">
        <f>'EUR VO'!G5</f>
        <v>STK</v>
      </c>
      <c r="IW3">
        <f>'EUR VO'!F5</f>
        <v>0</v>
      </c>
      <c r="JC3" s="38">
        <f>'EUR VO'!R5*100</f>
        <v>8.2589865666802709</v>
      </c>
      <c r="JE3" t="s">
        <v>84</v>
      </c>
      <c r="JF3" t="str">
        <f>'EUR VO'!E5</f>
        <v>EXUS</v>
      </c>
      <c r="JG3" t="str">
        <f>'EUR VO'!G5</f>
        <v>STK</v>
      </c>
      <c r="JH3">
        <f>'EUR VO'!F5</f>
        <v>0</v>
      </c>
      <c r="JN3" s="38">
        <f>'EUR VO'!T5*100</f>
        <v>5.9726355177316783</v>
      </c>
      <c r="JP3" t="s">
        <v>84</v>
      </c>
      <c r="JQ3" t="str">
        <f>'EUR VO'!E5</f>
        <v>EXUS</v>
      </c>
      <c r="JR3" t="str">
        <f>'EUR VO'!G5</f>
        <v>STK</v>
      </c>
      <c r="JS3">
        <f>'EUR VO'!F5</f>
        <v>0</v>
      </c>
      <c r="JY3" s="38">
        <f>'EUR VO'!V5*100</f>
        <v>3.968914007011993</v>
      </c>
      <c r="KA3" t="s">
        <v>84</v>
      </c>
      <c r="KB3" t="str">
        <f>'EUR VO'!E5</f>
        <v>EXUS</v>
      </c>
      <c r="KC3" t="str">
        <f>'EUR VO'!G5</f>
        <v>STK</v>
      </c>
      <c r="KD3">
        <f>'EUR VO'!F5</f>
        <v>0</v>
      </c>
      <c r="KJ3" s="38">
        <f>'EUR VO'!X5*100</f>
        <v>2.7771669210546359</v>
      </c>
      <c r="KL3" t="s">
        <v>84</v>
      </c>
      <c r="KM3" t="str">
        <f>'AUD VO'!E5</f>
        <v>IHVV</v>
      </c>
      <c r="KN3" t="str">
        <f>'AUD VO'!G5</f>
        <v>STK</v>
      </c>
      <c r="KO3" t="str">
        <f>'AUD VO'!F5</f>
        <v>SMART/ASX</v>
      </c>
      <c r="KU3" s="38">
        <f>'AUD VO'!R5*100</f>
        <v>19.022919898728858</v>
      </c>
      <c r="KW3" t="s">
        <v>84</v>
      </c>
      <c r="KX3" t="str">
        <f>'AUD VO'!E5</f>
        <v>IHVV</v>
      </c>
      <c r="KY3" t="str">
        <f>'AUD VO'!G5</f>
        <v>STK</v>
      </c>
      <c r="KZ3" t="str">
        <f>'AUD VO'!F5</f>
        <v>SMART/ASX</v>
      </c>
      <c r="LF3" s="38">
        <f>'AUD VO'!T5*100</f>
        <v>13.820699151998408</v>
      </c>
      <c r="LH3" t="s">
        <v>84</v>
      </c>
      <c r="LI3" t="str">
        <f>'AUD VO'!E5</f>
        <v>IHVV</v>
      </c>
      <c r="LJ3" t="str">
        <f>'AUD VO'!G5</f>
        <v>STK</v>
      </c>
      <c r="LK3" t="str">
        <f>'AUD VO'!F5</f>
        <v>SMART/ASX</v>
      </c>
      <c r="LQ3" s="38">
        <f>'AUD VO'!V5*100</f>
        <v>9.1752495030823855</v>
      </c>
      <c r="LS3" t="s">
        <v>84</v>
      </c>
      <c r="LT3" t="str">
        <f>'AUD VO'!E5</f>
        <v>IHVV</v>
      </c>
      <c r="LU3" t="str">
        <f>'AUD VO'!G5</f>
        <v>STK</v>
      </c>
      <c r="LV3" t="str">
        <f>'AUD VO'!F5</f>
        <v>SMART/ASX</v>
      </c>
      <c r="MB3" s="38">
        <f>'AUD VO'!X5*100</f>
        <v>6.4164041328805501</v>
      </c>
    </row>
    <row r="4" spans="1:340" x14ac:dyDescent="0.2">
      <c r="A4" t="s">
        <v>84</v>
      </c>
      <c r="B4" t="str">
        <f>'USD VO'!E6</f>
        <v>JREG</v>
      </c>
      <c r="C4" t="str">
        <f>'USD VO'!G6</f>
        <v>STK</v>
      </c>
      <c r="D4" t="str">
        <f>'USD VO'!F6</f>
        <v>SMART/LSEETF</v>
      </c>
      <c r="J4" s="38">
        <f>'USD VO'!R6*100</f>
        <v>17.649216961387594</v>
      </c>
      <c r="L4" t="s">
        <v>84</v>
      </c>
      <c r="M4" t="str">
        <f>'USD VO'!E6</f>
        <v>JREG</v>
      </c>
      <c r="N4" t="str">
        <f>'USD VO'!G6</f>
        <v>STK</v>
      </c>
      <c r="O4" t="str">
        <f>'USD VO'!F6</f>
        <v>SMART/LSEETF</v>
      </c>
      <c r="U4" s="38">
        <f>'USD VO'!T6*100</f>
        <v>12.769152066958242</v>
      </c>
      <c r="W4" t="s">
        <v>84</v>
      </c>
      <c r="X4" t="str">
        <f>'USD VO'!E6</f>
        <v>JREG</v>
      </c>
      <c r="Y4" t="str">
        <f>'USD VO'!G6</f>
        <v>STK</v>
      </c>
      <c r="Z4" t="str">
        <f>'USD VO'!F6</f>
        <v>SMART/LSEETF</v>
      </c>
      <c r="AF4" s="38">
        <f>'USD VO'!V6*100</f>
        <v>8.4663678388353976</v>
      </c>
      <c r="AH4" t="s">
        <v>84</v>
      </c>
      <c r="AI4" t="str">
        <f>'USD VO'!E6</f>
        <v>JREG</v>
      </c>
      <c r="AJ4" t="str">
        <f>'USD VO'!G6</f>
        <v>STK</v>
      </c>
      <c r="AK4" t="str">
        <f>'USD VO'!F6</f>
        <v>SMART/LSEETF</v>
      </c>
      <c r="AQ4" s="38">
        <f>'USD VO'!X6*100</f>
        <v>5.907499287761234</v>
      </c>
      <c r="AS4" t="s">
        <v>84</v>
      </c>
      <c r="AT4" t="str">
        <f>'USD VO'!E16</f>
        <v>EMGA</v>
      </c>
      <c r="AU4" t="str">
        <f>'USD VO'!G16</f>
        <v>STK</v>
      </c>
      <c r="AV4" t="str">
        <f>'USD VO'!F16</f>
        <v>SMART/LSEETF</v>
      </c>
      <c r="BB4" s="38">
        <f>'USD VO'!Z16*100</f>
        <v>6.6261129195103008</v>
      </c>
      <c r="BD4" t="s">
        <v>84</v>
      </c>
      <c r="BE4" t="str">
        <f>'USD VO'!E46</f>
        <v>GSLC</v>
      </c>
      <c r="BF4" t="str">
        <f>'USD VO'!G46</f>
        <v>STK</v>
      </c>
      <c r="BG4" t="str">
        <f>'USD VO'!F46</f>
        <v>SMART/AMEX</v>
      </c>
      <c r="BM4" s="38">
        <f>'USD VO'!R46*100</f>
        <v>14.800235311906896</v>
      </c>
      <c r="BO4" t="s">
        <v>84</v>
      </c>
      <c r="BP4" t="str">
        <f>'USD VO'!E46</f>
        <v>GSLC</v>
      </c>
      <c r="BQ4" t="str">
        <f>'USD VO'!G46</f>
        <v>STK</v>
      </c>
      <c r="BR4" t="str">
        <f>'USD VO'!F46</f>
        <v>SMART/AMEX</v>
      </c>
      <c r="BX4" s="38">
        <f>'USD VO'!T46*100</f>
        <v>10.723054424979466</v>
      </c>
      <c r="BZ4" t="s">
        <v>84</v>
      </c>
      <c r="CA4" t="str">
        <f>'USD VO'!E46</f>
        <v>GSLC</v>
      </c>
      <c r="CB4" t="str">
        <f>'USD VO'!G46</f>
        <v>STK</v>
      </c>
      <c r="CC4" t="str">
        <f>'USD VO'!F46</f>
        <v>SMART/AMEX</v>
      </c>
      <c r="CI4" s="38">
        <f>'USD VO'!V46*100</f>
        <v>7.1015144957848317</v>
      </c>
      <c r="CK4" t="s">
        <v>84</v>
      </c>
      <c r="CL4" t="str">
        <f>'USD VO'!E46</f>
        <v>GSLC</v>
      </c>
      <c r="CM4" t="str">
        <f>'USD VO'!G46</f>
        <v>STK</v>
      </c>
      <c r="CN4" t="str">
        <f>'USD VO'!F46</f>
        <v>SMART/AMEX</v>
      </c>
      <c r="CT4" s="38">
        <f>'USD VO'!X46*100</f>
        <v>4.9513292216675184</v>
      </c>
      <c r="CV4" t="s">
        <v>84</v>
      </c>
      <c r="CW4" t="str">
        <f>'USD VO'!E58</f>
        <v>IBND</v>
      </c>
      <c r="CX4" t="str">
        <f>'USD VO'!G58</f>
        <v>STK</v>
      </c>
      <c r="CY4" t="str">
        <f>'USD VO'!F58</f>
        <v>SMART/AMEX</v>
      </c>
      <c r="DE4" s="38">
        <f>'USD VO'!Z58*100</f>
        <v>11.524117318011495</v>
      </c>
      <c r="DG4" t="s">
        <v>84</v>
      </c>
      <c r="DH4" t="str">
        <f>'USD VO'!E88</f>
        <v>IXJ</v>
      </c>
      <c r="DI4" t="str">
        <f>'USD VO'!G88</f>
        <v>STK</v>
      </c>
      <c r="DJ4" t="str">
        <f>'USD VO'!F88</f>
        <v>SMART/AMEX</v>
      </c>
      <c r="DP4" s="38">
        <f>'USD VO'!R88*100</f>
        <v>2.880343788294573</v>
      </c>
      <c r="DR4" t="s">
        <v>84</v>
      </c>
      <c r="DS4" t="str">
        <f>'USD VO'!E87</f>
        <v>GSLC</v>
      </c>
      <c r="DT4" t="str">
        <f>'USD VO'!G87</f>
        <v>STK</v>
      </c>
      <c r="DU4" t="str">
        <f>'USD VO'!F87</f>
        <v>SMART/AMEX</v>
      </c>
      <c r="EA4" s="38">
        <f>'USD VO'!T87*100</f>
        <v>14.510971037458642</v>
      </c>
      <c r="EC4" t="s">
        <v>84</v>
      </c>
      <c r="ED4" t="str">
        <f>'USD VO'!E87</f>
        <v>GSLC</v>
      </c>
      <c r="EE4" t="str">
        <f>'USD VO'!G87</f>
        <v>STK</v>
      </c>
      <c r="EF4" t="str">
        <f>'USD VO'!F87</f>
        <v>SMART/AMEX</v>
      </c>
      <c r="EL4" s="38">
        <f>'USD VO'!V87*100</f>
        <v>9.6251668734519757</v>
      </c>
      <c r="EN4" t="s">
        <v>84</v>
      </c>
      <c r="EO4" t="str">
        <f>'USD VO'!E87</f>
        <v>GSLC</v>
      </c>
      <c r="EP4" t="str">
        <f>'USD VO'!G87</f>
        <v>STK</v>
      </c>
      <c r="EQ4" t="str">
        <f>'USD VO'!F87</f>
        <v>SMART/AMEX</v>
      </c>
      <c r="EW4" s="38">
        <f>'USD VO'!X87*100</f>
        <v>6.7181060262636123</v>
      </c>
      <c r="EY4" t="s">
        <v>84</v>
      </c>
      <c r="EZ4" t="str">
        <f>'USD VO'!E98</f>
        <v>LEMB</v>
      </c>
      <c r="FA4" t="str">
        <f>'USD VO'!G98</f>
        <v>STK</v>
      </c>
      <c r="FB4" t="str">
        <f>'USD VO'!F98</f>
        <v>SMART/AMEX</v>
      </c>
      <c r="FH4" s="38">
        <f>'USD VO'!Z98*100</f>
        <v>5.5984483373023863</v>
      </c>
      <c r="FJ4" t="s">
        <v>84</v>
      </c>
      <c r="FK4" t="str">
        <f>'USD VO'!E127</f>
        <v>BTCWUSD</v>
      </c>
      <c r="FL4" t="str">
        <f>'USD VO'!G127</f>
        <v>STK</v>
      </c>
      <c r="FM4" t="str">
        <f>'USD VO'!F127</f>
        <v>SMART/AEB</v>
      </c>
      <c r="FS4" s="38">
        <f>'USD VO'!R127*100</f>
        <v>4.8410635515851981</v>
      </c>
      <c r="FU4" t="s">
        <v>84</v>
      </c>
      <c r="FV4" t="str">
        <f>'USD VO'!E169</f>
        <v>IPDM</v>
      </c>
      <c r="FW4" t="str">
        <f>'USD VO'!G169</f>
        <v>STK</v>
      </c>
      <c r="FX4" t="str">
        <f>'USD VO'!F169</f>
        <v>SMART/LSEETF</v>
      </c>
      <c r="GD4" s="38">
        <f>'USD VO'!R169*100</f>
        <v>4.3873028355279171</v>
      </c>
      <c r="GF4" t="s">
        <v>84</v>
      </c>
      <c r="GG4" t="str">
        <f>'USD VO'!E148</f>
        <v>FBTC</v>
      </c>
      <c r="GH4" t="str">
        <f>'USD VO'!G148</f>
        <v>STK</v>
      </c>
      <c r="GI4" t="str">
        <f>'USD VO'!F148</f>
        <v>SMART/AMEX</v>
      </c>
      <c r="GO4" s="38">
        <f>'USD VO'!R148*100</f>
        <v>4.9964529138941689</v>
      </c>
      <c r="GQ4" t="s">
        <v>84</v>
      </c>
      <c r="GR4" t="str">
        <f>'USD VO'!E188</f>
        <v>DBB</v>
      </c>
      <c r="GS4" t="str">
        <f>'USD VO'!G188</f>
        <v>STK</v>
      </c>
      <c r="GT4" t="str">
        <f>'USD VO'!F188</f>
        <v>SMART/AMEX</v>
      </c>
      <c r="GZ4" s="38">
        <f>'USD VO'!R188*100</f>
        <v>11.616674049063231</v>
      </c>
      <c r="HB4" t="s">
        <v>84</v>
      </c>
      <c r="HC4" t="str">
        <f>'GBP VO'!E6</f>
        <v>XMMS</v>
      </c>
      <c r="HD4" t="str">
        <f>'GBP VO'!G6</f>
        <v>STK</v>
      </c>
      <c r="HE4" t="str">
        <f>'GBP VO'!F6</f>
        <v>SMART/LSEETF</v>
      </c>
      <c r="HK4" s="38">
        <f>'GBP VO'!R6*100</f>
        <v>16.013356648089388</v>
      </c>
      <c r="HM4" t="s">
        <v>84</v>
      </c>
      <c r="HN4" t="str">
        <f>'GBP VO'!E6</f>
        <v>XMMS</v>
      </c>
      <c r="HO4" t="str">
        <f>'GBP VO'!G6</f>
        <v>STK</v>
      </c>
      <c r="HP4" t="str">
        <f>'GBP VO'!F6</f>
        <v>SMART/LSEETF</v>
      </c>
      <c r="HV4" s="38">
        <f>'GBP VO'!T6*100</f>
        <v>10.993791216878005</v>
      </c>
      <c r="HX4" t="s">
        <v>84</v>
      </c>
      <c r="HY4" t="str">
        <f>'GBP VO'!E6</f>
        <v>XMMS</v>
      </c>
      <c r="HZ4" t="str">
        <f>'GBP VO'!G6</f>
        <v>STK</v>
      </c>
      <c r="IA4" t="str">
        <f>'GBP VO'!F6</f>
        <v>SMART/LSEETF</v>
      </c>
      <c r="IG4" s="38">
        <f>'GBP VO'!V6*100</f>
        <v>7.2935003731257524</v>
      </c>
      <c r="II4" t="s">
        <v>84</v>
      </c>
      <c r="IJ4" t="str">
        <f>'GBP VO'!E6</f>
        <v>XMMS</v>
      </c>
      <c r="IK4" t="str">
        <f>'GBP VO'!G6</f>
        <v>STK</v>
      </c>
      <c r="IL4" t="str">
        <f>'GBP VO'!F6</f>
        <v>SMART/LSEETF</v>
      </c>
      <c r="IR4" s="38">
        <f>'GBP VO'!X6*100</f>
        <v>5.0880815008566849</v>
      </c>
      <c r="IT4" t="s">
        <v>84</v>
      </c>
      <c r="IU4" t="str">
        <f>'EUR VO'!E6</f>
        <v>XMME</v>
      </c>
      <c r="IV4" t="str">
        <f>'EUR VO'!G6</f>
        <v>STK</v>
      </c>
      <c r="IW4">
        <f>'EUR VO'!F6</f>
        <v>0</v>
      </c>
      <c r="JC4" s="38">
        <f>'EUR VO'!R6*100</f>
        <v>15.218504914637096</v>
      </c>
      <c r="JE4" t="s">
        <v>84</v>
      </c>
      <c r="JF4" t="str">
        <f>'EUR VO'!E6</f>
        <v>XMME</v>
      </c>
      <c r="JG4" t="str">
        <f>'EUR VO'!G6</f>
        <v>STK</v>
      </c>
      <c r="JH4">
        <f>'EUR VO'!F6</f>
        <v>0</v>
      </c>
      <c r="JN4" s="38">
        <f>'EUR VO'!T6*100</f>
        <v>11.012215206502834</v>
      </c>
      <c r="JP4" t="s">
        <v>84</v>
      </c>
      <c r="JQ4" t="str">
        <f>'EUR VO'!E6</f>
        <v>XMME</v>
      </c>
      <c r="JR4" t="str">
        <f>'EUR VO'!G6</f>
        <v>STK</v>
      </c>
      <c r="JS4">
        <f>'EUR VO'!F6</f>
        <v>0</v>
      </c>
      <c r="JY4" s="38">
        <f>'EUR VO'!V6*100</f>
        <v>7.3177971519545775</v>
      </c>
      <c r="KA4" t="s">
        <v>84</v>
      </c>
      <c r="KB4" t="str">
        <f>'EUR VO'!E6</f>
        <v>XMME</v>
      </c>
      <c r="KC4" t="str">
        <f>'EUR VO'!G6</f>
        <v>STK</v>
      </c>
      <c r="KD4">
        <f>'EUR VO'!F6</f>
        <v>0</v>
      </c>
      <c r="KJ4" s="38">
        <f>'EUR VO'!X6*100</f>
        <v>5.1079677047567982</v>
      </c>
      <c r="KL4" t="s">
        <v>84</v>
      </c>
      <c r="KM4" t="str">
        <f>'AUD VO'!E6</f>
        <v>VGE</v>
      </c>
      <c r="KN4" t="str">
        <f>'AUD VO'!G6</f>
        <v>STK</v>
      </c>
      <c r="KO4" t="str">
        <f>'AUD VO'!F6</f>
        <v>SMART/ASX</v>
      </c>
      <c r="KU4" s="38">
        <f>'AUD VO'!R6*100</f>
        <v>14.946342221905212</v>
      </c>
      <c r="KW4" t="s">
        <v>84</v>
      </c>
      <c r="KX4" t="str">
        <f>'AUD VO'!E6</f>
        <v>VGE</v>
      </c>
      <c r="KY4" t="str">
        <f>'AUD VO'!G6</f>
        <v>STK</v>
      </c>
      <c r="KZ4" t="str">
        <f>'AUD VO'!F6</f>
        <v>SMART/ASX</v>
      </c>
      <c r="LF4" s="38">
        <f>'AUD VO'!T6*100</f>
        <v>10.784571710834374</v>
      </c>
      <c r="LH4" t="s">
        <v>84</v>
      </c>
      <c r="LI4" t="str">
        <f>'AUD VO'!E6</f>
        <v>VGE</v>
      </c>
      <c r="LJ4" t="str">
        <f>'AUD VO'!G6</f>
        <v>STK</v>
      </c>
      <c r="LK4" t="str">
        <f>'AUD VO'!F6</f>
        <v>SMART/ASX</v>
      </c>
      <c r="LQ4" s="38">
        <f>'AUD VO'!V6*100</f>
        <v>7.2090099613781513</v>
      </c>
      <c r="LS4" t="s">
        <v>84</v>
      </c>
      <c r="LT4" t="str">
        <f>'AUD VO'!E6</f>
        <v>VGE</v>
      </c>
      <c r="LU4" t="str">
        <f>'AUD VO'!G6</f>
        <v>STK</v>
      </c>
      <c r="LV4" t="str">
        <f>'AUD VO'!F6</f>
        <v>SMART/ASX</v>
      </c>
      <c r="MB4" s="38">
        <f>'AUD VO'!X6*100</f>
        <v>5.0413802147423397</v>
      </c>
    </row>
    <row r="5" spans="1:340" x14ac:dyDescent="0.2">
      <c r="A5" t="s">
        <v>84</v>
      </c>
      <c r="B5" t="str">
        <f>'USD VO'!E7</f>
        <v>XMME</v>
      </c>
      <c r="C5" t="str">
        <f>'USD VO'!G7</f>
        <v>STK</v>
      </c>
      <c r="D5" t="str">
        <f>'USD VO'!F7</f>
        <v>SMART/LSEETF</v>
      </c>
      <c r="J5" s="38">
        <f>'USD VO'!R7*100</f>
        <v>15.064424572526267</v>
      </c>
      <c r="L5" t="s">
        <v>84</v>
      </c>
      <c r="M5" t="str">
        <f>'USD VO'!E7</f>
        <v>XMME</v>
      </c>
      <c r="N5" t="str">
        <f>'USD VO'!G7</f>
        <v>STK</v>
      </c>
      <c r="O5" t="str">
        <f>'USD VO'!F7</f>
        <v>SMART/LSEETF</v>
      </c>
      <c r="U5" s="38">
        <f>'USD VO'!T7*100</f>
        <v>10.898050862747995</v>
      </c>
      <c r="W5" t="s">
        <v>84</v>
      </c>
      <c r="X5" t="str">
        <f>'USD VO'!E7</f>
        <v>XMME</v>
      </c>
      <c r="Y5" t="str">
        <f>'USD VO'!G7</f>
        <v>STK</v>
      </c>
      <c r="Z5" t="str">
        <f>'USD VO'!F7</f>
        <v>SMART/LSEETF</v>
      </c>
      <c r="AF5" s="38">
        <f>'USD VO'!V7*100</f>
        <v>7.2284513541486266</v>
      </c>
      <c r="AH5" t="s">
        <v>84</v>
      </c>
      <c r="AI5" t="str">
        <f>'USD VO'!E7</f>
        <v>XMME</v>
      </c>
      <c r="AJ5" t="str">
        <f>'USD VO'!G7</f>
        <v>STK</v>
      </c>
      <c r="AK5" t="str">
        <f>'USD VO'!F7</f>
        <v>SMART/LSEETF</v>
      </c>
      <c r="AQ5" s="38">
        <f>'USD VO'!X7*100</f>
        <v>5.0410698468698705</v>
      </c>
      <c r="AS5" t="s">
        <v>84</v>
      </c>
      <c r="AT5" t="str">
        <f>'USD VO'!E17</f>
        <v>IDTL</v>
      </c>
      <c r="AU5" t="str">
        <f>'USD VO'!G17</f>
        <v>STK</v>
      </c>
      <c r="AV5" t="str">
        <f>'USD VO'!F17</f>
        <v>SMART/LSEETF</v>
      </c>
      <c r="BB5" s="38">
        <f>'USD VO'!Z17*100</f>
        <v>4.9757592504625867</v>
      </c>
      <c r="BD5" t="s">
        <v>84</v>
      </c>
      <c r="BE5" t="str">
        <f>'USD VO'!E47</f>
        <v>AVUS</v>
      </c>
      <c r="BF5" t="str">
        <f>'USD VO'!G47</f>
        <v>STK</v>
      </c>
      <c r="BG5" t="str">
        <f>'USD VO'!F47</f>
        <v>SMART/AMEX</v>
      </c>
      <c r="BM5" s="38">
        <f>'USD VO'!R47*100</f>
        <v>14.034300950479281</v>
      </c>
      <c r="BO5" t="s">
        <v>84</v>
      </c>
      <c r="BP5" t="str">
        <f>'USD VO'!E47</f>
        <v>AVUS</v>
      </c>
      <c r="BQ5" t="str">
        <f>'USD VO'!G47</f>
        <v>STK</v>
      </c>
      <c r="BR5" t="str">
        <f>'USD VO'!F47</f>
        <v>SMART/AMEX</v>
      </c>
      <c r="BX5" s="38">
        <f>'USD VO'!T47*100</f>
        <v>10.099857043039579</v>
      </c>
      <c r="BZ5" t="s">
        <v>84</v>
      </c>
      <c r="CA5" t="str">
        <f>'USD VO'!E47</f>
        <v>AVUS</v>
      </c>
      <c r="CB5" t="str">
        <f>'USD VO'!G47</f>
        <v>STK</v>
      </c>
      <c r="CC5" t="str">
        <f>'USD VO'!F47</f>
        <v>SMART/AMEX</v>
      </c>
      <c r="CI5" s="38">
        <f>'USD VO'!V47*100</f>
        <v>6.729368689357405</v>
      </c>
      <c r="CK5" t="s">
        <v>84</v>
      </c>
      <c r="CL5" t="str">
        <f>'USD VO'!E47</f>
        <v>AVUS</v>
      </c>
      <c r="CM5" t="str">
        <f>'USD VO'!G47</f>
        <v>STK</v>
      </c>
      <c r="CN5" t="str">
        <f>'USD VO'!F47</f>
        <v>SMART/AMEX</v>
      </c>
      <c r="CT5" s="38">
        <f>'USD VO'!X47*100</f>
        <v>4.6944749248012698</v>
      </c>
      <c r="CV5" t="s">
        <v>84</v>
      </c>
      <c r="CW5" t="str">
        <f>'USD VO'!E59</f>
        <v>JMBS</v>
      </c>
      <c r="CX5" t="str">
        <f>'USD VO'!G59</f>
        <v>STK</v>
      </c>
      <c r="CY5" t="str">
        <f>'USD VO'!F59</f>
        <v>SMART/AMEX</v>
      </c>
      <c r="DE5" s="38">
        <f>'USD VO'!Z59*100</f>
        <v>14.786857158433556</v>
      </c>
      <c r="DG5" t="s">
        <v>84</v>
      </c>
      <c r="DH5" t="str">
        <f>'USD VO'!E89</f>
        <v>JIRE</v>
      </c>
      <c r="DI5" t="str">
        <f>'USD VO'!G89</f>
        <v>STK</v>
      </c>
      <c r="DJ5" t="str">
        <f>'USD VO'!F89</f>
        <v>SMART/AMEX</v>
      </c>
      <c r="DP5" s="38">
        <f>'USD VO'!R89*100</f>
        <v>5.2249762906474908</v>
      </c>
      <c r="DR5" t="s">
        <v>84</v>
      </c>
      <c r="DS5" t="str">
        <f>'USD VO'!E88</f>
        <v>IXJ</v>
      </c>
      <c r="DT5" t="str">
        <f>'USD VO'!G88</f>
        <v>STK</v>
      </c>
      <c r="DU5" t="str">
        <f>'USD VO'!F88</f>
        <v>SMART/AMEX</v>
      </c>
      <c r="EA5" s="38">
        <f>'USD VO'!T88*100</f>
        <v>2.0826542368264178</v>
      </c>
      <c r="EC5" t="s">
        <v>84</v>
      </c>
      <c r="ED5" t="str">
        <f>'USD VO'!E88</f>
        <v>IXJ</v>
      </c>
      <c r="EE5" t="str">
        <f>'USD VO'!G88</f>
        <v>STK</v>
      </c>
      <c r="EF5" t="str">
        <f>'USD VO'!F88</f>
        <v>SMART/AMEX</v>
      </c>
      <c r="EL5" s="38">
        <f>'USD VO'!V88*100</f>
        <v>1.3873131375953291</v>
      </c>
      <c r="EN5" t="s">
        <v>84</v>
      </c>
      <c r="EO5" t="str">
        <f>'USD VO'!E88</f>
        <v>IXJ</v>
      </c>
      <c r="EP5" t="str">
        <f>'USD VO'!G88</f>
        <v>STK</v>
      </c>
      <c r="EQ5" t="str">
        <f>'USD VO'!F88</f>
        <v>SMART/AMEX</v>
      </c>
      <c r="EW5" s="38">
        <f>'USD VO'!X88*100</f>
        <v>0.96681872947045489</v>
      </c>
      <c r="EY5" t="s">
        <v>84</v>
      </c>
      <c r="EZ5" t="str">
        <f>'USD VO'!E99</f>
        <v>IBND</v>
      </c>
      <c r="FA5" t="str">
        <f>'USD VO'!G99</f>
        <v>STK</v>
      </c>
      <c r="FB5" t="str">
        <f>'USD VO'!F99</f>
        <v>SMART/AMEX</v>
      </c>
      <c r="FH5" s="38">
        <f>'USD VO'!Z99*100</f>
        <v>7.3314377140600229</v>
      </c>
      <c r="FJ5" t="s">
        <v>84</v>
      </c>
      <c r="FK5" t="str">
        <f>'USD VO'!E128</f>
        <v>ETHWUSD</v>
      </c>
      <c r="FL5" t="str">
        <f>'USD VO'!G128</f>
        <v>STK</v>
      </c>
      <c r="FM5" t="str">
        <f>'USD VO'!F128</f>
        <v>SMART/AEB</v>
      </c>
      <c r="FS5" s="38">
        <f>'USD VO'!R128*100</f>
        <v>4.4111390148930187</v>
      </c>
      <c r="FU5" t="s">
        <v>84</v>
      </c>
      <c r="FV5" t="str">
        <f>'USD VO'!E170</f>
        <v>ISLN</v>
      </c>
      <c r="FW5" t="str">
        <f>'USD VO'!G170</f>
        <v>STK</v>
      </c>
      <c r="FX5" t="str">
        <f>'USD VO'!F170</f>
        <v>SMART/LSEETF</v>
      </c>
      <c r="GD5" s="38">
        <f>'USD VO'!R170*100</f>
        <v>18.135838758968784</v>
      </c>
      <c r="GF5" t="s">
        <v>84</v>
      </c>
      <c r="GG5" t="str">
        <f>'USD VO'!E149</f>
        <v>ETHE</v>
      </c>
      <c r="GH5" t="str">
        <f>'USD VO'!G149</f>
        <v>STK</v>
      </c>
      <c r="GI5" t="str">
        <f>'USD VO'!F149</f>
        <v>SMART/AMEX</v>
      </c>
      <c r="GO5" s="38">
        <f>'USD VO'!R149*100</f>
        <v>4.534864348515149</v>
      </c>
      <c r="GQ5" t="s">
        <v>84</v>
      </c>
      <c r="GR5" t="str">
        <f>'USD VO'!E189</f>
        <v>DBE</v>
      </c>
      <c r="GS5" t="str">
        <f>'USD VO'!G189</f>
        <v>STK</v>
      </c>
      <c r="GT5" t="str">
        <f>'USD VO'!F189</f>
        <v>SMART/AMEX</v>
      </c>
      <c r="GZ5" s="38">
        <f>'USD VO'!R189*100</f>
        <v>4.8455019956559173</v>
      </c>
      <c r="HB5" t="s">
        <v>84</v>
      </c>
      <c r="HC5" t="str">
        <f>'GBP VO'!E7</f>
        <v>JGEP</v>
      </c>
      <c r="HD5" t="str">
        <f>'GBP VO'!G7</f>
        <v>STK</v>
      </c>
      <c r="HE5" t="str">
        <f>'GBP VO'!F7</f>
        <v>SMART/LSEETF</v>
      </c>
      <c r="HK5" s="38">
        <f>'GBP VO'!R7*100</f>
        <v>18.445782540312074</v>
      </c>
      <c r="HM5" t="s">
        <v>84</v>
      </c>
      <c r="HN5" t="str">
        <f>'GBP VO'!E7</f>
        <v>JGEP</v>
      </c>
      <c r="HO5" t="str">
        <f>'GBP VO'!G7</f>
        <v>STK</v>
      </c>
      <c r="HP5" t="str">
        <f>'GBP VO'!F7</f>
        <v>SMART/LSEETF</v>
      </c>
      <c r="HV5" s="38">
        <f>'GBP VO'!T7*100</f>
        <v>12.664922217946192</v>
      </c>
      <c r="HX5" t="s">
        <v>84</v>
      </c>
      <c r="HY5" t="str">
        <f>'GBP VO'!E7</f>
        <v>JGEP</v>
      </c>
      <c r="HZ5" t="str">
        <f>'GBP VO'!G7</f>
        <v>STK</v>
      </c>
      <c r="IA5" t="str">
        <f>'GBP VO'!F7</f>
        <v>SMART/LSEETF</v>
      </c>
      <c r="IG5" s="38">
        <f>'GBP VO'!V7*100</f>
        <v>8.4013817213279136</v>
      </c>
      <c r="II5" t="s">
        <v>84</v>
      </c>
      <c r="IJ5" t="str">
        <f>'GBP VO'!E7</f>
        <v>JGEP</v>
      </c>
      <c r="IK5" t="str">
        <f>'GBP VO'!G7</f>
        <v>STK</v>
      </c>
      <c r="IL5" t="str">
        <f>'GBP VO'!F7</f>
        <v>SMART/LSEETF</v>
      </c>
      <c r="IR5" s="38">
        <f>'GBP VO'!X7*100</f>
        <v>5.8624187365267932</v>
      </c>
      <c r="IT5" t="s">
        <v>84</v>
      </c>
      <c r="IU5" t="str">
        <f>'EUR VO'!E7</f>
        <v>JRGE</v>
      </c>
      <c r="IV5" t="str">
        <f>'EUR VO'!G7</f>
        <v>STK</v>
      </c>
      <c r="IW5">
        <f>'EUR VO'!F7</f>
        <v>0</v>
      </c>
      <c r="JC5" s="38">
        <f>'EUR VO'!R7*100</f>
        <v>17.531944454359589</v>
      </c>
      <c r="JE5" t="s">
        <v>84</v>
      </c>
      <c r="JF5" t="str">
        <f>'EUR VO'!E7</f>
        <v>JRGE</v>
      </c>
      <c r="JG5" t="str">
        <f>'EUR VO'!G7</f>
        <v>STK</v>
      </c>
      <c r="JH5">
        <f>'EUR VO'!F7</f>
        <v>0</v>
      </c>
      <c r="JN5" s="38">
        <f>'EUR VO'!T7*100</f>
        <v>12.687414278350278</v>
      </c>
      <c r="JP5" t="s">
        <v>84</v>
      </c>
      <c r="JQ5" t="str">
        <f>'EUR VO'!E7</f>
        <v>JRGE</v>
      </c>
      <c r="JR5" t="str">
        <f>'EUR VO'!G7</f>
        <v>STK</v>
      </c>
      <c r="JS5">
        <f>'EUR VO'!F7</f>
        <v>0</v>
      </c>
      <c r="JY5" s="38">
        <f>'EUR VO'!V7*100</f>
        <v>8.4278624694248681</v>
      </c>
      <c r="KA5" t="s">
        <v>84</v>
      </c>
      <c r="KB5" t="str">
        <f>'EUR VO'!E7</f>
        <v>JRGE</v>
      </c>
      <c r="KC5" t="str">
        <f>'EUR VO'!G7</f>
        <v>STK</v>
      </c>
      <c r="KD5">
        <f>'EUR VO'!F7</f>
        <v>0</v>
      </c>
      <c r="KJ5" s="38">
        <f>'EUR VO'!X7*100</f>
        <v>5.8859193674883663</v>
      </c>
      <c r="KL5" t="s">
        <v>84</v>
      </c>
      <c r="KM5" t="str">
        <f>'AUD VO'!E7</f>
        <v>EXUS</v>
      </c>
      <c r="KN5" t="str">
        <f>'AUD VO'!G7</f>
        <v>STK</v>
      </c>
      <c r="KO5" t="str">
        <f>'AUD VO'!F7</f>
        <v>SMART/ASX</v>
      </c>
      <c r="KU5" s="38">
        <f>'AUD VO'!R7*100</f>
        <v>8.0307229635035196</v>
      </c>
      <c r="KW5" t="s">
        <v>84</v>
      </c>
      <c r="KX5" t="str">
        <f>'AUD VO'!E7</f>
        <v>EXUS</v>
      </c>
      <c r="KY5" t="str">
        <f>'AUD VO'!G7</f>
        <v>STK</v>
      </c>
      <c r="KZ5" t="str">
        <f>'AUD VO'!F7</f>
        <v>SMART/ASX</v>
      </c>
      <c r="LF5" s="38">
        <f>'AUD VO'!T7*100</f>
        <v>5.8298500197249883</v>
      </c>
      <c r="LH5" t="s">
        <v>84</v>
      </c>
      <c r="LI5" t="str">
        <f>'AUD VO'!E7</f>
        <v>EXUS</v>
      </c>
      <c r="LJ5" t="str">
        <f>'AUD VO'!G7</f>
        <v>STK</v>
      </c>
      <c r="LK5" t="str">
        <f>'AUD VO'!F7</f>
        <v>SMART/ASX</v>
      </c>
      <c r="LQ5" s="38">
        <f>'AUD VO'!V7*100</f>
        <v>3.873896545275902</v>
      </c>
      <c r="LS5" t="s">
        <v>84</v>
      </c>
      <c r="LT5" t="str">
        <f>'AUD VO'!E7</f>
        <v>EXUS</v>
      </c>
      <c r="LU5" t="str">
        <f>'AUD VO'!G7</f>
        <v>STK</v>
      </c>
      <c r="LV5" t="str">
        <f>'AUD VO'!F7</f>
        <v>SMART/ASX</v>
      </c>
      <c r="MB5" s="38">
        <f>'AUD VO'!X7*100</f>
        <v>2.7089862294053009</v>
      </c>
    </row>
    <row r="6" spans="1:340" x14ac:dyDescent="0.2">
      <c r="A6" t="s">
        <v>84</v>
      </c>
      <c r="B6" t="str">
        <f>'USD VO'!E8</f>
        <v>EXUS</v>
      </c>
      <c r="C6" t="str">
        <f>'USD VO'!G8</f>
        <v>STK</v>
      </c>
      <c r="D6" t="str">
        <f>'USD VO'!F8</f>
        <v>SMART/LSEETF</v>
      </c>
      <c r="J6" s="38">
        <f>'USD VO'!R8*100</f>
        <v>8.12439049509325</v>
      </c>
      <c r="L6" t="s">
        <v>84</v>
      </c>
      <c r="M6" t="str">
        <f>'USD VO'!E8</f>
        <v>EXUS</v>
      </c>
      <c r="N6" t="str">
        <f>'USD VO'!G8</f>
        <v>STK</v>
      </c>
      <c r="O6" t="str">
        <f>'USD VO'!F8</f>
        <v>SMART/LSEETF</v>
      </c>
      <c r="U6" s="38">
        <f>'USD VO'!T8*100</f>
        <v>5.873860449056032</v>
      </c>
      <c r="W6" t="s">
        <v>84</v>
      </c>
      <c r="X6" t="str">
        <f>'USD VO'!E8</f>
        <v>EXUS</v>
      </c>
      <c r="Y6" t="str">
        <f>'USD VO'!G8</f>
        <v>STK</v>
      </c>
      <c r="Z6" t="str">
        <f>'USD VO'!F8</f>
        <v>SMART/LSEETF</v>
      </c>
      <c r="AF6" s="38">
        <f>'USD VO'!V8*100</f>
        <v>3.8960099426763803</v>
      </c>
      <c r="AH6" t="s">
        <v>84</v>
      </c>
      <c r="AI6" t="str">
        <f>'USD VO'!E8</f>
        <v>EXUS</v>
      </c>
      <c r="AJ6" t="str">
        <f>'USD VO'!G8</f>
        <v>STK</v>
      </c>
      <c r="AK6" t="str">
        <f>'USD VO'!F8</f>
        <v>SMART/LSEETF</v>
      </c>
      <c r="AQ6" s="38">
        <f>'USD VO'!X8*100</f>
        <v>2.7237047433126644</v>
      </c>
      <c r="AS6" t="s">
        <v>84</v>
      </c>
      <c r="AT6" t="str">
        <f>'USD VO'!E18</f>
        <v>IDTM</v>
      </c>
      <c r="AU6" t="str">
        <f>'USD VO'!G18</f>
        <v>STK</v>
      </c>
      <c r="AV6" t="str">
        <f>'USD VO'!F18</f>
        <v>SMART/LSEETF</v>
      </c>
      <c r="BB6" s="38">
        <f>'USD VO'!Z18*100</f>
        <v>25.883046670006433</v>
      </c>
      <c r="BD6" t="s">
        <v>84</v>
      </c>
      <c r="BE6" t="str">
        <f>'USD VO'!E48</f>
        <v>JIRE</v>
      </c>
      <c r="BF6" t="str">
        <f>'USD VO'!G48</f>
        <v>STK</v>
      </c>
      <c r="BG6" t="str">
        <f>'USD VO'!F48</f>
        <v>SMART/AMEX</v>
      </c>
      <c r="BM6" s="38">
        <f>'USD VO'!R48*100</f>
        <v>5.7667613251590026</v>
      </c>
      <c r="BO6" t="s">
        <v>84</v>
      </c>
      <c r="BP6" t="str">
        <f>'USD VO'!E48</f>
        <v>JIRE</v>
      </c>
      <c r="BQ6" t="str">
        <f>'USD VO'!G48</f>
        <v>STK</v>
      </c>
      <c r="BR6" t="str">
        <f>'USD VO'!F48</f>
        <v>SMART/AMEX</v>
      </c>
      <c r="BX6" s="38">
        <f>'USD VO'!T48*100</f>
        <v>4.2027789448816053</v>
      </c>
      <c r="BZ6" t="s">
        <v>84</v>
      </c>
      <c r="CA6" t="str">
        <f>'USD VO'!E48</f>
        <v>JIRE</v>
      </c>
      <c r="CB6" t="str">
        <f>'USD VO'!G48</f>
        <v>STK</v>
      </c>
      <c r="CC6" t="str">
        <f>'USD VO'!F48</f>
        <v>SMART/AMEX</v>
      </c>
      <c r="CI6" s="38">
        <f>'USD VO'!V48*100</f>
        <v>2.7661130836199579</v>
      </c>
      <c r="CK6" t="s">
        <v>84</v>
      </c>
      <c r="CL6" t="str">
        <f>'USD VO'!E48</f>
        <v>JIRE</v>
      </c>
      <c r="CM6" t="str">
        <f>'USD VO'!G48</f>
        <v>STK</v>
      </c>
      <c r="CN6" t="str">
        <f>'USD VO'!F48</f>
        <v>SMART/AMEX</v>
      </c>
      <c r="CT6" s="38">
        <f>'USD VO'!X48*100</f>
        <v>1.9329028752051483</v>
      </c>
      <c r="CV6" t="s">
        <v>84</v>
      </c>
      <c r="CW6" t="str">
        <f>'USD VO'!E60</f>
        <v>CEMB</v>
      </c>
      <c r="CX6" t="str">
        <f>'USD VO'!G60</f>
        <v>STK</v>
      </c>
      <c r="CY6" t="str">
        <f>'USD VO'!F60</f>
        <v>SMART/AMEX</v>
      </c>
      <c r="DE6" s="38">
        <f>'USD VO'!Z60*100</f>
        <v>10.425721861144552</v>
      </c>
      <c r="DG6" t="s">
        <v>84</v>
      </c>
      <c r="DH6" t="str">
        <f>'USD VO'!E90</f>
        <v>VSGX</v>
      </c>
      <c r="DI6" t="str">
        <f>'USD VO'!G90</f>
        <v>STK</v>
      </c>
      <c r="DJ6" t="str">
        <f>'USD VO'!F90</f>
        <v>SMART/AMEX</v>
      </c>
      <c r="DP6" s="38">
        <f>'USD VO'!R90*100</f>
        <v>9.8668871577682733</v>
      </c>
      <c r="DR6" t="s">
        <v>84</v>
      </c>
      <c r="DS6" t="str">
        <f>'USD VO'!E89</f>
        <v>JIRE</v>
      </c>
      <c r="DT6" t="str">
        <f>'USD VO'!G89</f>
        <v>STK</v>
      </c>
      <c r="DU6" t="str">
        <f>'USD VO'!F89</f>
        <v>SMART/AMEX</v>
      </c>
      <c r="EA6" s="38">
        <f>'USD VO'!T89*100</f>
        <v>3.7811093241449196</v>
      </c>
      <c r="EC6" t="s">
        <v>84</v>
      </c>
      <c r="ED6" t="str">
        <f>'USD VO'!E89</f>
        <v>JIRE</v>
      </c>
      <c r="EE6" t="str">
        <f>'USD VO'!G89</f>
        <v>STK</v>
      </c>
      <c r="EF6" t="str">
        <f>'USD VO'!F89</f>
        <v>SMART/AMEX</v>
      </c>
      <c r="EL6" s="38">
        <f>'USD VO'!V89*100</f>
        <v>2.5103337621950379</v>
      </c>
      <c r="EN6" t="s">
        <v>84</v>
      </c>
      <c r="EO6" t="str">
        <f>'USD VO'!E89</f>
        <v>JIRE</v>
      </c>
      <c r="EP6" t="str">
        <f>'USD VO'!G89</f>
        <v>STK</v>
      </c>
      <c r="EQ6" t="str">
        <f>'USD VO'!F89</f>
        <v>SMART/AMEX</v>
      </c>
      <c r="EW6" s="38">
        <f>'USD VO'!X89*100</f>
        <v>1.7538201375010432</v>
      </c>
      <c r="EY6" t="s">
        <v>84</v>
      </c>
      <c r="EZ6" t="str">
        <f>'USD VO'!E100</f>
        <v>JMBS</v>
      </c>
      <c r="FA6" t="str">
        <f>'USD VO'!G100</f>
        <v>STK</v>
      </c>
      <c r="FB6" t="str">
        <f>'USD VO'!F100</f>
        <v>SMART/AMEX</v>
      </c>
      <c r="FH6" s="38">
        <f>'USD VO'!Z100*100</f>
        <v>14.733066621137825</v>
      </c>
      <c r="FJ6" t="s">
        <v>84</v>
      </c>
      <c r="FK6" t="str">
        <f>'USD VO'!E129</f>
        <v>IPDM</v>
      </c>
      <c r="FL6" t="str">
        <f>'USD VO'!G129</f>
        <v>STK</v>
      </c>
      <c r="FM6" t="str">
        <f>'USD VO'!F129</f>
        <v>SMART/LSEETF</v>
      </c>
      <c r="FS6" s="38">
        <f>'USD VO'!R129*100</f>
        <v>3.9611914955756569</v>
      </c>
      <c r="FU6" t="s">
        <v>84</v>
      </c>
      <c r="FV6" t="str">
        <f>'USD VO'!E171</f>
        <v>REMX</v>
      </c>
      <c r="FW6" t="str">
        <f>'USD VO'!G171</f>
        <v>STK</v>
      </c>
      <c r="FX6" t="str">
        <f>'USD VO'!F171</f>
        <v>SMART/LSEETF</v>
      </c>
      <c r="GD6" s="38">
        <f>'USD VO'!R171*100</f>
        <v>5.157732207444587</v>
      </c>
      <c r="GF6" t="s">
        <v>84</v>
      </c>
      <c r="GG6" t="str">
        <f>'USD VO'!E150</f>
        <v>DBB</v>
      </c>
      <c r="GH6" t="str">
        <f>'USD VO'!G150</f>
        <v>STK</v>
      </c>
      <c r="GI6" t="str">
        <f>'USD VO'!F150</f>
        <v>SMART/AMEX</v>
      </c>
      <c r="GO6" s="38">
        <f>'USD VO'!R150*100</f>
        <v>10.508580184479985</v>
      </c>
      <c r="GQ6" t="s">
        <v>84</v>
      </c>
      <c r="GR6" t="str">
        <f>'USD VO'!E190</f>
        <v>CERY</v>
      </c>
      <c r="GS6" t="str">
        <f>'USD VO'!G190</f>
        <v>STK</v>
      </c>
      <c r="GT6" t="str">
        <f>'USD VO'!F190</f>
        <v>SMART/AMEX</v>
      </c>
      <c r="GZ6" s="38">
        <f>'USD VO'!R190*100</f>
        <v>30.908529558640996</v>
      </c>
      <c r="HB6" t="s">
        <v>84</v>
      </c>
      <c r="HC6" t="str">
        <f>'GBP VO'!E8</f>
        <v>IQGG</v>
      </c>
      <c r="HD6" t="str">
        <f>'GBP VO'!G8</f>
        <v>STK</v>
      </c>
      <c r="HE6" t="str">
        <f>'GBP VO'!F8</f>
        <v>SMART/LSEETF</v>
      </c>
      <c r="HK6" s="38">
        <f>'GBP VO'!R8*100</f>
        <v>18.480000334462613</v>
      </c>
      <c r="HM6" t="s">
        <v>84</v>
      </c>
      <c r="HN6" t="str">
        <f>'GBP VO'!E8</f>
        <v>IQGG</v>
      </c>
      <c r="HO6" t="str">
        <f>'GBP VO'!G8</f>
        <v>STK</v>
      </c>
      <c r="HP6" t="str">
        <f>'GBP VO'!F8</f>
        <v>SMART/LSEETF</v>
      </c>
      <c r="HV6" s="38">
        <f>'GBP VO'!T8*100</f>
        <v>12.688416244314515</v>
      </c>
      <c r="HX6" t="s">
        <v>84</v>
      </c>
      <c r="HY6" t="str">
        <f>'GBP VO'!E8</f>
        <v>IQGG</v>
      </c>
      <c r="HZ6" t="str">
        <f>'GBP VO'!G8</f>
        <v>STK</v>
      </c>
      <c r="IA6" t="str">
        <f>'GBP VO'!F8</f>
        <v>SMART/LSEETF</v>
      </c>
      <c r="IG6" s="38">
        <f>'GBP VO'!V8*100</f>
        <v>8.4169666795530222</v>
      </c>
      <c r="II6" t="s">
        <v>84</v>
      </c>
      <c r="IJ6" t="str">
        <f>'GBP VO'!E8</f>
        <v>IQGG</v>
      </c>
      <c r="IK6" t="str">
        <f>'GBP VO'!G8</f>
        <v>STK</v>
      </c>
      <c r="IL6" t="str">
        <f>'GBP VO'!F8</f>
        <v>SMART/LSEETF</v>
      </c>
      <c r="IR6" s="38">
        <f>'GBP VO'!X8*100</f>
        <v>5.8732937990031289</v>
      </c>
      <c r="IT6" t="s">
        <v>84</v>
      </c>
      <c r="IU6" t="str">
        <f>'EUR VO'!E8</f>
        <v>IQGE</v>
      </c>
      <c r="IV6" t="str">
        <f>'EUR VO'!G8</f>
        <v>STK</v>
      </c>
      <c r="IW6">
        <f>'EUR VO'!F8</f>
        <v>0</v>
      </c>
      <c r="JC6" s="38">
        <f>'EUR VO'!R8*100</f>
        <v>17.561118796675178</v>
      </c>
      <c r="JE6" t="s">
        <v>84</v>
      </c>
      <c r="JF6" t="str">
        <f>'EUR VO'!E8</f>
        <v>IQGE</v>
      </c>
      <c r="JG6" t="str">
        <f>'EUR VO'!G8</f>
        <v>STK</v>
      </c>
      <c r="JH6">
        <f>'EUR VO'!F8</f>
        <v>0</v>
      </c>
      <c r="JN6" s="38">
        <f>'EUR VO'!T8*100</f>
        <v>12.708526994525007</v>
      </c>
      <c r="JP6" t="s">
        <v>84</v>
      </c>
      <c r="JQ6" t="str">
        <f>'EUR VO'!E8</f>
        <v>IQGE</v>
      </c>
      <c r="JR6" t="str">
        <f>'EUR VO'!G8</f>
        <v>STK</v>
      </c>
      <c r="JS6">
        <f>'EUR VO'!F8</f>
        <v>0</v>
      </c>
      <c r="JY6" s="38">
        <f>'EUR VO'!V8*100</f>
        <v>8.441887003059005</v>
      </c>
      <c r="KA6" t="s">
        <v>84</v>
      </c>
      <c r="KB6" t="str">
        <f>'EUR VO'!E8</f>
        <v>IQGE</v>
      </c>
      <c r="KC6" t="str">
        <f>'EUR VO'!G8</f>
        <v>STK</v>
      </c>
      <c r="KD6">
        <f>'EUR VO'!F8</f>
        <v>0</v>
      </c>
      <c r="KJ6" s="38">
        <f>'EUR VO'!X8*100</f>
        <v>5.8957139357358255</v>
      </c>
      <c r="KL6" t="s">
        <v>84</v>
      </c>
      <c r="KM6" t="str">
        <f>'AUD VO'!E8</f>
        <v>A200</v>
      </c>
      <c r="KN6" t="str">
        <f>'AUD VO'!G8</f>
        <v>STK</v>
      </c>
      <c r="KO6" t="str">
        <f>'AUD VO'!F8</f>
        <v>SMART/ASX</v>
      </c>
      <c r="KU6" s="38">
        <f>'AUD VO'!R8*100</f>
        <v>5.8198009605172087</v>
      </c>
      <c r="KW6" t="s">
        <v>84</v>
      </c>
      <c r="KX6" t="str">
        <f>'AUD VO'!E8</f>
        <v>A200</v>
      </c>
      <c r="KY6" t="str">
        <f>'AUD VO'!G8</f>
        <v>STK</v>
      </c>
      <c r="KZ6" t="str">
        <f>'AUD VO'!F8</f>
        <v>SMART/ASX</v>
      </c>
      <c r="LF6" s="38">
        <f>'AUD VO'!T8*100</f>
        <v>4.2475600949816874</v>
      </c>
      <c r="LH6" t="s">
        <v>84</v>
      </c>
      <c r="LI6" t="str">
        <f>'AUD VO'!E8</f>
        <v>A200</v>
      </c>
      <c r="LJ6" t="str">
        <f>'AUD VO'!G8</f>
        <v>STK</v>
      </c>
      <c r="LK6" t="str">
        <f>'AUD VO'!F8</f>
        <v>SMART/ASX</v>
      </c>
      <c r="LQ6" s="38">
        <f>'AUD VO'!V8*100</f>
        <v>2.8070415138841001</v>
      </c>
      <c r="LS6" t="s">
        <v>84</v>
      </c>
      <c r="LT6" t="str">
        <f>'AUD VO'!E8</f>
        <v>A200</v>
      </c>
      <c r="LU6" t="str">
        <f>'AUD VO'!G8</f>
        <v>STK</v>
      </c>
      <c r="LV6" t="str">
        <f>'AUD VO'!F8</f>
        <v>SMART/ASX</v>
      </c>
      <c r="MB6" s="38">
        <f>'AUD VO'!X8*100</f>
        <v>1.9630106805054788</v>
      </c>
    </row>
    <row r="7" spans="1:340" x14ac:dyDescent="0.2">
      <c r="A7" t="s">
        <v>84</v>
      </c>
      <c r="B7" t="str">
        <f>'USD VO'!E9</f>
        <v>WSML</v>
      </c>
      <c r="C7" t="str">
        <f>'USD VO'!G9</f>
        <v>STK</v>
      </c>
      <c r="D7" t="str">
        <f>'USD VO'!F9</f>
        <v>SMART/LSEETF</v>
      </c>
      <c r="J7" s="38">
        <f>'USD VO'!R9*100</f>
        <v>3.835657182400773</v>
      </c>
      <c r="L7" t="s">
        <v>84</v>
      </c>
      <c r="M7" t="str">
        <f>'USD VO'!E9</f>
        <v>WSML</v>
      </c>
      <c r="N7" t="str">
        <f>'USD VO'!G9</f>
        <v>STK</v>
      </c>
      <c r="O7" t="str">
        <f>'USD VO'!F9</f>
        <v>SMART/LSEETF</v>
      </c>
      <c r="U7" s="38">
        <f>'USD VO'!T9*100</f>
        <v>2.7748279972208922</v>
      </c>
      <c r="W7" t="s">
        <v>84</v>
      </c>
      <c r="X7" t="str">
        <f>'USD VO'!E9</f>
        <v>WSML</v>
      </c>
      <c r="Y7" t="str">
        <f>'USD VO'!G9</f>
        <v>STK</v>
      </c>
      <c r="Z7" t="str">
        <f>'USD VO'!F9</f>
        <v>SMART/LSEETF</v>
      </c>
      <c r="AF7" s="38">
        <f>'USD VO'!V9*100</f>
        <v>1.8404859223590777</v>
      </c>
      <c r="AH7" t="s">
        <v>84</v>
      </c>
      <c r="AI7" t="str">
        <f>'USD VO'!E9</f>
        <v>WSML</v>
      </c>
      <c r="AJ7" t="str">
        <f>'USD VO'!G9</f>
        <v>STK</v>
      </c>
      <c r="AK7" t="str">
        <f>'USD VO'!F9</f>
        <v>SMART/LSEETF</v>
      </c>
      <c r="AQ7" s="38">
        <f>'USD VO'!X9*100</f>
        <v>1.2859054064099815</v>
      </c>
      <c r="AS7" t="s">
        <v>84</v>
      </c>
      <c r="AT7" t="str">
        <f>'USD VO'!E19</f>
        <v>IMBS</v>
      </c>
      <c r="AU7" t="str">
        <f>'USD VO'!G19</f>
        <v>STK</v>
      </c>
      <c r="AV7" t="str">
        <f>'USD VO'!F19</f>
        <v>SMART/LSEETF</v>
      </c>
      <c r="BB7" s="38">
        <f>'USD VO'!Z19*100</f>
        <v>12.390522869526279</v>
      </c>
      <c r="BD7" t="s">
        <v>84</v>
      </c>
      <c r="BE7" t="str">
        <f>'USD VO'!E49</f>
        <v>EMXC</v>
      </c>
      <c r="BF7" t="str">
        <f>'USD VO'!G49</f>
        <v>STK</v>
      </c>
      <c r="BG7" t="str">
        <f>'USD VO'!F49</f>
        <v>SMART/AMEX</v>
      </c>
      <c r="BM7" s="38">
        <f>'USD VO'!R49*100</f>
        <v>5.7283465462532845</v>
      </c>
      <c r="BO7" t="s">
        <v>84</v>
      </c>
      <c r="BP7" t="str">
        <f>'USD VO'!E49</f>
        <v>EMXC</v>
      </c>
      <c r="BQ7" t="str">
        <f>'USD VO'!G49</f>
        <v>STK</v>
      </c>
      <c r="BR7" t="str">
        <f>'USD VO'!F49</f>
        <v>SMART/AMEX</v>
      </c>
      <c r="BX7" s="38">
        <f>'USD VO'!T49*100</f>
        <v>4.1747824985482174</v>
      </c>
      <c r="BZ7" t="s">
        <v>84</v>
      </c>
      <c r="CA7" t="str">
        <f>'USD VO'!E49</f>
        <v>EMXC</v>
      </c>
      <c r="CB7" t="str">
        <f>'USD VO'!G49</f>
        <v>STK</v>
      </c>
      <c r="CC7" t="str">
        <f>'USD VO'!F49</f>
        <v>SMART/AMEX</v>
      </c>
      <c r="CI7" s="38">
        <f>'USD VO'!V49*100</f>
        <v>2.7476868619430053</v>
      </c>
      <c r="CK7" t="s">
        <v>84</v>
      </c>
      <c r="CL7" t="str">
        <f>'USD VO'!E49</f>
        <v>EMXC</v>
      </c>
      <c r="CM7" t="str">
        <f>'USD VO'!G49</f>
        <v>STK</v>
      </c>
      <c r="CN7" t="str">
        <f>'USD VO'!F49</f>
        <v>SMART/AMEX</v>
      </c>
      <c r="CT7" s="38">
        <f>'USD VO'!X49*100</f>
        <v>1.9200270108489614</v>
      </c>
      <c r="CV7" t="s">
        <v>84</v>
      </c>
      <c r="CW7" t="str">
        <f>'USD VO'!E61</f>
        <v>LEMB</v>
      </c>
      <c r="CX7" t="str">
        <f>'USD VO'!G61</f>
        <v>STK</v>
      </c>
      <c r="CY7" t="str">
        <f>'USD VO'!F61</f>
        <v>SMART/AMEX</v>
      </c>
      <c r="DE7" s="38">
        <f>'USD VO'!Z61*100</f>
        <v>10.290272061803432</v>
      </c>
      <c r="DG7" t="s">
        <v>84</v>
      </c>
      <c r="DH7" t="str">
        <f>'USD VO'!E91</f>
        <v>ESGV</v>
      </c>
      <c r="DI7" t="str">
        <f>'USD VO'!G91</f>
        <v>STK</v>
      </c>
      <c r="DJ7" t="str">
        <f>'USD VO'!F91</f>
        <v>SMART/AMEX</v>
      </c>
      <c r="DP7" s="38">
        <f>'USD VO'!R91*100</f>
        <v>29.227958682229062</v>
      </c>
      <c r="DR7" t="s">
        <v>84</v>
      </c>
      <c r="DS7" t="str">
        <f>'USD VO'!E90</f>
        <v>VSGX</v>
      </c>
      <c r="DT7" t="str">
        <f>'USD VO'!G90</f>
        <v>STK</v>
      </c>
      <c r="DU7" t="str">
        <f>'USD VO'!F90</f>
        <v>SMART/AMEX</v>
      </c>
      <c r="EA7" s="38">
        <f>'USD VO'!T90*100</f>
        <v>7.1436773231675268</v>
      </c>
      <c r="EC7" t="s">
        <v>84</v>
      </c>
      <c r="ED7" t="str">
        <f>'USD VO'!E90</f>
        <v>VSGX</v>
      </c>
      <c r="EE7" t="str">
        <f>'USD VO'!G90</f>
        <v>STK</v>
      </c>
      <c r="EF7" t="str">
        <f>'USD VO'!F90</f>
        <v>SMART/AMEX</v>
      </c>
      <c r="EL7" s="38">
        <f>'USD VO'!V90*100</f>
        <v>4.7337706846337788</v>
      </c>
      <c r="EN7" t="s">
        <v>84</v>
      </c>
      <c r="EO7" t="str">
        <f>'USD VO'!E90</f>
        <v>VSGX</v>
      </c>
      <c r="EP7" t="str">
        <f>'USD VO'!G90</f>
        <v>STK</v>
      </c>
      <c r="EQ7" t="str">
        <f>'USD VO'!F90</f>
        <v>SMART/AMEX</v>
      </c>
      <c r="EW7" s="38">
        <f>'USD VO'!X90*100</f>
        <v>3.3026509127831236</v>
      </c>
      <c r="EY7" t="s">
        <v>84</v>
      </c>
      <c r="EZ7" t="str">
        <f>'USD VO'!E101</f>
        <v>TLT</v>
      </c>
      <c r="FA7" t="str">
        <f>'USD VO'!G101</f>
        <v>STK</v>
      </c>
      <c r="FB7" t="str">
        <f>'USD VO'!F101</f>
        <v>SMART/AMEX</v>
      </c>
      <c r="FH7" s="38">
        <f>'USD VO'!Z101*100</f>
        <v>4.8307665150472152</v>
      </c>
      <c r="FJ7" t="s">
        <v>84</v>
      </c>
      <c r="FK7" t="str">
        <f>'USD VO'!E130</f>
        <v>ISLN</v>
      </c>
      <c r="FL7" t="str">
        <f>'USD VO'!G130</f>
        <v>STK</v>
      </c>
      <c r="FM7" t="str">
        <f>'USD VO'!F130</f>
        <v>SMART/LSEETF</v>
      </c>
      <c r="FS7" s="38">
        <f>'USD VO'!R130*100</f>
        <v>16.374417939744085</v>
      </c>
      <c r="FU7" t="s">
        <v>84</v>
      </c>
      <c r="FV7" t="str">
        <f>'USD VO'!E172</f>
        <v>ROLL</v>
      </c>
      <c r="FW7" t="str">
        <f>'USD VO'!G172</f>
        <v>STK</v>
      </c>
      <c r="FX7" t="str">
        <f>'USD VO'!F172</f>
        <v>SMART/LSEETF</v>
      </c>
      <c r="GD7" s="38">
        <f>'USD VO'!R172*100</f>
        <v>30.998172429978155</v>
      </c>
      <c r="GF7" t="s">
        <v>84</v>
      </c>
      <c r="GG7" t="str">
        <f>'USD VO'!E151</f>
        <v>DBE</v>
      </c>
      <c r="GH7" t="str">
        <f>'USD VO'!G151</f>
        <v>STK</v>
      </c>
      <c r="GI7" t="str">
        <f>'USD VO'!F151</f>
        <v>SMART/AMEX</v>
      </c>
      <c r="GO7" s="38">
        <f>'USD VO'!R151*100</f>
        <v>4.2867736092009494</v>
      </c>
      <c r="GQ7" t="s">
        <v>84</v>
      </c>
      <c r="GR7" t="str">
        <f>'USD VO'!E191</f>
        <v>GLDM</v>
      </c>
      <c r="GS7" t="str">
        <f>'USD VO'!G191</f>
        <v>STK</v>
      </c>
      <c r="GT7" t="str">
        <f>'USD VO'!F191</f>
        <v>SMART/AMEX</v>
      </c>
      <c r="GZ7" s="38">
        <f>'USD VO'!R191*100</f>
        <v>18.779661490199938</v>
      </c>
      <c r="HB7" t="s">
        <v>84</v>
      </c>
      <c r="HC7" t="str">
        <f>'GBP VO'!E9</f>
        <v>XMEU</v>
      </c>
      <c r="HD7" t="str">
        <f>'GBP VO'!G9</f>
        <v>STK</v>
      </c>
      <c r="HE7" t="str">
        <f>'GBP VO'!F9</f>
        <v>SMART/LSEETF</v>
      </c>
      <c r="HK7" s="38">
        <f>'GBP VO'!R9*100</f>
        <v>4.0072248871481104</v>
      </c>
      <c r="HM7" t="s">
        <v>84</v>
      </c>
      <c r="HN7" t="str">
        <f>'GBP VO'!E9</f>
        <v>XMEU</v>
      </c>
      <c r="HO7" t="str">
        <f>'GBP VO'!G9</f>
        <v>STK</v>
      </c>
      <c r="HP7" t="str">
        <f>'GBP VO'!F9</f>
        <v>SMART/LSEETF</v>
      </c>
      <c r="HV7" s="38">
        <f>'GBP VO'!T9*100</f>
        <v>2.7511155054202958</v>
      </c>
      <c r="HX7" t="s">
        <v>84</v>
      </c>
      <c r="HY7" t="str">
        <f>'GBP VO'!E9</f>
        <v>XMEU</v>
      </c>
      <c r="HZ7" t="str">
        <f>'GBP VO'!G9</f>
        <v>STK</v>
      </c>
      <c r="IA7" t="str">
        <f>'GBP VO'!F9</f>
        <v>SMART/LSEETF</v>
      </c>
      <c r="IG7" s="38">
        <f>'GBP VO'!V9*100</f>
        <v>1.8251448994674588</v>
      </c>
      <c r="II7" t="s">
        <v>84</v>
      </c>
      <c r="IJ7" t="str">
        <f>'GBP VO'!E9</f>
        <v>XMEU</v>
      </c>
      <c r="IK7" t="str">
        <f>'GBP VO'!G9</f>
        <v>STK</v>
      </c>
      <c r="IL7" t="str">
        <f>'GBP VO'!F9</f>
        <v>SMART/LSEETF</v>
      </c>
      <c r="IR7" s="38">
        <f>'GBP VO'!X9*100</f>
        <v>1.2755998776396786</v>
      </c>
      <c r="IT7" t="s">
        <v>84</v>
      </c>
      <c r="IU7" t="str">
        <f>'EUR VO'!E9</f>
        <v>XMEU</v>
      </c>
      <c r="IV7" t="str">
        <f>'EUR VO'!G9</f>
        <v>STK</v>
      </c>
      <c r="IW7">
        <f>'EUR VO'!F9</f>
        <v>0</v>
      </c>
      <c r="JC7" s="38">
        <f>'EUR VO'!R9*100</f>
        <v>3.8121591338175236</v>
      </c>
      <c r="JE7" t="s">
        <v>84</v>
      </c>
      <c r="JF7" t="str">
        <f>'EUR VO'!E9</f>
        <v>XMEU</v>
      </c>
      <c r="JG7" t="str">
        <f>'EUR VO'!G9</f>
        <v>STK</v>
      </c>
      <c r="JH7">
        <f>'EUR VO'!F9</f>
        <v>0</v>
      </c>
      <c r="JN7" s="38">
        <f>'EUR VO'!T9*100</f>
        <v>2.7585046637963453</v>
      </c>
      <c r="JP7" t="s">
        <v>84</v>
      </c>
      <c r="JQ7" t="str">
        <f>'EUR VO'!E9</f>
        <v>XMEU</v>
      </c>
      <c r="JR7" t="str">
        <f>'EUR VO'!G9</f>
        <v>STK</v>
      </c>
      <c r="JS7">
        <f>'EUR VO'!F9</f>
        <v>0</v>
      </c>
      <c r="JY7" s="38">
        <f>'EUR VO'!V9*100</f>
        <v>1.8330714750708905</v>
      </c>
      <c r="KA7" t="s">
        <v>84</v>
      </c>
      <c r="KB7" t="str">
        <f>'EUR VO'!E9</f>
        <v>XMEU</v>
      </c>
      <c r="KC7" t="str">
        <f>'EUR VO'!G9</f>
        <v>STK</v>
      </c>
      <c r="KD7">
        <f>'EUR VO'!F9</f>
        <v>0</v>
      </c>
      <c r="KJ7" s="38">
        <f>'EUR VO'!X9*100</f>
        <v>1.2818766756378794</v>
      </c>
      <c r="KL7" t="s">
        <v>84</v>
      </c>
      <c r="KM7" t="str">
        <f>'AUD VO'!E9</f>
        <v>IXJ</v>
      </c>
      <c r="KN7" t="str">
        <f>'AUD VO'!G9</f>
        <v>STK</v>
      </c>
      <c r="KO7" t="str">
        <f>'AUD VO'!F9</f>
        <v>SMART/ASX</v>
      </c>
      <c r="KU7" s="38">
        <f>'AUD VO'!R9*100</f>
        <v>3.7156587181333594</v>
      </c>
      <c r="KW7" t="s">
        <v>84</v>
      </c>
      <c r="KX7" t="str">
        <f>'AUD VO'!E9</f>
        <v>IXJ</v>
      </c>
      <c r="KY7" t="str">
        <f>'AUD VO'!G9</f>
        <v>STK</v>
      </c>
      <c r="KZ7" t="str">
        <f>'AUD VO'!F9</f>
        <v>SMART/ASX</v>
      </c>
      <c r="LF7" s="38">
        <f>'AUD VO'!T9*100</f>
        <v>2.6810431143458784</v>
      </c>
      <c r="LH7" t="s">
        <v>84</v>
      </c>
      <c r="LI7" t="str">
        <f>'AUD VO'!E9</f>
        <v>IXJ</v>
      </c>
      <c r="LJ7" t="str">
        <f>'AUD VO'!G9</f>
        <v>STK</v>
      </c>
      <c r="LK7" t="str">
        <f>'AUD VO'!F9</f>
        <v>SMART/ASX</v>
      </c>
      <c r="LQ7" s="38">
        <f>'AUD VO'!V9*100</f>
        <v>1.7921589318922002</v>
      </c>
      <c r="LS7" t="s">
        <v>84</v>
      </c>
      <c r="LT7" t="str">
        <f>'AUD VO'!E9</f>
        <v>IXJ</v>
      </c>
      <c r="LU7" t="str">
        <f>'AUD VO'!G9</f>
        <v>STK</v>
      </c>
      <c r="LV7" t="str">
        <f>'AUD VO'!F9</f>
        <v>SMART/ASX</v>
      </c>
      <c r="MB7" s="38">
        <f>'AUD VO'!X9*100</f>
        <v>1.2532864608759444</v>
      </c>
    </row>
    <row r="8" spans="1:340" x14ac:dyDescent="0.2">
      <c r="A8" t="s">
        <v>84</v>
      </c>
      <c r="B8" t="str">
        <f>'USD VO'!E10</f>
        <v>XMED</v>
      </c>
      <c r="C8" t="str">
        <f>'USD VO'!G10</f>
        <v>STK</v>
      </c>
      <c r="D8" t="str">
        <f>'USD VO'!F10</f>
        <v>SMART/LSEETF</v>
      </c>
      <c r="J8" s="38">
        <f>'USD VO'!R10*100</f>
        <v>3.7591554533697202</v>
      </c>
      <c r="L8" t="s">
        <v>84</v>
      </c>
      <c r="M8" t="str">
        <f>'USD VO'!E10</f>
        <v>XMED</v>
      </c>
      <c r="N8" t="str">
        <f>'USD VO'!G10</f>
        <v>STK</v>
      </c>
      <c r="O8" t="str">
        <f>'USD VO'!F10</f>
        <v>SMART/LSEETF</v>
      </c>
      <c r="U8" s="38">
        <f>'USD VO'!T10*100</f>
        <v>2.7194843808713434</v>
      </c>
      <c r="W8" t="s">
        <v>84</v>
      </c>
      <c r="X8" t="str">
        <f>'USD VO'!E10</f>
        <v>XMED</v>
      </c>
      <c r="Y8" t="str">
        <f>'USD VO'!G10</f>
        <v>STK</v>
      </c>
      <c r="Z8" t="str">
        <f>'USD VO'!F10</f>
        <v>SMART/LSEETF</v>
      </c>
      <c r="AF8" s="38">
        <f>'USD VO'!V10*100</f>
        <v>1.8037776482297276</v>
      </c>
      <c r="AH8" t="s">
        <v>84</v>
      </c>
      <c r="AI8" t="str">
        <f>'USD VO'!E10</f>
        <v>XMED</v>
      </c>
      <c r="AJ8" t="str">
        <f>'USD VO'!G10</f>
        <v>STK</v>
      </c>
      <c r="AK8" t="str">
        <f>'USD VO'!F10</f>
        <v>SMART/LSEETF</v>
      </c>
      <c r="AQ8" s="38">
        <f>'USD VO'!X10*100</f>
        <v>1.2602581751057627</v>
      </c>
      <c r="AS8" t="s">
        <v>84</v>
      </c>
      <c r="AT8" t="str">
        <f>'USD VO'!E20</f>
        <v>VDCP</v>
      </c>
      <c r="AU8" t="str">
        <f>'USD VO'!G20</f>
        <v>STK</v>
      </c>
      <c r="AV8" t="str">
        <f>'USD VO'!F20</f>
        <v>SMART/LSEETF</v>
      </c>
      <c r="BB8" s="38">
        <f>'USD VO'!Z20*100</f>
        <v>16.434787172574307</v>
      </c>
      <c r="BD8" t="s">
        <v>84</v>
      </c>
      <c r="BE8" t="str">
        <f>'USD VO'!E50</f>
        <v>VGK</v>
      </c>
      <c r="BF8" t="str">
        <f>'USD VO'!G50</f>
        <v>STK</v>
      </c>
      <c r="BG8" t="str">
        <f>'USD VO'!F50</f>
        <v>SMART/AMEX</v>
      </c>
      <c r="BM8" s="38">
        <f>'USD VO'!R50*100</f>
        <v>3.7721686319786647</v>
      </c>
      <c r="BO8" t="s">
        <v>84</v>
      </c>
      <c r="BP8" t="str">
        <f>'USD VO'!E50</f>
        <v>VGK</v>
      </c>
      <c r="BQ8" t="str">
        <f>'USD VO'!G50</f>
        <v>STK</v>
      </c>
      <c r="BR8" t="str">
        <f>'USD VO'!F50</f>
        <v>SMART/AMEX</v>
      </c>
      <c r="BX8" s="38">
        <f>'USD VO'!T50*100</f>
        <v>2.7178923449742052</v>
      </c>
      <c r="BZ8" t="s">
        <v>84</v>
      </c>
      <c r="CA8" t="str">
        <f>'USD VO'!E50</f>
        <v>VGK</v>
      </c>
      <c r="CB8" t="str">
        <f>'USD VO'!G50</f>
        <v>STK</v>
      </c>
      <c r="CC8" t="str">
        <f>'USD VO'!F50</f>
        <v>SMART/AMEX</v>
      </c>
      <c r="CI8" s="38">
        <f>'USD VO'!V50*100</f>
        <v>1.8093769480305815</v>
      </c>
      <c r="CK8" t="s">
        <v>84</v>
      </c>
      <c r="CL8" t="str">
        <f>'USD VO'!E50</f>
        <v>VGK</v>
      </c>
      <c r="CM8" t="str">
        <f>'USD VO'!G50</f>
        <v>STK</v>
      </c>
      <c r="CN8" t="str">
        <f>'USD VO'!F50</f>
        <v>SMART/AMEX</v>
      </c>
      <c r="CT8" s="38">
        <f>'USD VO'!X50*100</f>
        <v>1.2643553605557243</v>
      </c>
      <c r="CV8" t="s">
        <v>84</v>
      </c>
      <c r="CW8" t="str">
        <f>'USD VO'!E62</f>
        <v>IEF</v>
      </c>
      <c r="CX8" t="str">
        <f>'USD VO'!G62</f>
        <v>STK</v>
      </c>
      <c r="CY8" t="str">
        <f>'USD VO'!F62</f>
        <v>SMART/AMEX</v>
      </c>
      <c r="DE8" s="38">
        <f>'USD VO'!Z62*100</f>
        <v>23.562475322547549</v>
      </c>
      <c r="DG8" t="s">
        <v>84</v>
      </c>
      <c r="DH8" t="str">
        <f>'USD VO'!E92</f>
        <v>VGK</v>
      </c>
      <c r="DI8" t="str">
        <f>'USD VO'!G92</f>
        <v>STK</v>
      </c>
      <c r="DJ8" t="str">
        <f>'USD VO'!F92</f>
        <v>SMART/AMEX</v>
      </c>
      <c r="DP8" s="38">
        <f>'USD VO'!R92*100</f>
        <v>2.8048035203789108</v>
      </c>
      <c r="DR8" t="s">
        <v>84</v>
      </c>
      <c r="DS8" t="str">
        <f>'USD VO'!E91</f>
        <v>ESGV</v>
      </c>
      <c r="DT8" t="str">
        <f>'USD VO'!G91</f>
        <v>STK</v>
      </c>
      <c r="DU8" t="str">
        <f>'USD VO'!F91</f>
        <v>SMART/AMEX</v>
      </c>
      <c r="EA8" s="38">
        <f>'USD VO'!T91*100</f>
        <v>21.155385598004536</v>
      </c>
      <c r="EC8" t="s">
        <v>84</v>
      </c>
      <c r="ED8" t="str">
        <f>'USD VO'!E91</f>
        <v>ESGV</v>
      </c>
      <c r="EE8" t="str">
        <f>'USD VO'!G91</f>
        <v>STK</v>
      </c>
      <c r="EF8" t="str">
        <f>'USD VO'!F91</f>
        <v>SMART/AMEX</v>
      </c>
      <c r="EL8" s="38">
        <f>'USD VO'!V91*100</f>
        <v>14.034055777517739</v>
      </c>
      <c r="EN8" t="s">
        <v>84</v>
      </c>
      <c r="EO8" t="str">
        <f>'USD VO'!E91</f>
        <v>ESGV</v>
      </c>
      <c r="EP8" t="str">
        <f>'USD VO'!G91</f>
        <v>STK</v>
      </c>
      <c r="EQ8" t="str">
        <f>'USD VO'!F91</f>
        <v>SMART/AMEX</v>
      </c>
      <c r="EW8" s="38">
        <f>'USD VO'!X91*100</f>
        <v>9.7920662241087655</v>
      </c>
      <c r="EY8" t="s">
        <v>84</v>
      </c>
      <c r="EZ8" t="str">
        <f>'USD VO'!E102</f>
        <v>IEF</v>
      </c>
      <c r="FA8" t="str">
        <f>'USD VO'!G102</f>
        <v>STK</v>
      </c>
      <c r="FB8" t="str">
        <f>'USD VO'!F102</f>
        <v>SMART/AMEX</v>
      </c>
      <c r="FH8" s="38">
        <f>'USD VO'!Z102*100</f>
        <v>29.713103258956941</v>
      </c>
      <c r="FJ8" t="s">
        <v>84</v>
      </c>
      <c r="FK8" t="str">
        <f>'USD VO'!E131</f>
        <v>REMX</v>
      </c>
      <c r="FL8" t="str">
        <f>'USD VO'!G131</f>
        <v>STK</v>
      </c>
      <c r="FM8" t="str">
        <f>'USD VO'!F131</f>
        <v>SMART/LSEETF</v>
      </c>
      <c r="FS8" s="38">
        <f>'USD VO'!R131*100</f>
        <v>4.6567938714282437</v>
      </c>
      <c r="FU8" t="s">
        <v>84</v>
      </c>
      <c r="FV8" t="str">
        <f>'USD VO'!E173</f>
        <v>SGLD</v>
      </c>
      <c r="FW8" t="str">
        <f>'USD VO'!G173</f>
        <v>STK</v>
      </c>
      <c r="FX8" t="str">
        <f>'USD VO'!F173</f>
        <v>SMART/LSEETF</v>
      </c>
      <c r="GD8" s="38">
        <f>'USD VO'!R173*100</f>
        <v>18.489402294594452</v>
      </c>
      <c r="GF8" t="s">
        <v>84</v>
      </c>
      <c r="GG8" t="str">
        <f>'USD VO'!E152</f>
        <v>CERY</v>
      </c>
      <c r="GH8" t="str">
        <f>'USD VO'!G152</f>
        <v>STK</v>
      </c>
      <c r="GI8" t="str">
        <f>'USD VO'!F152</f>
        <v>SMART/AMEX</v>
      </c>
      <c r="GO8" s="38">
        <f>'USD VO'!R152*100</f>
        <v>27.852441242794292</v>
      </c>
      <c r="GQ8" t="s">
        <v>84</v>
      </c>
      <c r="GR8" t="str">
        <f>'USD VO'!E192</f>
        <v>REMX</v>
      </c>
      <c r="GS8" t="str">
        <f>'USD VO'!G192</f>
        <v>STK</v>
      </c>
      <c r="GT8" t="str">
        <f>'USD VO'!F192</f>
        <v>SMART/AMEX</v>
      </c>
      <c r="GZ8" s="38">
        <f>'USD VO'!R192*100</f>
        <v>5.3137978707988403</v>
      </c>
      <c r="HB8" t="s">
        <v>84</v>
      </c>
      <c r="HC8" t="str">
        <f>'GBP VO'!E10</f>
        <v>XWHS</v>
      </c>
      <c r="HD8" t="str">
        <f>'GBP VO'!G10</f>
        <v>STK</v>
      </c>
      <c r="HE8" t="str">
        <f>'GBP VO'!F10</f>
        <v>SMART/LSEETF</v>
      </c>
      <c r="HK8" s="38">
        <f>'GBP VO'!R10*100</f>
        <v>4.0517940590575012</v>
      </c>
      <c r="HM8" t="s">
        <v>84</v>
      </c>
      <c r="HN8" t="str">
        <f>'GBP VO'!E10</f>
        <v>XWHS</v>
      </c>
      <c r="HO8" t="str">
        <f>'GBP VO'!G10</f>
        <v>STK</v>
      </c>
      <c r="HP8" t="str">
        <f>'GBP VO'!F10</f>
        <v>SMART/LSEETF</v>
      </c>
      <c r="HV8" s="38">
        <f>'GBP VO'!T10*100</f>
        <v>2.781713972777816</v>
      </c>
      <c r="HX8" t="s">
        <v>84</v>
      </c>
      <c r="HY8" t="str">
        <f>'GBP VO'!E10</f>
        <v>XWHS</v>
      </c>
      <c r="HZ8" t="str">
        <f>'GBP VO'!G10</f>
        <v>STK</v>
      </c>
      <c r="IA8" t="str">
        <f>'GBP VO'!F10</f>
        <v>SMART/LSEETF</v>
      </c>
      <c r="IG8" s="38">
        <f>'GBP VO'!V10*100</f>
        <v>1.8454445330230322</v>
      </c>
      <c r="II8" t="s">
        <v>84</v>
      </c>
      <c r="IJ8" t="str">
        <f>'GBP VO'!E10</f>
        <v>XWHS</v>
      </c>
      <c r="IK8" t="str">
        <f>'GBP VO'!G10</f>
        <v>STK</v>
      </c>
      <c r="IL8" t="str">
        <f>'GBP VO'!F10</f>
        <v>SMART/LSEETF</v>
      </c>
      <c r="IR8" s="38">
        <f>'GBP VO'!X10*100</f>
        <v>1.2897873594594425</v>
      </c>
      <c r="IT8" t="s">
        <v>84</v>
      </c>
      <c r="IU8" t="str">
        <f>'EUR VO'!E10</f>
        <v>XDWH</v>
      </c>
      <c r="IV8" t="str">
        <f>'EUR VO'!G10</f>
        <v>STK</v>
      </c>
      <c r="IW8">
        <f>'EUR VO'!F10</f>
        <v>0</v>
      </c>
      <c r="JC8" s="38">
        <f>'EUR VO'!R10*100</f>
        <v>3.850076179128608</v>
      </c>
      <c r="JE8" t="s">
        <v>84</v>
      </c>
      <c r="JF8" t="str">
        <f>'EUR VO'!E10</f>
        <v>XDWH</v>
      </c>
      <c r="JG8" t="str">
        <f>'EUR VO'!G10</f>
        <v>STK</v>
      </c>
      <c r="JH8">
        <f>'EUR VO'!F10</f>
        <v>0</v>
      </c>
      <c r="JN8" s="38">
        <f>'EUR VO'!T10*100</f>
        <v>2.7859416995171538</v>
      </c>
      <c r="JP8" t="s">
        <v>84</v>
      </c>
      <c r="JQ8" t="str">
        <f>'EUR VO'!E10</f>
        <v>XDWH</v>
      </c>
      <c r="JR8" t="str">
        <f>'EUR VO'!G10</f>
        <v>STK</v>
      </c>
      <c r="JS8">
        <f>'EUR VO'!F10</f>
        <v>0</v>
      </c>
      <c r="JY8" s="38">
        <f>'EUR VO'!V10*100</f>
        <v>1.8513038341458663</v>
      </c>
      <c r="KA8" t="s">
        <v>84</v>
      </c>
      <c r="KB8" t="str">
        <f>'EUR VO'!E10</f>
        <v>XDWH</v>
      </c>
      <c r="KC8" t="str">
        <f>'EUR VO'!G10</f>
        <v>STK</v>
      </c>
      <c r="KD8">
        <f>'EUR VO'!F10</f>
        <v>0</v>
      </c>
      <c r="KJ8" s="38">
        <f>'EUR VO'!X10*100</f>
        <v>1.2946266617447908</v>
      </c>
      <c r="KL8" t="s">
        <v>84</v>
      </c>
      <c r="KM8" t="str">
        <f>'AUD VO'!E10</f>
        <v>VEQ</v>
      </c>
      <c r="KN8" t="str">
        <f>'AUD VO'!G10</f>
        <v>STK</v>
      </c>
      <c r="KO8" t="str">
        <f>'AUD VO'!F10</f>
        <v>SMART/ASX</v>
      </c>
      <c r="KU8" s="38">
        <f>'AUD VO'!R10*100</f>
        <v>3.7037199468577238</v>
      </c>
      <c r="KW8" t="s">
        <v>84</v>
      </c>
      <c r="KX8" t="str">
        <f>'AUD VO'!E10</f>
        <v>VEQ</v>
      </c>
      <c r="KY8" t="str">
        <f>'AUD VO'!G10</f>
        <v>STK</v>
      </c>
      <c r="KZ8" t="str">
        <f>'AUD VO'!F10</f>
        <v>SMART/ASX</v>
      </c>
      <c r="LF8" s="38">
        <f>'AUD VO'!T10*100</f>
        <v>2.6724286631945815</v>
      </c>
      <c r="LH8" t="s">
        <v>84</v>
      </c>
      <c r="LI8" t="str">
        <f>'AUD VO'!E10</f>
        <v>VEQ</v>
      </c>
      <c r="LJ8" t="str">
        <f>'AUD VO'!G10</f>
        <v>STK</v>
      </c>
      <c r="LK8" t="str">
        <f>'AUD VO'!F10</f>
        <v>SMART/ASX</v>
      </c>
      <c r="LQ8" s="38">
        <f>'AUD VO'!V10*100</f>
        <v>1.7864005516962469</v>
      </c>
      <c r="LS8" t="s">
        <v>84</v>
      </c>
      <c r="LT8" t="str">
        <f>'AUD VO'!E10</f>
        <v>VEQ</v>
      </c>
      <c r="LU8" t="str">
        <f>'AUD VO'!G10</f>
        <v>STK</v>
      </c>
      <c r="LV8" t="str">
        <f>'AUD VO'!F10</f>
        <v>SMART/ASX</v>
      </c>
      <c r="MB8" s="38">
        <f>'AUD VO'!X10*100</f>
        <v>1.2492595301123115</v>
      </c>
    </row>
    <row r="9" spans="1:340" x14ac:dyDescent="0.2">
      <c r="A9" t="s">
        <v>84</v>
      </c>
      <c r="B9" t="str">
        <f>'USD VO'!E11</f>
        <v>XDWH</v>
      </c>
      <c r="C9" t="str">
        <f>'USD VO'!G11</f>
        <v>STK</v>
      </c>
      <c r="D9" t="str">
        <f>'USD VO'!F11</f>
        <v>SMART/LSEETF</v>
      </c>
      <c r="J9" s="38">
        <f>'USD VO'!R11*100</f>
        <v>3.7312468273028587</v>
      </c>
      <c r="L9" t="s">
        <v>84</v>
      </c>
      <c r="M9" t="str">
        <f>'USD VO'!E11</f>
        <v>XDWH</v>
      </c>
      <c r="N9" t="str">
        <f>'USD VO'!G11</f>
        <v>STK</v>
      </c>
      <c r="O9" t="str">
        <f>'USD VO'!F11</f>
        <v>SMART/LSEETF</v>
      </c>
      <c r="U9" s="38">
        <f>'USD VO'!T11*100</f>
        <v>2.6992944542716359</v>
      </c>
      <c r="W9" t="s">
        <v>84</v>
      </c>
      <c r="X9" t="str">
        <f>'USD VO'!E11</f>
        <v>XDWH</v>
      </c>
      <c r="Y9" t="str">
        <f>'USD VO'!G11</f>
        <v>STK</v>
      </c>
      <c r="Z9" t="str">
        <f>'USD VO'!F11</f>
        <v>SMART/LSEETF</v>
      </c>
      <c r="AF9" s="38">
        <f>'USD VO'!V11*100</f>
        <v>1.790386088206027</v>
      </c>
      <c r="AH9" t="s">
        <v>84</v>
      </c>
      <c r="AI9" t="str">
        <f>'USD VO'!E11</f>
        <v>XDWH</v>
      </c>
      <c r="AJ9" t="str">
        <f>'USD VO'!G11</f>
        <v>STK</v>
      </c>
      <c r="AK9" t="str">
        <f>'USD VO'!F11</f>
        <v>SMART/LSEETF</v>
      </c>
      <c r="AQ9" s="38">
        <f>'USD VO'!X11*100</f>
        <v>1.2509017984958974</v>
      </c>
      <c r="BB9" s="58"/>
      <c r="BD9" t="s">
        <v>84</v>
      </c>
      <c r="BE9" t="str">
        <f>'USD VO'!E51</f>
        <v>IXJ</v>
      </c>
      <c r="BF9" t="str">
        <f>'USD VO'!G51</f>
        <v>STK</v>
      </c>
      <c r="BG9" t="str">
        <f>'USD VO'!F51</f>
        <v>SMART/AMEX</v>
      </c>
      <c r="BM9" s="38">
        <f>'USD VO'!R51*100</f>
        <v>3.855106869728858</v>
      </c>
      <c r="BO9" t="s">
        <v>84</v>
      </c>
      <c r="BP9" t="str">
        <f>'USD VO'!E51</f>
        <v>IXJ</v>
      </c>
      <c r="BQ9" t="str">
        <f>'USD VO'!G51</f>
        <v>STK</v>
      </c>
      <c r="BR9" t="str">
        <f>'USD VO'!F51</f>
        <v>SMART/AMEX</v>
      </c>
      <c r="BX9" s="38">
        <f>'USD VO'!T51*100</f>
        <v>2.7776503312890064</v>
      </c>
      <c r="BZ9" t="s">
        <v>84</v>
      </c>
      <c r="CA9" t="str">
        <f>'USD VO'!E51</f>
        <v>IXJ</v>
      </c>
      <c r="CB9" t="str">
        <f>'USD VO'!G51</f>
        <v>STK</v>
      </c>
      <c r="CC9" t="str">
        <f>'USD VO'!F51</f>
        <v>SMART/AMEX</v>
      </c>
      <c r="CI9" s="38">
        <f>'USD VO'!V51*100</f>
        <v>1.8491595108310026</v>
      </c>
      <c r="CK9" t="s">
        <v>84</v>
      </c>
      <c r="CL9" t="str">
        <f>'USD VO'!E51</f>
        <v>IXJ</v>
      </c>
      <c r="CM9" t="str">
        <f>'USD VO'!G51</f>
        <v>STK</v>
      </c>
      <c r="CN9" t="str">
        <f>'USD VO'!F51</f>
        <v>SMART/AMEX</v>
      </c>
      <c r="CT9" s="38">
        <f>'USD VO'!X51*100</f>
        <v>1.2921545964131922</v>
      </c>
      <c r="DE9" s="38"/>
      <c r="DG9" t="s">
        <v>84</v>
      </c>
      <c r="DH9" t="str">
        <f>'USD VO'!E93</f>
        <v>WSML</v>
      </c>
      <c r="DI9" t="str">
        <f>'USD VO'!G93</f>
        <v>STK</v>
      </c>
      <c r="DJ9" t="str">
        <f>'USD VO'!F93</f>
        <v>SMART/AMEX</v>
      </c>
      <c r="DP9" s="38">
        <f>'USD VO'!R93*100</f>
        <v>2.8993236931211102</v>
      </c>
      <c r="DR9" t="s">
        <v>84</v>
      </c>
      <c r="DS9" t="str">
        <f>'USD VO'!E92</f>
        <v>VGK</v>
      </c>
      <c r="DT9" t="str">
        <f>'USD VO'!G92</f>
        <v>STK</v>
      </c>
      <c r="DU9" t="str">
        <f>'USD VO'!F92</f>
        <v>SMART/AMEX</v>
      </c>
      <c r="EA9" s="38">
        <f>'USD VO'!T92*100</f>
        <v>2.0280342780336906</v>
      </c>
      <c r="EC9" t="s">
        <v>84</v>
      </c>
      <c r="ED9" t="str">
        <f>'USD VO'!E92</f>
        <v>VGK</v>
      </c>
      <c r="EE9" t="str">
        <f>'USD VO'!G92</f>
        <v>STK</v>
      </c>
      <c r="EF9" t="str">
        <f>'USD VO'!F92</f>
        <v>SMART/AMEX</v>
      </c>
      <c r="EL9" s="38">
        <f>'USD VO'!V92*100</f>
        <v>1.350929284208539</v>
      </c>
      <c r="EN9" t="s">
        <v>84</v>
      </c>
      <c r="EO9" t="str">
        <f>'USD VO'!E92</f>
        <v>VGK</v>
      </c>
      <c r="EP9" t="str">
        <f>'USD VO'!G92</f>
        <v>STK</v>
      </c>
      <c r="EQ9" t="str">
        <f>'USD VO'!F92</f>
        <v>SMART/AMEX</v>
      </c>
      <c r="EW9" s="38">
        <f>'USD VO'!X92*100</f>
        <v>0.94146281669821086</v>
      </c>
      <c r="FH9" s="38"/>
      <c r="FJ9" t="s">
        <v>84</v>
      </c>
      <c r="FK9" t="str">
        <f>'USD VO'!E132</f>
        <v>ROLL</v>
      </c>
      <c r="FL9" t="str">
        <f>'USD VO'!G132</f>
        <v>STK</v>
      </c>
      <c r="FM9" t="str">
        <f>'USD VO'!F132</f>
        <v>SMART/LSEETF</v>
      </c>
      <c r="FS9" s="38">
        <f>'USD VO'!R132*100</f>
        <v>27.915934106581748</v>
      </c>
      <c r="GD9" s="38"/>
      <c r="GF9" t="s">
        <v>84</v>
      </c>
      <c r="GG9" t="str">
        <f>'USD VO'!E153</f>
        <v>GLDM</v>
      </c>
      <c r="GH9" t="str">
        <f>'USD VO'!G153</f>
        <v>STK</v>
      </c>
      <c r="GI9" t="str">
        <f>'USD VO'!F153</f>
        <v>SMART/AMEX</v>
      </c>
      <c r="GO9" s="38">
        <f>'USD VO'!R153*100</f>
        <v>16.837964036203164</v>
      </c>
      <c r="GZ9" s="38"/>
      <c r="HB9" t="s">
        <v>84</v>
      </c>
      <c r="HC9" t="str">
        <f>'GBP VO'!E11</f>
        <v>WLDS</v>
      </c>
      <c r="HD9" t="str">
        <f>'GBP VO'!G11</f>
        <v>STK</v>
      </c>
      <c r="HE9" t="str">
        <f>'GBP VO'!F11</f>
        <v>SMART/LSEETF</v>
      </c>
      <c r="HK9" s="38">
        <f>'GBP VO'!R11*100</f>
        <v>4.1352175392253567</v>
      </c>
      <c r="HM9" t="s">
        <v>84</v>
      </c>
      <c r="HN9" t="str">
        <f>'GBP VO'!E11</f>
        <v>WLDS</v>
      </c>
      <c r="HO9" t="str">
        <f>'GBP VO'!G11</f>
        <v>STK</v>
      </c>
      <c r="HP9" t="str">
        <f>'GBP VO'!F11</f>
        <v>SMART/LSEETF</v>
      </c>
      <c r="HV9" s="38">
        <f>'GBP VO'!T11*100</f>
        <v>2.8389874316600392</v>
      </c>
      <c r="HX9" t="s">
        <v>84</v>
      </c>
      <c r="HY9" t="str">
        <f>'GBP VO'!E11</f>
        <v>WLDS</v>
      </c>
      <c r="HZ9" t="str">
        <f>'GBP VO'!G11</f>
        <v>STK</v>
      </c>
      <c r="IA9" t="str">
        <f>'GBP VO'!F11</f>
        <v>SMART/LSEETF</v>
      </c>
      <c r="IG9" s="38">
        <f>'GBP VO'!V11*100</f>
        <v>1.8834408880098796</v>
      </c>
      <c r="II9" t="s">
        <v>84</v>
      </c>
      <c r="IJ9" t="str">
        <f>'GBP VO'!E11</f>
        <v>WLDS</v>
      </c>
      <c r="IK9" t="str">
        <f>'GBP VO'!G11</f>
        <v>STK</v>
      </c>
      <c r="IL9" t="str">
        <f>'GBP VO'!F11</f>
        <v>SMART/LSEETF</v>
      </c>
      <c r="IR9" s="38">
        <f>'GBP VO'!X11*100</f>
        <v>1.3163431391052685</v>
      </c>
      <c r="IT9" t="s">
        <v>84</v>
      </c>
      <c r="IU9" t="str">
        <f>'EUR VO'!E11</f>
        <v>IUSN</v>
      </c>
      <c r="IV9" t="str">
        <f>'EUR VO'!G11</f>
        <v>STK</v>
      </c>
      <c r="IW9">
        <f>'EUR VO'!F11</f>
        <v>0</v>
      </c>
      <c r="JC9" s="38">
        <f>'EUR VO'!R11*100</f>
        <v>3.9244607046869815</v>
      </c>
      <c r="JE9" t="s">
        <v>84</v>
      </c>
      <c r="JF9" t="str">
        <f>'EUR VO'!E11</f>
        <v>IUSN</v>
      </c>
      <c r="JG9" t="str">
        <f>'EUR VO'!G11</f>
        <v>STK</v>
      </c>
      <c r="JH9">
        <f>'EUR VO'!F11</f>
        <v>0</v>
      </c>
      <c r="JN9" s="38">
        <f>'EUR VO'!T11*100</f>
        <v>2.8397668556725866</v>
      </c>
      <c r="JP9" t="s">
        <v>84</v>
      </c>
      <c r="JQ9" t="str">
        <f>'EUR VO'!E11</f>
        <v>IUSN</v>
      </c>
      <c r="JR9" t="str">
        <f>'EUR VO'!G11</f>
        <v>STK</v>
      </c>
      <c r="JS9">
        <f>'EUR VO'!F11</f>
        <v>0</v>
      </c>
      <c r="JY9" s="38">
        <f>'EUR VO'!V11*100</f>
        <v>1.8870715309290822</v>
      </c>
      <c r="KA9" t="s">
        <v>84</v>
      </c>
      <c r="KB9" t="str">
        <f>'EUR VO'!E11</f>
        <v>IUSN</v>
      </c>
      <c r="KC9" t="str">
        <f>'EUR VO'!G11</f>
        <v>STK</v>
      </c>
      <c r="KD9">
        <f>'EUR VO'!F11</f>
        <v>0</v>
      </c>
      <c r="KJ9" s="38">
        <f>'EUR VO'!X11*100</f>
        <v>1.3196392031929804</v>
      </c>
      <c r="KL9" t="s">
        <v>84</v>
      </c>
      <c r="KM9" t="str">
        <f>'AUD VO'!E11</f>
        <v>VISM</v>
      </c>
      <c r="KN9" t="str">
        <f>'AUD VO'!G11</f>
        <v>STK</v>
      </c>
      <c r="KO9" t="str">
        <f>'AUD VO'!F11</f>
        <v>SMART/ASX</v>
      </c>
      <c r="KU9" s="38">
        <f>'AUD VO'!R11*100</f>
        <v>3.832993416124856</v>
      </c>
      <c r="KW9" t="s">
        <v>84</v>
      </c>
      <c r="KX9" t="str">
        <f>'AUD VO'!E11</f>
        <v>VISM</v>
      </c>
      <c r="KY9" t="str">
        <f>'AUD VO'!G11</f>
        <v>STK</v>
      </c>
      <c r="KZ9" t="str">
        <f>'AUD VO'!F11</f>
        <v>SMART/ASX</v>
      </c>
      <c r="LF9" s="38">
        <f>'AUD VO'!T11*100</f>
        <v>2.7657062677697306</v>
      </c>
      <c r="LH9" t="s">
        <v>84</v>
      </c>
      <c r="LI9" t="str">
        <f>'AUD VO'!E11</f>
        <v>VISM</v>
      </c>
      <c r="LJ9" t="str">
        <f>'AUD VO'!G11</f>
        <v>STK</v>
      </c>
      <c r="LK9" t="str">
        <f>'AUD VO'!F11</f>
        <v>SMART/ASX</v>
      </c>
      <c r="LQ9" s="38">
        <f>'AUD VO'!V11*100</f>
        <v>1.8487525113832677</v>
      </c>
      <c r="LS9" t="s">
        <v>84</v>
      </c>
      <c r="LT9" t="str">
        <f>'AUD VO'!E11</f>
        <v>VISM</v>
      </c>
      <c r="LU9" t="str">
        <f>'AUD VO'!G11</f>
        <v>STK</v>
      </c>
      <c r="LV9" t="str">
        <f>'AUD VO'!F11</f>
        <v>SMART/ASX</v>
      </c>
      <c r="MB9" s="38">
        <f>'AUD VO'!X11*100</f>
        <v>1.2928632895190277</v>
      </c>
    </row>
    <row r="10" spans="1:340" x14ac:dyDescent="0.2">
      <c r="J10" s="38"/>
      <c r="L10" t="s">
        <v>84</v>
      </c>
      <c r="M10" t="str">
        <f>'USD VO'!E14</f>
        <v>ASIG</v>
      </c>
      <c r="N10" t="str">
        <f>'USD VO'!G14</f>
        <v>STK</v>
      </c>
      <c r="O10" t="str">
        <f>'USD VO'!F14</f>
        <v>SMART/AEB</v>
      </c>
      <c r="U10" s="38">
        <f>'USD VO'!T14*100</f>
        <v>2.5892273913004775</v>
      </c>
      <c r="W10" t="s">
        <v>84</v>
      </c>
      <c r="X10" t="str">
        <f>'USD VO'!E14</f>
        <v>ASIG</v>
      </c>
      <c r="Y10" t="str">
        <f>'USD VO'!G14</f>
        <v>STK</v>
      </c>
      <c r="Z10" t="str">
        <f>'USD VO'!F14</f>
        <v>SMART/AEB</v>
      </c>
      <c r="AF10" s="38">
        <f>'USD VO'!V14*100</f>
        <v>5.1424944498151017</v>
      </c>
      <c r="AH10" t="s">
        <v>84</v>
      </c>
      <c r="AI10" t="str">
        <f>'USD VO'!E14</f>
        <v>ASIG</v>
      </c>
      <c r="AJ10" t="str">
        <f>'USD VO'!G14</f>
        <v>STK</v>
      </c>
      <c r="AK10" t="str">
        <f>'USD VO'!F14</f>
        <v>SMART/AEB</v>
      </c>
      <c r="AQ10" s="38">
        <f>'USD VO'!X14*100</f>
        <v>6.6637577574932649</v>
      </c>
      <c r="BB10" s="38"/>
      <c r="BD10" t="s">
        <v>84</v>
      </c>
      <c r="BE10" t="str">
        <f>'USD VO'!E52</f>
        <v>WSML</v>
      </c>
      <c r="BF10" t="str">
        <f>'USD VO'!G52</f>
        <v>STK</v>
      </c>
      <c r="BG10" t="str">
        <f>'USD VO'!F52</f>
        <v>SMART/AMEX</v>
      </c>
      <c r="BM10" s="38">
        <f>'USD VO'!R52*100</f>
        <v>3.8773984322579995</v>
      </c>
      <c r="BO10" t="s">
        <v>84</v>
      </c>
      <c r="BP10" t="str">
        <f>'USD VO'!E52</f>
        <v>WSML</v>
      </c>
      <c r="BQ10" t="str">
        <f>'USD VO'!G52</f>
        <v>STK</v>
      </c>
      <c r="BR10" t="str">
        <f>'USD VO'!F52</f>
        <v>SMART/AMEX</v>
      </c>
      <c r="BX10" s="38">
        <f>'USD VO'!T52*100</f>
        <v>2.7937116671057241</v>
      </c>
      <c r="BZ10" t="s">
        <v>84</v>
      </c>
      <c r="CA10" t="str">
        <f>'USD VO'!E52</f>
        <v>WSML</v>
      </c>
      <c r="CB10" t="str">
        <f>'USD VO'!G52</f>
        <v>STK</v>
      </c>
      <c r="CC10" t="str">
        <f>'USD VO'!F52</f>
        <v>SMART/AMEX</v>
      </c>
      <c r="CI10" s="38">
        <f>'USD VO'!V52*100</f>
        <v>1.8598519912874465</v>
      </c>
      <c r="CK10" t="s">
        <v>84</v>
      </c>
      <c r="CL10" t="str">
        <f>'USD VO'!E52</f>
        <v>WSML</v>
      </c>
      <c r="CM10" t="str">
        <f>'USD VO'!G52</f>
        <v>STK</v>
      </c>
      <c r="CN10" t="str">
        <f>'USD VO'!F52</f>
        <v>SMART/AMEX</v>
      </c>
      <c r="CT10" s="38">
        <f>'USD VO'!X52*100</f>
        <v>1.2996262816236452</v>
      </c>
      <c r="DE10" s="38"/>
      <c r="DG10" t="s">
        <v>84</v>
      </c>
      <c r="DH10" t="str">
        <f>'USD VO'!E94</f>
        <v>XSOE</v>
      </c>
      <c r="DI10" t="str">
        <f>'USD VO'!G94</f>
        <v>STK</v>
      </c>
      <c r="DJ10" t="str">
        <f>'USD VO'!F94</f>
        <v>SMART/AMEX</v>
      </c>
      <c r="DP10" s="38">
        <f>'USD VO'!R94*100</f>
        <v>2.8150434171074266</v>
      </c>
      <c r="DR10" t="s">
        <v>84</v>
      </c>
      <c r="DS10" t="str">
        <f>'USD VO'!E93</f>
        <v>WSML</v>
      </c>
      <c r="DT10" t="str">
        <f>'USD VO'!G93</f>
        <v>STK</v>
      </c>
      <c r="DU10" t="str">
        <f>'USD VO'!F93</f>
        <v>SMART/AMEX</v>
      </c>
      <c r="EA10" s="38">
        <f>'USD VO'!T93*100</f>
        <v>2.096377799743534</v>
      </c>
      <c r="EC10" t="s">
        <v>84</v>
      </c>
      <c r="ED10" t="str">
        <f>'USD VO'!E93</f>
        <v>WSML</v>
      </c>
      <c r="EE10" t="str">
        <f>'USD VO'!G93</f>
        <v>STK</v>
      </c>
      <c r="EF10" t="str">
        <f>'USD VO'!F93</f>
        <v>SMART/AMEX</v>
      </c>
      <c r="EL10" s="38">
        <f>'USD VO'!V93*100</f>
        <v>1.3964547794448825</v>
      </c>
      <c r="EN10" t="s">
        <v>84</v>
      </c>
      <c r="EO10" t="str">
        <f>'USD VO'!E93</f>
        <v>WSML</v>
      </c>
      <c r="EP10" t="str">
        <f>'USD VO'!G93</f>
        <v>STK</v>
      </c>
      <c r="EQ10" t="str">
        <f>'USD VO'!F93</f>
        <v>SMART/AMEX</v>
      </c>
      <c r="EW10" s="38">
        <f>'USD VO'!X93*100</f>
        <v>0.97318954101887045</v>
      </c>
      <c r="FH10" s="38"/>
      <c r="FJ10" t="s">
        <v>84</v>
      </c>
      <c r="FK10" t="str">
        <f>'USD VO'!E133</f>
        <v>SGLD</v>
      </c>
      <c r="FL10" t="str">
        <f>'USD VO'!G133</f>
        <v>STK</v>
      </c>
      <c r="FM10" t="str">
        <f>'USD VO'!F133</f>
        <v>SMART/LSEETF</v>
      </c>
      <c r="FS10" s="38">
        <f>'USD VO'!R133*100</f>
        <v>16.693642056010862</v>
      </c>
      <c r="GD10" s="38"/>
      <c r="GF10" t="s">
        <v>84</v>
      </c>
      <c r="GG10" t="str">
        <f>'USD VO'!E154</f>
        <v>REMX</v>
      </c>
      <c r="GH10" t="str">
        <f>'USD VO'!G154</f>
        <v>STK</v>
      </c>
      <c r="GI10" t="str">
        <f>'USD VO'!F154</f>
        <v>SMART/AMEX</v>
      </c>
      <c r="GO10" s="38">
        <f>'USD VO'!R154*100</f>
        <v>4.7167411465827582</v>
      </c>
      <c r="GZ10" s="38"/>
      <c r="HB10" t="s">
        <v>84</v>
      </c>
      <c r="HC10" t="str">
        <f>'GBP VO'!E12</f>
        <v>WXAG</v>
      </c>
      <c r="HD10" t="str">
        <f>'GBP VO'!G12</f>
        <v>STK</v>
      </c>
      <c r="HE10" t="str">
        <f>'GBP VO'!F12</f>
        <v>SMART/LSEETF</v>
      </c>
      <c r="HK10" s="38">
        <f>'GBP VO'!R12*100</f>
        <v>0</v>
      </c>
      <c r="HM10" t="s">
        <v>84</v>
      </c>
      <c r="HN10" t="str">
        <f>'GBP VO'!E12</f>
        <v>WXAG</v>
      </c>
      <c r="HO10" t="str">
        <f>'GBP VO'!G12</f>
        <v>STK</v>
      </c>
      <c r="HP10" t="str">
        <f>'GBP VO'!F12</f>
        <v>SMART/LSEETF</v>
      </c>
      <c r="HV10" s="38">
        <f>'GBP VO'!T12*100</f>
        <v>2.9913742347916479</v>
      </c>
      <c r="HX10" t="s">
        <v>84</v>
      </c>
      <c r="HY10" t="str">
        <f>'GBP VO'!E12</f>
        <v>WXAG</v>
      </c>
      <c r="HZ10" t="str">
        <f>'GBP VO'!G12</f>
        <v>STK</v>
      </c>
      <c r="IA10" t="str">
        <f>'GBP VO'!F12</f>
        <v>SMART/LSEETF</v>
      </c>
      <c r="IG10" s="38">
        <f>'GBP VO'!V12*100</f>
        <v>2.9768059990237798</v>
      </c>
      <c r="II10" t="s">
        <v>84</v>
      </c>
      <c r="IJ10" t="str">
        <f>'GBP VO'!E12</f>
        <v>WXAG</v>
      </c>
      <c r="IK10" t="str">
        <f>'GBP VO'!G12</f>
        <v>STK</v>
      </c>
      <c r="IL10" t="str">
        <f>'GBP VO'!F12</f>
        <v>SMART/LSEETF</v>
      </c>
      <c r="IR10" s="38">
        <f>'GBP VO'!X12*100</f>
        <v>2.9677715936120155</v>
      </c>
      <c r="IT10" t="s">
        <v>84</v>
      </c>
      <c r="IU10" t="str">
        <f>'EUR VO'!E12</f>
        <v>WAXG</v>
      </c>
      <c r="IV10" t="str">
        <f>'EUR VO'!G12</f>
        <v>STK</v>
      </c>
      <c r="IW10">
        <f>'EUR VO'!F12</f>
        <v>0</v>
      </c>
      <c r="JC10" s="38">
        <f>'EUR VO'!R12*100</f>
        <v>0</v>
      </c>
      <c r="JE10" t="s">
        <v>84</v>
      </c>
      <c r="JF10" t="str">
        <f>'EUR VO'!E12</f>
        <v>WAXG</v>
      </c>
      <c r="JG10" t="str">
        <f>'EUR VO'!G12</f>
        <v>STK</v>
      </c>
      <c r="JH10">
        <f>'EUR VO'!F12</f>
        <v>0</v>
      </c>
      <c r="JN10" s="38">
        <f>'EUR VO'!T12*100</f>
        <v>3.0058906238761187</v>
      </c>
      <c r="JP10" t="s">
        <v>84</v>
      </c>
      <c r="JQ10" t="str">
        <f>'EUR VO'!E12</f>
        <v>WAXG</v>
      </c>
      <c r="JR10" t="str">
        <f>'EUR VO'!G12</f>
        <v>STK</v>
      </c>
      <c r="JS10">
        <f>'EUR VO'!F12</f>
        <v>0</v>
      </c>
      <c r="JY10" s="38">
        <f>'EUR VO'!V12*100</f>
        <v>2.9961952387424846</v>
      </c>
      <c r="KA10" t="s">
        <v>84</v>
      </c>
      <c r="KB10" t="str">
        <f>'EUR VO'!E12</f>
        <v>WAXG</v>
      </c>
      <c r="KC10" t="str">
        <f>'EUR VO'!G12</f>
        <v>STK</v>
      </c>
      <c r="KD10">
        <f>'EUR VO'!F12</f>
        <v>0</v>
      </c>
      <c r="KJ10" s="38">
        <f>'EUR VO'!X12*100</f>
        <v>2.9888201138179671</v>
      </c>
      <c r="KU10" s="38"/>
      <c r="KW10" t="s">
        <v>84</v>
      </c>
      <c r="KX10" t="str">
        <f>'AUD VO'!E12</f>
        <v>ETPMPM.1</v>
      </c>
      <c r="KY10" t="str">
        <f>'AUD VO'!G12</f>
        <v>STK</v>
      </c>
      <c r="KZ10" t="str">
        <f>'AUD VO'!F12</f>
        <v>SMART/ASX</v>
      </c>
      <c r="LF10" s="38">
        <f>'AUD VO'!T12*100</f>
        <v>3.032500581966123</v>
      </c>
      <c r="LH10" t="s">
        <v>84</v>
      </c>
      <c r="LI10" t="str">
        <f>'AUD VO'!E12</f>
        <v>ETPMPM.1</v>
      </c>
      <c r="LJ10" t="str">
        <f>'AUD VO'!G12</f>
        <v>STK</v>
      </c>
      <c r="LK10" t="str">
        <f>'AUD VO'!F12</f>
        <v>SMART/ASX</v>
      </c>
      <c r="LQ10" s="38">
        <f>'AUD VO'!V12*100</f>
        <v>3.0301901623046565</v>
      </c>
      <c r="LS10" t="s">
        <v>84</v>
      </c>
      <c r="LT10" t="str">
        <f>'AUD VO'!E12</f>
        <v>ETPMPM.1</v>
      </c>
      <c r="LU10" t="str">
        <f>'AUD VO'!G12</f>
        <v>STK</v>
      </c>
      <c r="LV10" t="str">
        <f>'AUD VO'!F12</f>
        <v>SMART/ASX</v>
      </c>
      <c r="MB10" s="38">
        <f>'AUD VO'!X12*100</f>
        <v>3.027231758391165</v>
      </c>
    </row>
    <row r="11" spans="1:340" x14ac:dyDescent="0.2">
      <c r="J11" s="38"/>
      <c r="L11" t="s">
        <v>84</v>
      </c>
      <c r="M11" t="str">
        <f>'USD VO'!E15</f>
        <v>CORP</v>
      </c>
      <c r="N11" t="str">
        <f>'USD VO'!G15</f>
        <v>STK</v>
      </c>
      <c r="O11" t="str">
        <f>'USD VO'!F15</f>
        <v>SMART/LSEETF</v>
      </c>
      <c r="U11" s="38">
        <f>'USD VO'!T15*100</f>
        <v>3.9461086175752431</v>
      </c>
      <c r="W11" t="s">
        <v>84</v>
      </c>
      <c r="X11" t="str">
        <f>'USD VO'!E15</f>
        <v>CORP</v>
      </c>
      <c r="Y11" t="str">
        <f>'USD VO'!G15</f>
        <v>STK</v>
      </c>
      <c r="Z11" t="str">
        <f>'USD VO'!F15</f>
        <v>SMART/LSEETF</v>
      </c>
      <c r="AF11" s="38">
        <f>'USD VO'!V15*100</f>
        <v>7.8521162746170745</v>
      </c>
      <c r="AH11" t="s">
        <v>84</v>
      </c>
      <c r="AI11" t="str">
        <f>'USD VO'!E15</f>
        <v>CORP</v>
      </c>
      <c r="AJ11" t="str">
        <f>'USD VO'!G15</f>
        <v>STK</v>
      </c>
      <c r="AK11" t="str">
        <f>'USD VO'!F15</f>
        <v>SMART/LSEETF</v>
      </c>
      <c r="AQ11" s="38">
        <f>'USD VO'!X15*100</f>
        <v>10.181075066598698</v>
      </c>
      <c r="BB11" s="38"/>
      <c r="BD11" t="s">
        <v>84</v>
      </c>
      <c r="BE11" t="str">
        <f>'USD VO'!E53</f>
        <v>FLCH</v>
      </c>
      <c r="BF11" t="str">
        <f>'USD VO'!G53</f>
        <v>STK</v>
      </c>
      <c r="BG11" t="str">
        <f>'USD VO'!F53</f>
        <v>SMART/AMEX</v>
      </c>
      <c r="BM11" s="38">
        <f>'USD VO'!R53*100</f>
        <v>2.1863088899942356</v>
      </c>
      <c r="BO11" t="s">
        <v>84</v>
      </c>
      <c r="BP11" t="str">
        <f>'USD VO'!E53</f>
        <v>FLCH</v>
      </c>
      <c r="BQ11" t="str">
        <f>'USD VO'!G53</f>
        <v>STK</v>
      </c>
      <c r="BR11" t="str">
        <f>'USD VO'!F53</f>
        <v>SMART/AMEX</v>
      </c>
      <c r="BX11" s="38">
        <f>'USD VO'!T53*100</f>
        <v>1.5643976745539856</v>
      </c>
      <c r="BZ11" t="s">
        <v>84</v>
      </c>
      <c r="CA11" t="str">
        <f>'USD VO'!E53</f>
        <v>FLCH</v>
      </c>
      <c r="CB11" t="str">
        <f>'USD VO'!G53</f>
        <v>STK</v>
      </c>
      <c r="CC11" t="str">
        <f>'USD VO'!F53</f>
        <v>SMART/AMEX</v>
      </c>
      <c r="CI11" s="38">
        <f>'USD VO'!V53*100</f>
        <v>1.0465334098188763</v>
      </c>
      <c r="CK11" t="s">
        <v>84</v>
      </c>
      <c r="CL11" t="str">
        <f>'USD VO'!E53</f>
        <v>FLCH</v>
      </c>
      <c r="CM11" t="str">
        <f>'USD VO'!G53</f>
        <v>STK</v>
      </c>
      <c r="CN11" t="str">
        <f>'USD VO'!F53</f>
        <v>SMART/AMEX</v>
      </c>
      <c r="CT11" s="38">
        <f>'USD VO'!X53*100</f>
        <v>0.73280694332185026</v>
      </c>
      <c r="DE11" s="38"/>
      <c r="DP11" s="58"/>
      <c r="DR11" t="s">
        <v>84</v>
      </c>
      <c r="DS11" t="str">
        <f>'USD VO'!E94</f>
        <v>XSOE</v>
      </c>
      <c r="DT11" t="str">
        <f>'USD VO'!G94</f>
        <v>STK</v>
      </c>
      <c r="DU11" t="str">
        <f>'USD VO'!F94</f>
        <v>SMART/AMEX</v>
      </c>
      <c r="EA11" s="38">
        <f>'USD VO'!T94*100</f>
        <v>2.0354383123691022</v>
      </c>
      <c r="EC11" t="s">
        <v>84</v>
      </c>
      <c r="ED11" t="str">
        <f>'USD VO'!E94</f>
        <v>XSOE</v>
      </c>
      <c r="EE11" t="str">
        <f>'USD VO'!G94</f>
        <v>STK</v>
      </c>
      <c r="EF11" t="str">
        <f>'USD VO'!F94</f>
        <v>SMART/AMEX</v>
      </c>
      <c r="EL11" s="38">
        <f>'USD VO'!V94*100</f>
        <v>1.355861314654633</v>
      </c>
      <c r="EN11" t="s">
        <v>84</v>
      </c>
      <c r="EO11" t="str">
        <f>'USD VO'!E94</f>
        <v>XSOE</v>
      </c>
      <c r="EP11" t="str">
        <f>'USD VO'!G94</f>
        <v>STK</v>
      </c>
      <c r="EQ11" t="str">
        <f>'USD VO'!F94</f>
        <v>SMART/AMEX</v>
      </c>
      <c r="EW11" s="38">
        <f>'USD VO'!X94*100</f>
        <v>0.94489994944090649</v>
      </c>
      <c r="FH11" s="38"/>
      <c r="FS11" s="38"/>
      <c r="GD11" s="38"/>
      <c r="GO11" s="38"/>
      <c r="GZ11" s="38"/>
      <c r="HM11" t="s">
        <v>84</v>
      </c>
      <c r="HN11" t="str">
        <f>'GBP VO'!E14</f>
        <v>ASIG</v>
      </c>
      <c r="HO11" t="str">
        <f>'GBP VO'!G14</f>
        <v>STK</v>
      </c>
      <c r="HP11" t="str">
        <f>'GBP VO'!F14</f>
        <v>SMART/AEB</v>
      </c>
      <c r="HV11" s="38">
        <f>'GBP VO'!T14*100</f>
        <v>2.6383826655861102</v>
      </c>
      <c r="HX11" t="s">
        <v>84</v>
      </c>
      <c r="HY11" t="str">
        <f>'GBP VO'!E14</f>
        <v>ASIG</v>
      </c>
      <c r="HZ11" t="str">
        <f>'GBP VO'!G14</f>
        <v>STK</v>
      </c>
      <c r="IA11" t="str">
        <f>'GBP VO'!F14</f>
        <v>SMART/AEB</v>
      </c>
      <c r="IG11" s="38">
        <f>'GBP VO'!V14*100</f>
        <v>5.2461503254756101</v>
      </c>
      <c r="II11" t="s">
        <v>84</v>
      </c>
      <c r="IJ11" t="str">
        <f>'GBP VO'!E14</f>
        <v>ASIG</v>
      </c>
      <c r="IK11" t="str">
        <f>'GBP VO'!G14</f>
        <v>STK</v>
      </c>
      <c r="IL11" t="str">
        <f>'GBP VO'!F14</f>
        <v>SMART/AEB</v>
      </c>
      <c r="IR11" s="38">
        <f>'GBP VO'!X14*100</f>
        <v>6.8037088237989982</v>
      </c>
      <c r="JC11" s="38"/>
      <c r="JE11" t="s">
        <v>84</v>
      </c>
      <c r="JF11" t="str">
        <f>'EUR VO'!E14</f>
        <v>ASIG</v>
      </c>
      <c r="JG11" t="str">
        <f>'EUR VO'!G14</f>
        <v>STK</v>
      </c>
      <c r="JH11" t="str">
        <f>'EUR VO'!F14</f>
        <v>SMART/AEB</v>
      </c>
      <c r="JN11" s="38">
        <f>'EUR VO'!T14*100</f>
        <v>2.6456476730103726</v>
      </c>
      <c r="JP11" t="s">
        <v>84</v>
      </c>
      <c r="JQ11" t="str">
        <f>'EUR VO'!E14</f>
        <v>ASIG</v>
      </c>
      <c r="JR11" t="str">
        <f>'EUR VO'!G14</f>
        <v>STK</v>
      </c>
      <c r="JS11" t="str">
        <f>'EUR VO'!F14</f>
        <v>SMART/AEB</v>
      </c>
      <c r="JY11" s="38">
        <f>'EUR VO'!V14*100</f>
        <v>5.2643516430963144</v>
      </c>
      <c r="KA11" t="s">
        <v>84</v>
      </c>
      <c r="KB11" t="str">
        <f>'EUR VO'!E14</f>
        <v>ASIG</v>
      </c>
      <c r="KC11" t="str">
        <f>'EUR VO'!G14</f>
        <v>STK</v>
      </c>
      <c r="KD11" t="str">
        <f>'EUR VO'!F14</f>
        <v>SMART/AEB</v>
      </c>
      <c r="KJ11" s="38">
        <f>'EUR VO'!X14*100</f>
        <v>6.8376492686555075</v>
      </c>
      <c r="KU11" s="38"/>
      <c r="KW11" t="s">
        <v>84</v>
      </c>
      <c r="KX11" t="str">
        <f>'AUD VO'!E14</f>
        <v>IAF</v>
      </c>
      <c r="KY11" t="str">
        <f>'AUD VO'!G14</f>
        <v>STK</v>
      </c>
      <c r="KZ11" t="str">
        <f>'AUD VO'!F14</f>
        <v>SMART/ASX</v>
      </c>
      <c r="LF11" s="38">
        <f>'AUD VO'!T14*100</f>
        <v>9.3825890168452517</v>
      </c>
      <c r="LH11" t="s">
        <v>84</v>
      </c>
      <c r="LI11" t="str">
        <f>'AUD VO'!E14</f>
        <v>IAF</v>
      </c>
      <c r="LJ11" t="str">
        <f>'AUD VO'!G14</f>
        <v>STK</v>
      </c>
      <c r="LK11" t="str">
        <f>'AUD VO'!F14</f>
        <v>SMART/ASX</v>
      </c>
      <c r="LQ11" s="38">
        <f>'AUD VO'!V14*100</f>
        <v>18.831377314510863</v>
      </c>
      <c r="LS11" t="s">
        <v>84</v>
      </c>
      <c r="LT11" t="str">
        <f>'AUD VO'!E14</f>
        <v>IAF</v>
      </c>
      <c r="LU11" t="str">
        <f>'AUD VO'!G14</f>
        <v>STK</v>
      </c>
      <c r="LV11" t="str">
        <f>'AUD VO'!F14</f>
        <v>SMART/ASX</v>
      </c>
      <c r="MB11" s="38">
        <f>'AUD VO'!X14*100</f>
        <v>24.456416631906645</v>
      </c>
    </row>
    <row r="12" spans="1:340" x14ac:dyDescent="0.2">
      <c r="J12" s="38"/>
      <c r="L12" t="s">
        <v>84</v>
      </c>
      <c r="M12" t="str">
        <f>'USD VO'!E16</f>
        <v>EMGA</v>
      </c>
      <c r="N12" t="str">
        <f>'USD VO'!G16</f>
        <v>STK</v>
      </c>
      <c r="O12" t="str">
        <f>'USD VO'!F16</f>
        <v>SMART/LSEETF</v>
      </c>
      <c r="U12" s="38">
        <f>'USD VO'!T16*100</f>
        <v>2.5307906043913997</v>
      </c>
      <c r="W12" t="s">
        <v>84</v>
      </c>
      <c r="X12" t="str">
        <f>'USD VO'!E16</f>
        <v>EMGA</v>
      </c>
      <c r="Y12" t="str">
        <f>'USD VO'!G16</f>
        <v>STK</v>
      </c>
      <c r="Z12" t="str">
        <f>'USD VO'!F16</f>
        <v>SMART/LSEETF</v>
      </c>
      <c r="AF12" s="38">
        <f>'USD VO'!V16*100</f>
        <v>5.0358629268041799</v>
      </c>
      <c r="AH12" t="s">
        <v>84</v>
      </c>
      <c r="AI12" t="str">
        <f>'USD VO'!E16</f>
        <v>EMGA</v>
      </c>
      <c r="AJ12" t="str">
        <f>'USD VO'!G16</f>
        <v>STK</v>
      </c>
      <c r="AK12" t="str">
        <f>'USD VO'!F16</f>
        <v>SMART/LSEETF</v>
      </c>
      <c r="AQ12" s="38">
        <f>'USD VO'!X16*100</f>
        <v>6.5227608769179488</v>
      </c>
      <c r="BB12" s="38"/>
      <c r="BM12" s="38"/>
      <c r="BO12" t="s">
        <v>84</v>
      </c>
      <c r="BP12" t="str">
        <f>'USD VO'!E54</f>
        <v>GCC</v>
      </c>
      <c r="BQ12" t="str">
        <f>'USD VO'!G54</f>
        <v>STK</v>
      </c>
      <c r="BR12" t="str">
        <f>'USD VO'!F54</f>
        <v>SMART/AMEX</v>
      </c>
      <c r="BX12" s="38">
        <f>'USD VO'!T54*100</f>
        <v>2.8266790769444743</v>
      </c>
      <c r="BZ12" t="s">
        <v>84</v>
      </c>
      <c r="CA12" t="str">
        <f>'USD VO'!E54</f>
        <v>GCC</v>
      </c>
      <c r="CB12" t="str">
        <f>'USD VO'!G54</f>
        <v>STK</v>
      </c>
      <c r="CC12" t="str">
        <f>'USD VO'!F54</f>
        <v>SMART/AMEX</v>
      </c>
      <c r="CI12" s="38">
        <f>'USD VO'!V54*100</f>
        <v>2.8129989805890707</v>
      </c>
      <c r="CK12" t="s">
        <v>84</v>
      </c>
      <c r="CL12" t="str">
        <f>'USD VO'!E54</f>
        <v>GCC</v>
      </c>
      <c r="CM12" t="str">
        <f>'USD VO'!G54</f>
        <v>STK</v>
      </c>
      <c r="CN12" t="str">
        <f>'USD VO'!F54</f>
        <v>SMART/AMEX</v>
      </c>
      <c r="CT12" s="38">
        <f>'USD VO'!X54*100</f>
        <v>2.8039644139660496</v>
      </c>
      <c r="DP12" s="38"/>
      <c r="DR12" t="s">
        <v>84</v>
      </c>
      <c r="DS12" t="str">
        <f>'USD VO'!E96</f>
        <v>LQD</v>
      </c>
      <c r="DT12" t="str">
        <f>'USD VO'!G96</f>
        <v>STK</v>
      </c>
      <c r="DU12" t="str">
        <f>'USD VO'!F96</f>
        <v>SMART/AMEX</v>
      </c>
      <c r="EA12" s="38">
        <f>'USD VO'!T96*100</f>
        <v>5.6280768053474315</v>
      </c>
      <c r="EC12" t="s">
        <v>84</v>
      </c>
      <c r="ED12" t="str">
        <f>'USD VO'!E96</f>
        <v>LQD</v>
      </c>
      <c r="EE12" t="str">
        <f>'USD VO'!G96</f>
        <v>STK</v>
      </c>
      <c r="EF12" t="str">
        <f>'USD VO'!F96</f>
        <v>SMART/AMEX</v>
      </c>
      <c r="EL12" s="38">
        <f>'USD VO'!V96*100</f>
        <v>11.195692813916033</v>
      </c>
      <c r="EN12" t="s">
        <v>84</v>
      </c>
      <c r="EO12" t="str">
        <f>'USD VO'!E96</f>
        <v>LQD</v>
      </c>
      <c r="EP12" t="str">
        <f>'USD VO'!G96</f>
        <v>STK</v>
      </c>
      <c r="EQ12" t="str">
        <f>'USD VO'!F96</f>
        <v>SMART/AMEX</v>
      </c>
      <c r="EW12" s="38">
        <f>'USD VO'!X96*100</f>
        <v>14.516441279446582</v>
      </c>
      <c r="FH12" s="38"/>
      <c r="FS12" s="38"/>
      <c r="GD12" s="38"/>
      <c r="GO12" s="38"/>
      <c r="GZ12" s="38"/>
      <c r="HM12" t="s">
        <v>84</v>
      </c>
      <c r="HN12" t="str">
        <f>'GBP VO'!E15</f>
        <v>SLXX</v>
      </c>
      <c r="HO12" t="str">
        <f>'GBP VO'!G15</f>
        <v>STK</v>
      </c>
      <c r="HP12" t="str">
        <f>'GBP VO'!F15</f>
        <v>SMART/LSEETF</v>
      </c>
      <c r="HV12" s="38">
        <f>'GBP VO'!T15*100</f>
        <v>5.0874304126435455</v>
      </c>
      <c r="HX12" t="s">
        <v>84</v>
      </c>
      <c r="HY12" t="str">
        <f>'GBP VO'!E15</f>
        <v>SLXX</v>
      </c>
      <c r="HZ12" t="str">
        <f>'GBP VO'!G15</f>
        <v>STK</v>
      </c>
      <c r="IA12" t="str">
        <f>'GBP VO'!F15</f>
        <v>SMART/LSEETF</v>
      </c>
      <c r="IG12" s="38">
        <f>'GBP VO'!V15*100</f>
        <v>10.134806838853653</v>
      </c>
      <c r="II12" t="s">
        <v>84</v>
      </c>
      <c r="IJ12" t="str">
        <f>'GBP VO'!E15</f>
        <v>SLXX</v>
      </c>
      <c r="IK12" t="str">
        <f>'GBP VO'!G15</f>
        <v>STK</v>
      </c>
      <c r="IL12" t="str">
        <f>'GBP VO'!F15</f>
        <v>SMART/LSEETF</v>
      </c>
      <c r="IR12" s="38">
        <f>'GBP VO'!X15*100</f>
        <v>13.13431594022911</v>
      </c>
      <c r="JC12" s="38"/>
      <c r="JE12" t="s">
        <v>84</v>
      </c>
      <c r="JF12" t="str">
        <f>'EUR VO'!E15</f>
        <v>EUNH</v>
      </c>
      <c r="JG12" t="str">
        <f>'EUR VO'!G15</f>
        <v>STK</v>
      </c>
      <c r="JH12" t="str">
        <f>'EUR VO'!F15</f>
        <v>SMART/AEB</v>
      </c>
      <c r="JN12" s="38">
        <f>'EUR VO'!T15*100</f>
        <v>6.7307662587178161</v>
      </c>
      <c r="JP12" t="s">
        <v>84</v>
      </c>
      <c r="JQ12" t="str">
        <f>'EUR VO'!E15</f>
        <v>EUNH</v>
      </c>
      <c r="JR12" t="str">
        <f>'EUR VO'!G15</f>
        <v>STK</v>
      </c>
      <c r="JS12" t="str">
        <f>'EUR VO'!F15</f>
        <v>SMART/AEB</v>
      </c>
      <c r="JY12" s="38">
        <f>'EUR VO'!V15*100</f>
        <v>13.418112859644754</v>
      </c>
      <c r="KA12" t="s">
        <v>84</v>
      </c>
      <c r="KB12" t="str">
        <f>'EUR VO'!E15</f>
        <v>EUNH</v>
      </c>
      <c r="KC12" t="str">
        <f>'EUR VO'!G15</f>
        <v>STK</v>
      </c>
      <c r="KD12" t="str">
        <f>'EUR VO'!F15</f>
        <v>SMART/AEB</v>
      </c>
      <c r="KJ12" s="38">
        <f>'EUR VO'!X15*100</f>
        <v>17.402513478417266</v>
      </c>
      <c r="KU12" s="38"/>
      <c r="KW12" t="s">
        <v>84</v>
      </c>
      <c r="KX12" t="str">
        <f>'AUD VO'!E15</f>
        <v>IHCB</v>
      </c>
      <c r="KY12" t="str">
        <f>'AUD VO'!G15</f>
        <v>STK</v>
      </c>
      <c r="KZ12" t="str">
        <f>'AUD VO'!F15</f>
        <v>SMART/ASX</v>
      </c>
      <c r="LF12" s="38">
        <f>'AUD VO'!T15*100</f>
        <v>7.5047018568746182</v>
      </c>
      <c r="LH12" t="s">
        <v>84</v>
      </c>
      <c r="LI12" t="str">
        <f>'AUD VO'!E15</f>
        <v>IHCB</v>
      </c>
      <c r="LJ12" t="str">
        <f>'AUD VO'!G15</f>
        <v>STK</v>
      </c>
      <c r="LK12" t="str">
        <f>'AUD VO'!F15</f>
        <v>SMART/ASX</v>
      </c>
      <c r="LQ12" s="38">
        <f>'AUD VO'!V15*100</f>
        <v>14.961897196669371</v>
      </c>
      <c r="LS12" t="s">
        <v>84</v>
      </c>
      <c r="LT12" t="str">
        <f>'AUD VO'!E15</f>
        <v>IHCB</v>
      </c>
      <c r="LU12" t="str">
        <f>'AUD VO'!G15</f>
        <v>STK</v>
      </c>
      <c r="LV12" t="str">
        <f>'AUD VO'!F15</f>
        <v>SMART/ASX</v>
      </c>
      <c r="MB12" s="38">
        <f>'AUD VO'!X15*100</f>
        <v>19.431856002261661</v>
      </c>
    </row>
    <row r="13" spans="1:340" x14ac:dyDescent="0.2">
      <c r="J13" s="38"/>
      <c r="L13" t="s">
        <v>84</v>
      </c>
      <c r="M13" t="str">
        <f>'USD VO'!E17</f>
        <v>IDTL</v>
      </c>
      <c r="N13" t="str">
        <f>'USD VO'!G17</f>
        <v>STK</v>
      </c>
      <c r="O13" t="str">
        <f>'USD VO'!F17</f>
        <v>SMART/LSEETF</v>
      </c>
      <c r="U13" s="38">
        <f>'USD VO'!T17*100</f>
        <v>1.0642514934264535</v>
      </c>
      <c r="W13" t="s">
        <v>84</v>
      </c>
      <c r="X13" t="str">
        <f>'USD VO'!E17</f>
        <v>IDTL</v>
      </c>
      <c r="Y13" t="str">
        <f>'USD VO'!G17</f>
        <v>STK</v>
      </c>
      <c r="Z13" t="str">
        <f>'USD VO'!F17</f>
        <v>SMART/LSEETF</v>
      </c>
      <c r="AF13" s="38">
        <f>'USD VO'!V17*100</f>
        <v>2.1176879000746456</v>
      </c>
      <c r="AH13" t="s">
        <v>84</v>
      </c>
      <c r="AI13" t="str">
        <f>'USD VO'!E17</f>
        <v>IDTL</v>
      </c>
      <c r="AJ13" t="str">
        <f>'USD VO'!G17</f>
        <v>STK</v>
      </c>
      <c r="AK13" t="str">
        <f>'USD VO'!F17</f>
        <v>SMART/LSEETF</v>
      </c>
      <c r="AQ13" s="38">
        <f>'USD VO'!X17*100</f>
        <v>2.7495596476490056</v>
      </c>
      <c r="BB13" s="38"/>
      <c r="BM13" s="38"/>
      <c r="BO13" t="s">
        <v>84</v>
      </c>
      <c r="BP13" t="str">
        <f>'USD VO'!E56</f>
        <v>TLT</v>
      </c>
      <c r="BQ13" t="str">
        <f>'USD VO'!G56</f>
        <v>STK</v>
      </c>
      <c r="BR13" t="str">
        <f>'USD VO'!F56</f>
        <v>SMART/AMEX</v>
      </c>
      <c r="BX13" s="38">
        <f>'USD VO'!T56*100</f>
        <v>1.1802265158307461</v>
      </c>
      <c r="BZ13" t="s">
        <v>84</v>
      </c>
      <c r="CA13" t="str">
        <f>'USD VO'!E56</f>
        <v>TLT</v>
      </c>
      <c r="CB13" t="str">
        <f>'USD VO'!G56</f>
        <v>STK</v>
      </c>
      <c r="CC13" t="str">
        <f>'USD VO'!F56</f>
        <v>SMART/AMEX</v>
      </c>
      <c r="CI13" s="38">
        <f>'USD VO'!V56*100</f>
        <v>2.3783921656599323</v>
      </c>
      <c r="CK13" t="s">
        <v>84</v>
      </c>
      <c r="CL13" t="str">
        <f>'USD VO'!E56</f>
        <v>TLT</v>
      </c>
      <c r="CM13" t="str">
        <f>'USD VO'!G56</f>
        <v>STK</v>
      </c>
      <c r="CN13" t="str">
        <f>'USD VO'!F56</f>
        <v>SMART/AMEX</v>
      </c>
      <c r="CT13" s="38">
        <f>'USD VO'!X56*100</f>
        <v>3.0731988967996791</v>
      </c>
      <c r="DP13" s="38"/>
      <c r="DR13" t="s">
        <v>84</v>
      </c>
      <c r="DS13" t="str">
        <f>'USD VO'!E97</f>
        <v>CEMB</v>
      </c>
      <c r="DT13" t="str">
        <f>'USD VO'!G97</f>
        <v>STK</v>
      </c>
      <c r="DU13" t="str">
        <f>'USD VO'!F97</f>
        <v>SMART/AMEX</v>
      </c>
      <c r="EA13" s="38">
        <f>'USD VO'!T97*100</f>
        <v>2.3364799133812841</v>
      </c>
      <c r="EC13" t="s">
        <v>84</v>
      </c>
      <c r="ED13" t="str">
        <f>'USD VO'!E97</f>
        <v>CEMB</v>
      </c>
      <c r="EE13" t="str">
        <f>'USD VO'!G97</f>
        <v>STK</v>
      </c>
      <c r="EF13" t="str">
        <f>'USD VO'!F97</f>
        <v>SMART/AMEX</v>
      </c>
      <c r="EL13" s="38">
        <f>'USD VO'!V97*100</f>
        <v>4.6382962033882151</v>
      </c>
      <c r="EN13" t="s">
        <v>84</v>
      </c>
      <c r="EO13" t="str">
        <f>'USD VO'!E97</f>
        <v>CEMB</v>
      </c>
      <c r="EP13" t="str">
        <f>'USD VO'!G97</f>
        <v>STK</v>
      </c>
      <c r="EQ13" t="str">
        <f>'USD VO'!F97</f>
        <v>SMART/AMEX</v>
      </c>
      <c r="EW13" s="38">
        <f>'USD VO'!X97*100</f>
        <v>6.0196236552455691</v>
      </c>
      <c r="FH13" s="38"/>
      <c r="FS13" s="38"/>
      <c r="GD13" s="38"/>
      <c r="GO13" s="38"/>
      <c r="GZ13" s="38"/>
      <c r="HM13" t="s">
        <v>84</v>
      </c>
      <c r="HN13" t="str">
        <f>'GBP VO'!E16</f>
        <v>IGLT</v>
      </c>
      <c r="HO13" t="str">
        <f>'GBP VO'!G16</f>
        <v>STK</v>
      </c>
      <c r="HP13" t="str">
        <f>'GBP VO'!F16</f>
        <v>SMART/LSEETF</v>
      </c>
      <c r="HV13" s="38">
        <f>'GBP VO'!T16*100</f>
        <v>5.0010456150775431</v>
      </c>
      <c r="HX13" t="s">
        <v>84</v>
      </c>
      <c r="HY13" t="str">
        <f>'GBP VO'!E16</f>
        <v>IGLT</v>
      </c>
      <c r="HZ13" t="str">
        <f>'GBP VO'!G16</f>
        <v>STK</v>
      </c>
      <c r="IA13" t="str">
        <f>'GBP VO'!F16</f>
        <v>SMART/LSEETF</v>
      </c>
      <c r="IG13" s="38">
        <f>'GBP VO'!V16*100</f>
        <v>9.9605443737836463</v>
      </c>
      <c r="II13" t="s">
        <v>84</v>
      </c>
      <c r="IJ13" t="str">
        <f>'GBP VO'!E16</f>
        <v>IGLT</v>
      </c>
      <c r="IK13" t="str">
        <f>'GBP VO'!G16</f>
        <v>STK</v>
      </c>
      <c r="IL13" t="str">
        <f>'GBP VO'!F16</f>
        <v>SMART/LSEETF</v>
      </c>
      <c r="IR13" s="38">
        <f>'GBP VO'!X16*100</f>
        <v>12.913456590706703</v>
      </c>
      <c r="JC13" s="38"/>
      <c r="JE13" t="s">
        <v>84</v>
      </c>
      <c r="JF13" t="str">
        <f>'EUR VO'!E16</f>
        <v>IBCQ</v>
      </c>
      <c r="JG13" t="str">
        <f>'EUR VO'!G16</f>
        <v>STK</v>
      </c>
      <c r="JH13" t="str">
        <f>'EUR VO'!F16</f>
        <v>SMART/EBS</v>
      </c>
      <c r="JN13" s="38">
        <f>'EUR VO'!T16*100</f>
        <v>5.0852652962890366</v>
      </c>
      <c r="JP13" t="s">
        <v>84</v>
      </c>
      <c r="JQ13" t="str">
        <f>'EUR VO'!E16</f>
        <v>IBCQ</v>
      </c>
      <c r="JR13" t="str">
        <f>'EUR VO'!G16</f>
        <v>STK</v>
      </c>
      <c r="JS13" t="str">
        <f>'EUR VO'!F16</f>
        <v>SMART/EBS</v>
      </c>
      <c r="JY13" s="38">
        <f>'EUR VO'!V16*100</f>
        <v>10.147235997360513</v>
      </c>
      <c r="KA13" t="s">
        <v>84</v>
      </c>
      <c r="KB13" t="str">
        <f>'EUR VO'!E16</f>
        <v>IBCQ</v>
      </c>
      <c r="KC13" t="str">
        <f>'EUR VO'!G16</f>
        <v>STK</v>
      </c>
      <c r="KD13" t="str">
        <f>'EUR VO'!F16</f>
        <v>SMART/EBS</v>
      </c>
      <c r="KJ13" s="38">
        <f>'EUR VO'!X16*100</f>
        <v>13.157987525963405</v>
      </c>
      <c r="KU13" s="38"/>
      <c r="KW13" t="s">
        <v>84</v>
      </c>
      <c r="KX13" t="str">
        <f>'AUD VO'!E16</f>
        <v>GGOV</v>
      </c>
      <c r="KY13" t="str">
        <f>'AUD VO'!G16</f>
        <v>STK</v>
      </c>
      <c r="KZ13" t="str">
        <f>'AUD VO'!F16</f>
        <v>SMART/ASX</v>
      </c>
      <c r="LF13" s="38">
        <f>'AUD VO'!T16*100</f>
        <v>1.4528435917470879</v>
      </c>
      <c r="LH13" t="s">
        <v>84</v>
      </c>
      <c r="LI13" t="str">
        <f>'AUD VO'!E16</f>
        <v>GGOV</v>
      </c>
      <c r="LJ13" t="str">
        <f>'AUD VO'!G16</f>
        <v>STK</v>
      </c>
      <c r="LK13" t="str">
        <f>'AUD VO'!F16</f>
        <v>SMART/ASX</v>
      </c>
      <c r="LQ13" s="38">
        <f>'AUD VO'!V16*100</f>
        <v>2.8163691797469346</v>
      </c>
      <c r="LS13" t="s">
        <v>84</v>
      </c>
      <c r="LT13" t="str">
        <f>'AUD VO'!E16</f>
        <v>GGOV</v>
      </c>
      <c r="LU13" t="str">
        <f>'AUD VO'!G16</f>
        <v>STK</v>
      </c>
      <c r="LV13" t="str">
        <f>'AUD VO'!F16</f>
        <v>SMART/ASX</v>
      </c>
      <c r="MB13" s="38">
        <f>'AUD VO'!X16*100</f>
        <v>3.657705390720245</v>
      </c>
    </row>
    <row r="14" spans="1:340" x14ac:dyDescent="0.2">
      <c r="J14" s="38"/>
      <c r="L14" t="s">
        <v>84</v>
      </c>
      <c r="M14" t="str">
        <f>'USD VO'!E18</f>
        <v>IDTM</v>
      </c>
      <c r="N14" t="str">
        <f>'USD VO'!G18</f>
        <v>STK</v>
      </c>
      <c r="O14" t="str">
        <f>'USD VO'!F18</f>
        <v>SMART/LSEETF</v>
      </c>
      <c r="U14" s="38">
        <f>'USD VO'!T18*100</f>
        <v>5.7846395701126259</v>
      </c>
      <c r="W14" t="s">
        <v>84</v>
      </c>
      <c r="X14" t="str">
        <f>'USD VO'!E18</f>
        <v>IDTM</v>
      </c>
      <c r="Y14" t="str">
        <f>'USD VO'!G18</f>
        <v>STK</v>
      </c>
      <c r="Z14" t="str">
        <f>'USD VO'!F18</f>
        <v>SMART/LSEETF</v>
      </c>
      <c r="AF14" s="38">
        <f>'USD VO'!V18*100</f>
        <v>11.510494746387746</v>
      </c>
      <c r="AH14" t="s">
        <v>84</v>
      </c>
      <c r="AI14" t="str">
        <f>'USD VO'!E18</f>
        <v>IDTM</v>
      </c>
      <c r="AJ14" t="str">
        <f>'USD VO'!G18</f>
        <v>STK</v>
      </c>
      <c r="AK14" t="str">
        <f>'USD VO'!F18</f>
        <v>SMART/LSEETF</v>
      </c>
      <c r="AQ14" s="38">
        <f>'USD VO'!X18*100</f>
        <v>14.909538136201817</v>
      </c>
      <c r="BB14" s="38"/>
      <c r="BM14" s="38"/>
      <c r="BO14" t="s">
        <v>84</v>
      </c>
      <c r="BP14" t="str">
        <f>'USD VO'!E57</f>
        <v>LQD</v>
      </c>
      <c r="BQ14" t="str">
        <f>'USD VO'!G57</f>
        <v>STK</v>
      </c>
      <c r="BR14" t="str">
        <f>'USD VO'!F57</f>
        <v>SMART/AMEX</v>
      </c>
      <c r="BX14" s="38">
        <f>'USD VO'!T57*100</f>
        <v>4.7495121555153723</v>
      </c>
      <c r="BZ14" t="s">
        <v>84</v>
      </c>
      <c r="CA14" t="str">
        <f>'USD VO'!E57</f>
        <v>LQD</v>
      </c>
      <c r="CB14" t="str">
        <f>'USD VO'!G57</f>
        <v>STK</v>
      </c>
      <c r="CC14" t="str">
        <f>'USD VO'!F57</f>
        <v>SMART/AMEX</v>
      </c>
      <c r="CI14" s="38">
        <f>'USD VO'!V57*100</f>
        <v>9.3565927765897712</v>
      </c>
      <c r="CK14" t="s">
        <v>84</v>
      </c>
      <c r="CL14" t="str">
        <f>'USD VO'!E57</f>
        <v>LQD</v>
      </c>
      <c r="CM14" t="str">
        <f>'USD VO'!G57</f>
        <v>STK</v>
      </c>
      <c r="CN14" t="str">
        <f>'USD VO'!F57</f>
        <v>SMART/AMEX</v>
      </c>
      <c r="CT14" s="38">
        <f>'USD VO'!X57*100</f>
        <v>12.12450461992216</v>
      </c>
      <c r="DP14" s="38"/>
      <c r="DR14" t="s">
        <v>84</v>
      </c>
      <c r="DS14" t="str">
        <f>'USD VO'!E98</f>
        <v>LEMB</v>
      </c>
      <c r="DT14" t="str">
        <f>'USD VO'!G98</f>
        <v>STK</v>
      </c>
      <c r="DU14" t="str">
        <f>'USD VO'!F98</f>
        <v>SMART/AMEX</v>
      </c>
      <c r="EA14" s="38">
        <f>'USD VO'!T98*100</f>
        <v>1.383598414952016</v>
      </c>
      <c r="EC14" t="s">
        <v>84</v>
      </c>
      <c r="ED14" t="str">
        <f>'USD VO'!E98</f>
        <v>LEMB</v>
      </c>
      <c r="EE14" t="str">
        <f>'USD VO'!G98</f>
        <v>STK</v>
      </c>
      <c r="EF14" t="str">
        <f>'USD VO'!F98</f>
        <v>SMART/AMEX</v>
      </c>
      <c r="EL14" s="38">
        <f>'USD VO'!V98*100</f>
        <v>2.742907434679998</v>
      </c>
      <c r="EN14" t="s">
        <v>84</v>
      </c>
      <c r="EO14" t="str">
        <f>'USD VO'!E98</f>
        <v>LEMB</v>
      </c>
      <c r="EP14" t="str">
        <f>'USD VO'!G98</f>
        <v>STK</v>
      </c>
      <c r="EQ14" t="str">
        <f>'USD VO'!F98</f>
        <v>SMART/AMEX</v>
      </c>
      <c r="EW14" s="38">
        <f>'USD VO'!X98*100</f>
        <v>3.5541291292956143</v>
      </c>
      <c r="FH14" s="38"/>
      <c r="FS14" s="38"/>
      <c r="HM14" t="s">
        <v>84</v>
      </c>
      <c r="HN14" t="str">
        <f>'GBP VO'!E17</f>
        <v>CRHG</v>
      </c>
      <c r="HO14" t="str">
        <f>'GBP VO'!G17</f>
        <v>STK</v>
      </c>
      <c r="HP14" t="str">
        <f>'GBP VO'!F17</f>
        <v>SMART/LSEETF</v>
      </c>
      <c r="HV14" s="38">
        <f>'GBP VO'!T17*100</f>
        <v>6.7322910846490407</v>
      </c>
      <c r="HX14" t="s">
        <v>84</v>
      </c>
      <c r="HY14" t="str">
        <f>'GBP VO'!E17</f>
        <v>CRHG</v>
      </c>
      <c r="HZ14" t="str">
        <f>'GBP VO'!G17</f>
        <v>STK</v>
      </c>
      <c r="IA14" t="str">
        <f>'GBP VO'!F17</f>
        <v>SMART/LSEETF</v>
      </c>
      <c r="IG14" s="38">
        <f>'GBP VO'!V17*100</f>
        <v>13.403773498289853</v>
      </c>
      <c r="II14" t="s">
        <v>84</v>
      </c>
      <c r="IJ14" t="str">
        <f>'GBP VO'!E17</f>
        <v>CRHG</v>
      </c>
      <c r="IK14" t="str">
        <f>'GBP VO'!G17</f>
        <v>STK</v>
      </c>
      <c r="IL14" t="str">
        <f>'GBP VO'!F17</f>
        <v>SMART/LSEETF</v>
      </c>
      <c r="IR14" s="38">
        <f>'GBP VO'!X17*100</f>
        <v>17.367746704818451</v>
      </c>
      <c r="JC14" s="38"/>
      <c r="JE14" t="s">
        <v>84</v>
      </c>
      <c r="JF14" t="str">
        <f>'EUR VO'!E17</f>
        <v>SEML</v>
      </c>
      <c r="JG14" t="str">
        <f>'EUR VO'!G17</f>
        <v>STK</v>
      </c>
      <c r="JH14" t="str">
        <f>'EUR VO'!F17</f>
        <v>SMART/BVME.ETF</v>
      </c>
      <c r="JN14" s="38">
        <f>'EUR VO'!T17*100</f>
        <v>2.598595122406905</v>
      </c>
      <c r="JP14" t="s">
        <v>84</v>
      </c>
      <c r="JQ14" t="str">
        <f>'EUR VO'!E17</f>
        <v>SEML</v>
      </c>
      <c r="JR14" t="str">
        <f>'EUR VO'!G17</f>
        <v>STK</v>
      </c>
      <c r="JS14" t="str">
        <f>'EUR VO'!F17</f>
        <v>SMART/BVME.ETF</v>
      </c>
      <c r="JY14" s="38">
        <f>'EUR VO'!V17*100</f>
        <v>5.1707257326592764</v>
      </c>
      <c r="KA14" t="s">
        <v>84</v>
      </c>
      <c r="KB14" t="str">
        <f>'EUR VO'!E17</f>
        <v>SEML</v>
      </c>
      <c r="KC14" t="str">
        <f>'EUR VO'!G17</f>
        <v>STK</v>
      </c>
      <c r="KD14" t="str">
        <f>'EUR VO'!F17</f>
        <v>SMART/BVME.ETF</v>
      </c>
      <c r="KJ14" s="38">
        <f>'EUR VO'!X17*100</f>
        <v>6.7160424343426008</v>
      </c>
      <c r="KU14" s="38"/>
      <c r="KW14" t="s">
        <v>84</v>
      </c>
      <c r="KX14" t="str">
        <f>'AUD VO'!E17</f>
        <v>IHEB</v>
      </c>
      <c r="KY14" t="str">
        <f>'AUD VO'!G17</f>
        <v>STK</v>
      </c>
      <c r="KZ14" t="str">
        <f>'AUD VO'!F17</f>
        <v>SMART/ASX</v>
      </c>
      <c r="LF14" s="38">
        <f>'AUD VO'!T17*100</f>
        <v>4.6978944480643934</v>
      </c>
      <c r="LH14" t="s">
        <v>84</v>
      </c>
      <c r="LI14" t="str">
        <f>'AUD VO'!E17</f>
        <v>IHEB</v>
      </c>
      <c r="LJ14" t="str">
        <f>'AUD VO'!G17</f>
        <v>STK</v>
      </c>
      <c r="LK14" t="str">
        <f>'AUD VO'!F17</f>
        <v>SMART/ASX</v>
      </c>
      <c r="LQ14" s="38">
        <f>'AUD VO'!V17*100</f>
        <v>9.2928280255691647</v>
      </c>
      <c r="LS14" t="s">
        <v>84</v>
      </c>
      <c r="LT14" t="str">
        <f>'AUD VO'!E17</f>
        <v>IHEB</v>
      </c>
      <c r="LU14" t="str">
        <f>'AUD VO'!G17</f>
        <v>STK</v>
      </c>
      <c r="LV14" t="str">
        <f>'AUD VO'!F17</f>
        <v>SMART/ASX</v>
      </c>
      <c r="MB14" s="38">
        <f>'AUD VO'!X17*100</f>
        <v>12.068881952193045</v>
      </c>
    </row>
    <row r="15" spans="1:340" x14ac:dyDescent="0.2">
      <c r="J15" s="38"/>
      <c r="L15" t="s">
        <v>84</v>
      </c>
      <c r="M15" t="str">
        <f>'USD VO'!E19</f>
        <v>IMBS</v>
      </c>
      <c r="N15" t="str">
        <f>'USD VO'!G19</f>
        <v>STK</v>
      </c>
      <c r="O15" t="str">
        <f>'USD VO'!F19</f>
        <v>SMART/LSEETF</v>
      </c>
      <c r="U15" s="38">
        <f>'USD VO'!T19*100</f>
        <v>3.6492086328146121</v>
      </c>
      <c r="W15" t="s">
        <v>84</v>
      </c>
      <c r="X15" t="str">
        <f>'USD VO'!E19</f>
        <v>IMBS</v>
      </c>
      <c r="Y15" t="str">
        <f>'USD VO'!G19</f>
        <v>STK</v>
      </c>
      <c r="Z15" t="str">
        <f>'USD VO'!F19</f>
        <v>SMART/LSEETF</v>
      </c>
      <c r="AF15" s="38">
        <f>'USD VO'!V19*100</f>
        <v>7.261333448242409</v>
      </c>
      <c r="AH15" t="s">
        <v>84</v>
      </c>
      <c r="AI15" t="str">
        <f>'USD VO'!E19</f>
        <v>IMBS</v>
      </c>
      <c r="AJ15" t="str">
        <f>'USD VO'!G19</f>
        <v>STK</v>
      </c>
      <c r="AK15" t="str">
        <f>'USD VO'!F19</f>
        <v>SMART/LSEETF</v>
      </c>
      <c r="AQ15" s="38">
        <f>'USD VO'!X19*100</f>
        <v>9.4022641342439179</v>
      </c>
      <c r="BB15" s="38"/>
      <c r="BM15" s="38"/>
      <c r="BO15" t="s">
        <v>84</v>
      </c>
      <c r="BP15" t="str">
        <f>'USD VO'!E58</f>
        <v>IBND</v>
      </c>
      <c r="BQ15" t="str">
        <f>'USD VO'!G58</f>
        <v>STK</v>
      </c>
      <c r="BR15" t="str">
        <f>'USD VO'!F58</f>
        <v>SMART/AMEX</v>
      </c>
      <c r="BX15" s="38">
        <f>'USD VO'!T58*100</f>
        <v>2.8082900704480389</v>
      </c>
      <c r="BZ15" t="s">
        <v>84</v>
      </c>
      <c r="CA15" t="str">
        <f>'USD VO'!E58</f>
        <v>IBND</v>
      </c>
      <c r="CB15" t="str">
        <f>'USD VO'!G58</f>
        <v>STK</v>
      </c>
      <c r="CC15" t="str">
        <f>'USD VO'!F58</f>
        <v>SMART/AMEX</v>
      </c>
      <c r="CI15" s="38">
        <f>'USD VO'!V58*100</f>
        <v>5.6452919197654845</v>
      </c>
      <c r="CK15" t="s">
        <v>84</v>
      </c>
      <c r="CL15" t="str">
        <f>'USD VO'!E58</f>
        <v>IBND</v>
      </c>
      <c r="CM15" t="str">
        <f>'USD VO'!G58</f>
        <v>STK</v>
      </c>
      <c r="CN15" t="str">
        <f>'USD VO'!F58</f>
        <v>SMART/AMEX</v>
      </c>
      <c r="CT15" s="38">
        <f>'USD VO'!X58*100</f>
        <v>7.3171662144164973</v>
      </c>
      <c r="DP15" s="38"/>
      <c r="DR15" t="s">
        <v>84</v>
      </c>
      <c r="DS15" t="str">
        <f>'USD VO'!E99</f>
        <v>IBND</v>
      </c>
      <c r="DT15" t="str">
        <f>'USD VO'!G99</f>
        <v>STK</v>
      </c>
      <c r="DU15" t="str">
        <f>'USD VO'!F99</f>
        <v>SMART/AMEX</v>
      </c>
      <c r="EA15" s="38">
        <f>'USD VO'!T99*100</f>
        <v>1.8056836587822391</v>
      </c>
      <c r="EC15" t="s">
        <v>84</v>
      </c>
      <c r="ED15" t="str">
        <f>'USD VO'!E99</f>
        <v>IBND</v>
      </c>
      <c r="EE15" t="str">
        <f>'USD VO'!G99</f>
        <v>STK</v>
      </c>
      <c r="EF15" t="str">
        <f>'USD VO'!F99</f>
        <v>SMART/AMEX</v>
      </c>
      <c r="EL15" s="38">
        <f>'USD VO'!V99*100</f>
        <v>3.5919693817302036</v>
      </c>
      <c r="EN15" t="s">
        <v>84</v>
      </c>
      <c r="EO15" t="str">
        <f>'USD VO'!E99</f>
        <v>IBND</v>
      </c>
      <c r="EP15" t="str">
        <f>'USD VO'!G99</f>
        <v>STK</v>
      </c>
      <c r="EQ15" t="str">
        <f>'USD VO'!F99</f>
        <v>SMART/AMEX</v>
      </c>
      <c r="EW15" s="38">
        <f>'USD VO'!X99*100</f>
        <v>4.6543032585547852</v>
      </c>
      <c r="FH15" s="38"/>
      <c r="FS15" s="38"/>
      <c r="HM15" t="s">
        <v>84</v>
      </c>
      <c r="HN15" t="str">
        <f>'GBP VO'!E18</f>
        <v>IDTG</v>
      </c>
      <c r="HO15" t="str">
        <f>'GBP VO'!G18</f>
        <v>STK</v>
      </c>
      <c r="HP15" t="str">
        <f>'GBP VO'!F18</f>
        <v>SMART/LSEETF</v>
      </c>
      <c r="HV15" s="38">
        <f>'GBP VO'!T18*100</f>
        <v>1.1743834950519179</v>
      </c>
      <c r="HX15" t="s">
        <v>84</v>
      </c>
      <c r="HY15" t="str">
        <f>'GBP VO'!E18</f>
        <v>IDTG</v>
      </c>
      <c r="HZ15" t="str">
        <f>'GBP VO'!G18</f>
        <v>STK</v>
      </c>
      <c r="IA15" t="str">
        <f>'GBP VO'!F18</f>
        <v>SMART/LSEETF</v>
      </c>
      <c r="IG15" s="38">
        <f>'GBP VO'!V18*100</f>
        <v>2.3421574945818677</v>
      </c>
      <c r="II15" t="s">
        <v>84</v>
      </c>
      <c r="IJ15" t="str">
        <f>'GBP VO'!E18</f>
        <v>IDTG</v>
      </c>
      <c r="IK15" t="str">
        <f>'GBP VO'!G18</f>
        <v>STK</v>
      </c>
      <c r="IL15" t="str">
        <f>'GBP VO'!F18</f>
        <v>SMART/LSEETF</v>
      </c>
      <c r="IR15" s="38">
        <f>'GBP VO'!X18*100</f>
        <v>3.0331566987223519</v>
      </c>
      <c r="JC15" s="38"/>
      <c r="JE15" t="s">
        <v>84</v>
      </c>
      <c r="JF15" t="str">
        <f>'EUR VO'!E18</f>
        <v>DTLE</v>
      </c>
      <c r="JG15" t="str">
        <f>'EUR VO'!G18</f>
        <v>STK</v>
      </c>
      <c r="JH15" t="str">
        <f>'EUR VO'!F18</f>
        <v>SMART/LSEETF</v>
      </c>
      <c r="JN15" s="38">
        <f>'EUR VO'!T18*100</f>
        <v>1.0579348116976803</v>
      </c>
      <c r="JP15" t="s">
        <v>84</v>
      </c>
      <c r="JQ15" t="str">
        <f>'EUR VO'!E18</f>
        <v>DTLE</v>
      </c>
      <c r="JR15" t="str">
        <f>'EUR VO'!G18</f>
        <v>STK</v>
      </c>
      <c r="JS15" t="str">
        <f>'EUR VO'!F18</f>
        <v>SMART/LSEETF</v>
      </c>
      <c r="JY15" s="38">
        <f>'EUR VO'!V18*100</f>
        <v>2.1090449669263491</v>
      </c>
      <c r="KA15" t="s">
        <v>84</v>
      </c>
      <c r="KB15" t="str">
        <f>'EUR VO'!E18</f>
        <v>DTLE</v>
      </c>
      <c r="KC15" t="str">
        <f>'EUR VO'!G18</f>
        <v>STK</v>
      </c>
      <c r="KD15" t="str">
        <f>'EUR VO'!F18</f>
        <v>SMART/LSEETF</v>
      </c>
      <c r="KJ15" s="38">
        <f>'EUR VO'!X18*100</f>
        <v>2.7408000500389629</v>
      </c>
      <c r="KU15" s="38"/>
      <c r="LF15" s="58"/>
      <c r="LQ15" s="58"/>
      <c r="MB15" s="58"/>
    </row>
    <row r="16" spans="1:340" x14ac:dyDescent="0.2">
      <c r="J16" s="38"/>
      <c r="L16" t="s">
        <v>84</v>
      </c>
      <c r="M16" t="str">
        <f>'USD VO'!E20</f>
        <v>VDCP</v>
      </c>
      <c r="N16" t="str">
        <f>'USD VO'!G20</f>
        <v>STK</v>
      </c>
      <c r="O16" t="str">
        <f>'USD VO'!F20</f>
        <v>SMART/LSEETF</v>
      </c>
      <c r="U16" s="38">
        <f>'USD VO'!T20*100</f>
        <v>3.7329269894361814</v>
      </c>
      <c r="W16" t="s">
        <v>84</v>
      </c>
      <c r="X16" t="str">
        <f>'USD VO'!E20</f>
        <v>VDCP</v>
      </c>
      <c r="Y16" t="str">
        <f>'USD VO'!G20</f>
        <v>STK</v>
      </c>
      <c r="Z16" t="str">
        <f>'USD VO'!F20</f>
        <v>SMART/LSEETF</v>
      </c>
      <c r="AF16" s="38">
        <f>'USD VO'!V20*100</f>
        <v>7.4279194027152773</v>
      </c>
      <c r="AH16" t="s">
        <v>84</v>
      </c>
      <c r="AI16" t="str">
        <f>'USD VO'!E20</f>
        <v>VDCP</v>
      </c>
      <c r="AJ16" t="str">
        <f>'USD VO'!G20</f>
        <v>STK</v>
      </c>
      <c r="AK16" t="str">
        <f>'USD VO'!F20</f>
        <v>SMART/LSEETF</v>
      </c>
      <c r="AQ16" s="38">
        <f>'USD VO'!X20*100</f>
        <v>9.6257808882479221</v>
      </c>
      <c r="BB16" s="38"/>
      <c r="BM16" s="38"/>
      <c r="BO16" t="s">
        <v>84</v>
      </c>
      <c r="BP16" t="str">
        <f>'USD VO'!E59</f>
        <v>JMBS</v>
      </c>
      <c r="BQ16" t="str">
        <f>'USD VO'!G59</f>
        <v>STK</v>
      </c>
      <c r="BR16" t="str">
        <f>'USD VO'!F59</f>
        <v>SMART/AMEX</v>
      </c>
      <c r="BX16" s="38">
        <f>'USD VO'!T59*100</f>
        <v>3.680872953331392</v>
      </c>
      <c r="BZ16" t="s">
        <v>84</v>
      </c>
      <c r="CA16" t="str">
        <f>'USD VO'!E59</f>
        <v>JMBS</v>
      </c>
      <c r="CB16" t="str">
        <f>'USD VO'!G59</f>
        <v>STK</v>
      </c>
      <c r="CC16" t="str">
        <f>'USD VO'!F59</f>
        <v>SMART/AMEX</v>
      </c>
      <c r="CI16" s="38">
        <f>'USD VO'!V59*100</f>
        <v>7.2823126818472774</v>
      </c>
      <c r="CK16" t="s">
        <v>84</v>
      </c>
      <c r="CL16" t="str">
        <f>'USD VO'!E59</f>
        <v>JMBS</v>
      </c>
      <c r="CM16" t="str">
        <f>'USD VO'!G59</f>
        <v>STK</v>
      </c>
      <c r="CN16" t="str">
        <f>'USD VO'!F59</f>
        <v>SMART/AMEX</v>
      </c>
      <c r="CT16" s="38">
        <f>'USD VO'!X59*100</f>
        <v>9.4308094125321329</v>
      </c>
      <c r="DP16" s="38"/>
      <c r="DR16" t="s">
        <v>84</v>
      </c>
      <c r="DS16" t="str">
        <f>'USD VO'!E100</f>
        <v>JMBS</v>
      </c>
      <c r="DT16" t="str">
        <f>'USD VO'!G100</f>
        <v>STK</v>
      </c>
      <c r="DU16" t="str">
        <f>'USD VO'!F100</f>
        <v>SMART/AMEX</v>
      </c>
      <c r="EA16" s="38">
        <f>'USD VO'!T100*100</f>
        <v>3.6298616708964082</v>
      </c>
      <c r="EC16" t="s">
        <v>84</v>
      </c>
      <c r="ED16" t="str">
        <f>'USD VO'!E100</f>
        <v>JMBS</v>
      </c>
      <c r="EE16" t="str">
        <f>'USD VO'!G100</f>
        <v>STK</v>
      </c>
      <c r="EF16" t="str">
        <f>'USD VO'!F100</f>
        <v>SMART/AMEX</v>
      </c>
      <c r="EL16" s="38">
        <f>'USD VO'!V100*100</f>
        <v>7.2207287906504307</v>
      </c>
      <c r="EN16" t="s">
        <v>84</v>
      </c>
      <c r="EO16" t="str">
        <f>'USD VO'!E100</f>
        <v>JMBS</v>
      </c>
      <c r="EP16" t="str">
        <f>'USD VO'!G100</f>
        <v>STK</v>
      </c>
      <c r="EQ16" t="str">
        <f>'USD VO'!F100</f>
        <v>SMART/AMEX</v>
      </c>
      <c r="EW16" s="38">
        <f>'USD VO'!X100*100</f>
        <v>9.3579559497206333</v>
      </c>
      <c r="FH16" s="38"/>
      <c r="FS16" s="38"/>
      <c r="GD16" s="38"/>
      <c r="GO16" s="38"/>
      <c r="GZ16" s="38"/>
      <c r="HM16" t="s">
        <v>84</v>
      </c>
      <c r="HN16" t="str">
        <f>'GBP VO'!E19</f>
        <v>SEML</v>
      </c>
      <c r="HO16" t="str">
        <f>'GBP VO'!G19</f>
        <v>STK</v>
      </c>
      <c r="HP16" t="str">
        <f>'GBP VO'!F19</f>
        <v>SMART/LSEETF</v>
      </c>
      <c r="HV16" s="38">
        <f>'GBP VO'!T19*100</f>
        <v>2.5860727995871309</v>
      </c>
      <c r="HX16" t="s">
        <v>84</v>
      </c>
      <c r="HY16" t="str">
        <f>'GBP VO'!E19</f>
        <v>SEML</v>
      </c>
      <c r="HZ16" t="str">
        <f>'GBP VO'!G19</f>
        <v>STK</v>
      </c>
      <c r="IA16" t="str">
        <f>'GBP VO'!F19</f>
        <v>SMART/LSEETF</v>
      </c>
      <c r="IG16" s="38">
        <f>'GBP VO'!V19*100</f>
        <v>5.1421375815641071</v>
      </c>
      <c r="II16" t="s">
        <v>84</v>
      </c>
      <c r="IJ16" t="str">
        <f>'GBP VO'!E19</f>
        <v>SEML</v>
      </c>
      <c r="IK16" t="str">
        <f>'GBP VO'!G19</f>
        <v>STK</v>
      </c>
      <c r="IL16" t="str">
        <f>'GBP VO'!F19</f>
        <v>SMART/LSEETF</v>
      </c>
      <c r="IR16" s="38">
        <f>'GBP VO'!X19*100</f>
        <v>6.6688151628031243</v>
      </c>
      <c r="JC16" s="38"/>
      <c r="JE16" t="s">
        <v>84</v>
      </c>
      <c r="JF16" t="str">
        <f>'EUR VO'!E19</f>
        <v>XDEP</v>
      </c>
      <c r="JG16" t="str">
        <f>'EUR VO'!G19</f>
        <v>STK</v>
      </c>
      <c r="JH16" t="str">
        <f>'EUR VO'!F19</f>
        <v>SMART/EBS</v>
      </c>
      <c r="JN16" s="38">
        <f>'EUR VO'!T19*100</f>
        <v>4.9985624062373262</v>
      </c>
      <c r="JP16" t="s">
        <v>84</v>
      </c>
      <c r="JQ16" t="str">
        <f>'EUR VO'!E19</f>
        <v>XDEP</v>
      </c>
      <c r="JR16" t="str">
        <f>'EUR VO'!G19</f>
        <v>STK</v>
      </c>
      <c r="JS16" t="str">
        <f>'EUR VO'!F19</f>
        <v>SMART/EBS</v>
      </c>
      <c r="JY16" s="38">
        <f>'EUR VO'!V19*100</f>
        <v>9.9742273860595994</v>
      </c>
      <c r="KA16" t="s">
        <v>84</v>
      </c>
      <c r="KB16" t="str">
        <f>'EUR VO'!E19</f>
        <v>XDEP</v>
      </c>
      <c r="KC16" t="str">
        <f>'EUR VO'!G19</f>
        <v>STK</v>
      </c>
      <c r="KD16" t="str">
        <f>'EUR VO'!F19</f>
        <v>SMART/EBS</v>
      </c>
      <c r="KJ16" s="38">
        <f>'EUR VO'!X19*100</f>
        <v>12.933646124031409</v>
      </c>
      <c r="KU16" s="38"/>
      <c r="LF16" s="38"/>
      <c r="LQ16" s="38"/>
      <c r="MB16" s="38"/>
    </row>
    <row r="17" spans="10:340" x14ac:dyDescent="0.2">
      <c r="J17" s="38"/>
      <c r="L17" t="s">
        <v>84</v>
      </c>
      <c r="M17" t="str">
        <f>'USD VO'!E12</f>
        <v>WXAG</v>
      </c>
      <c r="N17" t="str">
        <f>'USD VO'!G12</f>
        <v>STK</v>
      </c>
      <c r="O17" t="str">
        <f>'USD VO'!F12</f>
        <v>SMART/LSEETF</v>
      </c>
      <c r="U17" s="58">
        <f>'USD VO'!T12*100</f>
        <v>2.8421307934444884</v>
      </c>
      <c r="W17" t="s">
        <v>84</v>
      </c>
      <c r="X17" t="str">
        <f>'USD VO'!E12</f>
        <v>WXAG</v>
      </c>
      <c r="Y17" t="str">
        <f>'USD VO'!G12</f>
        <v>STK</v>
      </c>
      <c r="Z17" t="str">
        <f>'USD VO'!F12</f>
        <v>SMART/LSEETF</v>
      </c>
      <c r="AF17" s="58">
        <f>'USD VO'!V12*100</f>
        <v>2.8276897090973536</v>
      </c>
      <c r="AH17" t="s">
        <v>84</v>
      </c>
      <c r="AI17" t="str">
        <f>'USD VO'!E12</f>
        <v>WXAG</v>
      </c>
      <c r="AJ17" t="str">
        <f>'USD VO'!G12</f>
        <v>STK</v>
      </c>
      <c r="AK17" t="str">
        <f>'USD VO'!F12</f>
        <v>SMART/LSEETF</v>
      </c>
      <c r="AQ17" s="58">
        <f>'USD VO'!X12*100</f>
        <v>2.8181953577589014</v>
      </c>
      <c r="BB17" s="38"/>
      <c r="BM17" s="38"/>
      <c r="BO17" t="s">
        <v>84</v>
      </c>
      <c r="BP17" t="str">
        <f>'USD VO'!E60</f>
        <v>CEMB</v>
      </c>
      <c r="BQ17" t="str">
        <f>'USD VO'!G60</f>
        <v>STK</v>
      </c>
      <c r="BR17" t="str">
        <f>'USD VO'!F60</f>
        <v>SMART/AMEX</v>
      </c>
      <c r="BX17" s="38">
        <f>'USD VO'!T60*100</f>
        <v>2.5983656447251415</v>
      </c>
      <c r="BZ17" t="s">
        <v>84</v>
      </c>
      <c r="CA17" t="str">
        <f>'USD VO'!E60</f>
        <v>CEMB</v>
      </c>
      <c r="CB17" t="str">
        <f>'USD VO'!G60</f>
        <v>STK</v>
      </c>
      <c r="CC17" t="str">
        <f>'USD VO'!F60</f>
        <v>SMART/AMEX</v>
      </c>
      <c r="CI17" s="38">
        <f>'USD VO'!V60*100</f>
        <v>5.1141189931553299</v>
      </c>
      <c r="CK17" t="s">
        <v>84</v>
      </c>
      <c r="CL17" t="str">
        <f>'USD VO'!E60</f>
        <v>CEMB</v>
      </c>
      <c r="CM17" t="str">
        <f>'USD VO'!G60</f>
        <v>STK</v>
      </c>
      <c r="CN17" t="str">
        <f>'USD VO'!F60</f>
        <v>SMART/AMEX</v>
      </c>
      <c r="CT17" s="38">
        <f>'USD VO'!X60*100</f>
        <v>6.6250927850993957</v>
      </c>
      <c r="DP17" s="38"/>
      <c r="DR17" t="s">
        <v>84</v>
      </c>
      <c r="DS17" t="str">
        <f>'USD VO'!E101</f>
        <v>TLT</v>
      </c>
      <c r="DT17" t="str">
        <f>'USD VO'!G101</f>
        <v>STK</v>
      </c>
      <c r="DU17" t="str">
        <f>'USD VO'!F101</f>
        <v>SMART/AMEX</v>
      </c>
      <c r="EA17" s="38">
        <f>'USD VO'!T101*100</f>
        <v>1.1873320439908328</v>
      </c>
      <c r="EC17" t="s">
        <v>84</v>
      </c>
      <c r="ED17" t="str">
        <f>'USD VO'!E101</f>
        <v>TLT</v>
      </c>
      <c r="EE17" t="str">
        <f>'USD VO'!G101</f>
        <v>STK</v>
      </c>
      <c r="EF17" t="str">
        <f>'USD VO'!F101</f>
        <v>SMART/AMEX</v>
      </c>
      <c r="EL17" s="38">
        <f>'USD VO'!V101*100</f>
        <v>2.3716688784335234</v>
      </c>
      <c r="EN17" t="s">
        <v>84</v>
      </c>
      <c r="EO17" t="str">
        <f>'USD VO'!E101</f>
        <v>TLT</v>
      </c>
      <c r="EP17" t="str">
        <f>'USD VO'!G101</f>
        <v>STK</v>
      </c>
      <c r="EQ17" t="str">
        <f>'USD VO'!F101</f>
        <v>SMART/AMEX</v>
      </c>
      <c r="EW17" s="38">
        <f>'USD VO'!X101*100</f>
        <v>3.066772604394195</v>
      </c>
      <c r="FH17" s="38"/>
      <c r="FS17" s="38"/>
      <c r="GD17" s="38"/>
      <c r="GO17" s="38"/>
      <c r="GZ17" s="38"/>
      <c r="HM17" t="s">
        <v>84</v>
      </c>
      <c r="HN17">
        <f>'GBP VO'!E20</f>
        <v>0</v>
      </c>
      <c r="HO17">
        <f>'GBP VO'!G20</f>
        <v>0</v>
      </c>
      <c r="HP17">
        <f>'GBP VO'!F20</f>
        <v>0</v>
      </c>
      <c r="HV17" s="38">
        <f>'GBP VO'!T20*100</f>
        <v>5.4749999999999996</v>
      </c>
      <c r="HX17" t="s">
        <v>84</v>
      </c>
      <c r="HY17">
        <f>'GBP VO'!E20</f>
        <v>0</v>
      </c>
      <c r="HZ17">
        <f>'GBP VO'!G20</f>
        <v>0</v>
      </c>
      <c r="IA17">
        <f>'GBP VO'!F20</f>
        <v>0</v>
      </c>
      <c r="IG17" s="38">
        <f>'GBP VO'!V20*100</f>
        <v>5.4749999999999996</v>
      </c>
      <c r="II17" t="s">
        <v>84</v>
      </c>
      <c r="IJ17">
        <f>'GBP VO'!E20</f>
        <v>0</v>
      </c>
      <c r="IK17">
        <f>'GBP VO'!G20</f>
        <v>0</v>
      </c>
      <c r="IL17">
        <f>'GBP VO'!F20</f>
        <v>0</v>
      </c>
      <c r="IR17" s="38">
        <f>'GBP VO'!X20*100</f>
        <v>5.4749999999999996</v>
      </c>
      <c r="JC17" s="38"/>
      <c r="JE17" t="s">
        <v>84</v>
      </c>
      <c r="JF17">
        <f>'EUR VO'!E20</f>
        <v>0</v>
      </c>
      <c r="JG17">
        <f>'EUR VO'!G20</f>
        <v>0</v>
      </c>
      <c r="JH17">
        <f>'EUR VO'!F20</f>
        <v>0</v>
      </c>
      <c r="JN17" s="38">
        <f>'EUR VO'!T20*100</f>
        <v>5.4749999999999996</v>
      </c>
      <c r="JP17" t="s">
        <v>84</v>
      </c>
      <c r="JQ17">
        <f>'EUR VO'!E20</f>
        <v>0</v>
      </c>
      <c r="JR17">
        <f>'EUR VO'!G20</f>
        <v>0</v>
      </c>
      <c r="JS17">
        <f>'EUR VO'!F20</f>
        <v>0</v>
      </c>
      <c r="JY17" s="38">
        <f>'EUR VO'!V20*100</f>
        <v>5.4749999999999996</v>
      </c>
      <c r="KA17" t="s">
        <v>84</v>
      </c>
      <c r="KB17">
        <f>'EUR VO'!E20</f>
        <v>0</v>
      </c>
      <c r="KC17">
        <f>'EUR VO'!G20</f>
        <v>0</v>
      </c>
      <c r="KD17">
        <f>'EUR VO'!F20</f>
        <v>0</v>
      </c>
      <c r="KJ17" s="38">
        <f>'EUR VO'!X20*100</f>
        <v>5.4749999999999996</v>
      </c>
      <c r="KU17" s="38"/>
      <c r="MB17" s="38"/>
    </row>
    <row r="18" spans="10:340" x14ac:dyDescent="0.2">
      <c r="J18" s="38"/>
      <c r="BB18" s="38"/>
      <c r="BM18" s="38"/>
      <c r="BO18" t="s">
        <v>84</v>
      </c>
      <c r="BP18" t="str">
        <f>'USD VO'!E61</f>
        <v>LEMB</v>
      </c>
      <c r="BQ18" t="str">
        <f>'USD VO'!G61</f>
        <v>STK</v>
      </c>
      <c r="BR18" t="str">
        <f>'USD VO'!F61</f>
        <v>SMART/AMEX</v>
      </c>
      <c r="BX18" s="38">
        <f>'USD VO'!T61*100</f>
        <v>2.564607972126518</v>
      </c>
      <c r="BZ18" t="s">
        <v>84</v>
      </c>
      <c r="CA18" t="str">
        <f>'USD VO'!E61</f>
        <v>LEMB</v>
      </c>
      <c r="CB18" t="str">
        <f>'USD VO'!G61</f>
        <v>STK</v>
      </c>
      <c r="CC18" t="str">
        <f>'USD VO'!F61</f>
        <v>SMART/AMEX</v>
      </c>
      <c r="CI18" s="38">
        <f>'USD VO'!V61*100</f>
        <v>5.0476769375686299</v>
      </c>
      <c r="CK18" t="s">
        <v>84</v>
      </c>
      <c r="CL18" t="str">
        <f>'USD VO'!E61</f>
        <v>LEMB</v>
      </c>
      <c r="CM18" t="str">
        <f>'USD VO'!G61</f>
        <v>STK</v>
      </c>
      <c r="CN18" t="str">
        <f>'USD VO'!F61</f>
        <v>SMART/AMEX</v>
      </c>
      <c r="CT18" s="38">
        <f>'USD VO'!X61*100</f>
        <v>6.5390203288887063</v>
      </c>
      <c r="DP18" s="38"/>
      <c r="DR18" t="s">
        <v>84</v>
      </c>
      <c r="DS18" t="str">
        <f>'USD VO'!E102</f>
        <v>IEF</v>
      </c>
      <c r="DT18" t="str">
        <f>'USD VO'!G102</f>
        <v>STK</v>
      </c>
      <c r="DU18" t="str">
        <f>'USD VO'!F102</f>
        <v>SMART/AMEX</v>
      </c>
      <c r="EA18" s="38">
        <f>'USD VO'!T102*100</f>
        <v>7.3205706195839566</v>
      </c>
      <c r="EC18" t="s">
        <v>84</v>
      </c>
      <c r="ED18" t="str">
        <f>'USD VO'!E102</f>
        <v>IEF</v>
      </c>
      <c r="EE18" t="str">
        <f>'USD VO'!G102</f>
        <v>STK</v>
      </c>
      <c r="EF18" t="str">
        <f>'USD VO'!F102</f>
        <v>SMART/AMEX</v>
      </c>
      <c r="EL18" s="38">
        <f>'USD VO'!V102*100</f>
        <v>14.562498472225686</v>
      </c>
      <c r="EN18" t="s">
        <v>84</v>
      </c>
      <c r="EO18" t="str">
        <f>'USD VO'!E102</f>
        <v>IEF</v>
      </c>
      <c r="EP18" t="str">
        <f>'USD VO'!G102</f>
        <v>STK</v>
      </c>
      <c r="EQ18" t="str">
        <f>'USD VO'!F102</f>
        <v>SMART/AMEX</v>
      </c>
      <c r="EW18" s="38">
        <f>'USD VO'!X102*100</f>
        <v>18.882437610103729</v>
      </c>
      <c r="FH18" s="38"/>
      <c r="FS18" s="38"/>
      <c r="GD18" s="38"/>
      <c r="GO18" s="38"/>
      <c r="GZ18" s="38"/>
      <c r="IG18" s="58"/>
      <c r="KJ18" s="38">
        <f>'EUR VO'!X21*100</f>
        <v>99.999999999999986</v>
      </c>
    </row>
    <row r="19" spans="10:340" x14ac:dyDescent="0.2">
      <c r="J19" s="38"/>
      <c r="U19" s="38"/>
      <c r="AF19" s="69"/>
      <c r="AQ19" s="69"/>
      <c r="BB19" s="38"/>
      <c r="BM19" s="38"/>
      <c r="BO19" t="s">
        <v>84</v>
      </c>
      <c r="BP19" t="str">
        <f>'USD VO'!E62</f>
        <v>IEF</v>
      </c>
      <c r="BQ19" t="str">
        <f>'USD VO'!G62</f>
        <v>STK</v>
      </c>
      <c r="BR19" t="str">
        <f>'USD VO'!F62</f>
        <v>SMART/AMEX</v>
      </c>
      <c r="BX19" s="38">
        <f>'USD VO'!T62*100</f>
        <v>5.7614247218684005</v>
      </c>
      <c r="BZ19" t="s">
        <v>84</v>
      </c>
      <c r="CA19" t="str">
        <f>'USD VO'!E62</f>
        <v>IEF</v>
      </c>
      <c r="CB19" t="str">
        <f>'USD VO'!G62</f>
        <v>STK</v>
      </c>
      <c r="CC19" t="str">
        <f>'USD VO'!F62</f>
        <v>SMART/AMEX</v>
      </c>
      <c r="CI19" s="38">
        <f>'USD VO'!V62*100</f>
        <v>11.544825988672294</v>
      </c>
      <c r="CK19" t="s">
        <v>84</v>
      </c>
      <c r="CL19" t="str">
        <f>'USD VO'!E62</f>
        <v>IEF</v>
      </c>
      <c r="CM19" t="str">
        <f>'USD VO'!G62</f>
        <v>STK</v>
      </c>
      <c r="CN19" t="str">
        <f>'USD VO'!F62</f>
        <v>SMART/AMEX</v>
      </c>
      <c r="CT19" s="38">
        <f>'USD VO'!X62*100</f>
        <v>14.96588339754396</v>
      </c>
      <c r="DP19" s="38"/>
      <c r="EA19" s="58"/>
      <c r="EL19" s="58"/>
      <c r="EW19" s="38"/>
      <c r="FH19" s="38"/>
      <c r="FS19" s="38"/>
      <c r="GD19" s="38"/>
      <c r="GO19" s="38"/>
      <c r="GZ19" s="38"/>
      <c r="HV19" s="38"/>
      <c r="IG19" s="38"/>
      <c r="IR19" s="38"/>
      <c r="JN19" s="38"/>
      <c r="JY19" s="38"/>
    </row>
    <row r="20" spans="10:340" x14ac:dyDescent="0.2">
      <c r="J20" s="38"/>
      <c r="U20" s="38"/>
      <c r="AF20" s="69"/>
      <c r="AQ20" s="69"/>
      <c r="BB20" s="38"/>
      <c r="BM20" s="38"/>
      <c r="BX20" s="58"/>
      <c r="CI20" s="38"/>
      <c r="CT20" s="38"/>
      <c r="DE20" s="38"/>
      <c r="DP20" s="38"/>
      <c r="EA20" s="38"/>
      <c r="EL20" s="38"/>
      <c r="EW20" s="69"/>
      <c r="FH20" s="38"/>
      <c r="FS20" s="38"/>
      <c r="GD20" s="38"/>
      <c r="GO20" s="38"/>
      <c r="GZ20" s="38"/>
      <c r="HV20" s="38"/>
      <c r="IG20" s="38"/>
      <c r="IR20" s="38"/>
      <c r="JN20" s="38"/>
      <c r="KJ20" s="38"/>
    </row>
    <row r="21" spans="10:340" x14ac:dyDescent="0.2">
      <c r="J21" s="38"/>
      <c r="U21" s="38"/>
      <c r="AF21" s="69"/>
      <c r="AQ21" s="69"/>
      <c r="BB21" s="38"/>
      <c r="BM21" s="38"/>
      <c r="BX21" s="38"/>
      <c r="CI21" s="38"/>
      <c r="CT21" s="38"/>
      <c r="DE21" s="38"/>
      <c r="DP21" s="38"/>
      <c r="EA21" s="38"/>
      <c r="EL21" s="38"/>
      <c r="EW21" s="38"/>
      <c r="FH21" s="38"/>
      <c r="FS21" s="38"/>
      <c r="GD21" s="38"/>
      <c r="GO21" s="38"/>
      <c r="GZ21" s="38"/>
      <c r="HV21" s="38"/>
      <c r="IG21" s="38"/>
      <c r="JN21" s="38"/>
    </row>
    <row r="22" spans="10:340" x14ac:dyDescent="0.2">
      <c r="J22" s="38"/>
      <c r="U22" s="38"/>
      <c r="AF22" s="69"/>
      <c r="AQ22" s="69"/>
      <c r="BB22" s="38"/>
      <c r="BM22" s="38"/>
      <c r="BX22" s="69"/>
      <c r="CI22" s="69"/>
      <c r="CT22" s="38"/>
      <c r="DE22" s="38"/>
      <c r="DP22" s="38"/>
      <c r="EA22" s="38"/>
      <c r="EL22" s="38"/>
      <c r="EW22" s="38"/>
      <c r="FH22" s="38"/>
      <c r="FS22" s="38"/>
      <c r="GD22" s="38"/>
      <c r="GO22" s="38"/>
      <c r="GZ22" s="38"/>
      <c r="HV22" s="38"/>
      <c r="IG22" s="38"/>
      <c r="JN22" s="38"/>
    </row>
    <row r="23" spans="10:340" x14ac:dyDescent="0.2">
      <c r="J23" s="38"/>
      <c r="U23" s="38"/>
      <c r="AF23" s="69"/>
      <c r="AQ23" s="69"/>
      <c r="BB23" s="38"/>
      <c r="BM23" s="38"/>
      <c r="BX23" s="69"/>
      <c r="CI23" s="69"/>
      <c r="CT23" s="38"/>
      <c r="DE23" s="38"/>
      <c r="DP23" s="38"/>
      <c r="EA23" s="38"/>
      <c r="EL23" s="38"/>
      <c r="EW23" s="38"/>
      <c r="FH23" s="38"/>
      <c r="FS23" s="38"/>
      <c r="GD23" s="38"/>
      <c r="GO23" s="38"/>
      <c r="GZ23" s="38"/>
      <c r="IG23" s="38"/>
    </row>
    <row r="24" spans="10:340" x14ac:dyDescent="0.2">
      <c r="J24" s="38"/>
      <c r="U24" s="38"/>
      <c r="AF24" s="69"/>
      <c r="AQ24" s="69"/>
      <c r="BB24" s="38"/>
      <c r="BM24" s="38"/>
      <c r="BX24" s="69"/>
      <c r="CI24" s="69"/>
      <c r="CT24" s="38"/>
      <c r="DE24" s="38"/>
      <c r="DP24" s="38"/>
      <c r="EA24" s="38"/>
      <c r="EL24" s="38"/>
      <c r="EW24" s="38"/>
      <c r="FH24" s="38"/>
      <c r="FS24" s="38"/>
      <c r="GD24" s="38"/>
      <c r="GO24" s="38"/>
      <c r="GZ24" s="38"/>
    </row>
    <row r="25" spans="10:340" x14ac:dyDescent="0.2">
      <c r="J25" s="38"/>
      <c r="U25" s="38"/>
      <c r="AF25" s="69"/>
      <c r="AQ25" s="38"/>
      <c r="BB25" s="38"/>
      <c r="BM25" s="38"/>
      <c r="BX25" s="38"/>
      <c r="CI25" s="69"/>
      <c r="CT25" s="38"/>
      <c r="DE25" s="38"/>
      <c r="DP25" s="38"/>
      <c r="EA25" s="38"/>
      <c r="EL25" s="38"/>
      <c r="EW25" s="38"/>
      <c r="FH25" s="38"/>
      <c r="FS25" s="38"/>
      <c r="GD25" s="38"/>
      <c r="GO25" s="38"/>
      <c r="GZ25" s="38"/>
    </row>
    <row r="26" spans="10:340" x14ac:dyDescent="0.2">
      <c r="J26" s="38"/>
      <c r="U26" s="38"/>
      <c r="AF26" s="38"/>
      <c r="AQ26" s="38"/>
      <c r="BB26" s="38"/>
      <c r="BM26" s="38"/>
      <c r="BX26" s="38"/>
      <c r="CI26" s="69"/>
      <c r="CT26" s="38"/>
      <c r="DE26" s="38"/>
      <c r="DP26" s="38"/>
      <c r="EA26" s="38"/>
      <c r="EL26" s="38"/>
      <c r="EW26" s="38"/>
      <c r="FH26" s="38"/>
      <c r="FS26" s="38"/>
      <c r="GD26" s="38"/>
      <c r="GO26" s="38"/>
      <c r="GZ26" s="38"/>
    </row>
    <row r="27" spans="10:340" x14ac:dyDescent="0.2">
      <c r="J27" s="38"/>
      <c r="U27" s="38"/>
      <c r="AF27" s="38"/>
      <c r="AQ27" s="38"/>
      <c r="BB27" s="38"/>
      <c r="BM27" s="38"/>
      <c r="BX27" s="38"/>
      <c r="CI27" s="69"/>
      <c r="CT27" s="38"/>
      <c r="DE27" s="38"/>
      <c r="DP27" s="38"/>
      <c r="EA27" s="38"/>
      <c r="EL27" s="38"/>
      <c r="EW27" s="38"/>
      <c r="FH27" s="38"/>
      <c r="FS27" s="38"/>
      <c r="GD27" s="38"/>
      <c r="GO27" s="38"/>
      <c r="GZ27" s="38"/>
    </row>
    <row r="28" spans="10:340" x14ac:dyDescent="0.2">
      <c r="J28" s="38"/>
      <c r="U28" s="38"/>
      <c r="AF28" s="38"/>
      <c r="AQ28" s="38"/>
      <c r="BB28" s="38"/>
      <c r="BM28" s="38"/>
      <c r="BX28" s="38"/>
      <c r="CI28" s="69"/>
      <c r="CT28" s="38"/>
      <c r="DE28" s="38"/>
      <c r="DP28" s="38"/>
      <c r="EA28" s="38"/>
      <c r="EL28" s="38"/>
      <c r="EW28" s="38"/>
      <c r="FH28" s="38"/>
      <c r="FS28" s="38"/>
      <c r="GD28" s="38"/>
      <c r="GO28" s="38"/>
      <c r="GZ28" s="38"/>
    </row>
    <row r="29" spans="10:340" x14ac:dyDescent="0.2">
      <c r="J29" s="38"/>
      <c r="U29" s="38"/>
      <c r="AF29" s="38"/>
      <c r="AQ29" s="38"/>
      <c r="BB29" s="38"/>
      <c r="BM29" s="38"/>
      <c r="BX29" s="38"/>
      <c r="CI29" s="38"/>
      <c r="CT29" s="38"/>
      <c r="DE29" s="38"/>
      <c r="DP29" s="38"/>
      <c r="EA29" s="38"/>
      <c r="EL29" s="38"/>
      <c r="EW29" s="38"/>
      <c r="FH29" s="38"/>
      <c r="FS29" s="38"/>
      <c r="GD29" s="38"/>
      <c r="GO29" s="38"/>
      <c r="GZ29" s="38"/>
    </row>
    <row r="30" spans="10:340" x14ac:dyDescent="0.2">
      <c r="J30" s="38"/>
      <c r="U30" s="38"/>
      <c r="AF30" s="38"/>
      <c r="AQ30" s="38"/>
      <c r="BB30" s="38"/>
      <c r="BM30" s="38"/>
      <c r="BX30" s="38"/>
      <c r="CI30" s="38"/>
      <c r="CT30" s="38"/>
      <c r="DE30" s="38"/>
      <c r="DP30" s="38"/>
      <c r="EA30" s="38"/>
      <c r="EL30" s="38"/>
      <c r="EW30" s="38"/>
      <c r="FH30" s="38"/>
      <c r="FS30" s="38"/>
      <c r="GD30" s="38"/>
      <c r="GO30" s="38"/>
      <c r="GZ30" s="38"/>
    </row>
    <row r="31" spans="10:340" x14ac:dyDescent="0.2">
      <c r="J31" s="38"/>
      <c r="U31" s="38"/>
      <c r="AF31" s="38"/>
      <c r="AQ31" s="38"/>
      <c r="BB31" s="38"/>
      <c r="BM31" s="38"/>
      <c r="BX31" s="38"/>
      <c r="CI31" s="38"/>
      <c r="CT31" s="38"/>
      <c r="DE31" s="38"/>
      <c r="DP31" s="38"/>
      <c r="EA31" s="38"/>
      <c r="EL31" s="38"/>
      <c r="EW31" s="38"/>
      <c r="FH31" s="38"/>
      <c r="FS31" s="38"/>
      <c r="GD31" s="38"/>
      <c r="GO31" s="38"/>
      <c r="GZ31" s="38"/>
    </row>
    <row r="32" spans="10:340" x14ac:dyDescent="0.2">
      <c r="J32" s="38"/>
      <c r="U32" s="38"/>
      <c r="AF32" s="38"/>
      <c r="AQ32" s="38"/>
      <c r="BB32" s="38"/>
      <c r="BM32" s="38"/>
      <c r="BX32" s="38"/>
      <c r="CI32" s="38"/>
      <c r="CT32" s="38"/>
      <c r="DE32" s="38"/>
      <c r="DP32" s="38"/>
      <c r="EA32" s="38"/>
      <c r="EL32" s="38"/>
      <c r="EW32" s="38"/>
      <c r="FH32" s="38"/>
      <c r="FS32" s="38"/>
      <c r="GD32" s="38"/>
      <c r="GO32" s="38"/>
      <c r="GZ32" s="38"/>
    </row>
    <row r="33" spans="10:208" x14ac:dyDescent="0.2">
      <c r="J33" s="38"/>
      <c r="U33" s="38"/>
      <c r="AF33" s="38"/>
      <c r="AQ33" s="38"/>
      <c r="BB33" s="38"/>
      <c r="BM33" s="38"/>
      <c r="BX33" s="38"/>
      <c r="CI33" s="38"/>
      <c r="CT33" s="38"/>
      <c r="DE33" s="38"/>
      <c r="DP33" s="38"/>
      <c r="EA33" s="38"/>
      <c r="EL33" s="38"/>
      <c r="EW33" s="38"/>
      <c r="FH33" s="38"/>
      <c r="FS33" s="38"/>
      <c r="GD33" s="38"/>
      <c r="GO33" s="38"/>
      <c r="GZ33" s="38"/>
    </row>
    <row r="34" spans="10:208" x14ac:dyDescent="0.2">
      <c r="J34" s="38"/>
      <c r="U34" s="38"/>
      <c r="AF34" s="38"/>
      <c r="AQ34" s="38"/>
      <c r="BB34" s="38"/>
      <c r="BM34" s="38"/>
      <c r="BX34" s="38"/>
      <c r="CI34" s="38"/>
      <c r="CT34" s="38"/>
      <c r="DE34" s="38"/>
      <c r="DP34" s="38"/>
      <c r="EA34" s="38"/>
      <c r="EL34" s="38"/>
      <c r="EW34" s="38"/>
      <c r="FH34" s="38"/>
      <c r="FS34" s="38"/>
      <c r="GD34" s="38"/>
      <c r="GO34" s="38"/>
      <c r="GZ34" s="38"/>
    </row>
    <row r="35" spans="10:208" x14ac:dyDescent="0.2">
      <c r="J35" s="38"/>
      <c r="U35" s="38"/>
      <c r="AF35" s="38"/>
      <c r="AQ35" s="38"/>
      <c r="BB35" s="38"/>
      <c r="BM35" s="38"/>
      <c r="BX35" s="38"/>
      <c r="CI35" s="38"/>
      <c r="CT35" s="38"/>
      <c r="DE35" s="38"/>
      <c r="DP35" s="38"/>
      <c r="EA35" s="38"/>
      <c r="EL35" s="38"/>
      <c r="EW35" s="38"/>
      <c r="FH35" s="38"/>
      <c r="FS35" s="38"/>
      <c r="GD35" s="38"/>
      <c r="GO35" s="38"/>
      <c r="GZ35" s="38"/>
    </row>
    <row r="36" spans="10:208" x14ac:dyDescent="0.2">
      <c r="J36" s="38"/>
      <c r="U36" s="38"/>
      <c r="AF36" s="38"/>
      <c r="AQ36" s="38"/>
      <c r="BB36" s="38"/>
      <c r="BM36" s="38"/>
      <c r="BX36" s="38"/>
      <c r="CI36" s="38"/>
      <c r="CT36" s="38"/>
      <c r="DE36" s="38"/>
      <c r="DP36" s="38"/>
      <c r="EA36" s="38"/>
      <c r="EL36" s="38"/>
      <c r="EW36" s="38"/>
      <c r="FH36" s="38"/>
      <c r="FS36" s="38"/>
      <c r="GD36" s="38"/>
      <c r="GO36" s="38"/>
      <c r="GZ36" s="38"/>
    </row>
  </sheetData>
  <mergeCells count="31">
    <mergeCell ref="LH1:LQ1"/>
    <mergeCell ref="LS1:MB1"/>
    <mergeCell ref="JE1:JN1"/>
    <mergeCell ref="JP1:JY1"/>
    <mergeCell ref="KA1:KJ1"/>
    <mergeCell ref="KL1:KU1"/>
    <mergeCell ref="KW1:LF1"/>
    <mergeCell ref="HB1:HK1"/>
    <mergeCell ref="HM1:HV1"/>
    <mergeCell ref="HX1:IG1"/>
    <mergeCell ref="II1:IR1"/>
    <mergeCell ref="IT1:JC1"/>
    <mergeCell ref="DR1:EA1"/>
    <mergeCell ref="A1:J1"/>
    <mergeCell ref="L1:U1"/>
    <mergeCell ref="W1:AF1"/>
    <mergeCell ref="AH1:AQ1"/>
    <mergeCell ref="AS1:BB1"/>
    <mergeCell ref="BD1:BM1"/>
    <mergeCell ref="BO1:BX1"/>
    <mergeCell ref="BZ1:CI1"/>
    <mergeCell ref="CK1:CT1"/>
    <mergeCell ref="CV1:DE1"/>
    <mergeCell ref="DG1:DP1"/>
    <mergeCell ref="GQ1:GZ1"/>
    <mergeCell ref="EC1:EL1"/>
    <mergeCell ref="EN1:EW1"/>
    <mergeCell ref="EY1:FH1"/>
    <mergeCell ref="FJ1:FS1"/>
    <mergeCell ref="FU1:GD1"/>
    <mergeCell ref="GF1:G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14C-5D7A-4DA6-8674-1D816B41FF67}">
  <sheetPr codeName="Sheet2"/>
  <dimension ref="A1:GD43"/>
  <sheetViews>
    <sheetView topLeftCell="CC1" zoomScale="70" zoomScaleNormal="70" workbookViewId="0">
      <selection activeCell="CN22" sqref="CN22"/>
    </sheetView>
  </sheetViews>
  <sheetFormatPr defaultRowHeight="14.25" x14ac:dyDescent="0.2"/>
  <cols>
    <col min="1" max="1" width="3.796875" bestFit="1" customWidth="1"/>
    <col min="2" max="2" width="6.19921875" bestFit="1" customWidth="1"/>
    <col min="3" max="3" width="3.796875" bestFit="1" customWidth="1"/>
    <col min="4" max="4" width="11" bestFit="1" customWidth="1"/>
    <col min="10" max="10" width="5.3984375" bestFit="1" customWidth="1"/>
    <col min="12" max="12" width="3.796875" bestFit="1" customWidth="1"/>
    <col min="13" max="13" width="5.59765625" bestFit="1" customWidth="1"/>
    <col min="14" max="14" width="3.796875" bestFit="1" customWidth="1"/>
    <col min="15" max="15" width="11" bestFit="1" customWidth="1"/>
    <col min="21" max="21" width="5.3984375" style="38" bestFit="1" customWidth="1"/>
    <col min="23" max="23" width="3.796875" bestFit="1" customWidth="1"/>
    <col min="24" max="24" width="4.8984375" bestFit="1" customWidth="1"/>
    <col min="25" max="25" width="3.796875" bestFit="1" customWidth="1"/>
    <col min="26" max="26" width="10.19921875" bestFit="1" customWidth="1"/>
    <col min="32" max="32" width="5.3984375" style="38" bestFit="1" customWidth="1"/>
    <col min="34" max="34" width="3.796875" bestFit="1" customWidth="1"/>
    <col min="35" max="35" width="6.69921875" bestFit="1" customWidth="1"/>
    <col min="36" max="36" width="3.796875" bestFit="1" customWidth="1"/>
    <col min="37" max="37" width="11" bestFit="1" customWidth="1"/>
    <col min="43" max="43" width="5.3984375" bestFit="1" customWidth="1"/>
    <col min="45" max="45" width="3.796875" bestFit="1" customWidth="1"/>
    <col min="46" max="46" width="5" bestFit="1" customWidth="1"/>
    <col min="47" max="47" width="3.796875" bestFit="1" customWidth="1"/>
    <col min="48" max="48" width="9.296875" bestFit="1" customWidth="1"/>
    <col min="54" max="54" width="5.3984375" bestFit="1" customWidth="1"/>
    <col min="56" max="56" width="3.796875" bestFit="1" customWidth="1"/>
    <col min="57" max="57" width="7" bestFit="1" customWidth="1"/>
    <col min="58" max="58" width="3.796875" bestFit="1" customWidth="1"/>
    <col min="59" max="59" width="11" bestFit="1" customWidth="1"/>
    <col min="65" max="65" width="5.3984375" bestFit="1" customWidth="1"/>
    <col min="67" max="67" width="3.796875" bestFit="1" customWidth="1"/>
    <col min="68" max="68" width="5.5" bestFit="1" customWidth="1"/>
    <col min="69" max="69" width="3.796875" bestFit="1" customWidth="1"/>
    <col min="70" max="70" width="11" bestFit="1" customWidth="1"/>
    <col min="76" max="76" width="5.3984375" bestFit="1" customWidth="1"/>
    <col min="78" max="78" width="3.796875" bestFit="1" customWidth="1"/>
    <col min="79" max="79" width="5.19921875" bestFit="1" customWidth="1"/>
    <col min="80" max="80" width="3.796875" bestFit="1" customWidth="1"/>
    <col min="81" max="81" width="12.3984375" bestFit="1" customWidth="1"/>
    <col min="87" max="87" width="5.3984375" bestFit="1" customWidth="1"/>
    <col min="89" max="89" width="3.796875" bestFit="1" customWidth="1"/>
    <col min="90" max="90" width="4.8984375" bestFit="1" customWidth="1"/>
    <col min="91" max="91" width="3.796875" bestFit="1" customWidth="1"/>
    <col min="92" max="92" width="4.796875" bestFit="1" customWidth="1"/>
    <col min="98" max="98" width="5.3984375" bestFit="1" customWidth="1"/>
    <col min="100" max="100" width="3.796875" bestFit="1" customWidth="1"/>
    <col min="101" max="101" width="6.59765625" bestFit="1" customWidth="1"/>
    <col min="102" max="102" width="3.796875" bestFit="1" customWidth="1"/>
    <col min="103" max="103" width="11" bestFit="1" customWidth="1"/>
    <col min="109" max="109" width="6.19921875" bestFit="1" customWidth="1"/>
    <col min="111" max="111" width="3.796875" bestFit="1" customWidth="1"/>
    <col min="112" max="112" width="7.296875" bestFit="1" customWidth="1"/>
    <col min="113" max="113" width="3.796875" bestFit="1" customWidth="1"/>
    <col min="114" max="114" width="11" bestFit="1" customWidth="1"/>
    <col min="120" max="120" width="5.296875" bestFit="1" customWidth="1"/>
    <col min="122" max="122" width="3.796875" bestFit="1" customWidth="1"/>
    <col min="123" max="123" width="5.09765625" bestFit="1" customWidth="1"/>
    <col min="124" max="124" width="3.796875" bestFit="1" customWidth="1"/>
    <col min="125" max="125" width="11" bestFit="1" customWidth="1"/>
    <col min="131" max="131" width="5.3984375" bestFit="1" customWidth="1"/>
    <col min="133" max="133" width="3.796875" bestFit="1" customWidth="1"/>
    <col min="134" max="134" width="6.8984375" bestFit="1" customWidth="1"/>
    <col min="135" max="135" width="3.796875" bestFit="1" customWidth="1"/>
    <col min="136" max="136" width="11" bestFit="1" customWidth="1"/>
    <col min="142" max="142" width="5.3984375" bestFit="1" customWidth="1"/>
    <col min="144" max="144" width="3.796875" bestFit="1" customWidth="1"/>
    <col min="145" max="145" width="6.3984375" bestFit="1" customWidth="1"/>
    <col min="146" max="146" width="3.796875" bestFit="1" customWidth="1"/>
    <col min="147" max="147" width="15" bestFit="1" customWidth="1"/>
    <col min="153" max="153" width="5.3984375" bestFit="1" customWidth="1"/>
    <col min="155" max="155" width="3.796875" bestFit="1" customWidth="1"/>
    <col min="156" max="156" width="6" bestFit="1" customWidth="1"/>
    <col min="157" max="157" width="3.796875" bestFit="1" customWidth="1"/>
    <col min="158" max="158" width="11" bestFit="1" customWidth="1"/>
    <col min="164" max="164" width="7.09765625" bestFit="1" customWidth="1"/>
    <col min="166" max="166" width="3.796875" bestFit="1" customWidth="1"/>
    <col min="167" max="167" width="4.8984375" bestFit="1" customWidth="1"/>
    <col min="168" max="168" width="3.796875" bestFit="1" customWidth="1"/>
    <col min="169" max="169" width="10.19921875" bestFit="1" customWidth="1"/>
    <col min="175" max="175" width="5.3984375" bestFit="1" customWidth="1"/>
    <col min="177" max="177" width="3.796875" bestFit="1" customWidth="1"/>
    <col min="178" max="178" width="1.8984375" bestFit="1" customWidth="1"/>
    <col min="179" max="179" width="3.796875" bestFit="1" customWidth="1"/>
    <col min="180" max="180" width="1.8984375" bestFit="1" customWidth="1"/>
    <col min="186" max="186" width="5.3984375" bestFit="1" customWidth="1"/>
  </cols>
  <sheetData>
    <row r="1" spans="1:186" x14ac:dyDescent="0.2">
      <c r="A1" s="190" t="s">
        <v>4</v>
      </c>
      <c r="B1" s="190"/>
      <c r="C1" s="190"/>
      <c r="D1" s="190"/>
      <c r="E1" s="190"/>
      <c r="F1" s="190"/>
      <c r="G1" s="190"/>
      <c r="H1" s="190"/>
      <c r="I1" s="190"/>
      <c r="J1" s="190"/>
      <c r="L1" s="190" t="s">
        <v>90</v>
      </c>
      <c r="M1" s="190"/>
      <c r="N1" s="190"/>
      <c r="O1" s="190"/>
      <c r="P1" s="190"/>
      <c r="Q1" s="190"/>
      <c r="R1" s="190"/>
      <c r="S1" s="190"/>
      <c r="T1" s="190"/>
      <c r="U1" s="190"/>
      <c r="W1" s="190" t="s">
        <v>106</v>
      </c>
      <c r="X1" s="190"/>
      <c r="Y1" s="190"/>
      <c r="Z1" s="190"/>
      <c r="AA1" s="190"/>
      <c r="AB1" s="190"/>
      <c r="AC1" s="190"/>
      <c r="AD1" s="190"/>
      <c r="AE1" s="190"/>
      <c r="AF1" s="190"/>
      <c r="AH1" s="190" t="s">
        <v>125</v>
      </c>
      <c r="AI1" s="190"/>
      <c r="AJ1" s="190"/>
      <c r="AK1" s="190"/>
      <c r="AL1" s="190"/>
      <c r="AM1" s="190"/>
      <c r="AN1" s="190"/>
      <c r="AO1" s="190"/>
      <c r="AP1" s="190"/>
      <c r="AQ1" s="190"/>
      <c r="AS1" s="190" t="s">
        <v>163</v>
      </c>
      <c r="AT1" s="190"/>
      <c r="AU1" s="190"/>
      <c r="AV1" s="190"/>
      <c r="AW1" s="190"/>
      <c r="AX1" s="190"/>
      <c r="AY1" s="190"/>
      <c r="AZ1" s="190"/>
      <c r="BA1" s="190"/>
      <c r="BB1" s="190"/>
      <c r="BD1" s="190" t="s">
        <v>164</v>
      </c>
      <c r="BE1" s="190"/>
      <c r="BF1" s="190"/>
      <c r="BG1" s="190"/>
      <c r="BH1" s="190"/>
      <c r="BI1" s="190"/>
      <c r="BJ1" s="190"/>
      <c r="BK1" s="190"/>
      <c r="BL1" s="190"/>
      <c r="BM1" s="190"/>
      <c r="BO1" s="190" t="s">
        <v>174</v>
      </c>
      <c r="BP1" s="190"/>
      <c r="BQ1" s="190"/>
      <c r="BR1" s="190"/>
      <c r="BS1" s="190"/>
      <c r="BT1" s="190"/>
      <c r="BU1" s="190"/>
      <c r="BV1" s="190"/>
      <c r="BW1" s="190"/>
      <c r="BX1" s="190"/>
      <c r="BZ1" s="190" t="s">
        <v>184</v>
      </c>
      <c r="CA1" s="190"/>
      <c r="CB1" s="190"/>
      <c r="CC1" s="190"/>
      <c r="CD1" s="190"/>
      <c r="CE1" s="190"/>
      <c r="CF1" s="190"/>
      <c r="CG1" s="190"/>
      <c r="CH1" s="190"/>
      <c r="CI1" s="190"/>
      <c r="CK1" s="190" t="s">
        <v>205</v>
      </c>
      <c r="CL1" s="190"/>
      <c r="CM1" s="190"/>
      <c r="CN1" s="190"/>
      <c r="CO1" s="190"/>
      <c r="CP1" s="190"/>
      <c r="CQ1" s="190"/>
      <c r="CR1" s="190"/>
      <c r="CS1" s="190"/>
      <c r="CT1" s="190"/>
      <c r="CV1" s="190" t="s">
        <v>223</v>
      </c>
      <c r="CW1" s="190"/>
      <c r="CX1" s="190"/>
      <c r="CY1" s="190"/>
      <c r="CZ1" s="190"/>
      <c r="DA1" s="190"/>
      <c r="DB1" s="190"/>
      <c r="DC1" s="190"/>
      <c r="DD1" s="190"/>
      <c r="DE1" s="190"/>
      <c r="DG1" s="190" t="s">
        <v>237</v>
      </c>
      <c r="DH1" s="190"/>
      <c r="DI1" s="190"/>
      <c r="DJ1" s="190"/>
      <c r="DK1" s="190"/>
      <c r="DL1" s="190"/>
      <c r="DM1" s="190"/>
      <c r="DN1" s="190"/>
      <c r="DO1" s="190"/>
      <c r="DP1" s="190"/>
      <c r="DR1" s="190" t="s">
        <v>252</v>
      </c>
      <c r="DS1" s="190"/>
      <c r="DT1" s="190"/>
      <c r="DU1" s="190"/>
      <c r="DV1" s="190"/>
      <c r="DW1" s="190"/>
      <c r="DX1" s="190"/>
      <c r="DY1" s="190"/>
      <c r="DZ1" s="190"/>
      <c r="EA1" s="190"/>
      <c r="EC1" s="190" t="s">
        <v>258</v>
      </c>
      <c r="ED1" s="190"/>
      <c r="EE1" s="190"/>
      <c r="EF1" s="190"/>
      <c r="EG1" s="190"/>
      <c r="EH1" s="190"/>
      <c r="EI1" s="190"/>
      <c r="EJ1" s="190"/>
      <c r="EK1" s="190"/>
      <c r="EL1" s="190"/>
      <c r="EN1" s="190" t="s">
        <v>266</v>
      </c>
      <c r="EO1" s="190"/>
      <c r="EP1" s="190"/>
      <c r="EQ1" s="190"/>
      <c r="ER1" s="190"/>
      <c r="ES1" s="190"/>
      <c r="ET1" s="190"/>
      <c r="EU1" s="190"/>
      <c r="EV1" s="190"/>
      <c r="EW1" s="190"/>
      <c r="EY1" s="190" t="s">
        <v>274</v>
      </c>
      <c r="EZ1" s="190"/>
      <c r="FA1" s="190"/>
      <c r="FB1" s="190"/>
      <c r="FC1" s="190"/>
      <c r="FD1" s="190"/>
      <c r="FE1" s="190"/>
      <c r="FF1" s="190"/>
      <c r="FG1" s="190"/>
      <c r="FH1" s="190"/>
      <c r="FJ1" s="190" t="s">
        <v>280</v>
      </c>
      <c r="FK1" s="190"/>
      <c r="FL1" s="190"/>
      <c r="FM1" s="190"/>
      <c r="FN1" s="190"/>
      <c r="FO1" s="190"/>
      <c r="FP1" s="190"/>
      <c r="FQ1" s="190"/>
      <c r="FR1" s="190"/>
      <c r="FS1" s="190"/>
      <c r="FU1" s="190" t="s">
        <v>294</v>
      </c>
      <c r="FV1" s="190"/>
      <c r="FW1" s="190"/>
      <c r="FX1" s="190"/>
      <c r="FY1" s="190"/>
      <c r="FZ1" s="190"/>
      <c r="GA1" s="190"/>
      <c r="GB1" s="190"/>
      <c r="GC1" s="190"/>
      <c r="GD1" s="190"/>
    </row>
    <row r="2" spans="1:186" x14ac:dyDescent="0.2">
      <c r="A2" t="s">
        <v>84</v>
      </c>
      <c r="B2" t="str">
        <f>'Single Stock VO'!Q6</f>
        <v>GOOG</v>
      </c>
      <c r="C2" t="str">
        <f>'Single Stock VO'!U6</f>
        <v>STK</v>
      </c>
      <c r="D2" t="str">
        <f>'Single Stock VO'!V6</f>
        <v>SMART/AMEX</v>
      </c>
      <c r="J2" s="38">
        <f>'Single Stock VO'!AA6*100</f>
        <v>3.7095190708382555</v>
      </c>
      <c r="L2" t="s">
        <v>84</v>
      </c>
      <c r="M2" t="str">
        <f>'Single Stock VO'!AR6</f>
        <v>ABT</v>
      </c>
      <c r="N2" t="str">
        <f>'Single Stock VO'!AV6</f>
        <v>STK</v>
      </c>
      <c r="O2" t="str">
        <f>'Single Stock VO'!AW6</f>
        <v>SMART/AMEX</v>
      </c>
      <c r="U2" s="38">
        <f>'Single Stock VO'!BB6*100</f>
        <v>3.8326431438039203</v>
      </c>
      <c r="W2" t="s">
        <v>84</v>
      </c>
      <c r="X2">
        <f>'Single Stock VO'!BS6</f>
        <v>3292</v>
      </c>
      <c r="Y2" t="str">
        <f>'Single Stock VO'!BW6</f>
        <v>STK</v>
      </c>
      <c r="Z2" t="str">
        <f>'Single Stock VO'!BX6</f>
        <v>SMART/TSEJ</v>
      </c>
      <c r="AF2" s="38">
        <f>'Single Stock VO'!CC6*100</f>
        <v>6.4206470876323873</v>
      </c>
      <c r="AH2" t="s">
        <v>84</v>
      </c>
      <c r="AI2" t="str">
        <f>'Single Stock VO'!CT6</f>
        <v>AMT</v>
      </c>
      <c r="AJ2" t="str">
        <f>'Single Stock VO'!CX6</f>
        <v>STK</v>
      </c>
      <c r="AK2" t="str">
        <f>'Single Stock VO'!CY6</f>
        <v>SMART/AMEX</v>
      </c>
      <c r="AQ2" s="38">
        <f>'Single Stock VO'!DD6*100</f>
        <v>4.8669688493217089</v>
      </c>
      <c r="AS2" t="s">
        <v>84</v>
      </c>
      <c r="AT2" t="str">
        <f>'Single Stock VO'!DU6</f>
        <v>ADM</v>
      </c>
      <c r="AU2" t="str">
        <f>'Single Stock VO'!DY6</f>
        <v>STK</v>
      </c>
      <c r="AV2" t="str">
        <f>'Single Stock VO'!DZ6</f>
        <v>SMART/LSE</v>
      </c>
      <c r="BB2" s="38">
        <f>'Single Stock VO'!EE6*100</f>
        <v>3.8827708846108409</v>
      </c>
      <c r="BD2" t="s">
        <v>84</v>
      </c>
      <c r="BE2" t="str">
        <f>'Single Stock VO'!EV6</f>
        <v>GOOG</v>
      </c>
      <c r="BF2" t="str">
        <f>'Single Stock VO'!EZ6</f>
        <v>STK</v>
      </c>
      <c r="BG2" t="str">
        <f>'Single Stock VO'!FA6</f>
        <v>SMART/AMEX</v>
      </c>
      <c r="BM2" s="38">
        <f>'Single Stock VO'!FF6*100</f>
        <v>4.5830773471296622</v>
      </c>
      <c r="BO2" t="s">
        <v>84</v>
      </c>
      <c r="BP2" t="str">
        <f>'Single Stock VO'!FW6</f>
        <v>ADBE</v>
      </c>
      <c r="BQ2" t="str">
        <f>'Single Stock VO'!GA6</f>
        <v>STK</v>
      </c>
      <c r="BR2" t="str">
        <f>'Single Stock VO'!GB6</f>
        <v>SMART/AMEX</v>
      </c>
      <c r="BX2" s="38">
        <f>'Single Stock VO'!GG6*100</f>
        <v>2.7049590305654263</v>
      </c>
      <c r="BZ2" t="s">
        <v>84</v>
      </c>
      <c r="CA2">
        <f>'Single Stock VO'!GX6</f>
        <v>9988</v>
      </c>
      <c r="CB2" t="str">
        <f>'Single Stock VO'!HB6</f>
        <v>STK</v>
      </c>
      <c r="CC2" t="str">
        <f>'Single Stock VO'!HC6</f>
        <v>SEHK</v>
      </c>
      <c r="CI2" s="38">
        <f>'Single Stock VO'!HH6*100</f>
        <v>1.9530106226017665</v>
      </c>
      <c r="CK2" t="s">
        <v>84</v>
      </c>
      <c r="CL2">
        <f>'Single Stock VO'!HY6</f>
        <v>1308</v>
      </c>
      <c r="CM2" t="str">
        <f>'Single Stock VO'!IC6</f>
        <v>STK</v>
      </c>
      <c r="CN2" t="str">
        <f>'Single Stock VO'!ID6</f>
        <v>SEHK</v>
      </c>
      <c r="CT2" s="38">
        <f>'Single Stock VO'!II6*100</f>
        <v>4.2494882905816196</v>
      </c>
      <c r="CV2" t="s">
        <v>84</v>
      </c>
      <c r="CW2" t="str">
        <f>'Single Stock VO'!IZ6</f>
        <v>ADBE</v>
      </c>
      <c r="CX2" t="str">
        <f>'Single Stock VO'!JD6</f>
        <v>STK</v>
      </c>
      <c r="CY2" t="str">
        <f>'Single Stock VO'!JE6</f>
        <v>SMART/AMEX</v>
      </c>
      <c r="DE2" s="38">
        <f>'Single Stock VO'!JJ6*100</f>
        <v>2.7693140868151294</v>
      </c>
      <c r="DG2" t="s">
        <v>84</v>
      </c>
      <c r="DH2" t="str">
        <f>'Single Stock VO'!KA6</f>
        <v>ABBN</v>
      </c>
      <c r="DI2" t="str">
        <f>'Single Stock VO'!KE6</f>
        <v>STK</v>
      </c>
      <c r="DJ2" t="str">
        <f>'Single Stock VO'!KF6</f>
        <v>SMART/EBS</v>
      </c>
      <c r="DP2" s="69">
        <f>'Single Stock VO'!KK6</f>
        <v>2.7446148627595264E-2</v>
      </c>
      <c r="DR2" t="s">
        <v>84</v>
      </c>
      <c r="DS2" t="str">
        <f>'Single Stock VO'!LB6</f>
        <v>AMT</v>
      </c>
      <c r="DT2" t="str">
        <f>'Single Stock VO'!LF6</f>
        <v>STK</v>
      </c>
      <c r="DU2" t="str">
        <f>'Single Stock VO'!LG6</f>
        <v>SMART/AMEX</v>
      </c>
      <c r="EA2" s="38">
        <f>'Single Stock VO'!LL6*100</f>
        <v>6.0129634725660024</v>
      </c>
      <c r="EC2" t="s">
        <v>84</v>
      </c>
      <c r="ED2" t="str">
        <f>'Single Stock VO'!MC6</f>
        <v>ALV</v>
      </c>
      <c r="EE2" t="str">
        <f>'Single Stock VO'!MG6</f>
        <v>STK</v>
      </c>
      <c r="EF2" t="str">
        <f>'Single Stock VO'!MH6</f>
        <v>SMART/FWB</v>
      </c>
      <c r="EL2" s="38">
        <f>'Single Stock VO'!MM6*100</f>
        <v>2.6166826885265615</v>
      </c>
      <c r="EN2" t="s">
        <v>84</v>
      </c>
      <c r="EO2" t="str">
        <f>'Single Stock VO'!ND6</f>
        <v>T</v>
      </c>
      <c r="EP2" t="str">
        <f>'Single Stock VO'!NH6</f>
        <v>STK</v>
      </c>
      <c r="EQ2" t="str">
        <f>'Single Stock VO'!NI6</f>
        <v>SMART/AMEX</v>
      </c>
      <c r="EW2" s="38">
        <f>'Single Stock VO'!NN6*100</f>
        <v>3.8010777847948383</v>
      </c>
      <c r="EY2" t="s">
        <v>84</v>
      </c>
      <c r="EZ2" t="str">
        <f>'Single Stock VO'!OE6</f>
        <v>AKRBP</v>
      </c>
      <c r="FA2" t="str">
        <f>'Single Stock VO'!OI6</f>
        <v>STK</v>
      </c>
      <c r="FB2" t="str">
        <f>'Single Stock VO'!OJ6</f>
        <v>SMART/OSE</v>
      </c>
      <c r="FH2" s="69">
        <f>'Single Stock VO'!OO6*100</f>
        <v>3.8065362476369353</v>
      </c>
      <c r="FJ2" t="s">
        <v>84</v>
      </c>
      <c r="FK2">
        <f>'Single Stock VO'!PF6</f>
        <v>2181</v>
      </c>
      <c r="FL2" t="str">
        <f>'Single Stock VO'!PJ6</f>
        <v>STK</v>
      </c>
      <c r="FM2" t="str">
        <f>'Single Stock VO'!PK6</f>
        <v>SMART/TSEJ</v>
      </c>
      <c r="FS2" s="38">
        <f>'Single Stock VO'!PP6*100</f>
        <v>4.1037314894887604</v>
      </c>
      <c r="FU2" t="s">
        <v>84</v>
      </c>
      <c r="FV2">
        <f>'Single Stock VO'!QG6</f>
        <v>0</v>
      </c>
      <c r="FW2" t="str">
        <f>'Single Stock VO'!QK6</f>
        <v>STK</v>
      </c>
      <c r="FX2">
        <f>'Single Stock VO'!QL6</f>
        <v>0</v>
      </c>
      <c r="GD2" s="38">
        <f>'Single Stock VO'!QQ6*100</f>
        <v>5.8853746564437444</v>
      </c>
    </row>
    <row r="3" spans="1:186" x14ac:dyDescent="0.2">
      <c r="A3" t="s">
        <v>84</v>
      </c>
      <c r="B3" t="str">
        <f>'Single Stock VO'!Q7</f>
        <v>AAPL</v>
      </c>
      <c r="C3" t="str">
        <f>'Single Stock VO'!U7</f>
        <v>STK</v>
      </c>
      <c r="D3" t="str">
        <f>'Single Stock VO'!V7</f>
        <v>SMART/AMEX</v>
      </c>
      <c r="J3" s="38">
        <f>'Single Stock VO'!AA7*100</f>
        <v>2.9561636461884042</v>
      </c>
      <c r="L3" t="s">
        <v>84</v>
      </c>
      <c r="M3" t="str">
        <f>'Single Stock VO'!AR7</f>
        <v>ABBV</v>
      </c>
      <c r="N3" t="str">
        <f>'Single Stock VO'!AV7</f>
        <v>STK</v>
      </c>
      <c r="O3" t="str">
        <f>'Single Stock VO'!AW7</f>
        <v>SMART/AMEX</v>
      </c>
      <c r="U3" s="38">
        <f>'Single Stock VO'!BB7*100</f>
        <v>4.5116697896793312</v>
      </c>
      <c r="W3" t="s">
        <v>84</v>
      </c>
      <c r="X3">
        <f>'Single Stock VO'!BS7</f>
        <v>1925</v>
      </c>
      <c r="Y3" t="str">
        <f>'Single Stock VO'!BW7</f>
        <v>STK</v>
      </c>
      <c r="Z3" t="str">
        <f>'Single Stock VO'!BX7</f>
        <v>SMART/TSEJ</v>
      </c>
      <c r="AF3" s="38">
        <f>'Single Stock VO'!CC7*100</f>
        <v>6.2909971991225779</v>
      </c>
      <c r="AH3" t="s">
        <v>84</v>
      </c>
      <c r="AI3" t="str">
        <f>'Single Stock VO'!CT7</f>
        <v>BNL</v>
      </c>
      <c r="AJ3" t="str">
        <f>'Single Stock VO'!CX7</f>
        <v>STK</v>
      </c>
      <c r="AK3" t="str">
        <f>'Single Stock VO'!CY7</f>
        <v>SMART/AMEX</v>
      </c>
      <c r="AQ3" s="38">
        <f>'Single Stock VO'!DD7*100</f>
        <v>4.9350848130458296</v>
      </c>
      <c r="AS3" t="s">
        <v>84</v>
      </c>
      <c r="AT3" t="str">
        <f>'Single Stock VO'!DU7</f>
        <v>ABF</v>
      </c>
      <c r="AU3" t="str">
        <f>'Single Stock VO'!DY7</f>
        <v>STK</v>
      </c>
      <c r="AV3" t="str">
        <f>'Single Stock VO'!DZ7</f>
        <v>SMART/LSE</v>
      </c>
      <c r="BB3" s="38">
        <f>'Single Stock VO'!EE7*100</f>
        <v>3.891739876961517</v>
      </c>
      <c r="BD3" t="s">
        <v>84</v>
      </c>
      <c r="BE3" t="str">
        <f>'Single Stock VO'!EV7</f>
        <v>AAPL</v>
      </c>
      <c r="BF3" t="str">
        <f>'Single Stock VO'!EZ7</f>
        <v>STK</v>
      </c>
      <c r="BG3" t="str">
        <f>'Single Stock VO'!FA7</f>
        <v>SMART/AMEX</v>
      </c>
      <c r="BM3" s="38">
        <f>'Single Stock VO'!FF7*100</f>
        <v>3.7249322145466253</v>
      </c>
      <c r="BO3" t="s">
        <v>84</v>
      </c>
      <c r="BP3">
        <f>'Single Stock VO'!FW7</f>
        <v>9988</v>
      </c>
      <c r="BQ3" t="str">
        <f>'Single Stock VO'!GA7</f>
        <v>STK</v>
      </c>
      <c r="BR3" t="str">
        <f>'Single Stock VO'!GB7</f>
        <v>SEHK</v>
      </c>
      <c r="BX3" s="38">
        <f>'Single Stock VO'!GG7*100</f>
        <v>2.6271744474760643</v>
      </c>
      <c r="BZ3" t="s">
        <v>84</v>
      </c>
      <c r="CA3">
        <f>'Single Stock VO'!GX7</f>
        <v>2502</v>
      </c>
      <c r="CB3" t="str">
        <f>'Single Stock VO'!HB7</f>
        <v>STK</v>
      </c>
      <c r="CC3" t="str">
        <f>'Single Stock VO'!HC7</f>
        <v>SMART/TSEJ</v>
      </c>
      <c r="CI3" s="38">
        <f>'Single Stock VO'!HH7*100</f>
        <v>2.4391934900641008</v>
      </c>
      <c r="CK3" t="s">
        <v>84</v>
      </c>
      <c r="CL3">
        <f>'Single Stock VO'!HY7</f>
        <v>3998</v>
      </c>
      <c r="CM3" t="str">
        <f>'Single Stock VO'!IC7</f>
        <v>STK</v>
      </c>
      <c r="CN3" t="str">
        <f>'Single Stock VO'!ID7</f>
        <v>SEHK</v>
      </c>
      <c r="CT3" s="38">
        <f>'Single Stock VO'!II7*100</f>
        <v>4.2198930900835006</v>
      </c>
      <c r="CV3" t="s">
        <v>84</v>
      </c>
      <c r="CW3" t="str">
        <f>'Single Stock VO'!IZ7</f>
        <v>GOOG</v>
      </c>
      <c r="CX3" t="str">
        <f>'Single Stock VO'!JD7</f>
        <v>STK</v>
      </c>
      <c r="CY3" t="str">
        <f>'Single Stock VO'!JE7</f>
        <v>SMART/AMEX</v>
      </c>
      <c r="DE3" s="38">
        <f>'Single Stock VO'!JJ7*100</f>
        <v>5.0663506353024719</v>
      </c>
      <c r="DG3" t="s">
        <v>84</v>
      </c>
      <c r="DH3" t="str">
        <f>'Single Stock VO'!KA7</f>
        <v>ABBV</v>
      </c>
      <c r="DI3" t="str">
        <f>'Single Stock VO'!KE7</f>
        <v>STK</v>
      </c>
      <c r="DJ3" t="str">
        <f>'Single Stock VO'!KF7</f>
        <v>SMART/AMEX</v>
      </c>
      <c r="DP3" s="69">
        <f>'Single Stock VO'!KK7</f>
        <v>2.9872760521360793E-2</v>
      </c>
      <c r="DR3" t="s">
        <v>84</v>
      </c>
      <c r="DS3" t="str">
        <f>'Single Stock VO'!LB7</f>
        <v>BNL</v>
      </c>
      <c r="DT3" t="str">
        <f>'Single Stock VO'!LF7</f>
        <v>STK</v>
      </c>
      <c r="DU3" t="str">
        <f>'Single Stock VO'!LG7</f>
        <v>SMART/AMEX</v>
      </c>
      <c r="EA3" s="38">
        <f>'Single Stock VO'!LL7*100</f>
        <v>6.0971182749598638</v>
      </c>
      <c r="EC3" t="s">
        <v>84</v>
      </c>
      <c r="ED3" t="str">
        <f>'Single Stock VO'!MC7</f>
        <v>T</v>
      </c>
      <c r="EE3" t="str">
        <f>'Single Stock VO'!MG7</f>
        <v>STK</v>
      </c>
      <c r="EF3" t="str">
        <f>'Single Stock VO'!MH7</f>
        <v>SMART/AMEX</v>
      </c>
      <c r="EL3" s="38">
        <f>'Single Stock VO'!MM7*100</f>
        <v>2.9756678500078326</v>
      </c>
      <c r="EN3" t="s">
        <v>84</v>
      </c>
      <c r="EO3" t="str">
        <f>'Single Stock VO'!ND7</f>
        <v>BCE</v>
      </c>
      <c r="EP3" t="str">
        <f>'Single Stock VO'!NH7</f>
        <v>STK</v>
      </c>
      <c r="EQ3" t="str">
        <f>'Single Stock VO'!NI7</f>
        <v>SMART/AMEX</v>
      </c>
      <c r="EW3" s="38">
        <f>'Single Stock VO'!NN7*100</f>
        <v>3.6967953800833522</v>
      </c>
      <c r="EY3" t="s">
        <v>84</v>
      </c>
      <c r="EZ3" t="str">
        <f>'Single Stock VO'!OE7</f>
        <v>ALV</v>
      </c>
      <c r="FA3" t="str">
        <f>'Single Stock VO'!OI7</f>
        <v>STK</v>
      </c>
      <c r="FB3" t="str">
        <f>'Single Stock VO'!OJ7</f>
        <v>SMART/FWB</v>
      </c>
      <c r="FH3" s="69">
        <f>'Single Stock VO'!OO7*100</f>
        <v>2.9982369481935929</v>
      </c>
      <c r="FJ3" t="s">
        <v>84</v>
      </c>
      <c r="FK3">
        <f>'Single Stock VO'!PF7</f>
        <v>2503</v>
      </c>
      <c r="FL3" t="str">
        <f>'Single Stock VO'!PJ7</f>
        <v>STK</v>
      </c>
      <c r="FM3" t="str">
        <f>'Single Stock VO'!PK7</f>
        <v>SMART/TSEJ</v>
      </c>
      <c r="FS3" s="38">
        <f>'Single Stock VO'!PP7*100</f>
        <v>4.0261898738680868</v>
      </c>
      <c r="FU3" t="s">
        <v>84</v>
      </c>
      <c r="FV3">
        <f>'Single Stock VO'!QG7</f>
        <v>0</v>
      </c>
      <c r="FW3" t="str">
        <f>'Single Stock VO'!QK7</f>
        <v>STK</v>
      </c>
      <c r="FX3">
        <f>'Single Stock VO'!QL7</f>
        <v>0</v>
      </c>
      <c r="GD3" s="38">
        <f>'Single Stock VO'!QQ7*100</f>
        <v>4.1765413103225688</v>
      </c>
    </row>
    <row r="4" spans="1:186" x14ac:dyDescent="0.2">
      <c r="A4" t="s">
        <v>84</v>
      </c>
      <c r="B4" t="str">
        <f>'Single Stock VO'!Q8</f>
        <v>MSFT</v>
      </c>
      <c r="C4" t="str">
        <f>'Single Stock VO'!U8</f>
        <v>STK</v>
      </c>
      <c r="D4" t="str">
        <f>'Single Stock VO'!V8</f>
        <v>SMART/AMEX</v>
      </c>
      <c r="J4" s="38">
        <f>'Single Stock VO'!AA8*100</f>
        <v>2.7264056383601512</v>
      </c>
      <c r="L4" t="s">
        <v>84</v>
      </c>
      <c r="M4" t="str">
        <f>'Single Stock VO'!AR8</f>
        <v>AZN</v>
      </c>
      <c r="N4" t="str">
        <f>'Single Stock VO'!AV8</f>
        <v>STK</v>
      </c>
      <c r="O4" t="str">
        <f>'Single Stock VO'!AW8</f>
        <v>SMART/LSE</v>
      </c>
      <c r="U4" s="38">
        <f>'Single Stock VO'!BB8*100</f>
        <v>5.1557114800914325</v>
      </c>
      <c r="W4" t="s">
        <v>84</v>
      </c>
      <c r="X4">
        <f>'Single Stock VO'!BS8</f>
        <v>8984</v>
      </c>
      <c r="Y4" t="str">
        <f>'Single Stock VO'!BW8</f>
        <v>STK</v>
      </c>
      <c r="Z4" t="str">
        <f>'Single Stock VO'!BX8</f>
        <v>SMART/TSEJ</v>
      </c>
      <c r="AF4" s="38">
        <f>'Single Stock VO'!CC8*100</f>
        <v>6.0902638322526963</v>
      </c>
      <c r="AH4" t="s">
        <v>84</v>
      </c>
      <c r="AI4" t="str">
        <f>'Single Stock VO'!CT8</f>
        <v>CHP.UN</v>
      </c>
      <c r="AJ4" t="str">
        <f>'Single Stock VO'!CX8</f>
        <v>STK</v>
      </c>
      <c r="AK4" t="str">
        <f>'Single Stock VO'!CY8</f>
        <v>SMART/TSE</v>
      </c>
      <c r="AQ4" s="38">
        <f>'Single Stock VO'!DD8*100</f>
        <v>5.0910990083006293</v>
      </c>
      <c r="AS4" t="s">
        <v>84</v>
      </c>
      <c r="AT4" t="str">
        <f>'Single Stock VO'!DU8</f>
        <v>AZN</v>
      </c>
      <c r="AU4" t="str">
        <f>'Single Stock VO'!DY8</f>
        <v>STK</v>
      </c>
      <c r="AV4" t="str">
        <f>'Single Stock VO'!DZ8</f>
        <v>SMART/LSE</v>
      </c>
      <c r="BB4" s="38">
        <f>'Single Stock VO'!EE8*100</f>
        <v>5.5701966834050918</v>
      </c>
      <c r="BD4" t="s">
        <v>84</v>
      </c>
      <c r="BE4" t="str">
        <f>'Single Stock VO'!EV8</f>
        <v>MSFT</v>
      </c>
      <c r="BF4" t="str">
        <f>'Single Stock VO'!EZ8</f>
        <v>STK</v>
      </c>
      <c r="BG4" t="str">
        <f>'Single Stock VO'!FA8</f>
        <v>SMART/AMEX</v>
      </c>
      <c r="BM4" s="38">
        <f>'Single Stock VO'!FF8*100</f>
        <v>3.7521719919076024</v>
      </c>
      <c r="BO4" t="s">
        <v>84</v>
      </c>
      <c r="BP4" t="str">
        <f>'Single Stock VO'!FW8</f>
        <v>GOOG</v>
      </c>
      <c r="BQ4" t="str">
        <f>'Single Stock VO'!GA8</f>
        <v>STK</v>
      </c>
      <c r="BR4" t="str">
        <f>'Single Stock VO'!GB8</f>
        <v>SMART/AMEX</v>
      </c>
      <c r="BX4" s="38">
        <f>'Single Stock VO'!GG8*100</f>
        <v>3.2904661654347369</v>
      </c>
      <c r="BZ4" t="s">
        <v>84</v>
      </c>
      <c r="CA4" t="str">
        <f>'Single Stock VO'!GX8</f>
        <v>ASX</v>
      </c>
      <c r="CB4" t="str">
        <f>'Single Stock VO'!HB8</f>
        <v>STK</v>
      </c>
      <c r="CC4" t="str">
        <f>'Single Stock VO'!HC8</f>
        <v>SMART/AMEX</v>
      </c>
      <c r="CI4" s="38">
        <f>'Single Stock VO'!HH8*100</f>
        <v>5.4294425354201392</v>
      </c>
      <c r="CK4" t="s">
        <v>84</v>
      </c>
      <c r="CL4">
        <f>'Single Stock VO'!HY8</f>
        <v>788</v>
      </c>
      <c r="CM4" t="str">
        <f>'Single Stock VO'!IC8</f>
        <v>STK</v>
      </c>
      <c r="CN4" t="str">
        <f>'Single Stock VO'!ID8</f>
        <v>SEHK</v>
      </c>
      <c r="CT4" s="38">
        <f>'Single Stock VO'!II8*100</f>
        <v>4.2936561746624404</v>
      </c>
      <c r="CV4" t="s">
        <v>84</v>
      </c>
      <c r="CW4" t="str">
        <f>'Single Stock VO'!IZ8</f>
        <v>ADSK</v>
      </c>
      <c r="CX4" t="str">
        <f>'Single Stock VO'!JD8</f>
        <v>STK</v>
      </c>
      <c r="CY4" t="str">
        <f>'Single Stock VO'!JE8</f>
        <v>SMART/AMEX</v>
      </c>
      <c r="DE4" s="38">
        <f>'Single Stock VO'!JJ8*100</f>
        <v>3.1892722093870258</v>
      </c>
      <c r="DG4" t="s">
        <v>84</v>
      </c>
      <c r="DH4" t="str">
        <f>'Single Stock VO'!KA8</f>
        <v>A</v>
      </c>
      <c r="DI4" t="str">
        <f>'Single Stock VO'!KE8</f>
        <v>STK</v>
      </c>
      <c r="DJ4" t="str">
        <f>'Single Stock VO'!KF8</f>
        <v>SMART/AMEX</v>
      </c>
      <c r="DP4" s="69">
        <f>'Single Stock VO'!KK8</f>
        <v>2.6590107041976944E-2</v>
      </c>
      <c r="DR4" t="s">
        <v>84</v>
      </c>
      <c r="DS4" t="str">
        <f>'Single Stock VO'!LB8</f>
        <v>EPR</v>
      </c>
      <c r="DT4" t="str">
        <f>'Single Stock VO'!LF8</f>
        <v>STK</v>
      </c>
      <c r="DU4" t="str">
        <f>'Single Stock VO'!LG8</f>
        <v>SMART/AMEX</v>
      </c>
      <c r="EA4" s="38">
        <f>'Single Stock VO'!LL8*100</f>
        <v>6.7346514434495113</v>
      </c>
      <c r="EC4" t="s">
        <v>84</v>
      </c>
      <c r="ED4" t="str">
        <f>'Single Stock VO'!MC8</f>
        <v>CS</v>
      </c>
      <c r="EE4" t="str">
        <f>'Single Stock VO'!MG8</f>
        <v>STK</v>
      </c>
      <c r="EF4" t="str">
        <f>'Single Stock VO'!MH8</f>
        <v>SMART/FWB</v>
      </c>
      <c r="EL4" s="38">
        <f>'Single Stock VO'!MM8*100</f>
        <v>2.5957021147012806</v>
      </c>
      <c r="EN4" t="s">
        <v>84</v>
      </c>
      <c r="EO4" t="str">
        <f>'Single Stock VO'!ND8</f>
        <v>BMY</v>
      </c>
      <c r="EP4" t="str">
        <f>'Single Stock VO'!NH8</f>
        <v>STK</v>
      </c>
      <c r="EQ4" t="str">
        <f>'Single Stock VO'!NI8</f>
        <v>SMART/AMEX</v>
      </c>
      <c r="EW4" s="38">
        <f>'Single Stock VO'!NN8*100</f>
        <v>3.6760241308688704</v>
      </c>
      <c r="EY4" t="s">
        <v>84</v>
      </c>
      <c r="EZ4" t="str">
        <f>'Single Stock VO'!OE8</f>
        <v>ABF</v>
      </c>
      <c r="FA4" t="str">
        <f>'Single Stock VO'!OI8</f>
        <v>STK</v>
      </c>
      <c r="FB4" t="str">
        <f>'Single Stock VO'!OJ8</f>
        <v>SMART/LSE</v>
      </c>
      <c r="FH4" s="69">
        <f>'Single Stock VO'!OO8*100</f>
        <v>2.8269545657289084</v>
      </c>
      <c r="FJ4" t="s">
        <v>84</v>
      </c>
      <c r="FK4">
        <f>'Single Stock VO'!PF8</f>
        <v>2587</v>
      </c>
      <c r="FL4" t="str">
        <f>'Single Stock VO'!PJ8</f>
        <v>STK</v>
      </c>
      <c r="FM4" t="str">
        <f>'Single Stock VO'!PK8</f>
        <v>SMART/TSEJ</v>
      </c>
      <c r="FS4" s="38">
        <f>'Single Stock VO'!PP8*100</f>
        <v>4.0169689717112691</v>
      </c>
      <c r="FU4" t="s">
        <v>84</v>
      </c>
      <c r="FV4">
        <f>'Single Stock VO'!QG8</f>
        <v>0</v>
      </c>
      <c r="FW4" t="str">
        <f>'Single Stock VO'!QK8</f>
        <v>STK</v>
      </c>
      <c r="FX4">
        <f>'Single Stock VO'!QL8</f>
        <v>0</v>
      </c>
      <c r="GD4" s="38">
        <f>'Single Stock VO'!QQ8*100</f>
        <v>3.5912667750113889</v>
      </c>
    </row>
    <row r="5" spans="1:186" x14ac:dyDescent="0.2">
      <c r="A5" t="s">
        <v>84</v>
      </c>
      <c r="B5" t="str">
        <f>'Single Stock VO'!Q9</f>
        <v>SHEL</v>
      </c>
      <c r="C5" t="str">
        <f>'Single Stock VO'!U9</f>
        <v>STK</v>
      </c>
      <c r="D5" t="str">
        <f>'Single Stock VO'!V9</f>
        <v>SMART/LSE</v>
      </c>
      <c r="J5" s="38">
        <f>'Single Stock VO'!AA9*100</f>
        <v>2.8714322256118909</v>
      </c>
      <c r="L5" t="s">
        <v>84</v>
      </c>
      <c r="M5" t="str">
        <f>'Single Stock VO'!AR9</f>
        <v>BSX</v>
      </c>
      <c r="N5" t="str">
        <f>'Single Stock VO'!AV9</f>
        <v>STK</v>
      </c>
      <c r="O5" t="str">
        <f>'Single Stock VO'!AW9</f>
        <v>SMART/LSE</v>
      </c>
      <c r="U5" s="38">
        <f>'Single Stock VO'!BB9*100</f>
        <v>3.2884029638398613</v>
      </c>
      <c r="W5" t="s">
        <v>84</v>
      </c>
      <c r="X5">
        <f>'Single Stock VO'!BS9</f>
        <v>8986</v>
      </c>
      <c r="Y5" t="str">
        <f>'Single Stock VO'!BW9</f>
        <v>STK</v>
      </c>
      <c r="Z5" t="str">
        <f>'Single Stock VO'!BX9</f>
        <v>SMART/TSEJ</v>
      </c>
      <c r="AF5" s="38">
        <f>'Single Stock VO'!CC9*100</f>
        <v>6.4739822613896685</v>
      </c>
      <c r="AH5" t="s">
        <v>84</v>
      </c>
      <c r="AI5">
        <f>'Single Stock VO'!CT9</f>
        <v>1878</v>
      </c>
      <c r="AJ5" t="str">
        <f>'Single Stock VO'!CX9</f>
        <v>STK</v>
      </c>
      <c r="AK5" t="str">
        <f>'Single Stock VO'!CY9</f>
        <v>SMART/TSEJ</v>
      </c>
      <c r="AQ5" s="38">
        <f>'Single Stock VO'!DD9*100</f>
        <v>5.7376020919341881</v>
      </c>
      <c r="AS5" t="s">
        <v>84</v>
      </c>
      <c r="AT5" t="str">
        <f>'Single Stock VO'!DU9</f>
        <v>AV.</v>
      </c>
      <c r="AU5" t="str">
        <f>'Single Stock VO'!DY9</f>
        <v>STK</v>
      </c>
      <c r="AV5" t="str">
        <f>'Single Stock VO'!DZ9</f>
        <v>SMART/LSE</v>
      </c>
      <c r="BB5" s="38">
        <f>'Single Stock VO'!EE9*100</f>
        <v>3.9561929035010359</v>
      </c>
      <c r="BD5" t="s">
        <v>84</v>
      </c>
      <c r="BE5" t="str">
        <f>'Single Stock VO'!EV9</f>
        <v>AEP</v>
      </c>
      <c r="BF5" t="str">
        <f>'Single Stock VO'!EZ9</f>
        <v>STK</v>
      </c>
      <c r="BG5" t="str">
        <f>'Single Stock VO'!FA9</f>
        <v>SMART/AMEX</v>
      </c>
      <c r="BM5" s="38">
        <f>'Single Stock VO'!FF9*100</f>
        <v>3.5330941875885693</v>
      </c>
      <c r="BO5" t="s">
        <v>84</v>
      </c>
      <c r="BP5" t="str">
        <f>'Single Stock VO'!FW9</f>
        <v>AMS</v>
      </c>
      <c r="BQ5" t="str">
        <f>'Single Stock VO'!GA9</f>
        <v>STK</v>
      </c>
      <c r="BR5" t="str">
        <f>'Single Stock VO'!GB9</f>
        <v>SMART/BM</v>
      </c>
      <c r="BX5" s="38">
        <f>'Single Stock VO'!GG9*100</f>
        <v>2.5546911966547894</v>
      </c>
      <c r="BZ5" t="s">
        <v>84</v>
      </c>
      <c r="CA5">
        <f>'Single Stock VO'!GX9</f>
        <v>9888</v>
      </c>
      <c r="CB5" t="str">
        <f>'Single Stock VO'!HB9</f>
        <v>STK</v>
      </c>
      <c r="CC5" t="str">
        <f>'Single Stock VO'!HC9</f>
        <v>SEHK</v>
      </c>
      <c r="CI5" s="38">
        <f>'Single Stock VO'!HH9*100</f>
        <v>2.3398495045311569</v>
      </c>
      <c r="CK5" t="s">
        <v>84</v>
      </c>
      <c r="CL5">
        <f>'Single Stock VO'!HY9</f>
        <v>1919</v>
      </c>
      <c r="CM5" t="str">
        <f>'Single Stock VO'!IC9</f>
        <v>STK</v>
      </c>
      <c r="CN5" t="str">
        <f>'Single Stock VO'!ID9</f>
        <v>SEHK</v>
      </c>
      <c r="CT5" s="38">
        <f>'Single Stock VO'!II9*100</f>
        <v>4.3476724793866861</v>
      </c>
      <c r="CV5" t="s">
        <v>84</v>
      </c>
      <c r="CW5" t="str">
        <f>'Single Stock VO'!IZ9</f>
        <v>BIDU</v>
      </c>
      <c r="CX5" t="str">
        <f>'Single Stock VO'!JD9</f>
        <v>STK</v>
      </c>
      <c r="CY5" t="str">
        <f>'Single Stock VO'!JE9</f>
        <v>SMART/AMEX</v>
      </c>
      <c r="DE5" s="38">
        <f>'Single Stock VO'!JJ9*100</f>
        <v>4.553863274222417</v>
      </c>
      <c r="DG5" t="s">
        <v>84</v>
      </c>
      <c r="DH5" t="str">
        <f>'Single Stock VO'!KA9</f>
        <v>ALKS</v>
      </c>
      <c r="DI5" t="str">
        <f>'Single Stock VO'!KE9</f>
        <v>STK</v>
      </c>
      <c r="DJ5" t="str">
        <f>'Single Stock VO'!KF9</f>
        <v>SMART/AMEX</v>
      </c>
      <c r="DP5" s="69">
        <f>'Single Stock VO'!KK9</f>
        <v>2.335707836294915E-2</v>
      </c>
      <c r="DR5" t="s">
        <v>84</v>
      </c>
      <c r="DS5" t="str">
        <f>'Single Stock VO'!LB9</f>
        <v>ELS</v>
      </c>
      <c r="DT5" t="str">
        <f>'Single Stock VO'!LF9</f>
        <v>STK</v>
      </c>
      <c r="DU5" t="str">
        <f>'Single Stock VO'!LG9</f>
        <v>SMART/AMEX</v>
      </c>
      <c r="EA5" s="38">
        <f>'Single Stock VO'!LL9*100</f>
        <v>6.3667744157497443</v>
      </c>
      <c r="EC5" t="s">
        <v>84</v>
      </c>
      <c r="ED5" t="str">
        <f>'Single Stock VO'!MC9</f>
        <v>BCE</v>
      </c>
      <c r="EE5" t="str">
        <f>'Single Stock VO'!MG9</f>
        <v>STK</v>
      </c>
      <c r="EF5" t="str">
        <f>'Single Stock VO'!MH9</f>
        <v>SMART/TSE</v>
      </c>
      <c r="EL5" s="38">
        <f>'Single Stock VO'!MM9*100</f>
        <v>2.8448343199254702</v>
      </c>
      <c r="EN5" t="s">
        <v>84</v>
      </c>
      <c r="EO5" t="str">
        <f>'Single Stock VO'!ND9</f>
        <v>CVX</v>
      </c>
      <c r="EP5" t="str">
        <f>'Single Stock VO'!NH9</f>
        <v>STK</v>
      </c>
      <c r="EQ5" t="str">
        <f>'Single Stock VO'!NI9</f>
        <v>SMART/AMEX</v>
      </c>
      <c r="EW5" s="38">
        <f>'Single Stock VO'!NN9*100</f>
        <v>3.7903417211697259</v>
      </c>
      <c r="EY5" t="s">
        <v>84</v>
      </c>
      <c r="EZ5" t="str">
        <f>'Single Stock VO'!OE9</f>
        <v>CS</v>
      </c>
      <c r="FA5" t="str">
        <f>'Single Stock VO'!OI9</f>
        <v>STK</v>
      </c>
      <c r="FB5" t="str">
        <f>'Single Stock VO'!OJ9</f>
        <v>SMART/FWB</v>
      </c>
      <c r="FH5" s="69">
        <f>'Single Stock VO'!OO9*100</f>
        <v>2.8017889221218635</v>
      </c>
      <c r="FJ5" t="s">
        <v>84</v>
      </c>
      <c r="FK5">
        <f>'Single Stock VO'!PF9</f>
        <v>3407</v>
      </c>
      <c r="FL5" t="str">
        <f>'Single Stock VO'!PJ9</f>
        <v>STK</v>
      </c>
      <c r="FM5" t="str">
        <f>'Single Stock VO'!PK9</f>
        <v>SMART/TSEJ</v>
      </c>
      <c r="FS5" s="38">
        <f>'Single Stock VO'!PP9*100</f>
        <v>4.093848242213042</v>
      </c>
      <c r="FU5" t="s">
        <v>84</v>
      </c>
      <c r="FV5">
        <f>'Single Stock VO'!QG9</f>
        <v>0</v>
      </c>
      <c r="FW5" t="str">
        <f>'Single Stock VO'!QK9</f>
        <v>STK</v>
      </c>
      <c r="FX5">
        <f>'Single Stock VO'!QL9</f>
        <v>0</v>
      </c>
      <c r="GD5" s="38">
        <f>'Single Stock VO'!QQ9*100</f>
        <v>6.27658282882624</v>
      </c>
    </row>
    <row r="6" spans="1:186" x14ac:dyDescent="0.2">
      <c r="A6" t="s">
        <v>84</v>
      </c>
      <c r="B6" t="str">
        <f>'Single Stock VO'!Q10</f>
        <v>AEP</v>
      </c>
      <c r="C6" t="str">
        <f>'Single Stock VO'!U10</f>
        <v>STK</v>
      </c>
      <c r="D6" t="str">
        <f>'Single Stock VO'!V10</f>
        <v>SMART/AMEX</v>
      </c>
      <c r="J6" s="38">
        <f>'Single Stock VO'!AA10*100</f>
        <v>2.8686635658097126</v>
      </c>
      <c r="L6" t="s">
        <v>84</v>
      </c>
      <c r="M6" t="str">
        <f>'Single Stock VO'!AR10</f>
        <v>GILD</v>
      </c>
      <c r="N6" t="str">
        <f>'Single Stock VO'!AV10</f>
        <v>STK</v>
      </c>
      <c r="O6" t="str">
        <f>'Single Stock VO'!AW10</f>
        <v>SMART/AMEX</v>
      </c>
      <c r="U6" s="38">
        <f>'Single Stock VO'!BB10*100</f>
        <v>5.4253683826212171</v>
      </c>
      <c r="W6" t="s">
        <v>84</v>
      </c>
      <c r="X6">
        <f>'Single Stock VO'!BS10</f>
        <v>3249</v>
      </c>
      <c r="Y6" t="str">
        <f>'Single Stock VO'!BW10</f>
        <v>STK</v>
      </c>
      <c r="Z6" t="str">
        <f>'Single Stock VO'!BX10</f>
        <v>SMART/TSEJ</v>
      </c>
      <c r="AF6" s="38">
        <f>'Single Stock VO'!CC10*100</f>
        <v>6.481967293562894</v>
      </c>
      <c r="AH6" t="s">
        <v>84</v>
      </c>
      <c r="AI6">
        <f>'Single Stock VO'!CT10</f>
        <v>8984</v>
      </c>
      <c r="AJ6" t="str">
        <f>'Single Stock VO'!CX10</f>
        <v>STK</v>
      </c>
      <c r="AK6" t="str">
        <f>'Single Stock VO'!CY10</f>
        <v>SMART/TSEJ</v>
      </c>
      <c r="AQ6" s="38">
        <f>'Single Stock VO'!DD10*100</f>
        <v>4.4599745004741642</v>
      </c>
      <c r="AS6" t="s">
        <v>84</v>
      </c>
      <c r="AT6" t="str">
        <f>'Single Stock VO'!DU10</f>
        <v>BT.A</v>
      </c>
      <c r="AU6" t="str">
        <f>'Single Stock VO'!DY10</f>
        <v>STK</v>
      </c>
      <c r="AV6" t="str">
        <f>'Single Stock VO'!DZ10</f>
        <v>SMART/LSE</v>
      </c>
      <c r="BB6" s="38">
        <f>'Single Stock VO'!EE10*100</f>
        <v>4.4842542517691664</v>
      </c>
      <c r="BD6" t="s">
        <v>84</v>
      </c>
      <c r="BE6" t="str">
        <f>'Single Stock VO'!EV10</f>
        <v>PGR</v>
      </c>
      <c r="BF6" t="str">
        <f>'Single Stock VO'!EZ10</f>
        <v>STK</v>
      </c>
      <c r="BG6" t="str">
        <f>'Single Stock VO'!FA10</f>
        <v>SMART/AMEX</v>
      </c>
      <c r="BM6" s="38">
        <f>'Single Stock VO'!FF10*100</f>
        <v>3.3858776389893528</v>
      </c>
      <c r="BO6" t="s">
        <v>84</v>
      </c>
      <c r="BP6" t="str">
        <f>'Single Stock VO'!FW10</f>
        <v>AMZN</v>
      </c>
      <c r="BQ6" t="str">
        <f>'Single Stock VO'!GA10</f>
        <v>STK</v>
      </c>
      <c r="BR6" t="str">
        <f>'Single Stock VO'!GB10</f>
        <v>SMART/AMEX</v>
      </c>
      <c r="BX6" s="38">
        <f>'Single Stock VO'!GG10*100</f>
        <v>2.9325046161885573</v>
      </c>
      <c r="BZ6" t="s">
        <v>84</v>
      </c>
      <c r="CA6">
        <f>'Single Stock VO'!GX10</f>
        <v>7832</v>
      </c>
      <c r="CB6" t="str">
        <f>'Single Stock VO'!HB10</f>
        <v>STK</v>
      </c>
      <c r="CC6" t="str">
        <f>'Single Stock VO'!HC10</f>
        <v>SMART/TSEJ</v>
      </c>
      <c r="CI6" s="38">
        <f>'Single Stock VO'!HH10*100</f>
        <v>2.1980407044366843</v>
      </c>
      <c r="CK6" t="s">
        <v>84</v>
      </c>
      <c r="CL6">
        <f>'Single Stock VO'!HY10</f>
        <v>857</v>
      </c>
      <c r="CM6" t="str">
        <f>'Single Stock VO'!IC10</f>
        <v>STK</v>
      </c>
      <c r="CN6" t="str">
        <f>'Single Stock VO'!ID10</f>
        <v>SEHK</v>
      </c>
      <c r="CT6" s="38">
        <f>'Single Stock VO'!II10*100</f>
        <v>4.3182856262178149</v>
      </c>
      <c r="CV6" t="s">
        <v>84</v>
      </c>
      <c r="CW6" t="str">
        <f>'Single Stock VO'!IZ10</f>
        <v>CHKP</v>
      </c>
      <c r="CX6" t="str">
        <f>'Single Stock VO'!JD10</f>
        <v>STK</v>
      </c>
      <c r="CY6" t="str">
        <f>'Single Stock VO'!JE10</f>
        <v>SMART/AMEX</v>
      </c>
      <c r="DE6" s="38">
        <f>'Single Stock VO'!JJ10*100</f>
        <v>3.0410038916672923</v>
      </c>
      <c r="DG6" t="s">
        <v>84</v>
      </c>
      <c r="DH6" t="str">
        <f>'Single Stock VO'!KA10</f>
        <v>ASX</v>
      </c>
      <c r="DI6" t="str">
        <f>'Single Stock VO'!KE10</f>
        <v>STK</v>
      </c>
      <c r="DJ6" t="str">
        <f>'Single Stock VO'!KF10</f>
        <v>SMART/AMEX</v>
      </c>
      <c r="DP6" s="69">
        <f>'Single Stock VO'!KK10</f>
        <v>2.8587447394895622E-2</v>
      </c>
      <c r="DR6" t="s">
        <v>84</v>
      </c>
      <c r="DS6" t="str">
        <f>'Single Stock VO'!LB10</f>
        <v>GLPI</v>
      </c>
      <c r="DT6" t="str">
        <f>'Single Stock VO'!LF10</f>
        <v>STK</v>
      </c>
      <c r="DU6" t="str">
        <f>'Single Stock VO'!LG10</f>
        <v>SMART/AMEX</v>
      </c>
      <c r="EA6" s="38">
        <f>'Single Stock VO'!LL10*100</f>
        <v>6.3390485409059476</v>
      </c>
      <c r="EC6" t="s">
        <v>84</v>
      </c>
      <c r="ED6" t="str">
        <f>'Single Stock VO'!MC10</f>
        <v>BHP</v>
      </c>
      <c r="EE6" t="str">
        <f>'Single Stock VO'!MG10</f>
        <v>STK</v>
      </c>
      <c r="EF6" t="str">
        <f>'Single Stock VO'!MH10</f>
        <v>SMART/ASX</v>
      </c>
      <c r="EL6" s="38">
        <f>'Single Stock VO'!MM10*100</f>
        <v>2.5678227793240844</v>
      </c>
      <c r="EN6" t="s">
        <v>84</v>
      </c>
      <c r="EO6" t="str">
        <f>'Single Stock VO'!ND10</f>
        <v>CSCO</v>
      </c>
      <c r="EP6" t="str">
        <f>'Single Stock VO'!NH10</f>
        <v>STK</v>
      </c>
      <c r="EQ6" t="str">
        <f>'Single Stock VO'!NI10</f>
        <v>SMART/AMEX</v>
      </c>
      <c r="EW6" s="38">
        <f>'Single Stock VO'!NN10*100</f>
        <v>3.7087286635116019</v>
      </c>
      <c r="EY6" t="s">
        <v>84</v>
      </c>
      <c r="EZ6" t="str">
        <f>'Single Stock VO'!OE10</f>
        <v>CCH</v>
      </c>
      <c r="FA6" t="str">
        <f>'Single Stock VO'!OI10</f>
        <v>STK</v>
      </c>
      <c r="FB6" t="str">
        <f>'Single Stock VO'!OJ10</f>
        <v>SMART/LSE</v>
      </c>
      <c r="FH6" s="69">
        <f>'Single Stock VO'!OO10*100</f>
        <v>3.7390503685983769</v>
      </c>
      <c r="FJ6" t="s">
        <v>84</v>
      </c>
      <c r="FK6">
        <f>'Single Stock VO'!PF10</f>
        <v>4042</v>
      </c>
      <c r="FL6" t="str">
        <f>'Single Stock VO'!PJ10</f>
        <v>STK</v>
      </c>
      <c r="FM6" t="str">
        <f>'Single Stock VO'!PK10</f>
        <v>SMART/TSEJ</v>
      </c>
      <c r="FS6" s="38">
        <f>'Single Stock VO'!PP10*100</f>
        <v>4.2091976974931296</v>
      </c>
      <c r="FU6" t="s">
        <v>84</v>
      </c>
      <c r="FV6">
        <f>'Single Stock VO'!QG10</f>
        <v>0</v>
      </c>
      <c r="FW6" t="str">
        <f>'Single Stock VO'!QK10</f>
        <v>STK</v>
      </c>
      <c r="FX6">
        <f>'Single Stock VO'!QL10</f>
        <v>0</v>
      </c>
      <c r="GD6" s="38">
        <f>'Single Stock VO'!QQ10*100</f>
        <v>9.1806986814524265</v>
      </c>
    </row>
    <row r="7" spans="1:186" x14ac:dyDescent="0.2">
      <c r="A7" t="s">
        <v>84</v>
      </c>
      <c r="B7" t="str">
        <f>'Single Stock VO'!Q11</f>
        <v>PGR</v>
      </c>
      <c r="C7" t="str">
        <f>'Single Stock VO'!U11</f>
        <v>STK</v>
      </c>
      <c r="D7" t="str">
        <f>'Single Stock VO'!V11</f>
        <v>SMART/AMEX</v>
      </c>
      <c r="J7" s="38">
        <f>'Single Stock VO'!AA11*100</f>
        <v>2.7491324333722185</v>
      </c>
      <c r="L7" t="s">
        <v>84</v>
      </c>
      <c r="M7" t="str">
        <f>'Single Stock VO'!AR11</f>
        <v>GSK</v>
      </c>
      <c r="N7" t="str">
        <f>'Single Stock VO'!AV11</f>
        <v>STK</v>
      </c>
      <c r="O7" t="str">
        <f>'Single Stock VO'!AW11</f>
        <v>SMART/LSE</v>
      </c>
      <c r="U7" s="38">
        <f>'Single Stock VO'!BB11*100</f>
        <v>5.5660606250509215</v>
      </c>
      <c r="W7" t="s">
        <v>84</v>
      </c>
      <c r="X7">
        <f>'Single Stock VO'!BS11</f>
        <v>8987</v>
      </c>
      <c r="Y7" t="str">
        <f>'Single Stock VO'!BW11</f>
        <v>STK</v>
      </c>
      <c r="Z7" t="str">
        <f>'Single Stock VO'!BX11</f>
        <v>SMART/TSEJ</v>
      </c>
      <c r="AF7" s="38">
        <f>'Single Stock VO'!CC11*100</f>
        <v>6.3942484884934272</v>
      </c>
      <c r="AH7" t="s">
        <v>84</v>
      </c>
      <c r="AI7" t="str">
        <f>'Single Stock VO'!CT11</f>
        <v>EPR</v>
      </c>
      <c r="AJ7" t="str">
        <f>'Single Stock VO'!CX11</f>
        <v>STK</v>
      </c>
      <c r="AK7" t="str">
        <f>'Single Stock VO'!CY11</f>
        <v>SMART/AMEX</v>
      </c>
      <c r="AQ7" s="38">
        <f>'Single Stock VO'!DD11*100</f>
        <v>5.4511122403876149</v>
      </c>
      <c r="AS7" t="s">
        <v>84</v>
      </c>
      <c r="AT7" t="str">
        <f>'Single Stock VO'!DU11</f>
        <v>CCH</v>
      </c>
      <c r="AU7" t="str">
        <f>'Single Stock VO'!DY11</f>
        <v>STK</v>
      </c>
      <c r="AV7" t="str">
        <f>'Single Stock VO'!DZ11</f>
        <v>SMART/LSE</v>
      </c>
      <c r="BB7" s="38">
        <f>'Single Stock VO'!EE11*100</f>
        <v>5.4562409270918639</v>
      </c>
      <c r="BD7" t="s">
        <v>84</v>
      </c>
      <c r="BE7" t="str">
        <f>'Single Stock VO'!EV11</f>
        <v>AMZN</v>
      </c>
      <c r="BF7" t="str">
        <f>'Single Stock VO'!EZ11</f>
        <v>STK</v>
      </c>
      <c r="BG7" t="str">
        <f>'Single Stock VO'!FA11</f>
        <v>SMART/AMEX</v>
      </c>
      <c r="BM7" s="38">
        <f>'Single Stock VO'!FF11*100</f>
        <v>3.3990291605179093</v>
      </c>
      <c r="BO7" t="s">
        <v>84</v>
      </c>
      <c r="BP7" t="str">
        <f>'Single Stock VO'!FW11</f>
        <v>DOX</v>
      </c>
      <c r="BQ7" t="str">
        <f>'Single Stock VO'!GA11</f>
        <v>STK</v>
      </c>
      <c r="BR7" t="str">
        <f>'Single Stock VO'!GB11</f>
        <v>SMART/AMEX</v>
      </c>
      <c r="BX7" s="38">
        <f>'Single Stock VO'!GG11*100</f>
        <v>2.8659739084061453</v>
      </c>
      <c r="BZ7" t="s">
        <v>84</v>
      </c>
      <c r="CA7" t="str">
        <f>'Single Stock VO'!GX11</f>
        <v>BHP</v>
      </c>
      <c r="CB7" t="str">
        <f>'Single Stock VO'!HB11</f>
        <v>STK</v>
      </c>
      <c r="CC7" t="str">
        <f>'Single Stock VO'!HC11</f>
        <v>SMART/ASX</v>
      </c>
      <c r="CI7" s="38">
        <f>'Single Stock VO'!HH11*100</f>
        <v>3.6842254755800252</v>
      </c>
      <c r="CK7" t="s">
        <v>84</v>
      </c>
      <c r="CL7">
        <f>'Single Stock VO'!HY11</f>
        <v>1883</v>
      </c>
      <c r="CM7" t="str">
        <f>'Single Stock VO'!IC11</f>
        <v>STK</v>
      </c>
      <c r="CN7" t="str">
        <f>'Single Stock VO'!ID11</f>
        <v>SEHK</v>
      </c>
      <c r="CT7" s="38">
        <f>'Single Stock VO'!II11*100</f>
        <v>4.312030946382837</v>
      </c>
      <c r="CV7" t="s">
        <v>84</v>
      </c>
      <c r="CW7" t="str">
        <f>'Single Stock VO'!IZ11</f>
        <v>CSCO</v>
      </c>
      <c r="CX7" t="str">
        <f>'Single Stock VO'!JD11</f>
        <v>STK</v>
      </c>
      <c r="CY7" t="str">
        <f>'Single Stock VO'!JE11</f>
        <v>SMART/AMEX</v>
      </c>
      <c r="DE7" s="38">
        <f>'Single Stock VO'!JJ11*100</f>
        <v>4.001163800469234</v>
      </c>
      <c r="DG7" t="s">
        <v>84</v>
      </c>
      <c r="DH7" t="str">
        <f>'Single Stock VO'!KA11</f>
        <v>ADSK</v>
      </c>
      <c r="DI7" t="str">
        <f>'Single Stock VO'!KE11</f>
        <v>STK</v>
      </c>
      <c r="DJ7" t="str">
        <f>'Single Stock VO'!KF11</f>
        <v>SMART/AMEX</v>
      </c>
      <c r="DP7" s="69">
        <f>'Single Stock VO'!KK11</f>
        <v>3.1259312541901049E-2</v>
      </c>
      <c r="DR7" t="s">
        <v>84</v>
      </c>
      <c r="DS7" t="str">
        <f>'Single Stock VO'!LB11</f>
        <v>LAMR</v>
      </c>
      <c r="DT7" t="str">
        <f>'Single Stock VO'!LF11</f>
        <v>STK</v>
      </c>
      <c r="DU7" t="str">
        <f>'Single Stock VO'!LG11</f>
        <v>SMART/AMEX</v>
      </c>
      <c r="EA7" s="38">
        <f>'Single Stock VO'!LL11*100</f>
        <v>6.6964387876928031</v>
      </c>
      <c r="EC7" t="s">
        <v>84</v>
      </c>
      <c r="ED7" t="str">
        <f>'Single Stock VO'!MC11</f>
        <v>BMY</v>
      </c>
      <c r="EE7" t="str">
        <f>'Single Stock VO'!MG11</f>
        <v>STK</v>
      </c>
      <c r="EF7" t="str">
        <f>'Single Stock VO'!MH11</f>
        <v>SMART/AMEX</v>
      </c>
      <c r="EL7" s="38">
        <f>'Single Stock VO'!MM11*100</f>
        <v>2.801870830377192</v>
      </c>
      <c r="EN7" t="s">
        <v>84</v>
      </c>
      <c r="EO7" t="str">
        <f>'Single Stock VO'!ND11</f>
        <v>KOF</v>
      </c>
      <c r="EP7" t="str">
        <f>'Single Stock VO'!NH11</f>
        <v>STK</v>
      </c>
      <c r="EQ7" t="str">
        <f>'Single Stock VO'!NI11</f>
        <v>SMART/AMEX</v>
      </c>
      <c r="EW7" s="38">
        <f>'Single Stock VO'!NN11*100</f>
        <v>3.426047361732623</v>
      </c>
      <c r="EY7" t="s">
        <v>84</v>
      </c>
      <c r="EZ7" t="str">
        <f>'Single Stock VO'!OE11</f>
        <v>DTE</v>
      </c>
      <c r="FA7" t="str">
        <f>'Single Stock VO'!OI11</f>
        <v>STK</v>
      </c>
      <c r="FB7" t="str">
        <f>'Single Stock VO'!OJ11</f>
        <v>SMART/FWB</v>
      </c>
      <c r="FH7" s="69">
        <f>'Single Stock VO'!OO11*100</f>
        <v>3.3996654930781549</v>
      </c>
      <c r="FJ7" t="s">
        <v>84</v>
      </c>
      <c r="FK7">
        <f>'Single Stock VO'!PF11</f>
        <v>4204</v>
      </c>
      <c r="FL7" t="str">
        <f>'Single Stock VO'!PJ11</f>
        <v>STK</v>
      </c>
      <c r="FM7" t="str">
        <f>'Single Stock VO'!PK11</f>
        <v>SMART/TSEJ</v>
      </c>
      <c r="FS7" s="38">
        <f>'Single Stock VO'!PP11*100</f>
        <v>4.1174218248889787</v>
      </c>
      <c r="FU7" t="s">
        <v>84</v>
      </c>
      <c r="FV7">
        <f>'Single Stock VO'!QG11</f>
        <v>0</v>
      </c>
      <c r="FW7" t="str">
        <f>'Single Stock VO'!QK11</f>
        <v>STK</v>
      </c>
      <c r="FX7">
        <f>'Single Stock VO'!QL11</f>
        <v>0</v>
      </c>
      <c r="GD7" s="38">
        <f>'Single Stock VO'!QQ11*100</f>
        <v>2.7994878666063112</v>
      </c>
    </row>
    <row r="8" spans="1:186" x14ac:dyDescent="0.2">
      <c r="A8" t="s">
        <v>84</v>
      </c>
      <c r="B8" t="str">
        <f>'Single Stock VO'!Q12</f>
        <v>AMZN</v>
      </c>
      <c r="C8" t="str">
        <f>'Single Stock VO'!U12</f>
        <v>STK</v>
      </c>
      <c r="D8" t="str">
        <f>'Single Stock VO'!V12</f>
        <v>SMART/AMEX</v>
      </c>
      <c r="J8" s="38">
        <f>'Single Stock VO'!AA12*100</f>
        <v>2.7598106911940592</v>
      </c>
      <c r="L8" t="s">
        <v>84</v>
      </c>
      <c r="M8" t="str">
        <f>'Single Stock VO'!AR12</f>
        <v>HCA</v>
      </c>
      <c r="N8" t="str">
        <f>'Single Stock VO'!AV12</f>
        <v>STK</v>
      </c>
      <c r="O8" t="str">
        <f>'Single Stock VO'!AW12</f>
        <v>SMART/AMEX</v>
      </c>
      <c r="U8" s="38">
        <f>'Single Stock VO'!BB12*100</f>
        <v>5.6112491656967283</v>
      </c>
      <c r="W8" t="s">
        <v>84</v>
      </c>
      <c r="X8">
        <f>'Single Stock VO'!BS12</f>
        <v>8985</v>
      </c>
      <c r="Y8" t="str">
        <f>'Single Stock VO'!BW12</f>
        <v>STK</v>
      </c>
      <c r="Z8" t="str">
        <f>'Single Stock VO'!BX12</f>
        <v>SMART/TSEJ</v>
      </c>
      <c r="AF8" s="38">
        <f>'Single Stock VO'!CC12*100</f>
        <v>5.5472550982387379</v>
      </c>
      <c r="AH8" t="s">
        <v>84</v>
      </c>
      <c r="AI8" t="str">
        <f>'Single Stock VO'!CT12</f>
        <v>GLPI</v>
      </c>
      <c r="AJ8" t="str">
        <f>'Single Stock VO'!CX12</f>
        <v>STK</v>
      </c>
      <c r="AK8" t="str">
        <f>'Single Stock VO'!CY12</f>
        <v>SMART/AMEX</v>
      </c>
      <c r="AQ8" s="38">
        <f>'Single Stock VO'!DD12*100</f>
        <v>5.1309062367813745</v>
      </c>
      <c r="AS8" t="s">
        <v>84</v>
      </c>
      <c r="AT8" t="str">
        <f>'Single Stock VO'!DU12</f>
        <v>GSK</v>
      </c>
      <c r="AU8" t="str">
        <f>'Single Stock VO'!DY12</f>
        <v>STK</v>
      </c>
      <c r="AV8" t="str">
        <f>'Single Stock VO'!DZ12</f>
        <v>SMART/LSE</v>
      </c>
      <c r="BB8" s="38">
        <f>'Single Stock VO'!EE12*100</f>
        <v>5.7171716378297575</v>
      </c>
      <c r="BD8" t="s">
        <v>84</v>
      </c>
      <c r="BE8" t="str">
        <f>'Single Stock VO'!EV12</f>
        <v>VZ</v>
      </c>
      <c r="BF8" t="str">
        <f>'Single Stock VO'!EZ12</f>
        <v>STK</v>
      </c>
      <c r="BG8" t="str">
        <f>'Single Stock VO'!FA12</f>
        <v>SMART/AMEX</v>
      </c>
      <c r="BM8" s="38">
        <f>'Single Stock VO'!FF12*100</f>
        <v>3.5270490515336399</v>
      </c>
      <c r="BO8" t="s">
        <v>84</v>
      </c>
      <c r="BP8" t="str">
        <f>'Single Stock VO'!FW12</f>
        <v>AAPL</v>
      </c>
      <c r="BQ8" t="str">
        <f>'Single Stock VO'!GA12</f>
        <v>STK</v>
      </c>
      <c r="BR8" t="str">
        <f>'Single Stock VO'!GB12</f>
        <v>SMART/AMEX</v>
      </c>
      <c r="BX8" s="38">
        <f>'Single Stock VO'!GG12*100</f>
        <v>3.0373001792536742</v>
      </c>
      <c r="BZ8" t="s">
        <v>84</v>
      </c>
      <c r="CA8">
        <f>'Single Stock VO'!GX12</f>
        <v>5108</v>
      </c>
      <c r="CB8" t="str">
        <f>'Single Stock VO'!HB12</f>
        <v>STK</v>
      </c>
      <c r="CC8" t="str">
        <f>'Single Stock VO'!HC12</f>
        <v>SMART/TSEJ</v>
      </c>
      <c r="CI8" s="38">
        <f>'Single Stock VO'!HH12*100</f>
        <v>1.2975869699606568</v>
      </c>
      <c r="CK8" t="s">
        <v>84</v>
      </c>
      <c r="CL8">
        <f>'Single Stock VO'!HY12</f>
        <v>1088</v>
      </c>
      <c r="CM8" t="str">
        <f>'Single Stock VO'!IC12</f>
        <v>STK</v>
      </c>
      <c r="CN8" t="str">
        <f>'Single Stock VO'!ID12</f>
        <v>SEHK</v>
      </c>
      <c r="CT8" s="38">
        <f>'Single Stock VO'!II12*100</f>
        <v>4.252571262371541</v>
      </c>
      <c r="CV8" t="s">
        <v>84</v>
      </c>
      <c r="CW8" t="str">
        <f>'Single Stock VO'!IZ12</f>
        <v>DE</v>
      </c>
      <c r="CX8" t="str">
        <f>'Single Stock VO'!JD12</f>
        <v>STK</v>
      </c>
      <c r="CY8" t="str">
        <f>'Single Stock VO'!JE12</f>
        <v>SMART/AMEX</v>
      </c>
      <c r="DE8" s="38">
        <f>'Single Stock VO'!JJ12*100</f>
        <v>4.2563745201239431</v>
      </c>
      <c r="DG8" t="s">
        <v>84</v>
      </c>
      <c r="DH8" t="str">
        <f>'Single Stock VO'!KA12</f>
        <v>BIDU</v>
      </c>
      <c r="DI8" t="str">
        <f>'Single Stock VO'!KE12</f>
        <v>STK</v>
      </c>
      <c r="DJ8" t="str">
        <f>'Single Stock VO'!KF12</f>
        <v>SMART/AMEX</v>
      </c>
      <c r="DP8" s="69">
        <f>'Single Stock VO'!KK12</f>
        <v>2.3032400583923612E-2</v>
      </c>
      <c r="DR8" t="s">
        <v>84</v>
      </c>
      <c r="DS8" t="str">
        <f>'Single Stock VO'!LB12</f>
        <v>NHI</v>
      </c>
      <c r="DT8" t="str">
        <f>'Single Stock VO'!LF12</f>
        <v>STK</v>
      </c>
      <c r="DU8" t="str">
        <f>'Single Stock VO'!LG12</f>
        <v>SMART/AMEX</v>
      </c>
      <c r="EA8" s="38">
        <f>'Single Stock VO'!LL12*100</f>
        <v>6.4705689197425462</v>
      </c>
      <c r="EC8" t="s">
        <v>84</v>
      </c>
      <c r="ED8" t="str">
        <f>'Single Stock VO'!MC12</f>
        <v>KOFUBL</v>
      </c>
      <c r="EE8" t="str">
        <f>'Single Stock VO'!MG12</f>
        <v>STK</v>
      </c>
      <c r="EF8" t="str">
        <f>'Single Stock VO'!MH12</f>
        <v>MEXI</v>
      </c>
      <c r="EL8" s="38">
        <f>'Single Stock VO'!MM12*100</f>
        <v>2.7278417741080236</v>
      </c>
      <c r="EN8" t="s">
        <v>84</v>
      </c>
      <c r="EO8" t="str">
        <f>'Single Stock VO'!ND12</f>
        <v>CMCSA</v>
      </c>
      <c r="EP8" t="str">
        <f>'Single Stock VO'!NH12</f>
        <v>STK</v>
      </c>
      <c r="EQ8" t="str">
        <f>'Single Stock VO'!NI12</f>
        <v>SMART/AMEX</v>
      </c>
      <c r="EW8" s="38">
        <f>'Single Stock VO'!NN12*100</f>
        <v>3.7016390025049284</v>
      </c>
      <c r="EY8" t="s">
        <v>84</v>
      </c>
      <c r="EZ8" t="str">
        <f>'Single Stock VO'!OE12</f>
        <v>ELE</v>
      </c>
      <c r="FA8" t="str">
        <f>'Single Stock VO'!OI12</f>
        <v>STK</v>
      </c>
      <c r="FB8" t="str">
        <f>'Single Stock VO'!OJ12</f>
        <v>SMART/BM</v>
      </c>
      <c r="FH8" s="69">
        <f>'Single Stock VO'!OO12*100</f>
        <v>3.6660661108531971</v>
      </c>
      <c r="FJ8" t="s">
        <v>84</v>
      </c>
      <c r="FK8">
        <f>'Single Stock VO'!PF12</f>
        <v>4502</v>
      </c>
      <c r="FL8" t="str">
        <f>'Single Stock VO'!PJ12</f>
        <v>STK</v>
      </c>
      <c r="FM8" t="str">
        <f>'Single Stock VO'!PK12</f>
        <v>SMART/TSEJ</v>
      </c>
      <c r="FS8" s="38">
        <f>'Single Stock VO'!PP12*100</f>
        <v>4.1165943710248776</v>
      </c>
      <c r="FU8" t="s">
        <v>84</v>
      </c>
      <c r="FV8">
        <f>'Single Stock VO'!QG12</f>
        <v>0</v>
      </c>
      <c r="FW8" t="str">
        <f>'Single Stock VO'!QK12</f>
        <v>STK</v>
      </c>
      <c r="FX8">
        <f>'Single Stock VO'!QL12</f>
        <v>0</v>
      </c>
      <c r="GD8" s="38">
        <f>'Single Stock VO'!QQ12*100</f>
        <v>5.2074653270785687</v>
      </c>
    </row>
    <row r="9" spans="1:186" x14ac:dyDescent="0.2">
      <c r="A9" t="s">
        <v>84</v>
      </c>
      <c r="B9" t="str">
        <f>'Single Stock VO'!Q13</f>
        <v>EQNR</v>
      </c>
      <c r="C9" t="str">
        <f>'Single Stock VO'!U13</f>
        <v>STK</v>
      </c>
      <c r="D9" t="str">
        <f>'Single Stock VO'!V13</f>
        <v>SMART/OSE</v>
      </c>
      <c r="J9" s="38">
        <f>'Single Stock VO'!AA13*100</f>
        <v>2.9997603546256899</v>
      </c>
      <c r="L9" t="s">
        <v>84</v>
      </c>
      <c r="M9" t="str">
        <f>'Single Stock VO'!AR13</f>
        <v>INCY</v>
      </c>
      <c r="N9" t="str">
        <f>'Single Stock VO'!AV13</f>
        <v>STK</v>
      </c>
      <c r="O9" t="str">
        <f>'Single Stock VO'!AW13</f>
        <v>SMART/AMEX</v>
      </c>
      <c r="U9" s="38">
        <f>'Single Stock VO'!BB13*100</f>
        <v>4.9108247434966197</v>
      </c>
      <c r="W9" t="s">
        <v>84</v>
      </c>
      <c r="X9">
        <f>'Single Stock VO'!BS13</f>
        <v>8955</v>
      </c>
      <c r="Y9" t="str">
        <f>'Single Stock VO'!BW13</f>
        <v>STK</v>
      </c>
      <c r="Z9" t="str">
        <f>'Single Stock VO'!BX13</f>
        <v>SMART/TSEJ</v>
      </c>
      <c r="AF9" s="38">
        <f>'Single Stock VO'!CC13*100</f>
        <v>6.1349758739141071</v>
      </c>
      <c r="AH9" t="s">
        <v>84</v>
      </c>
      <c r="AI9">
        <f>'Single Stock VO'!CT13</f>
        <v>3249</v>
      </c>
      <c r="AJ9" t="str">
        <f>'Single Stock VO'!CX13</f>
        <v>STK</v>
      </c>
      <c r="AK9" t="str">
        <f>'Single Stock VO'!CY13</f>
        <v>SMART/TSEJ</v>
      </c>
      <c r="AQ9" s="38">
        <f>'Single Stock VO'!DD13*100</f>
        <v>4.7468237236456554</v>
      </c>
      <c r="AS9" t="s">
        <v>84</v>
      </c>
      <c r="AT9" t="str">
        <f>'Single Stock VO'!DU13</f>
        <v>HIK</v>
      </c>
      <c r="AU9" t="str">
        <f>'Single Stock VO'!DY13</f>
        <v>STK</v>
      </c>
      <c r="AV9" t="str">
        <f>'Single Stock VO'!DZ13</f>
        <v>SMART/LSE</v>
      </c>
      <c r="BB9" s="38">
        <f>'Single Stock VO'!EE13*100</f>
        <v>3.0490506389893359</v>
      </c>
      <c r="BD9" t="s">
        <v>84</v>
      </c>
      <c r="BE9" t="str">
        <f>'Single Stock VO'!EV13</f>
        <v>ABBV</v>
      </c>
      <c r="BF9" t="str">
        <f>'Single Stock VO'!EZ13</f>
        <v>STK</v>
      </c>
      <c r="BG9" t="str">
        <f>'Single Stock VO'!FA13</f>
        <v>SMART/AMEX</v>
      </c>
      <c r="BM9" s="38">
        <f>'Single Stock VO'!FF13*100</f>
        <v>3.3722953150897994</v>
      </c>
      <c r="BO9" t="s">
        <v>84</v>
      </c>
      <c r="BP9" t="str">
        <f>'Single Stock VO'!FW13</f>
        <v>ASX</v>
      </c>
      <c r="BQ9" t="str">
        <f>'Single Stock VO'!GA13</f>
        <v>STK</v>
      </c>
      <c r="BR9" t="str">
        <f>'Single Stock VO'!GB13</f>
        <v>SMART/AMEX</v>
      </c>
      <c r="BX9" s="38">
        <f>'Single Stock VO'!GG13*100</f>
        <v>4.8145815060788122</v>
      </c>
      <c r="BZ9" t="s">
        <v>84</v>
      </c>
      <c r="CA9">
        <f>'Single Stock VO'!GX13</f>
        <v>1211</v>
      </c>
      <c r="CB9" t="str">
        <f>'Single Stock VO'!HB13</f>
        <v>STK</v>
      </c>
      <c r="CC9" t="str">
        <f>'Single Stock VO'!HC13</f>
        <v>SEHK</v>
      </c>
      <c r="CI9" s="38">
        <f>'Single Stock VO'!HH13*100</f>
        <v>2.2350244121194298</v>
      </c>
      <c r="CK9" t="s">
        <v>84</v>
      </c>
      <c r="CL9">
        <f>'Single Stock VO'!HY13</f>
        <v>2</v>
      </c>
      <c r="CM9" t="str">
        <f>'Single Stock VO'!IC13</f>
        <v>STK</v>
      </c>
      <c r="CN9" t="str">
        <f>'Single Stock VO'!ID13</f>
        <v>SEHK</v>
      </c>
      <c r="CT9" s="38">
        <f>'Single Stock VO'!II13*100</f>
        <v>4.3424782073771127</v>
      </c>
      <c r="CV9" t="s">
        <v>84</v>
      </c>
      <c r="CW9">
        <f>'Single Stock VO'!IZ13</f>
        <v>2638</v>
      </c>
      <c r="CX9" t="str">
        <f>'Single Stock VO'!JD13</f>
        <v>STK</v>
      </c>
      <c r="CY9" t="str">
        <f>'Single Stock VO'!JE13</f>
        <v>SMART/TSEJ</v>
      </c>
      <c r="DE9" s="38">
        <f>'Single Stock VO'!JJ13*100</f>
        <v>6.9391273900311132</v>
      </c>
      <c r="DG9" t="s">
        <v>84</v>
      </c>
      <c r="DH9" t="str">
        <f>'Single Stock VO'!KA13</f>
        <v>BIOG&gt;B</v>
      </c>
      <c r="DI9" t="str">
        <f>'Single Stock VO'!KE13</f>
        <v>STK</v>
      </c>
      <c r="DJ9" t="str">
        <f>'Single Stock VO'!KF13</f>
        <v>SMART/SFB</v>
      </c>
      <c r="DP9" s="69">
        <f>'Single Stock VO'!KK13</f>
        <v>2.8176294493260309E-2</v>
      </c>
      <c r="DR9" t="s">
        <v>84</v>
      </c>
      <c r="DS9" t="str">
        <f>'Single Stock VO'!LB13</f>
        <v>NNN</v>
      </c>
      <c r="DT9" t="str">
        <f>'Single Stock VO'!LF13</f>
        <v>STK</v>
      </c>
      <c r="DU9" t="str">
        <f>'Single Stock VO'!LG13</f>
        <v>SMART/AMEX</v>
      </c>
      <c r="EA9" s="38">
        <f>'Single Stock VO'!LL13*100</f>
        <v>6.3790246508040038</v>
      </c>
      <c r="EC9" t="s">
        <v>84</v>
      </c>
      <c r="ED9" t="str">
        <f>'Single Stock VO'!MC13</f>
        <v>CMCSA</v>
      </c>
      <c r="EE9" t="str">
        <f>'Single Stock VO'!MG13</f>
        <v>STK</v>
      </c>
      <c r="EF9" t="str">
        <f>'Single Stock VO'!MH13</f>
        <v>SMART/AMEX</v>
      </c>
      <c r="EL9" s="38">
        <f>'Single Stock VO'!MM13*100</f>
        <v>2.9365351048437525</v>
      </c>
      <c r="EN9" t="s">
        <v>84</v>
      </c>
      <c r="EO9" t="str">
        <f>'Single Stock VO'!ND13</f>
        <v>DUK</v>
      </c>
      <c r="EP9" t="str">
        <f>'Single Stock VO'!NH13</f>
        <v>STK</v>
      </c>
      <c r="EQ9" t="str">
        <f>'Single Stock VO'!NI13</f>
        <v>SMART/AMEX</v>
      </c>
      <c r="EW9" s="38">
        <f>'Single Stock VO'!NN13*100</f>
        <v>3.8110453231578729</v>
      </c>
      <c r="EY9" t="s">
        <v>84</v>
      </c>
      <c r="EZ9" t="str">
        <f>'Single Stock VO'!OE13</f>
        <v>ENEL</v>
      </c>
      <c r="FA9" t="str">
        <f>'Single Stock VO'!OI13</f>
        <v>STK</v>
      </c>
      <c r="FB9" t="str">
        <f>'Single Stock VO'!OJ13</f>
        <v>SMART/BVME</v>
      </c>
      <c r="FH9" s="69">
        <f>'Single Stock VO'!OO13*100</f>
        <v>3.55600664811679</v>
      </c>
      <c r="FJ9" t="s">
        <v>84</v>
      </c>
      <c r="FK9">
        <f>'Single Stock VO'!PF13</f>
        <v>4528</v>
      </c>
      <c r="FL9" t="str">
        <f>'Single Stock VO'!PJ13</f>
        <v>STK</v>
      </c>
      <c r="FM9" t="str">
        <f>'Single Stock VO'!PK13</f>
        <v>SMART/TSEJ</v>
      </c>
      <c r="FS9" s="38">
        <f>'Single Stock VO'!PP13*100</f>
        <v>4.1994915816255958</v>
      </c>
      <c r="FU9" t="s">
        <v>84</v>
      </c>
      <c r="FV9">
        <f>'Single Stock VO'!QG13</f>
        <v>0</v>
      </c>
      <c r="FW9" t="str">
        <f>'Single Stock VO'!QK13</f>
        <v>STK</v>
      </c>
      <c r="FX9">
        <f>'Single Stock VO'!QL13</f>
        <v>0</v>
      </c>
      <c r="GD9" s="38">
        <f>'Single Stock VO'!QQ13*100</f>
        <v>4.8981593320477685</v>
      </c>
    </row>
    <row r="10" spans="1:186" x14ac:dyDescent="0.2">
      <c r="A10" t="s">
        <v>84</v>
      </c>
      <c r="B10" t="str">
        <f>'Single Stock VO'!Q14</f>
        <v>VZ</v>
      </c>
      <c r="C10" t="str">
        <f>'Single Stock VO'!U14</f>
        <v>STK</v>
      </c>
      <c r="D10" t="str">
        <f>'Single Stock VO'!V14</f>
        <v>SMART/AMEX</v>
      </c>
      <c r="J10" s="38">
        <f>'Single Stock VO'!AA14*100</f>
        <v>2.8637552727865474</v>
      </c>
      <c r="L10" t="s">
        <v>84</v>
      </c>
      <c r="M10" t="str">
        <f>'Single Stock VO'!AR14</f>
        <v>JNJ</v>
      </c>
      <c r="N10" t="str">
        <f>'Single Stock VO'!AV14</f>
        <v>STK</v>
      </c>
      <c r="O10" t="str">
        <f>'Single Stock VO'!AW14</f>
        <v>SMART/AMEX</v>
      </c>
      <c r="U10" s="38">
        <f>'Single Stock VO'!BB14*100</f>
        <v>5.4946534946658048</v>
      </c>
      <c r="W10" t="s">
        <v>84</v>
      </c>
      <c r="X10">
        <f>'Single Stock VO'!BS14</f>
        <v>3234</v>
      </c>
      <c r="Y10" t="str">
        <f>'Single Stock VO'!BW14</f>
        <v>STK</v>
      </c>
      <c r="Z10" t="str">
        <f>'Single Stock VO'!BX14</f>
        <v>SMART/TSEJ</v>
      </c>
      <c r="AF10" s="38">
        <f>'Single Stock VO'!CC14*100</f>
        <v>6.1457917203295738</v>
      </c>
      <c r="AH10" t="s">
        <v>84</v>
      </c>
      <c r="AI10" t="str">
        <f>'Single Stock VO'!CT14</f>
        <v>LI</v>
      </c>
      <c r="AJ10" t="str">
        <f>'Single Stock VO'!CX14</f>
        <v>STK</v>
      </c>
      <c r="AK10" t="str">
        <f>'Single Stock VO'!CY14</f>
        <v>SMART/FWB</v>
      </c>
      <c r="AQ10" s="38">
        <f>'Single Stock VO'!DD14*100</f>
        <v>4.823868289896537</v>
      </c>
      <c r="AS10" t="s">
        <v>84</v>
      </c>
      <c r="AT10" t="str">
        <f>'Single Stock VO'!DU14</f>
        <v>HSBA</v>
      </c>
      <c r="AU10" t="str">
        <f>'Single Stock VO'!DY14</f>
        <v>STK</v>
      </c>
      <c r="AV10" t="str">
        <f>'Single Stock VO'!DZ14</f>
        <v>SMART/LSE</v>
      </c>
      <c r="BB10" s="38">
        <f>'Single Stock VO'!EE14*100</f>
        <v>5.1403766392995358</v>
      </c>
      <c r="BD10" t="s">
        <v>84</v>
      </c>
      <c r="BE10" t="str">
        <f>'Single Stock VO'!EV14</f>
        <v>WM</v>
      </c>
      <c r="BF10" t="str">
        <f>'Single Stock VO'!EZ14</f>
        <v>STK</v>
      </c>
      <c r="BG10" t="str">
        <f>'Single Stock VO'!FA14</f>
        <v>SMART/AMEX</v>
      </c>
      <c r="BM10" s="38">
        <f>'Single Stock VO'!FF14*100</f>
        <v>3.4595282340106768</v>
      </c>
      <c r="BO10" t="s">
        <v>84</v>
      </c>
      <c r="BP10" t="str">
        <f>'Single Stock VO'!FW14</f>
        <v>ASML</v>
      </c>
      <c r="BQ10" t="str">
        <f>'Single Stock VO'!GA14</f>
        <v>STK</v>
      </c>
      <c r="BR10" t="str">
        <f>'Single Stock VO'!GB14</f>
        <v>SMART/FWB</v>
      </c>
      <c r="BX10" s="38">
        <f>'Single Stock VO'!GG14*100</f>
        <v>4.2278602575878619</v>
      </c>
      <c r="BZ10" t="s">
        <v>84</v>
      </c>
      <c r="CA10">
        <f>'Single Stock VO'!GX14</f>
        <v>7751</v>
      </c>
      <c r="CB10" t="str">
        <f>'Single Stock VO'!HB14</f>
        <v>STK</v>
      </c>
      <c r="CC10" t="str">
        <f>'Single Stock VO'!HC14</f>
        <v>SMART/TSEJ</v>
      </c>
      <c r="CI10" s="38">
        <f>'Single Stock VO'!HH14*100</f>
        <v>2.730495124109372</v>
      </c>
      <c r="CK10" t="s">
        <v>84</v>
      </c>
      <c r="CL10">
        <f>'Single Stock VO'!HY14</f>
        <v>267</v>
      </c>
      <c r="CM10" t="str">
        <f>'Single Stock VO'!IC14</f>
        <v>STK</v>
      </c>
      <c r="CN10" t="str">
        <f>'Single Stock VO'!ID14</f>
        <v>SEHK</v>
      </c>
      <c r="CT10" s="38">
        <f>'Single Stock VO'!II14*100</f>
        <v>4.3604395956865698</v>
      </c>
      <c r="CV10" t="s">
        <v>84</v>
      </c>
      <c r="CW10">
        <f>'Single Stock VO'!IZ14</f>
        <v>9807</v>
      </c>
      <c r="CX10" t="str">
        <f>'Single Stock VO'!JD14</f>
        <v>STK</v>
      </c>
      <c r="CY10" t="str">
        <f>'Single Stock VO'!JE14</f>
        <v>SEHK</v>
      </c>
      <c r="DE10" s="38">
        <f>'Single Stock VO'!JJ14*100</f>
        <v>2.8582457424196033</v>
      </c>
      <c r="DG10" t="s">
        <v>84</v>
      </c>
      <c r="DH10" t="str">
        <f>'Single Stock VO'!KA14</f>
        <v>BXB</v>
      </c>
      <c r="DI10" t="str">
        <f>'Single Stock VO'!KE14</f>
        <v>STK</v>
      </c>
      <c r="DJ10" t="str">
        <f>'Single Stock VO'!KF14</f>
        <v>SMART/ASX</v>
      </c>
      <c r="DP10" s="69">
        <f>'Single Stock VO'!KK14</f>
        <v>3.0014755048093776E-2</v>
      </c>
      <c r="DR10" t="s">
        <v>84</v>
      </c>
      <c r="DS10" t="str">
        <f>'Single Stock VO'!LB14</f>
        <v>OHI</v>
      </c>
      <c r="DT10" t="str">
        <f>'Single Stock VO'!LF14</f>
        <v>STK</v>
      </c>
      <c r="DU10" t="str">
        <f>'Single Stock VO'!LG14</f>
        <v>SMART/AMEX</v>
      </c>
      <c r="EA10" s="38">
        <f>'Single Stock VO'!LL14*100</f>
        <v>6.4232149153133449</v>
      </c>
      <c r="EC10" t="s">
        <v>84</v>
      </c>
      <c r="ED10" t="str">
        <f>'Single Stock VO'!MC14</f>
        <v>ELE</v>
      </c>
      <c r="EE10" t="str">
        <f>'Single Stock VO'!MG14</f>
        <v>STK</v>
      </c>
      <c r="EF10" t="str">
        <f>'Single Stock VO'!MH14</f>
        <v>SMART/BM</v>
      </c>
      <c r="EL10" s="38">
        <f>'Single Stock VO'!MM14*100</f>
        <v>2.7023318613339389</v>
      </c>
      <c r="EN10" t="s">
        <v>84</v>
      </c>
      <c r="EO10" t="str">
        <f>'Single Stock VO'!ND14</f>
        <v>ES</v>
      </c>
      <c r="EP10" t="str">
        <f>'Single Stock VO'!NH14</f>
        <v>STK</v>
      </c>
      <c r="EQ10" t="str">
        <f>'Single Stock VO'!NI14</f>
        <v>SMART/AMEX</v>
      </c>
      <c r="EW10" s="38">
        <f>'Single Stock VO'!NN14*100</f>
        <v>3.6866537483503263</v>
      </c>
      <c r="EY10" t="s">
        <v>84</v>
      </c>
      <c r="EZ10" t="str">
        <f>'Single Stock VO'!OE14</f>
        <v>ENGI</v>
      </c>
      <c r="FA10" t="str">
        <f>'Single Stock VO'!OI14</f>
        <v>STK</v>
      </c>
      <c r="FB10" t="str">
        <f>'Single Stock VO'!OJ14</f>
        <v>SMART/FWB</v>
      </c>
      <c r="FH10" s="69">
        <f>'Single Stock VO'!OO14*100</f>
        <v>4.3078496719157124</v>
      </c>
      <c r="FJ10" t="s">
        <v>84</v>
      </c>
      <c r="FK10">
        <f>'Single Stock VO'!PF14</f>
        <v>5108</v>
      </c>
      <c r="FL10" t="str">
        <f>'Single Stock VO'!PJ14</f>
        <v>STK</v>
      </c>
      <c r="FM10" t="str">
        <f>'Single Stock VO'!PK14</f>
        <v>SMART/TSEJ</v>
      </c>
      <c r="FS10" s="38">
        <f>'Single Stock VO'!PP14*100</f>
        <v>4.0417985955623159</v>
      </c>
      <c r="FU10" t="s">
        <v>84</v>
      </c>
      <c r="FV10">
        <f>'Single Stock VO'!QG14</f>
        <v>0</v>
      </c>
      <c r="FW10" t="str">
        <f>'Single Stock VO'!QK14</f>
        <v>STK</v>
      </c>
      <c r="FX10">
        <f>'Single Stock VO'!QL14</f>
        <v>0</v>
      </c>
      <c r="GD10" s="38">
        <f>'Single Stock VO'!QQ14*100</f>
        <v>4.1186050816232767</v>
      </c>
    </row>
    <row r="11" spans="1:186" x14ac:dyDescent="0.2">
      <c r="A11" t="s">
        <v>84</v>
      </c>
      <c r="B11" t="str">
        <f>'Single Stock VO'!Q15</f>
        <v>ABBV</v>
      </c>
      <c r="C11" t="str">
        <f>'Single Stock VO'!U15</f>
        <v>STK</v>
      </c>
      <c r="D11" t="str">
        <f>'Single Stock VO'!V15</f>
        <v>SMART/AMEX</v>
      </c>
      <c r="J11" s="38">
        <f>'Single Stock VO'!AA15*100</f>
        <v>2.7381043894987864</v>
      </c>
      <c r="L11" t="s">
        <v>84</v>
      </c>
      <c r="M11" t="str">
        <f>'Single Stock VO'!AR15</f>
        <v>LH</v>
      </c>
      <c r="N11" t="str">
        <f>'Single Stock VO'!AV15</f>
        <v>STK</v>
      </c>
      <c r="O11" t="str">
        <f>'Single Stock VO'!AW15</f>
        <v>SMART/AMEX</v>
      </c>
      <c r="U11" s="38">
        <f>'Single Stock VO'!BB15*100</f>
        <v>4.2843035905537716</v>
      </c>
      <c r="W11" t="s">
        <v>84</v>
      </c>
      <c r="X11">
        <f>'Single Stock VO'!BS15</f>
        <v>8961</v>
      </c>
      <c r="Y11" t="str">
        <f>'Single Stock VO'!BW15</f>
        <v>STK</v>
      </c>
      <c r="Z11" t="str">
        <f>'Single Stock VO'!BX15</f>
        <v>SMART/TSEJ</v>
      </c>
      <c r="AF11" s="38">
        <f>'Single Stock VO'!CC15*100</f>
        <v>6.1323692977899604</v>
      </c>
      <c r="AH11" t="s">
        <v>84</v>
      </c>
      <c r="AI11" t="str">
        <f>'Single Stock VO'!CT15</f>
        <v>N2IU</v>
      </c>
      <c r="AJ11" t="str">
        <f>'Single Stock VO'!CX15</f>
        <v>STK</v>
      </c>
      <c r="AK11" t="str">
        <f>'Single Stock VO'!CY15</f>
        <v>SGX</v>
      </c>
      <c r="AQ11" s="38">
        <f>'Single Stock VO'!DD15*100</f>
        <v>4.5625481097485441</v>
      </c>
      <c r="AS11" t="s">
        <v>84</v>
      </c>
      <c r="AT11" t="str">
        <f>'Single Stock VO'!DU15</f>
        <v>IGG</v>
      </c>
      <c r="AU11" t="str">
        <f>'Single Stock VO'!DY15</f>
        <v>STK</v>
      </c>
      <c r="AV11" t="str">
        <f>'Single Stock VO'!DZ15</f>
        <v>SMART/LSE</v>
      </c>
      <c r="BB11" s="38">
        <f>'Single Stock VO'!EE15*100</f>
        <v>5.2915911533185422</v>
      </c>
      <c r="BD11" t="s">
        <v>84</v>
      </c>
      <c r="BE11" t="str">
        <f>'Single Stock VO'!EV15</f>
        <v>META</v>
      </c>
      <c r="BF11" t="str">
        <f>'Single Stock VO'!EZ15</f>
        <v>STK</v>
      </c>
      <c r="BG11" t="str">
        <f>'Single Stock VO'!FA15</f>
        <v>SMART/AMEX</v>
      </c>
      <c r="BM11" s="38">
        <f>'Single Stock VO'!FF15*100</f>
        <v>3.1606973588891738</v>
      </c>
      <c r="BO11" t="s">
        <v>84</v>
      </c>
      <c r="BP11" t="str">
        <f>'Single Stock VO'!FW15</f>
        <v>ADSK</v>
      </c>
      <c r="BQ11" t="str">
        <f>'Single Stock VO'!GA15</f>
        <v>STK</v>
      </c>
      <c r="BR11" t="str">
        <f>'Single Stock VO'!GB15</f>
        <v>SMART/AMEX</v>
      </c>
      <c r="BX11" s="38">
        <f>'Single Stock VO'!GG15*100</f>
        <v>2.8233648674182845</v>
      </c>
      <c r="BZ11" t="s">
        <v>84</v>
      </c>
      <c r="CA11" t="str">
        <f>'Single Stock VO'!GX15</f>
        <v>COL</v>
      </c>
      <c r="CB11" t="str">
        <f>'Single Stock VO'!HB15</f>
        <v>STK</v>
      </c>
      <c r="CC11" t="str">
        <f>'Single Stock VO'!HC15</f>
        <v>SMART/ASX</v>
      </c>
      <c r="CI11" s="38">
        <f>'Single Stock VO'!HH15*100</f>
        <v>2.6765843539791119</v>
      </c>
      <c r="CK11" t="s">
        <v>84</v>
      </c>
      <c r="CL11">
        <f>'Single Stock VO'!HY15</f>
        <v>1339</v>
      </c>
      <c r="CM11" t="str">
        <f>'Single Stock VO'!IC15</f>
        <v>STK</v>
      </c>
      <c r="CN11" t="str">
        <f>'Single Stock VO'!ID15</f>
        <v>SEHK</v>
      </c>
      <c r="CT11" s="38">
        <f>'Single Stock VO'!II15*100</f>
        <v>4.3280954770087021</v>
      </c>
      <c r="CV11" t="s">
        <v>84</v>
      </c>
      <c r="CW11">
        <f>'Single Stock VO'!IZ15</f>
        <v>9191</v>
      </c>
      <c r="CX11" t="str">
        <f>'Single Stock VO'!JD15</f>
        <v>STK</v>
      </c>
      <c r="CY11" t="str">
        <f>'Single Stock VO'!JE15</f>
        <v>SEHK</v>
      </c>
      <c r="DE11" s="38">
        <f>'Single Stock VO'!JJ15*100</f>
        <v>3.3563815683848337</v>
      </c>
      <c r="DG11" t="s">
        <v>84</v>
      </c>
      <c r="DH11" t="str">
        <f>'Single Stock VO'!KA15</f>
        <v>BUCN</v>
      </c>
      <c r="DI11" t="str">
        <f>'Single Stock VO'!KE15</f>
        <v>STK</v>
      </c>
      <c r="DJ11" t="str">
        <f>'Single Stock VO'!KF15</f>
        <v>SMART/EBS</v>
      </c>
      <c r="DP11" s="69">
        <f>'Single Stock VO'!KK15</f>
        <v>2.7651349045133361E-2</v>
      </c>
      <c r="DR11" t="s">
        <v>84</v>
      </c>
      <c r="DS11" t="str">
        <f>'Single Stock VO'!LB15</f>
        <v>PSA</v>
      </c>
      <c r="DT11" t="str">
        <f>'Single Stock VO'!LF15</f>
        <v>STK</v>
      </c>
      <c r="DU11" t="str">
        <f>'Single Stock VO'!LG15</f>
        <v>SMART/AMEX</v>
      </c>
      <c r="EA11" s="38">
        <f>'Single Stock VO'!LL15*100</f>
        <v>6.3197861105380966</v>
      </c>
      <c r="EC11" t="s">
        <v>84</v>
      </c>
      <c r="ED11" t="str">
        <f>'Single Stock VO'!MC15</f>
        <v>ENEL</v>
      </c>
      <c r="EE11" t="str">
        <f>'Single Stock VO'!MG15</f>
        <v>STK</v>
      </c>
      <c r="EF11" t="str">
        <f>'Single Stock VO'!MH15</f>
        <v>SMART/BVME</v>
      </c>
      <c r="EL11" s="38">
        <f>'Single Stock VO'!MM15*100</f>
        <v>2.6252326808656479</v>
      </c>
      <c r="EN11" t="s">
        <v>84</v>
      </c>
      <c r="EO11" t="str">
        <f>'Single Stock VO'!ND15</f>
        <v>EXC</v>
      </c>
      <c r="EP11" t="str">
        <f>'Single Stock VO'!NH15</f>
        <v>STK</v>
      </c>
      <c r="EQ11" t="str">
        <f>'Single Stock VO'!NI15</f>
        <v>SMART/AMEX</v>
      </c>
      <c r="EW11" s="38">
        <f>'Single Stock VO'!NN15*100</f>
        <v>3.7464651496982229</v>
      </c>
      <c r="EY11" t="s">
        <v>84</v>
      </c>
      <c r="EZ11" t="str">
        <f>'Single Stock VO'!OE15</f>
        <v>EQNR</v>
      </c>
      <c r="FA11" t="str">
        <f>'Single Stock VO'!OI15</f>
        <v>STK</v>
      </c>
      <c r="FB11" t="str">
        <f>'Single Stock VO'!OJ15</f>
        <v>SMART/OSE</v>
      </c>
      <c r="FH11" s="69">
        <f>'Single Stock VO'!OO15*100</f>
        <v>3.9227654481530712</v>
      </c>
      <c r="FJ11" t="s">
        <v>84</v>
      </c>
      <c r="FK11">
        <f>'Single Stock VO'!PF15</f>
        <v>6436</v>
      </c>
      <c r="FL11" t="str">
        <f>'Single Stock VO'!PJ15</f>
        <v>STK</v>
      </c>
      <c r="FM11" t="str">
        <f>'Single Stock VO'!PK15</f>
        <v>SMART/TSEJ</v>
      </c>
      <c r="FS11" s="38">
        <f>'Single Stock VO'!PP15*100</f>
        <v>4.1115805859761778</v>
      </c>
      <c r="FU11" t="s">
        <v>84</v>
      </c>
      <c r="FV11">
        <f>'Single Stock VO'!QG15</f>
        <v>0</v>
      </c>
      <c r="FW11" t="str">
        <f>'Single Stock VO'!QK15</f>
        <v>STK</v>
      </c>
      <c r="FX11">
        <f>'Single Stock VO'!QL15</f>
        <v>0</v>
      </c>
      <c r="GD11" s="38">
        <f>'Single Stock VO'!QQ15*100</f>
        <v>3.9349667326345337</v>
      </c>
    </row>
    <row r="12" spans="1:186" x14ac:dyDescent="0.2">
      <c r="A12" t="s">
        <v>84</v>
      </c>
      <c r="B12" t="str">
        <f>'Single Stock VO'!Q16</f>
        <v>WM</v>
      </c>
      <c r="C12" t="str">
        <f>'Single Stock VO'!U16</f>
        <v>STK</v>
      </c>
      <c r="D12" t="str">
        <f>'Single Stock VO'!V16</f>
        <v>SMART/AMEX</v>
      </c>
      <c r="J12" s="38">
        <f>'Single Stock VO'!AA16*100</f>
        <v>2.8089323615145454</v>
      </c>
      <c r="L12" t="s">
        <v>84</v>
      </c>
      <c r="M12" t="str">
        <f>'Single Stock VO'!AR16</f>
        <v>MDT</v>
      </c>
      <c r="N12" t="str">
        <f>'Single Stock VO'!AV16</f>
        <v>STK</v>
      </c>
      <c r="O12" t="str">
        <f>'Single Stock VO'!AW16</f>
        <v>SMART/AMEX</v>
      </c>
      <c r="U12" s="38">
        <f>'Single Stock VO'!BB16*100</f>
        <v>4.3111677018469843</v>
      </c>
      <c r="W12" t="s">
        <v>84</v>
      </c>
      <c r="X12">
        <f>'Single Stock VO'!BS16</f>
        <v>3296</v>
      </c>
      <c r="Y12" t="str">
        <f>'Single Stock VO'!BW16</f>
        <v>STK</v>
      </c>
      <c r="Z12" t="str">
        <f>'Single Stock VO'!BX16</f>
        <v>SMART/TSEJ</v>
      </c>
      <c r="AF12" s="38">
        <f>'Single Stock VO'!CC16*100</f>
        <v>5.9146452640461362</v>
      </c>
      <c r="AH12" t="s">
        <v>84</v>
      </c>
      <c r="AI12">
        <f>'Single Stock VO'!CT16</f>
        <v>8961</v>
      </c>
      <c r="AJ12" t="str">
        <f>'Single Stock VO'!CX16</f>
        <v>STK</v>
      </c>
      <c r="AK12" t="str">
        <f>'Single Stock VO'!CY16</f>
        <v>SMART/TSEJ</v>
      </c>
      <c r="AQ12" s="38">
        <f>'Single Stock VO'!DD16*100</f>
        <v>4.490808846538525</v>
      </c>
      <c r="AS12" t="s">
        <v>84</v>
      </c>
      <c r="AT12" t="str">
        <f>'Single Stock VO'!DU16</f>
        <v>ITV</v>
      </c>
      <c r="AU12" t="str">
        <f>'Single Stock VO'!DY16</f>
        <v>STK</v>
      </c>
      <c r="AV12" t="str">
        <f>'Single Stock VO'!DZ16</f>
        <v>SMART/LSE</v>
      </c>
      <c r="BB12" s="38">
        <f>'Single Stock VO'!EE16*100</f>
        <v>4.1227048288087094</v>
      </c>
      <c r="BD12" t="s">
        <v>84</v>
      </c>
      <c r="BE12" t="str">
        <f>'Single Stock VO'!EV16</f>
        <v>XOM</v>
      </c>
      <c r="BF12" t="str">
        <f>'Single Stock VO'!EZ16</f>
        <v>STK</v>
      </c>
      <c r="BG12" t="str">
        <f>'Single Stock VO'!FA16</f>
        <v>SMART/AMEX</v>
      </c>
      <c r="BM12" s="38">
        <f>'Single Stock VO'!FF16*100</f>
        <v>3.2307210262037893</v>
      </c>
      <c r="BO12" t="s">
        <v>84</v>
      </c>
      <c r="BP12" t="str">
        <f>'Single Stock VO'!FW16</f>
        <v>CDNS</v>
      </c>
      <c r="BQ12" t="str">
        <f>'Single Stock VO'!GA16</f>
        <v>STK</v>
      </c>
      <c r="BR12" t="str">
        <f>'Single Stock VO'!GB16</f>
        <v>SMART/AMEX</v>
      </c>
      <c r="BX12" s="38">
        <f>'Single Stock VO'!GG16*100</f>
        <v>3.0052632647999729</v>
      </c>
      <c r="BZ12" t="s">
        <v>84</v>
      </c>
      <c r="CA12">
        <f>'Single Stock VO'!GX16</f>
        <v>1919</v>
      </c>
      <c r="CB12" t="str">
        <f>'Single Stock VO'!HB16</f>
        <v>STK</v>
      </c>
      <c r="CC12" t="str">
        <f>'Single Stock VO'!HC16</f>
        <v>SEHK</v>
      </c>
      <c r="CI12" s="38">
        <f>'Single Stock VO'!HH16*100</f>
        <v>3.6272942652971776</v>
      </c>
      <c r="CK12" t="s">
        <v>84</v>
      </c>
      <c r="CL12">
        <f>'Single Stock VO'!HY16</f>
        <v>6198</v>
      </c>
      <c r="CM12" t="str">
        <f>'Single Stock VO'!IC16</f>
        <v>STK</v>
      </c>
      <c r="CN12" t="str">
        <f>'Single Stock VO'!ID16</f>
        <v>SEHK</v>
      </c>
      <c r="CT12" s="38">
        <f>'Single Stock VO'!II16*100</f>
        <v>4.2703428255851232</v>
      </c>
      <c r="CV12" t="s">
        <v>84</v>
      </c>
      <c r="CW12" t="str">
        <f>'Single Stock VO'!IZ16</f>
        <v>IBM</v>
      </c>
      <c r="CX12" t="str">
        <f>'Single Stock VO'!JD16</f>
        <v>STK</v>
      </c>
      <c r="CY12" t="str">
        <f>'Single Stock VO'!JE16</f>
        <v>SMART/AMEX</v>
      </c>
      <c r="DE12" s="38">
        <f>'Single Stock VO'!JJ16*100</f>
        <v>3.7488296982044096</v>
      </c>
      <c r="DG12" t="s">
        <v>84</v>
      </c>
      <c r="DH12" t="str">
        <f>'Single Stock VO'!KA16</f>
        <v>CHKP</v>
      </c>
      <c r="DI12" t="str">
        <f>'Single Stock VO'!KE16</f>
        <v>STK</v>
      </c>
      <c r="DJ12" t="str">
        <f>'Single Stock VO'!KF16</f>
        <v>SMART/AMEX</v>
      </c>
      <c r="DP12" s="69">
        <f>'Single Stock VO'!KK16</f>
        <v>2.6045383918220599E-2</v>
      </c>
      <c r="DR12" t="s">
        <v>84</v>
      </c>
      <c r="DS12" t="str">
        <f>'Single Stock VO'!LB16</f>
        <v>RYN</v>
      </c>
      <c r="DT12" t="str">
        <f>'Single Stock VO'!LF16</f>
        <v>STK</v>
      </c>
      <c r="DU12" t="str">
        <f>'Single Stock VO'!LG16</f>
        <v>SMART/AMEX</v>
      </c>
      <c r="EA12" s="38">
        <f>'Single Stock VO'!LL16*100</f>
        <v>5.6964706189235557</v>
      </c>
      <c r="EC12" t="s">
        <v>84</v>
      </c>
      <c r="ED12" t="str">
        <f>'Single Stock VO'!MC16</f>
        <v>EQNR</v>
      </c>
      <c r="EE12" t="str">
        <f>'Single Stock VO'!MG16</f>
        <v>STK</v>
      </c>
      <c r="EF12" t="str">
        <f>'Single Stock VO'!MH16</f>
        <v>SMART/OSE</v>
      </c>
      <c r="EL12" s="38">
        <f>'Single Stock VO'!MM16*100</f>
        <v>3.0913341612929854</v>
      </c>
      <c r="EN12" t="s">
        <v>84</v>
      </c>
      <c r="EO12" t="str">
        <f>'Single Stock VO'!ND16</f>
        <v>GIS</v>
      </c>
      <c r="EP12" t="str">
        <f>'Single Stock VO'!NH16</f>
        <v>STK</v>
      </c>
      <c r="EQ12" t="str">
        <f>'Single Stock VO'!NI16</f>
        <v>SMART/AMEX</v>
      </c>
      <c r="EW12" s="38">
        <f>'Single Stock VO'!NN16*100</f>
        <v>3.5847920352517262</v>
      </c>
      <c r="EY12" t="s">
        <v>84</v>
      </c>
      <c r="EZ12" t="str">
        <f>'Single Stock VO'!OE16</f>
        <v>G</v>
      </c>
      <c r="FA12" t="str">
        <f>'Single Stock VO'!OI16</f>
        <v>STK</v>
      </c>
      <c r="FB12" t="str">
        <f>'Single Stock VO'!OJ16</f>
        <v>SMART/BVME</v>
      </c>
      <c r="FH12" s="69">
        <f>'Single Stock VO'!OO16*100</f>
        <v>3.0060615561877819</v>
      </c>
      <c r="FJ12" t="s">
        <v>84</v>
      </c>
      <c r="FK12">
        <f>'Single Stock VO'!PF16</f>
        <v>6448</v>
      </c>
      <c r="FL12" t="str">
        <f>'Single Stock VO'!PJ16</f>
        <v>STK</v>
      </c>
      <c r="FM12" t="str">
        <f>'Single Stock VO'!PK16</f>
        <v>SMART/TSEJ</v>
      </c>
      <c r="FS12" s="38">
        <f>'Single Stock VO'!PP16*100</f>
        <v>4.1698501442826972</v>
      </c>
      <c r="FU12" t="s">
        <v>84</v>
      </c>
      <c r="FV12">
        <f>'Single Stock VO'!QG16</f>
        <v>0</v>
      </c>
      <c r="FW12" t="str">
        <f>'Single Stock VO'!QK16</f>
        <v>STK</v>
      </c>
      <c r="FX12">
        <f>'Single Stock VO'!QL16</f>
        <v>0</v>
      </c>
      <c r="GD12" s="38">
        <f>'Single Stock VO'!QQ16*100</f>
        <v>3.0319886833329686</v>
      </c>
    </row>
    <row r="13" spans="1:186" x14ac:dyDescent="0.2">
      <c r="A13" t="s">
        <v>84</v>
      </c>
      <c r="B13" t="str">
        <f>'Single Stock VO'!Q17</f>
        <v>META</v>
      </c>
      <c r="C13" t="str">
        <f>'Single Stock VO'!U17</f>
        <v>STK</v>
      </c>
      <c r="D13" t="str">
        <f>'Single Stock VO'!V17</f>
        <v>SMART/AMEX</v>
      </c>
      <c r="J13" s="38">
        <f>'Single Stock VO'!AA17*100</f>
        <v>2.5662993610099152</v>
      </c>
      <c r="L13" t="s">
        <v>84</v>
      </c>
      <c r="M13" t="str">
        <f>'Single Stock VO'!AR17</f>
        <v>MRK</v>
      </c>
      <c r="N13" t="str">
        <f>'Single Stock VO'!AV17</f>
        <v>STK</v>
      </c>
      <c r="O13" t="str">
        <f>'Single Stock VO'!AW17</f>
        <v>SMART/AMEX</v>
      </c>
      <c r="U13" s="38">
        <f>'Single Stock VO'!BB17*100</f>
        <v>6.0929302922747617</v>
      </c>
      <c r="W13" t="s">
        <v>84</v>
      </c>
      <c r="X13">
        <f>'Single Stock VO'!BS17</f>
        <v>3462</v>
      </c>
      <c r="Y13" t="str">
        <f>'Single Stock VO'!BW17</f>
        <v>STK</v>
      </c>
      <c r="Z13" t="str">
        <f>'Single Stock VO'!BX17</f>
        <v>SMART/TSEJ</v>
      </c>
      <c r="AF13" s="38">
        <f>'Single Stock VO'!CC17*100</f>
        <v>6.2295227928030519</v>
      </c>
      <c r="AH13" t="s">
        <v>84</v>
      </c>
      <c r="AI13" t="str">
        <f>'Single Stock VO'!CT17</f>
        <v>NNN</v>
      </c>
      <c r="AJ13" t="str">
        <f>'Single Stock VO'!CX17</f>
        <v>STK</v>
      </c>
      <c r="AK13" t="str">
        <f>'Single Stock VO'!CY17</f>
        <v>SMART/AMEX</v>
      </c>
      <c r="AQ13" s="38">
        <f>'Single Stock VO'!DD17*100</f>
        <v>5.1632634068321428</v>
      </c>
      <c r="AS13" t="s">
        <v>84</v>
      </c>
      <c r="AT13" t="str">
        <f>'Single Stock VO'!DU17</f>
        <v>KGF</v>
      </c>
      <c r="AU13" t="str">
        <f>'Single Stock VO'!DY17</f>
        <v>STK</v>
      </c>
      <c r="AV13" t="str">
        <f>'Single Stock VO'!DZ17</f>
        <v>SMART/LSE</v>
      </c>
      <c r="BB13" s="38">
        <f>'Single Stock VO'!EE17*100</f>
        <v>4.7238407002700571</v>
      </c>
      <c r="BD13" t="s">
        <v>84</v>
      </c>
      <c r="BE13" t="str">
        <f>'Single Stock VO'!EV17</f>
        <v>Ticker IB</v>
      </c>
      <c r="BF13" t="str">
        <f>'Single Stock VO'!EZ17</f>
        <v>STK</v>
      </c>
      <c r="BG13" t="str">
        <f>'Single Stock VO'!FA17</f>
        <v>SMART/AMEX</v>
      </c>
      <c r="BM13" s="38">
        <f>'Single Stock VO'!FF17*100</f>
        <v>3.462683682646269</v>
      </c>
      <c r="BO13" t="s">
        <v>84</v>
      </c>
      <c r="BP13" t="str">
        <f>'Single Stock VO'!FW17</f>
        <v>CHKP</v>
      </c>
      <c r="BQ13" t="str">
        <f>'Single Stock VO'!GA17</f>
        <v>STK</v>
      </c>
      <c r="BR13" t="str">
        <f>'Single Stock VO'!GB17</f>
        <v>SMART/AMEX</v>
      </c>
      <c r="BX13" s="38">
        <f>'Single Stock VO'!GG17*100</f>
        <v>2.6722359670053635</v>
      </c>
      <c r="BZ13" t="s">
        <v>84</v>
      </c>
      <c r="CA13" t="str">
        <f>'Single Stock VO'!GX17</f>
        <v>CPNG</v>
      </c>
      <c r="CB13" t="str">
        <f>'Single Stock VO'!HB17</f>
        <v>STK</v>
      </c>
      <c r="CC13" t="str">
        <f>'Single Stock VO'!HC17</f>
        <v>SMART/AMEX</v>
      </c>
      <c r="CI13" s="38">
        <f>'Single Stock VO'!HH17*100</f>
        <v>1.6361667745360939</v>
      </c>
      <c r="CK13" t="s">
        <v>84</v>
      </c>
      <c r="CL13">
        <f>'Single Stock VO'!HY17</f>
        <v>639</v>
      </c>
      <c r="CM13" t="str">
        <f>'Single Stock VO'!IC17</f>
        <v>STK</v>
      </c>
      <c r="CN13" t="str">
        <f>'Single Stock VO'!ID17</f>
        <v>SEHK</v>
      </c>
      <c r="CT13" s="38">
        <f>'Single Stock VO'!II17*100</f>
        <v>4.2076201341591037</v>
      </c>
      <c r="CV13" t="s">
        <v>84</v>
      </c>
      <c r="CW13" t="str">
        <f>'Single Stock VO'!IZ17</f>
        <v>ISRG</v>
      </c>
      <c r="CX13" t="str">
        <f>'Single Stock VO'!JD17</f>
        <v>STK</v>
      </c>
      <c r="CY13" t="str">
        <f>'Single Stock VO'!JE17</f>
        <v>SMART/AMEX</v>
      </c>
      <c r="DE13" s="38">
        <f>'Single Stock VO'!JJ17*100</f>
        <v>3.5672136366487215</v>
      </c>
      <c r="DG13" t="s">
        <v>84</v>
      </c>
      <c r="DH13" t="str">
        <f>'Single Stock VO'!KA17</f>
        <v>CTSH</v>
      </c>
      <c r="DI13" t="str">
        <f>'Single Stock VO'!KE17</f>
        <v>STK</v>
      </c>
      <c r="DJ13" t="str">
        <f>'Single Stock VO'!KF17</f>
        <v>SMART/AMEX</v>
      </c>
      <c r="DP13" s="69">
        <f>'Single Stock VO'!KK17</f>
        <v>2.5310378662289894E-2</v>
      </c>
      <c r="DR13" t="s">
        <v>84</v>
      </c>
      <c r="DS13" t="str">
        <f>'Single Stock VO'!LB17</f>
        <v>SBRA</v>
      </c>
      <c r="DT13" t="str">
        <f>'Single Stock VO'!LF17</f>
        <v>STK</v>
      </c>
      <c r="DU13" t="str">
        <f>'Single Stock VO'!LG17</f>
        <v>SMART/AMEX</v>
      </c>
      <c r="EA13" s="38">
        <f>'Single Stock VO'!LL17*100</f>
        <v>6.4435324282055468</v>
      </c>
      <c r="EC13" t="s">
        <v>84</v>
      </c>
      <c r="ED13" t="str">
        <f>'Single Stock VO'!MC17</f>
        <v>ES</v>
      </c>
      <c r="EE13" t="str">
        <f>'Single Stock VO'!MG17</f>
        <v>STK</v>
      </c>
      <c r="EF13" t="str">
        <f>'Single Stock VO'!MH17</f>
        <v>SMART/AMEX</v>
      </c>
      <c r="EL13" s="38">
        <f>'Single Stock VO'!MM17*100</f>
        <v>2.7853626464363446</v>
      </c>
      <c r="EN13" t="s">
        <v>84</v>
      </c>
      <c r="EO13" t="str">
        <f>'Single Stock VO'!ND17</f>
        <v>GSK</v>
      </c>
      <c r="EP13" t="str">
        <f>'Single Stock VO'!NH17</f>
        <v>STK</v>
      </c>
      <c r="EQ13" t="str">
        <f>'Single Stock VO'!NI17</f>
        <v>SMART/AMEX</v>
      </c>
      <c r="EW13" s="38">
        <f>'Single Stock VO'!NN17*100</f>
        <v>3.4090432731520779</v>
      </c>
      <c r="EY13" t="s">
        <v>84</v>
      </c>
      <c r="EZ13" t="str">
        <f>'Single Stock VO'!OE17</f>
        <v>GSK</v>
      </c>
      <c r="FA13" t="str">
        <f>'Single Stock VO'!OI17</f>
        <v>STK</v>
      </c>
      <c r="FB13" t="str">
        <f>'Single Stock VO'!OJ17</f>
        <v>SMART/LSE</v>
      </c>
      <c r="FH13" s="69">
        <f>'Single Stock VO'!OO17*100</f>
        <v>4.067211469405783</v>
      </c>
      <c r="FJ13" t="s">
        <v>84</v>
      </c>
      <c r="FK13">
        <f>'Single Stock VO'!PF17</f>
        <v>7202</v>
      </c>
      <c r="FL13" t="str">
        <f>'Single Stock VO'!PJ17</f>
        <v>STK</v>
      </c>
      <c r="FM13" t="str">
        <f>'Single Stock VO'!PK17</f>
        <v>SMART/TSEJ</v>
      </c>
      <c r="FS13" s="38">
        <f>'Single Stock VO'!PP17*100</f>
        <v>4.1067771704799858</v>
      </c>
      <c r="FU13" t="s">
        <v>84</v>
      </c>
      <c r="FV13">
        <f>'Single Stock VO'!QG17</f>
        <v>0</v>
      </c>
      <c r="FW13" t="str">
        <f>'Single Stock VO'!QK17</f>
        <v>STK</v>
      </c>
      <c r="FX13">
        <f>'Single Stock VO'!QL17</f>
        <v>0</v>
      </c>
      <c r="GD13" s="38">
        <f>'Single Stock VO'!QQ17*100</f>
        <v>6.1184449604001765</v>
      </c>
    </row>
    <row r="14" spans="1:186" x14ac:dyDescent="0.2">
      <c r="A14" t="s">
        <v>84</v>
      </c>
      <c r="B14" t="str">
        <f>'Single Stock VO'!Q18</f>
        <v>PG</v>
      </c>
      <c r="C14" t="str">
        <f>'Single Stock VO'!U18</f>
        <v>STK</v>
      </c>
      <c r="D14" t="str">
        <f>'Single Stock VO'!V18</f>
        <v>SMART/AMEX</v>
      </c>
      <c r="J14" s="38">
        <f>'Single Stock VO'!AA18*100</f>
        <v>2.5751303736291682</v>
      </c>
      <c r="L14" t="s">
        <v>84</v>
      </c>
      <c r="M14" t="str">
        <f>'Single Stock VO'!AR18</f>
        <v>NOVN</v>
      </c>
      <c r="N14" t="str">
        <f>'Single Stock VO'!AV18</f>
        <v>STK</v>
      </c>
      <c r="O14" t="str">
        <f>'Single Stock VO'!AW18</f>
        <v>SMART/EBS</v>
      </c>
      <c r="U14" s="38">
        <f>'Single Stock VO'!BB18*100</f>
        <v>5.3665467248103704</v>
      </c>
      <c r="W14" t="s">
        <v>84</v>
      </c>
      <c r="X14">
        <f>'Single Stock VO'!BS18</f>
        <v>3309</v>
      </c>
      <c r="Y14" t="str">
        <f>'Single Stock VO'!BW18</f>
        <v>STK</v>
      </c>
      <c r="Z14" t="str">
        <f>'Single Stock VO'!BX18</f>
        <v>SMART/TSEJ</v>
      </c>
      <c r="AF14" s="38">
        <f>'Single Stock VO'!CC18*100</f>
        <v>7.2571876947249496</v>
      </c>
      <c r="AH14" t="s">
        <v>84</v>
      </c>
      <c r="AI14" t="str">
        <f>'Single Stock VO'!CT18</f>
        <v>OHI</v>
      </c>
      <c r="AJ14" t="str">
        <f>'Single Stock VO'!CX18</f>
        <v>STK</v>
      </c>
      <c r="AK14" t="str">
        <f>'Single Stock VO'!CY18</f>
        <v>SMART/AMEX</v>
      </c>
      <c r="AQ14" s="38">
        <f>'Single Stock VO'!DD18*100</f>
        <v>5.199031567039917</v>
      </c>
      <c r="AS14" t="s">
        <v>84</v>
      </c>
      <c r="AT14" t="str">
        <f>'Single Stock VO'!DU18</f>
        <v>LLOY</v>
      </c>
      <c r="AU14" t="str">
        <f>'Single Stock VO'!DY18</f>
        <v>STK</v>
      </c>
      <c r="AV14" t="str">
        <f>'Single Stock VO'!DZ18</f>
        <v>SMART/LSE</v>
      </c>
      <c r="BB14" s="38">
        <f>'Single Stock VO'!EE18*100</f>
        <v>4.8923677334318763</v>
      </c>
      <c r="BD14" t="s">
        <v>84</v>
      </c>
      <c r="BE14" t="str">
        <f>'Single Stock VO'!EV18</f>
        <v>ALL</v>
      </c>
      <c r="BF14" t="str">
        <f>'Single Stock VO'!EZ18</f>
        <v>STK</v>
      </c>
      <c r="BG14" t="str">
        <f>'Single Stock VO'!FA18</f>
        <v>SMART/AMEX</v>
      </c>
      <c r="BM14" s="38">
        <f>'Single Stock VO'!FF18*100</f>
        <v>3.4296583949614767</v>
      </c>
      <c r="BO14" t="s">
        <v>84</v>
      </c>
      <c r="BP14" t="str">
        <f>'Single Stock VO'!FW18</f>
        <v>CSCO</v>
      </c>
      <c r="BQ14" t="str">
        <f>'Single Stock VO'!GA18</f>
        <v>STK</v>
      </c>
      <c r="BR14" t="str">
        <f>'Single Stock VO'!GB18</f>
        <v>SMART/AMEX</v>
      </c>
      <c r="BX14" s="38">
        <f>'Single Stock VO'!GG18*100</f>
        <v>3.2277566591924387</v>
      </c>
      <c r="BZ14" t="s">
        <v>84</v>
      </c>
      <c r="CA14" t="str">
        <f>'Single Stock VO'!GX18</f>
        <v>D05</v>
      </c>
      <c r="CB14" t="str">
        <f>'Single Stock VO'!HB18</f>
        <v>STK</v>
      </c>
      <c r="CC14" t="str">
        <f>'Single Stock VO'!HC18</f>
        <v>SGX</v>
      </c>
      <c r="CI14" s="38">
        <f>'Single Stock VO'!HH18*100</f>
        <v>2.8816356188998893</v>
      </c>
      <c r="CK14" t="s">
        <v>84</v>
      </c>
      <c r="CL14">
        <f>'Single Stock VO'!HY18</f>
        <v>811</v>
      </c>
      <c r="CM14" t="str">
        <f>'Single Stock VO'!IC18</f>
        <v>STK</v>
      </c>
      <c r="CN14" t="str">
        <f>'Single Stock VO'!ID18</f>
        <v>SEHK</v>
      </c>
      <c r="CT14" s="38">
        <f>'Single Stock VO'!II18*100</f>
        <v>4.3221848151245066</v>
      </c>
      <c r="CV14" t="s">
        <v>84</v>
      </c>
      <c r="CW14" t="str">
        <f>'Single Stock VO'!IZ18</f>
        <v>META</v>
      </c>
      <c r="CX14" t="str">
        <f>'Single Stock VO'!JD18</f>
        <v>STK</v>
      </c>
      <c r="CY14" t="str">
        <f>'Single Stock VO'!JE18</f>
        <v>SMART/AMEX</v>
      </c>
      <c r="DE14" s="38">
        <f>'Single Stock VO'!JJ18*100</f>
        <v>2.8981171390390017</v>
      </c>
      <c r="DG14" t="s">
        <v>84</v>
      </c>
      <c r="DH14">
        <f>'Single Stock VO'!KA18</f>
        <v>3750</v>
      </c>
      <c r="DI14" t="str">
        <f>'Single Stock VO'!KE18</f>
        <v>STK</v>
      </c>
      <c r="DJ14" t="str">
        <f>'Single Stock VO'!KF18</f>
        <v>SEHK</v>
      </c>
      <c r="DP14" s="69">
        <f>'Single Stock VO'!KK18</f>
        <v>2.811966310794797E-2</v>
      </c>
      <c r="DR14" t="s">
        <v>84</v>
      </c>
      <c r="DS14" t="str">
        <f>'Single Stock VO'!LB18</f>
        <v>SPG</v>
      </c>
      <c r="DT14" t="str">
        <f>'Single Stock VO'!LF18</f>
        <v>STK</v>
      </c>
      <c r="DU14" t="str">
        <f>'Single Stock VO'!LG18</f>
        <v>SMART/AMEX</v>
      </c>
      <c r="EA14" s="38">
        <f>'Single Stock VO'!LL18*100</f>
        <v>6.5600700035147135</v>
      </c>
      <c r="EC14" t="s">
        <v>84</v>
      </c>
      <c r="ED14" t="str">
        <f>'Single Stock VO'!MC18</f>
        <v>GIS</v>
      </c>
      <c r="EE14" t="str">
        <f>'Single Stock VO'!MG18</f>
        <v>STK</v>
      </c>
      <c r="EF14" t="str">
        <f>'Single Stock VO'!MH18</f>
        <v>SMART/AMEX</v>
      </c>
      <c r="EL14" s="38">
        <f>'Single Stock VO'!MM18*100</f>
        <v>2.7681306363069544</v>
      </c>
      <c r="EN14" t="s">
        <v>84</v>
      </c>
      <c r="EO14" t="str">
        <f>'Single Stock VO'!ND18</f>
        <v>IBM</v>
      </c>
      <c r="EP14" t="str">
        <f>'Single Stock VO'!NH18</f>
        <v>STK</v>
      </c>
      <c r="EQ14" t="str">
        <f>'Single Stock VO'!NI18</f>
        <v>SMART/AMEX</v>
      </c>
      <c r="EW14" s="38">
        <f>'Single Stock VO'!NN18*100</f>
        <v>3.6624741989599308</v>
      </c>
      <c r="EY14" t="s">
        <v>84</v>
      </c>
      <c r="EZ14" t="str">
        <f>'Single Stock VO'!OE18</f>
        <v>HSBA</v>
      </c>
      <c r="FA14" t="str">
        <f>'Single Stock VO'!OI18</f>
        <v>STK</v>
      </c>
      <c r="FB14" t="str">
        <f>'Single Stock VO'!OJ18</f>
        <v>SMART/LSE</v>
      </c>
      <c r="FH14" s="69">
        <f>'Single Stock VO'!OO18*100</f>
        <v>3.6696543796530681</v>
      </c>
      <c r="FJ14" t="s">
        <v>84</v>
      </c>
      <c r="FK14">
        <f>'Single Stock VO'!PF18</f>
        <v>7270</v>
      </c>
      <c r="FL14" t="str">
        <f>'Single Stock VO'!PJ18</f>
        <v>STK</v>
      </c>
      <c r="FM14" t="str">
        <f>'Single Stock VO'!PK18</f>
        <v>SMART/TSEJ</v>
      </c>
      <c r="FS14" s="38">
        <f>'Single Stock VO'!PP18*100</f>
        <v>4.1305717212150439</v>
      </c>
      <c r="FU14" t="s">
        <v>84</v>
      </c>
      <c r="FV14">
        <f>'Single Stock VO'!QG18</f>
        <v>0</v>
      </c>
      <c r="FW14" t="str">
        <f>'Single Stock VO'!QK18</f>
        <v>STK</v>
      </c>
      <c r="FX14">
        <f>'Single Stock VO'!QL18</f>
        <v>0</v>
      </c>
      <c r="GD14" s="38">
        <f>'Single Stock VO'!QQ18*100</f>
        <v>6.4450059305285494</v>
      </c>
    </row>
    <row r="15" spans="1:186" x14ac:dyDescent="0.2">
      <c r="A15" t="s">
        <v>84</v>
      </c>
      <c r="B15">
        <f>'Single Stock VO'!Q19</f>
        <v>700</v>
      </c>
      <c r="C15" t="str">
        <f>'Single Stock VO'!U19</f>
        <v>STK</v>
      </c>
      <c r="D15" t="str">
        <f>'Single Stock VO'!V19</f>
        <v>SEHK</v>
      </c>
      <c r="J15" s="38">
        <f>'Single Stock VO'!AA19*100</f>
        <v>2.4817977603542691</v>
      </c>
      <c r="L15" t="s">
        <v>84</v>
      </c>
      <c r="M15" t="str">
        <f>'Single Stock VO'!AR19</f>
        <v>ROG</v>
      </c>
      <c r="N15" t="str">
        <f>'Single Stock VO'!AV19</f>
        <v>STK</v>
      </c>
      <c r="O15" t="str">
        <f>'Single Stock VO'!AW19</f>
        <v>SMART/EBS</v>
      </c>
      <c r="U15" s="38">
        <f>'Single Stock VO'!BB19*100</f>
        <v>5.5269447961952638</v>
      </c>
      <c r="W15" t="s">
        <v>84</v>
      </c>
      <c r="X15">
        <f>'Single Stock VO'!BS19</f>
        <v>8850</v>
      </c>
      <c r="Y15" t="str">
        <f>'Single Stock VO'!BW19</f>
        <v>STK</v>
      </c>
      <c r="Z15" t="str">
        <f>'Single Stock VO'!BX19</f>
        <v>SMART/TSEJ</v>
      </c>
      <c r="AF15" s="38">
        <f>'Single Stock VO'!CC19*100</f>
        <v>6.5696217338991225</v>
      </c>
      <c r="AH15" t="s">
        <v>84</v>
      </c>
      <c r="AI15" t="str">
        <f>'Single Stock VO'!CT19</f>
        <v>PSA</v>
      </c>
      <c r="AJ15" t="str">
        <f>'Single Stock VO'!CX19</f>
        <v>STK</v>
      </c>
      <c r="AK15" t="str">
        <f>'Single Stock VO'!CY19</f>
        <v>SMART/AMEX</v>
      </c>
      <c r="AQ15" s="38">
        <f>'Single Stock VO'!DD19*100</f>
        <v>5.1153149814893251</v>
      </c>
      <c r="AS15" t="s">
        <v>84</v>
      </c>
      <c r="AT15" t="str">
        <f>'Single Stock VO'!DU19</f>
        <v>NWG</v>
      </c>
      <c r="AU15" t="str">
        <f>'Single Stock VO'!DY19</f>
        <v>STK</v>
      </c>
      <c r="AV15" t="str">
        <f>'Single Stock VO'!DZ19</f>
        <v>SMART/LSE</v>
      </c>
      <c r="BB15" s="38">
        <f>'Single Stock VO'!EE19*100</f>
        <v>4.7201512060842052</v>
      </c>
      <c r="BD15" t="s">
        <v>84</v>
      </c>
      <c r="BE15" t="str">
        <f>'Single Stock VO'!EV19</f>
        <v>WMT</v>
      </c>
      <c r="BF15" t="str">
        <f>'Single Stock VO'!EZ19</f>
        <v>STK</v>
      </c>
      <c r="BG15" t="str">
        <f>'Single Stock VO'!FA19</f>
        <v>SMART/AMEX</v>
      </c>
      <c r="BM15" s="38">
        <f>'Single Stock VO'!FF19*100</f>
        <v>3.0969564836238446</v>
      </c>
      <c r="BO15" t="s">
        <v>84</v>
      </c>
      <c r="BP15" t="str">
        <f>'Single Stock VO'!FW19</f>
        <v>CTSH</v>
      </c>
      <c r="BQ15" t="str">
        <f>'Single Stock VO'!GA19</f>
        <v>STK</v>
      </c>
      <c r="BR15" t="str">
        <f>'Single Stock VO'!GB19</f>
        <v>SMART/AMEX</v>
      </c>
      <c r="BX15" s="38">
        <f>'Single Stock VO'!GG19*100</f>
        <v>2.8970655935465843</v>
      </c>
      <c r="BZ15" t="s">
        <v>84</v>
      </c>
      <c r="CA15">
        <f>'Single Stock VO'!GX19</f>
        <v>1398</v>
      </c>
      <c r="CB15" t="str">
        <f>'Single Stock VO'!HB19</f>
        <v>STK</v>
      </c>
      <c r="CC15" t="str">
        <f>'Single Stock VO'!HC19</f>
        <v>SEHK</v>
      </c>
      <c r="CI15" s="38">
        <f>'Single Stock VO'!HH19*100</f>
        <v>3.0490362280669663</v>
      </c>
      <c r="CK15" t="s">
        <v>84</v>
      </c>
      <c r="CL15">
        <f>'Single Stock VO'!HY19</f>
        <v>1398</v>
      </c>
      <c r="CM15" t="str">
        <f>'Single Stock VO'!IC19</f>
        <v>STK</v>
      </c>
      <c r="CN15" t="str">
        <f>'Single Stock VO'!ID19</f>
        <v>SEHK</v>
      </c>
      <c r="CT15" s="38">
        <f>'Single Stock VO'!II19*100</f>
        <v>4.2938342322528245</v>
      </c>
      <c r="CV15" t="s">
        <v>84</v>
      </c>
      <c r="CW15">
        <f>'Single Stock VO'!IZ19</f>
        <v>6701</v>
      </c>
      <c r="CX15" t="str">
        <f>'Single Stock VO'!JD19</f>
        <v>STK</v>
      </c>
      <c r="CY15" t="str">
        <f>'Single Stock VO'!JE19</f>
        <v>SMART/TSEJ</v>
      </c>
      <c r="DE15" s="38">
        <f>'Single Stock VO'!JJ19*100</f>
        <v>3.1414827907277245</v>
      </c>
      <c r="DG15" t="s">
        <v>84</v>
      </c>
      <c r="DH15" t="str">
        <f>'Single Stock VO'!KA19</f>
        <v>CTVA</v>
      </c>
      <c r="DI15" t="str">
        <f>'Single Stock VO'!KE19</f>
        <v>STK</v>
      </c>
      <c r="DJ15" t="str">
        <f>'Single Stock VO'!KF19</f>
        <v>SMART/AMEX</v>
      </c>
      <c r="DP15" s="69">
        <f>'Single Stock VO'!KK19</f>
        <v>2.986206643512768E-2</v>
      </c>
      <c r="DR15" t="s">
        <v>84</v>
      </c>
      <c r="DS15" t="str">
        <f>'Single Stock VO'!LB19</f>
        <v>VICI</v>
      </c>
      <c r="DT15" t="str">
        <f>'Single Stock VO'!LF19</f>
        <v>STK</v>
      </c>
      <c r="DU15" t="str">
        <f>'Single Stock VO'!LG19</f>
        <v>SMART/AMEX</v>
      </c>
      <c r="EA15" s="38">
        <f>'Single Stock VO'!LL19*100</f>
        <v>5.6780782976256647</v>
      </c>
      <c r="EC15" t="s">
        <v>84</v>
      </c>
      <c r="ED15" t="str">
        <f>'Single Stock VO'!MC19</f>
        <v>GSK</v>
      </c>
      <c r="EE15" t="str">
        <f>'Single Stock VO'!MG19</f>
        <v>STK</v>
      </c>
      <c r="EF15" t="str">
        <f>'Single Stock VO'!MH19</f>
        <v>SMART/LSE</v>
      </c>
      <c r="EL15" s="38">
        <f>'Single Stock VO'!MM19*100</f>
        <v>2.6959070720118872</v>
      </c>
      <c r="EN15" t="s">
        <v>84</v>
      </c>
      <c r="EO15" t="str">
        <f>'Single Stock VO'!ND19</f>
        <v>KMB</v>
      </c>
      <c r="EP15" t="str">
        <f>'Single Stock VO'!NH19</f>
        <v>STK</v>
      </c>
      <c r="EQ15" t="str">
        <f>'Single Stock VO'!NI19</f>
        <v>SMART/AMEX</v>
      </c>
      <c r="EW15" s="38">
        <f>'Single Stock VO'!NN19*100</f>
        <v>3.5327807180230866</v>
      </c>
      <c r="EY15" t="s">
        <v>84</v>
      </c>
      <c r="EZ15" t="str">
        <f>'Single Stock VO'!OE19</f>
        <v>AD</v>
      </c>
      <c r="FA15" t="str">
        <f>'Single Stock VO'!OI19</f>
        <v>STK</v>
      </c>
      <c r="FB15" t="str">
        <f>'Single Stock VO'!OJ19</f>
        <v>SMART/FWB</v>
      </c>
      <c r="FH15" s="69">
        <f>'Single Stock VO'!OO19*100</f>
        <v>3.5773009025723201</v>
      </c>
      <c r="FJ15" t="s">
        <v>84</v>
      </c>
      <c r="FK15">
        <f>'Single Stock VO'!PF19</f>
        <v>7751</v>
      </c>
      <c r="FL15" t="str">
        <f>'Single Stock VO'!PJ19</f>
        <v>STK</v>
      </c>
      <c r="FM15" t="str">
        <f>'Single Stock VO'!PK19</f>
        <v>SMART/TSEJ</v>
      </c>
      <c r="FS15" s="38">
        <f>'Single Stock VO'!PP19*100</f>
        <v>4.0931632450774895</v>
      </c>
      <c r="FU15" t="s">
        <v>84</v>
      </c>
      <c r="FV15">
        <f>'Single Stock VO'!QG19</f>
        <v>0</v>
      </c>
      <c r="FW15" t="str">
        <f>'Single Stock VO'!QK19</f>
        <v>STK</v>
      </c>
      <c r="FX15">
        <f>'Single Stock VO'!QL19</f>
        <v>0</v>
      </c>
      <c r="GD15" s="38">
        <f>'Single Stock VO'!QQ19*100</f>
        <v>3.4434511204634948</v>
      </c>
    </row>
    <row r="16" spans="1:186" x14ac:dyDescent="0.2">
      <c r="A16" t="s">
        <v>84</v>
      </c>
      <c r="B16" t="str">
        <f>'Single Stock VO'!Q20</f>
        <v>NOVN</v>
      </c>
      <c r="C16" t="str">
        <f>'Single Stock VO'!U20</f>
        <v>STK</v>
      </c>
      <c r="D16" t="str">
        <f>'Single Stock VO'!V20</f>
        <v>SMART/EBS</v>
      </c>
      <c r="J16" s="38">
        <f>'Single Stock VO'!AA20*100</f>
        <v>2.658143543470679</v>
      </c>
      <c r="L16" t="s">
        <v>84</v>
      </c>
      <c r="M16" t="str">
        <f>'Single Stock VO'!AR20</f>
        <v>SAN1</v>
      </c>
      <c r="N16" t="str">
        <f>'Single Stock VO'!AV20</f>
        <v>STK</v>
      </c>
      <c r="O16" t="str">
        <f>'Single Stock VO'!AW20</f>
        <v>SMART/FWB</v>
      </c>
      <c r="U16" s="38">
        <f>'Single Stock VO'!BB20*100</f>
        <v>3.942641884125115</v>
      </c>
      <c r="W16" t="s">
        <v>84</v>
      </c>
      <c r="X16">
        <f>'Single Stock VO'!BS20</f>
        <v>8957</v>
      </c>
      <c r="Y16" t="str">
        <f>'Single Stock VO'!BW20</f>
        <v>STK</v>
      </c>
      <c r="Z16" t="str">
        <f>'Single Stock VO'!BX20</f>
        <v>SMART/TSEJ</v>
      </c>
      <c r="AF16" s="38">
        <f>'Single Stock VO'!CC20*100</f>
        <v>6.4415243618006937</v>
      </c>
      <c r="AH16" t="s">
        <v>84</v>
      </c>
      <c r="AI16" t="str">
        <f>'Single Stock VO'!CT20</f>
        <v>RET</v>
      </c>
      <c r="AJ16" t="str">
        <f>'Single Stock VO'!CX20</f>
        <v>STK</v>
      </c>
      <c r="AK16" t="str">
        <f>'Single Stock VO'!CY20</f>
        <v>SMART/FWB</v>
      </c>
      <c r="AQ16" s="38">
        <f>'Single Stock VO'!DD20*100</f>
        <v>4.9286913642613248</v>
      </c>
      <c r="AS16" t="s">
        <v>84</v>
      </c>
      <c r="AT16" t="str">
        <f>'Single Stock VO'!DU20</f>
        <v>RIO</v>
      </c>
      <c r="AU16" t="str">
        <f>'Single Stock VO'!DY20</f>
        <v>STK</v>
      </c>
      <c r="AV16" t="str">
        <f>'Single Stock VO'!DZ20</f>
        <v>SMART/LSE</v>
      </c>
      <c r="BB16" s="38">
        <f>'Single Stock VO'!EE20*100</f>
        <v>5.7727131808404728</v>
      </c>
      <c r="BD16" t="s">
        <v>84</v>
      </c>
      <c r="BE16" t="str">
        <f>'Single Stock VO'!EV20</f>
        <v>EOG</v>
      </c>
      <c r="BF16" t="str">
        <f>'Single Stock VO'!EZ20</f>
        <v>STK</v>
      </c>
      <c r="BG16" t="str">
        <f>'Single Stock VO'!FA20</f>
        <v>SMART/AMEX</v>
      </c>
      <c r="BM16" s="38">
        <f>'Single Stock VO'!FF20*100</f>
        <v>3.7286812869394872</v>
      </c>
      <c r="BO16" t="s">
        <v>84</v>
      </c>
      <c r="BP16" t="str">
        <f>'Single Stock VO'!FW20</f>
        <v>FFIV</v>
      </c>
      <c r="BQ16" t="str">
        <f>'Single Stock VO'!GA20</f>
        <v>STK</v>
      </c>
      <c r="BR16" t="str">
        <f>'Single Stock VO'!GB20</f>
        <v>SMART/AMEX</v>
      </c>
      <c r="BX16" s="38">
        <f>'Single Stock VO'!GG20*100</f>
        <v>3.8717235302057276</v>
      </c>
      <c r="BZ16" t="s">
        <v>84</v>
      </c>
      <c r="CA16" t="str">
        <f>'Single Stock VO'!GX20</f>
        <v>J36</v>
      </c>
      <c r="CB16" t="str">
        <f>'Single Stock VO'!HB20</f>
        <v>STK</v>
      </c>
      <c r="CC16" t="str">
        <f>'Single Stock VO'!HC20</f>
        <v>SGX</v>
      </c>
      <c r="CI16" s="38">
        <f>'Single Stock VO'!HH20*100</f>
        <v>3.1941901877754084</v>
      </c>
      <c r="CK16" t="s">
        <v>84</v>
      </c>
      <c r="CL16">
        <f>'Single Stock VO'!HY20</f>
        <v>303</v>
      </c>
      <c r="CM16" t="str">
        <f>'Single Stock VO'!IC20</f>
        <v>STK</v>
      </c>
      <c r="CN16" t="str">
        <f>'Single Stock VO'!ID20</f>
        <v>SEHK</v>
      </c>
      <c r="CT16" s="38">
        <f>'Single Stock VO'!II20*100</f>
        <v>4.263890788517978</v>
      </c>
      <c r="CV16" t="s">
        <v>84</v>
      </c>
      <c r="CW16" t="str">
        <f>'Single Stock VO'!IZ20</f>
        <v>NTNX</v>
      </c>
      <c r="CX16" t="str">
        <f>'Single Stock VO'!JD20</f>
        <v>STK</v>
      </c>
      <c r="CY16" t="str">
        <f>'Single Stock VO'!JE20</f>
        <v>SMART/AMEX</v>
      </c>
      <c r="DE16" s="38">
        <f>'Single Stock VO'!JJ20*100</f>
        <v>2.0170311439493096</v>
      </c>
      <c r="DG16" t="s">
        <v>84</v>
      </c>
      <c r="DH16" t="str">
        <f>'Single Stock VO'!KA20</f>
        <v>BN</v>
      </c>
      <c r="DI16" t="str">
        <f>'Single Stock VO'!KE20</f>
        <v>STK</v>
      </c>
      <c r="DJ16" t="str">
        <f>'Single Stock VO'!KF20</f>
        <v>SMART/SBF</v>
      </c>
      <c r="DP16" s="69">
        <f>'Single Stock VO'!KK20</f>
        <v>2.8059611495815439E-2</v>
      </c>
      <c r="DR16" t="s">
        <v>84</v>
      </c>
      <c r="DS16" t="str">
        <f>'Single Stock VO'!LB20</f>
        <v>WPC</v>
      </c>
      <c r="DT16" t="str">
        <f>'Single Stock VO'!LF20</f>
        <v>STK</v>
      </c>
      <c r="DU16" t="str">
        <f>'Single Stock VO'!LG20</f>
        <v>SMART/AMEX</v>
      </c>
      <c r="EA16" s="38">
        <f>'Single Stock VO'!LL20*100</f>
        <v>6.3072591200086539</v>
      </c>
      <c r="EC16" t="s">
        <v>84</v>
      </c>
      <c r="ED16">
        <f>'Single Stock VO'!MC20</f>
        <v>6823</v>
      </c>
      <c r="EE16" t="str">
        <f>'Single Stock VO'!MG20</f>
        <v>STK</v>
      </c>
      <c r="EF16" t="str">
        <f>'Single Stock VO'!MH20</f>
        <v>SEHK</v>
      </c>
      <c r="EL16" s="38">
        <f>'Single Stock VO'!MM20*100</f>
        <v>2.8469459294683834</v>
      </c>
      <c r="EN16" t="s">
        <v>84</v>
      </c>
      <c r="EO16" t="str">
        <f>'Single Stock VO'!ND20</f>
        <v>MRK</v>
      </c>
      <c r="EP16" t="str">
        <f>'Single Stock VO'!NH20</f>
        <v>STK</v>
      </c>
      <c r="EQ16" t="str">
        <f>'Single Stock VO'!NI20</f>
        <v>SMART/AMEX</v>
      </c>
      <c r="EW16" s="38">
        <f>'Single Stock VO'!NN20*100</f>
        <v>3.4853112248099185</v>
      </c>
      <c r="EY16" t="s">
        <v>84</v>
      </c>
      <c r="EZ16" t="str">
        <f>'Single Stock VO'!OE20</f>
        <v>KPN</v>
      </c>
      <c r="FA16" t="str">
        <f>'Single Stock VO'!OI20</f>
        <v>STK</v>
      </c>
      <c r="FB16" t="str">
        <f>'Single Stock VO'!OJ20</f>
        <v>SMART/FWB</v>
      </c>
      <c r="FH16" s="69">
        <f>'Single Stock VO'!OO20*100</f>
        <v>3.3826792307695488</v>
      </c>
      <c r="FJ16" t="s">
        <v>84</v>
      </c>
      <c r="FK16">
        <f>'Single Stock VO'!PF20</f>
        <v>8174</v>
      </c>
      <c r="FL16" t="str">
        <f>'Single Stock VO'!PJ20</f>
        <v>STK</v>
      </c>
      <c r="FM16" t="str">
        <f>'Single Stock VO'!PK20</f>
        <v>SMART/TSEJ</v>
      </c>
      <c r="FS16" s="38">
        <f>'Single Stock VO'!PP20*100</f>
        <v>4.0414934159643394</v>
      </c>
      <c r="FU16" t="s">
        <v>84</v>
      </c>
      <c r="FV16">
        <f>'Single Stock VO'!QG20</f>
        <v>0</v>
      </c>
      <c r="FW16" t="str">
        <f>'Single Stock VO'!QK20</f>
        <v>STK</v>
      </c>
      <c r="FX16">
        <f>'Single Stock VO'!QL20</f>
        <v>0</v>
      </c>
      <c r="GD16" s="38">
        <f>'Single Stock VO'!QQ20*100</f>
        <v>4.1545000154891127</v>
      </c>
    </row>
    <row r="17" spans="1:186" x14ac:dyDescent="0.2">
      <c r="A17" t="s">
        <v>84</v>
      </c>
      <c r="B17" t="str">
        <f>'Single Stock VO'!Q21</f>
        <v>XOM</v>
      </c>
      <c r="C17" t="str">
        <f>'Single Stock VO'!U21</f>
        <v>STK</v>
      </c>
      <c r="D17" t="str">
        <f>'Single Stock VO'!V21</f>
        <v>SMART/AMEX</v>
      </c>
      <c r="J17" s="38">
        <f>'Single Stock VO'!AA21*100</f>
        <v>2.6231544383173517</v>
      </c>
      <c r="L17" t="s">
        <v>84</v>
      </c>
      <c r="M17" t="str">
        <f>'Single Stock VO'!AR21</f>
        <v>SHL</v>
      </c>
      <c r="N17" t="str">
        <f>'Single Stock VO'!AV21</f>
        <v>STK</v>
      </c>
      <c r="O17" t="str">
        <f>'Single Stock VO'!AW21</f>
        <v>SMART/TSEJ</v>
      </c>
      <c r="U17" s="38">
        <f>'Single Stock VO'!BB21*100</f>
        <v>6.0106482245756636</v>
      </c>
      <c r="AH17" t="s">
        <v>84</v>
      </c>
      <c r="AI17" t="str">
        <f>'Single Stock VO'!CT21</f>
        <v>SPG</v>
      </c>
      <c r="AJ17" t="str">
        <f>'Single Stock VO'!CX21</f>
        <v>STK</v>
      </c>
      <c r="AK17" t="str">
        <f>'Single Stock VO'!CY21</f>
        <v>SMART/AMEX</v>
      </c>
      <c r="AQ17" s="38">
        <f>'Single Stock VO'!DD21*100</f>
        <v>5.30980381007552</v>
      </c>
      <c r="AS17" t="s">
        <v>84</v>
      </c>
      <c r="AT17" t="str">
        <f>'Single Stock VO'!DU21</f>
        <v>SBRY</v>
      </c>
      <c r="AU17" t="str">
        <f>'Single Stock VO'!DY21</f>
        <v>STK</v>
      </c>
      <c r="AV17" t="str">
        <f>'Single Stock VO'!DZ21</f>
        <v>SMART/LSE</v>
      </c>
      <c r="BB17" s="38">
        <f>'Single Stock VO'!EE21*100</f>
        <v>4.4059675144176671</v>
      </c>
      <c r="BD17" t="s">
        <v>84</v>
      </c>
      <c r="BE17" t="str">
        <f>'Single Stock VO'!EV21</f>
        <v>TEL</v>
      </c>
      <c r="BF17" t="str">
        <f>'Single Stock VO'!EZ21</f>
        <v>STK</v>
      </c>
      <c r="BG17" t="str">
        <f>'Single Stock VO'!FA21</f>
        <v>SMART/AMEX</v>
      </c>
      <c r="BM17" s="38">
        <f>'Single Stock VO'!FF21*100</f>
        <v>3.0128548675215385</v>
      </c>
      <c r="BO17" t="s">
        <v>84</v>
      </c>
      <c r="BP17" t="str">
        <f>'Single Stock VO'!FW21</f>
        <v>IBM</v>
      </c>
      <c r="BQ17" t="str">
        <f>'Single Stock VO'!GA21</f>
        <v>STK</v>
      </c>
      <c r="BR17" t="str">
        <f>'Single Stock VO'!GB21</f>
        <v>SMART/AMEX</v>
      </c>
      <c r="BX17" s="38">
        <f>'Single Stock VO'!GG21*100</f>
        <v>2.6894893978043788</v>
      </c>
      <c r="BZ17" t="s">
        <v>84</v>
      </c>
      <c r="CA17">
        <f>'Single Stock VO'!GX21</f>
        <v>4452</v>
      </c>
      <c r="CB17" t="str">
        <f>'Single Stock VO'!HB21</f>
        <v>STK</v>
      </c>
      <c r="CC17" t="str">
        <f>'Single Stock VO'!HC21</f>
        <v>SMART/TSEJ</v>
      </c>
      <c r="CI17" s="38">
        <f>'Single Stock VO'!HH21*100</f>
        <v>2.5460564887635022</v>
      </c>
      <c r="CK17" t="s">
        <v>84</v>
      </c>
      <c r="CL17">
        <f>'Single Stock VO'!HY21</f>
        <v>8</v>
      </c>
      <c r="CM17" t="str">
        <f>'Single Stock VO'!IC21</f>
        <v>STK</v>
      </c>
      <c r="CN17" t="str">
        <f>'Single Stock VO'!ID21</f>
        <v>SEHK</v>
      </c>
      <c r="CT17" s="38">
        <f>'Single Stock VO'!II21*100</f>
        <v>4.4080346542457134</v>
      </c>
      <c r="CV17" t="s">
        <v>84</v>
      </c>
      <c r="CW17" t="str">
        <f>'Single Stock VO'!IZ21</f>
        <v>PEGA</v>
      </c>
      <c r="CX17" t="str">
        <f>'Single Stock VO'!JD21</f>
        <v>STK</v>
      </c>
      <c r="CY17" t="str">
        <f>'Single Stock VO'!JE21</f>
        <v>SMART/AMEX</v>
      </c>
      <c r="DE17" s="38">
        <f>'Single Stock VO'!JJ21*100</f>
        <v>3.1247357008855592</v>
      </c>
      <c r="DG17" t="s">
        <v>84</v>
      </c>
      <c r="DH17" t="str">
        <f>'Single Stock VO'!KA21</f>
        <v>DE</v>
      </c>
      <c r="DI17" t="str">
        <f>'Single Stock VO'!KE21</f>
        <v>STK</v>
      </c>
      <c r="DJ17" t="str">
        <f>'Single Stock VO'!KF21</f>
        <v>SMART/AMEX</v>
      </c>
      <c r="DP17" s="69">
        <f>'Single Stock VO'!KK21</f>
        <v>2.8950111513607782E-2</v>
      </c>
      <c r="EA17" s="38"/>
      <c r="EC17" t="s">
        <v>84</v>
      </c>
      <c r="ED17" t="str">
        <f>'Single Stock VO'!MC21</f>
        <v>KMB</v>
      </c>
      <c r="EE17" t="str">
        <f>'Single Stock VO'!MG21</f>
        <v>STK</v>
      </c>
      <c r="EF17" t="str">
        <f>'Single Stock VO'!MH21</f>
        <v>SMART/AMEX</v>
      </c>
      <c r="EL17" s="38">
        <f>'Single Stock VO'!MM21*100</f>
        <v>2.7052125487836198</v>
      </c>
      <c r="EN17" t="s">
        <v>84</v>
      </c>
      <c r="EO17" t="str">
        <f>'Single Stock VO'!ND21</f>
        <v>NVS</v>
      </c>
      <c r="EP17" t="str">
        <f>'Single Stock VO'!NH21</f>
        <v>STK</v>
      </c>
      <c r="EQ17" t="str">
        <f>'Single Stock VO'!NI21</f>
        <v>SMART/AMEX</v>
      </c>
      <c r="EW17" s="38">
        <f>'Single Stock VO'!NN21*100</f>
        <v>3.6337191304758925</v>
      </c>
      <c r="EY17" t="s">
        <v>84</v>
      </c>
      <c r="EZ17" t="str">
        <f>'Single Stock VO'!OE21</f>
        <v>MUV2</v>
      </c>
      <c r="FA17" t="str">
        <f>'Single Stock VO'!OI21</f>
        <v>STK</v>
      </c>
      <c r="FB17" t="str">
        <f>'Single Stock VO'!OJ21</f>
        <v>SMART/FWB</v>
      </c>
      <c r="FH17" s="69">
        <f>'Single Stock VO'!OO21*100</f>
        <v>3.0136604471247534</v>
      </c>
      <c r="FJ17" t="s">
        <v>84</v>
      </c>
      <c r="FK17">
        <f>'Single Stock VO'!PF21</f>
        <v>8309</v>
      </c>
      <c r="FL17" t="str">
        <f>'Single Stock VO'!PJ21</f>
        <v>STK</v>
      </c>
      <c r="FM17" t="str">
        <f>'Single Stock VO'!PK21</f>
        <v>SMART/TSEJ</v>
      </c>
      <c r="FS17" s="38">
        <f>'Single Stock VO'!PP21*100</f>
        <v>4.2357326448431207</v>
      </c>
      <c r="FU17" t="s">
        <v>84</v>
      </c>
      <c r="FV17">
        <f>'Single Stock VO'!QG21</f>
        <v>0</v>
      </c>
      <c r="FW17" t="str">
        <f>'Single Stock VO'!QK21</f>
        <v>STK</v>
      </c>
      <c r="FX17">
        <f>'Single Stock VO'!QL21</f>
        <v>0</v>
      </c>
      <c r="GD17" s="38">
        <f>'Single Stock VO'!QQ21*100</f>
        <v>3.5014091274819901</v>
      </c>
    </row>
    <row r="18" spans="1:186" x14ac:dyDescent="0.2">
      <c r="A18" t="s">
        <v>84</v>
      </c>
      <c r="B18" t="str">
        <f>'Single Stock VO'!Q22</f>
        <v>ALL</v>
      </c>
      <c r="C18" t="str">
        <f>'Single Stock VO'!U22</f>
        <v>STK</v>
      </c>
      <c r="D18" t="str">
        <f>'Single Stock VO'!V22</f>
        <v>SMART/AMEX</v>
      </c>
      <c r="J18" s="38">
        <f>'Single Stock VO'!AA22*100</f>
        <v>2.7846798184326005</v>
      </c>
      <c r="L18" t="s">
        <v>84</v>
      </c>
      <c r="M18" t="str">
        <f>'Single Stock VO'!AR22</f>
        <v>CI</v>
      </c>
      <c r="N18" t="str">
        <f>'Single Stock VO'!AV22</f>
        <v>STK</v>
      </c>
      <c r="O18" t="str">
        <f>'Single Stock VO'!AW22</f>
        <v>SMART/FWB</v>
      </c>
      <c r="U18" s="38">
        <f>'Single Stock VO'!BB22*100</f>
        <v>3.7175646701689899</v>
      </c>
      <c r="AH18" t="s">
        <v>84</v>
      </c>
      <c r="AI18">
        <f>'Single Stock VO'!CT22</f>
        <v>8850</v>
      </c>
      <c r="AJ18" t="str">
        <f>'Single Stock VO'!CX22</f>
        <v>STK</v>
      </c>
      <c r="AK18" t="str">
        <f>'Single Stock VO'!CY22</f>
        <v>SMART/TSEJ</v>
      </c>
      <c r="AQ18" s="38">
        <f>'Single Stock VO'!DD22*100</f>
        <v>4.8110141396145956</v>
      </c>
      <c r="AS18" t="s">
        <v>84</v>
      </c>
      <c r="AT18" t="str">
        <f>'Single Stock VO'!DU22</f>
        <v>SHEL</v>
      </c>
      <c r="AU18" t="str">
        <f>'Single Stock VO'!DY22</f>
        <v>STK</v>
      </c>
      <c r="AV18" t="str">
        <f>'Single Stock VO'!DZ22</f>
        <v>SMART/LSE</v>
      </c>
      <c r="BB18" s="38">
        <f>'Single Stock VO'!EE22*100</f>
        <v>4.8193312196026348</v>
      </c>
      <c r="BD18" t="s">
        <v>84</v>
      </c>
      <c r="BE18" t="str">
        <f>'Single Stock VO'!EV22</f>
        <v>DUK</v>
      </c>
      <c r="BF18" t="str">
        <f>'Single Stock VO'!EZ22</f>
        <v>STK</v>
      </c>
      <c r="BG18" t="str">
        <f>'Single Stock VO'!FA22</f>
        <v>SMART/AMEX</v>
      </c>
      <c r="BM18" s="38">
        <f>'Single Stock VO'!FF22*100</f>
        <v>3.5036505870450938</v>
      </c>
      <c r="BO18" t="s">
        <v>84</v>
      </c>
      <c r="BP18" t="str">
        <f>'Single Stock VO'!FW22</f>
        <v>META</v>
      </c>
      <c r="BQ18" t="str">
        <f>'Single Stock VO'!GA22</f>
        <v>STK</v>
      </c>
      <c r="BR18" t="str">
        <f>'Single Stock VO'!GB22</f>
        <v>SMART/AMEX</v>
      </c>
      <c r="BX18" s="38">
        <f>'Single Stock VO'!GG22*100</f>
        <v>3.4273321587536509</v>
      </c>
      <c r="BZ18" t="s">
        <v>84</v>
      </c>
      <c r="CA18">
        <f>'Single Stock VO'!GX22</f>
        <v>992</v>
      </c>
      <c r="CB18" t="str">
        <f>'Single Stock VO'!HB22</f>
        <v>STK</v>
      </c>
      <c r="CC18" t="str">
        <f>'Single Stock VO'!HC22</f>
        <v>SEHK</v>
      </c>
      <c r="CI18" s="38">
        <f>'Single Stock VO'!HH22*100</f>
        <v>2.1873943505161595</v>
      </c>
      <c r="CK18" t="s">
        <v>84</v>
      </c>
      <c r="CL18">
        <f>'Single Stock VO'!HY22</f>
        <v>2328</v>
      </c>
      <c r="CM18" t="str">
        <f>'Single Stock VO'!IC22</f>
        <v>STK</v>
      </c>
      <c r="CN18" t="str">
        <f>'Single Stock VO'!ID22</f>
        <v>SEHK</v>
      </c>
      <c r="CT18" s="38">
        <f>'Single Stock VO'!II22*100</f>
        <v>4.2989024312124036</v>
      </c>
      <c r="CV18" t="s">
        <v>84</v>
      </c>
      <c r="CW18" t="str">
        <f>'Single Stock VO'!IZ22</f>
        <v>PTC</v>
      </c>
      <c r="CX18" t="str">
        <f>'Single Stock VO'!JD22</f>
        <v>STK</v>
      </c>
      <c r="CY18" t="str">
        <f>'Single Stock VO'!JE22</f>
        <v>SMART/AMEX</v>
      </c>
      <c r="DE18" s="38">
        <f>'Single Stock VO'!JJ22*100</f>
        <v>2.7054987297792468</v>
      </c>
      <c r="DG18" t="s">
        <v>84</v>
      </c>
      <c r="DH18" t="str">
        <f>'Single Stock VO'!KA22</f>
        <v>FORTUM</v>
      </c>
      <c r="DI18" t="str">
        <f>'Single Stock VO'!KE22</f>
        <v>STK</v>
      </c>
      <c r="DJ18" t="str">
        <f>'Single Stock VO'!KF22</f>
        <v>SMART/HEX</v>
      </c>
      <c r="DP18" s="69">
        <f>'Single Stock VO'!KK22</f>
        <v>2.7921436093454273E-2</v>
      </c>
      <c r="EC18" t="s">
        <v>84</v>
      </c>
      <c r="ED18" t="str">
        <f>'Single Stock VO'!MC22</f>
        <v>NTGY</v>
      </c>
      <c r="EE18" t="str">
        <f>'Single Stock VO'!MG22</f>
        <v>STK</v>
      </c>
      <c r="EF18" t="str">
        <f>'Single Stock VO'!MH22</f>
        <v>SMART/BM</v>
      </c>
      <c r="EL18" s="38">
        <f>'Single Stock VO'!MM22*100</f>
        <v>2.629727367882214</v>
      </c>
      <c r="EN18" t="s">
        <v>84</v>
      </c>
      <c r="EO18" t="str">
        <f>'Single Stock VO'!ND22</f>
        <v>PFE</v>
      </c>
      <c r="EP18" t="str">
        <f>'Single Stock VO'!NH22</f>
        <v>STK</v>
      </c>
      <c r="EQ18" t="str">
        <f>'Single Stock VO'!NI22</f>
        <v>SMART/AMEX</v>
      </c>
      <c r="EW18" s="38">
        <f>'Single Stock VO'!NN22*100</f>
        <v>3.6656722614619963</v>
      </c>
      <c r="EY18" t="s">
        <v>84</v>
      </c>
      <c r="EZ18" t="str">
        <f>'Single Stock VO'!OE22</f>
        <v>NOVN</v>
      </c>
      <c r="FA18" t="str">
        <f>'Single Stock VO'!OI22</f>
        <v>STK</v>
      </c>
      <c r="FB18" t="str">
        <f>'Single Stock VO'!OJ22</f>
        <v>SMART/EBS</v>
      </c>
      <c r="FH18" s="69">
        <f>'Single Stock VO'!OO22*100</f>
        <v>3.859752563253692</v>
      </c>
      <c r="FJ18" t="s">
        <v>84</v>
      </c>
      <c r="FK18">
        <f>'Single Stock VO'!PF22</f>
        <v>8725</v>
      </c>
      <c r="FL18" t="str">
        <f>'Single Stock VO'!PJ22</f>
        <v>STK</v>
      </c>
      <c r="FM18" t="str">
        <f>'Single Stock VO'!PK22</f>
        <v>SMART/TSEJ</v>
      </c>
      <c r="FS18" s="38">
        <f>'Single Stock VO'!PP22*100</f>
        <v>4.1570351194199846</v>
      </c>
      <c r="FU18" t="s">
        <v>84</v>
      </c>
      <c r="FV18">
        <f>'Single Stock VO'!QG22</f>
        <v>0</v>
      </c>
      <c r="FW18" t="str">
        <f>'Single Stock VO'!QK22</f>
        <v>STK</v>
      </c>
      <c r="FX18">
        <f>'Single Stock VO'!QL22</f>
        <v>0</v>
      </c>
      <c r="GD18" s="38">
        <f>'Single Stock VO'!QQ22*100</f>
        <v>5.1965350787410447</v>
      </c>
    </row>
    <row r="19" spans="1:186" x14ac:dyDescent="0.2">
      <c r="A19" t="s">
        <v>84</v>
      </c>
      <c r="B19" t="str">
        <f>'Single Stock VO'!Q23</f>
        <v>ALV</v>
      </c>
      <c r="C19" t="str">
        <f>'Single Stock VO'!U23</f>
        <v>STK</v>
      </c>
      <c r="D19" t="str">
        <f>'Single Stock VO'!V23</f>
        <v>SMART/FWB</v>
      </c>
      <c r="J19" s="38">
        <f>'Single Stock VO'!AA23*100</f>
        <v>2.4013449111518068</v>
      </c>
      <c r="L19" t="s">
        <v>84</v>
      </c>
      <c r="M19" t="str">
        <f>'Single Stock VO'!AR23</f>
        <v>UCB</v>
      </c>
      <c r="N19" t="str">
        <f>'Single Stock VO'!AV23</f>
        <v>STK</v>
      </c>
      <c r="O19" t="str">
        <f>'Single Stock VO'!AW23</f>
        <v>SMART/LSE</v>
      </c>
      <c r="U19" s="38">
        <f>'Single Stock VO'!BB23*100</f>
        <v>4.2682415966855762</v>
      </c>
      <c r="AH19" t="s">
        <v>84</v>
      </c>
      <c r="AI19" t="str">
        <f>'Single Stock VO'!CT23</f>
        <v>VICI</v>
      </c>
      <c r="AJ19" t="str">
        <f>'Single Stock VO'!CX23</f>
        <v>STK</v>
      </c>
      <c r="AK19" t="str">
        <f>'Single Stock VO'!CY23</f>
        <v>SMART/AMEX</v>
      </c>
      <c r="AQ19" s="38">
        <f>'Single Stock VO'!DD23*100</f>
        <v>4.5959085440378695</v>
      </c>
      <c r="AS19" t="s">
        <v>84</v>
      </c>
      <c r="AT19" t="str">
        <f>'Single Stock VO'!DU23</f>
        <v>TSCO</v>
      </c>
      <c r="AU19" t="str">
        <f>'Single Stock VO'!DY23</f>
        <v>STK</v>
      </c>
      <c r="AV19" t="str">
        <f>'Single Stock VO'!DZ23</f>
        <v>SMART/LSE</v>
      </c>
      <c r="BB19" s="38">
        <f>'Single Stock VO'!EE23*100</f>
        <v>4.4517744914309869</v>
      </c>
      <c r="BD19" t="s">
        <v>84</v>
      </c>
      <c r="BE19" t="str">
        <f>'Single Stock VO'!EV23</f>
        <v>FE</v>
      </c>
      <c r="BF19" t="str">
        <f>'Single Stock VO'!EZ23</f>
        <v>STK</v>
      </c>
      <c r="BG19" t="str">
        <f>'Single Stock VO'!FA23</f>
        <v>SMART/AMEX</v>
      </c>
      <c r="BM19" s="38">
        <f>'Single Stock VO'!FF23*100</f>
        <v>3.4825957513758423</v>
      </c>
      <c r="BO19" t="s">
        <v>84</v>
      </c>
      <c r="BP19" t="str">
        <f>'Single Stock VO'!FW23</f>
        <v>MSFT</v>
      </c>
      <c r="BQ19" t="str">
        <f>'Single Stock VO'!GA23</f>
        <v>STK</v>
      </c>
      <c r="BR19" t="str">
        <f>'Single Stock VO'!GB23</f>
        <v>SMART/AMEX</v>
      </c>
      <c r="BX19" s="38">
        <f>'Single Stock VO'!GG23*100</f>
        <v>2.5304071393886414</v>
      </c>
      <c r="BZ19" t="s">
        <v>84</v>
      </c>
      <c r="CA19">
        <f>'Single Stock VO'!GX23</f>
        <v>8725</v>
      </c>
      <c r="CB19" t="str">
        <f>'Single Stock VO'!HB23</f>
        <v>STK</v>
      </c>
      <c r="CC19" t="str">
        <f>'Single Stock VO'!HC23</f>
        <v>SMART/TSEJ</v>
      </c>
      <c r="CI19" s="38">
        <f>'Single Stock VO'!HH23*100</f>
        <v>3.1916484929537492</v>
      </c>
      <c r="CK19" t="s">
        <v>84</v>
      </c>
      <c r="CL19">
        <f>'Single Stock VO'!HY23</f>
        <v>939</v>
      </c>
      <c r="CM19" t="str">
        <f>'Single Stock VO'!IC23</f>
        <v>STK</v>
      </c>
      <c r="CN19" t="str">
        <f>'Single Stock VO'!ID23</f>
        <v>SEHK</v>
      </c>
      <c r="CT19" s="38">
        <f>'Single Stock VO'!II23*100</f>
        <v>4.3014615775313008</v>
      </c>
      <c r="CV19" t="s">
        <v>84</v>
      </c>
      <c r="CW19" t="str">
        <f>'Single Stock VO'!IZ23</f>
        <v>QCOM</v>
      </c>
      <c r="CX19" t="str">
        <f>'Single Stock VO'!JD23</f>
        <v>STK</v>
      </c>
      <c r="CY19" t="str">
        <f>'Single Stock VO'!JE23</f>
        <v>SMART/AMEX</v>
      </c>
      <c r="DE19" s="38">
        <f>'Single Stock VO'!JJ23*100</f>
        <v>3.0010073693819468</v>
      </c>
      <c r="DG19" t="s">
        <v>84</v>
      </c>
      <c r="DH19" t="str">
        <f>'Single Stock VO'!KA23</f>
        <v>GMAB</v>
      </c>
      <c r="DI19" t="str">
        <f>'Single Stock VO'!KE23</f>
        <v>STK</v>
      </c>
      <c r="DJ19" t="str">
        <f>'Single Stock VO'!KF23</f>
        <v>GMAB/CPH</v>
      </c>
      <c r="DP19" s="69">
        <f>'Single Stock VO'!KK23</f>
        <v>2.5710542130497727E-2</v>
      </c>
      <c r="EA19" s="38"/>
      <c r="EC19" t="s">
        <v>84</v>
      </c>
      <c r="ED19" t="str">
        <f>'Single Stock VO'!MC23</f>
        <v>NOVN</v>
      </c>
      <c r="EE19" t="str">
        <f>'Single Stock VO'!MG23</f>
        <v>STK</v>
      </c>
      <c r="EF19" t="str">
        <f>'Single Stock VO'!MH23</f>
        <v>SMART/EBS</v>
      </c>
      <c r="EL19" s="38">
        <f>'Single Stock VO'!MM23*100</f>
        <v>2.7096056632669137</v>
      </c>
      <c r="EN19" t="s">
        <v>84</v>
      </c>
      <c r="EO19" t="str">
        <f>'Single Stock VO'!ND23</f>
        <v>PGR</v>
      </c>
      <c r="EP19" t="str">
        <f>'Single Stock VO'!NH23</f>
        <v>STK</v>
      </c>
      <c r="EQ19" t="str">
        <f>'Single Stock VO'!NI23</f>
        <v>SMART/ARCAEDGE</v>
      </c>
      <c r="EW19" s="38">
        <f>'Single Stock VO'!NN23*100</f>
        <v>3.7881105764496499</v>
      </c>
      <c r="EY19" t="s">
        <v>84</v>
      </c>
      <c r="EZ19" t="str">
        <f>'Single Stock VO'!OE23</f>
        <v>ORA</v>
      </c>
      <c r="FA19" t="str">
        <f>'Single Stock VO'!OI23</f>
        <v>STK</v>
      </c>
      <c r="FB19" t="str">
        <f>'Single Stock VO'!OJ23</f>
        <v>SMART/FWB</v>
      </c>
      <c r="FH19" s="69">
        <f>'Single Stock VO'!OO23*100</f>
        <v>3.7761275210654568</v>
      </c>
      <c r="FJ19" t="s">
        <v>84</v>
      </c>
      <c r="FK19">
        <f>'Single Stock VO'!PF23</f>
        <v>9101</v>
      </c>
      <c r="FL19" t="str">
        <f>'Single Stock VO'!PJ23</f>
        <v>STK</v>
      </c>
      <c r="FM19" t="str">
        <f>'Single Stock VO'!PK23</f>
        <v>SMART/TSEJ</v>
      </c>
      <c r="FS19" s="38">
        <f>'Single Stock VO'!PP23*100</f>
        <v>4.1638362682128944</v>
      </c>
      <c r="FU19" t="s">
        <v>84</v>
      </c>
      <c r="FV19">
        <f>'Single Stock VO'!QG23</f>
        <v>0</v>
      </c>
      <c r="FW19" t="str">
        <f>'Single Stock VO'!QK23</f>
        <v>STK</v>
      </c>
      <c r="FX19">
        <f>'Single Stock VO'!QL23</f>
        <v>0</v>
      </c>
      <c r="GD19" s="38">
        <f>'Single Stock VO'!QQ23*100</f>
        <v>1.4314040541422393</v>
      </c>
    </row>
    <row r="20" spans="1:186" x14ac:dyDescent="0.2">
      <c r="A20" t="s">
        <v>84</v>
      </c>
      <c r="B20" t="str">
        <f>'Single Stock VO'!Q24</f>
        <v>WMT</v>
      </c>
      <c r="C20" t="str">
        <f>'Single Stock VO'!U24</f>
        <v>STK</v>
      </c>
      <c r="D20" t="str">
        <f>'Single Stock VO'!V24</f>
        <v>SMART/AMEX</v>
      </c>
      <c r="J20" s="38">
        <f>'Single Stock VO'!AA24*100</f>
        <v>2.5145455393402747</v>
      </c>
      <c r="L20" t="s">
        <v>84</v>
      </c>
      <c r="M20" t="str">
        <f>'Single Stock VO'!AR24</f>
        <v>VEEV</v>
      </c>
      <c r="N20" t="str">
        <f>'Single Stock VO'!AV24</f>
        <v>STK</v>
      </c>
      <c r="O20" t="str">
        <f>'Single Stock VO'!AW24</f>
        <v>SMART/AMEX</v>
      </c>
      <c r="U20" s="38">
        <f>'Single Stock VO'!BB24*100</f>
        <v>4.2569413579605522</v>
      </c>
      <c r="AH20" t="s">
        <v>84</v>
      </c>
      <c r="AI20" t="str">
        <f>'Single Stock VO'!CT24</f>
        <v>WPC</v>
      </c>
      <c r="AJ20" t="str">
        <f>'Single Stock VO'!CX24</f>
        <v>STK</v>
      </c>
      <c r="AK20" t="str">
        <f>'Single Stock VO'!CY24</f>
        <v>SMART/AMEX</v>
      </c>
      <c r="AQ20" s="38">
        <f>'Single Stock VO'!DD24*100</f>
        <v>5.1051754765745132</v>
      </c>
      <c r="AS20" t="s">
        <v>84</v>
      </c>
      <c r="AT20" t="str">
        <f>'Single Stock VO'!DU24</f>
        <v>ULVR</v>
      </c>
      <c r="AU20" t="str">
        <f>'Single Stock VO'!DY24</f>
        <v>STK</v>
      </c>
      <c r="AV20" t="str">
        <f>'Single Stock VO'!DZ24</f>
        <v>SMART/LSE</v>
      </c>
      <c r="BB20" s="38">
        <f>'Single Stock VO'!EE24*100</f>
        <v>4.8179810090634509</v>
      </c>
      <c r="BD20" t="s">
        <v>84</v>
      </c>
      <c r="BE20" t="str">
        <f>'Single Stock VO'!EV24</f>
        <v>MU</v>
      </c>
      <c r="BF20" t="str">
        <f>'Single Stock VO'!EZ24</f>
        <v>STK</v>
      </c>
      <c r="BG20" t="str">
        <f>'Single Stock VO'!FA24</f>
        <v>SMART/AMEX</v>
      </c>
      <c r="BM20" s="38">
        <f>'Single Stock VO'!FF24*100</f>
        <v>3.354854386382558</v>
      </c>
      <c r="BO20" t="s">
        <v>84</v>
      </c>
      <c r="BP20">
        <f>'Single Stock VO'!FW24</f>
        <v>9999</v>
      </c>
      <c r="BQ20" t="str">
        <f>'Single Stock VO'!GA24</f>
        <v>STK</v>
      </c>
      <c r="BR20" t="str">
        <f>'Single Stock VO'!GB24</f>
        <v>SEHK</v>
      </c>
      <c r="BX20" s="38">
        <f>'Single Stock VO'!GG24*100</f>
        <v>2.7094287432290227</v>
      </c>
      <c r="BZ20" t="s">
        <v>84</v>
      </c>
      <c r="CA20">
        <f>'Single Stock VO'!GX24</f>
        <v>7974</v>
      </c>
      <c r="CB20" t="str">
        <f>'Single Stock VO'!HB24</f>
        <v>STK</v>
      </c>
      <c r="CC20" t="str">
        <f>'Single Stock VO'!HC24</f>
        <v>SMART/TSEJ</v>
      </c>
      <c r="CI20" s="38">
        <f>'Single Stock VO'!HH24*100</f>
        <v>1.7398387315656172</v>
      </c>
      <c r="CK20" t="s">
        <v>84</v>
      </c>
      <c r="CL20">
        <f>'Single Stock VO'!HY24</f>
        <v>2388</v>
      </c>
      <c r="CM20" t="str">
        <f>'Single Stock VO'!IC24</f>
        <v>STK</v>
      </c>
      <c r="CN20" t="str">
        <f>'Single Stock VO'!ID24</f>
        <v>SEHK</v>
      </c>
      <c r="CT20" s="38">
        <f>'Single Stock VO'!II24*100</f>
        <v>4.3267273109890665</v>
      </c>
      <c r="CV20" t="s">
        <v>84</v>
      </c>
      <c r="CW20" t="str">
        <f>'Single Stock VO'!IZ24</f>
        <v>NOW</v>
      </c>
      <c r="CX20" t="str">
        <f>'Single Stock VO'!JD24</f>
        <v>STK</v>
      </c>
      <c r="CY20" t="str">
        <f>'Single Stock VO'!JE24</f>
        <v>SMART/AMEX</v>
      </c>
      <c r="DE20" s="38">
        <f>'Single Stock VO'!JJ24*100</f>
        <v>2.4237755827835357</v>
      </c>
      <c r="DG20" t="s">
        <v>84</v>
      </c>
      <c r="DH20" t="str">
        <f>'Single Stock VO'!KA24</f>
        <v>IBE</v>
      </c>
      <c r="DI20" t="str">
        <f>'Single Stock VO'!KE24</f>
        <v>STK</v>
      </c>
      <c r="DJ20" t="str">
        <f>'Single Stock VO'!KF24</f>
        <v>SMART/BM</v>
      </c>
      <c r="DP20" s="69">
        <f>'Single Stock VO'!KK24</f>
        <v>2.7599665543520932E-2</v>
      </c>
      <c r="EA20" s="38"/>
      <c r="EC20" t="s">
        <v>84</v>
      </c>
      <c r="ED20" t="str">
        <f>'Single Stock VO'!MC24</f>
        <v>PEP</v>
      </c>
      <c r="EE20" t="str">
        <f>'Single Stock VO'!MG24</f>
        <v>STK</v>
      </c>
      <c r="EF20" t="str">
        <f>'Single Stock VO'!MH24</f>
        <v>SMART/AMEX</v>
      </c>
      <c r="EL20" s="38">
        <f>'Single Stock VO'!MM24*100</f>
        <v>2.7205536119468556</v>
      </c>
      <c r="EN20" t="s">
        <v>84</v>
      </c>
      <c r="EO20" t="str">
        <f>'Single Stock VO'!ND24</f>
        <v>PRU</v>
      </c>
      <c r="EP20" t="str">
        <f>'Single Stock VO'!NH24</f>
        <v>STK</v>
      </c>
      <c r="EQ20" t="str">
        <f>'Single Stock VO'!NI24</f>
        <v>SMART/AMEX</v>
      </c>
      <c r="EW20" s="38">
        <f>'Single Stock VO'!NN24*100</f>
        <v>3.5185714518045543</v>
      </c>
      <c r="EY20" t="s">
        <v>84</v>
      </c>
      <c r="EZ20" t="str">
        <f>'Single Stock VO'!OE24</f>
        <v>PUB</v>
      </c>
      <c r="FA20" t="str">
        <f>'Single Stock VO'!OI24</f>
        <v>STK</v>
      </c>
      <c r="FB20" t="str">
        <f>'Single Stock VO'!OJ24</f>
        <v>SMART/FWB</v>
      </c>
      <c r="FH20" s="69">
        <f>'Single Stock VO'!OO24*100</f>
        <v>2.8033430567505886</v>
      </c>
      <c r="FJ20" t="s">
        <v>84</v>
      </c>
      <c r="FK20">
        <f>'Single Stock VO'!PF24</f>
        <v>9143</v>
      </c>
      <c r="FL20" t="str">
        <f>'Single Stock VO'!PJ24</f>
        <v>STK</v>
      </c>
      <c r="FM20" t="str">
        <f>'Single Stock VO'!PK24</f>
        <v>SMART/TSEJ</v>
      </c>
      <c r="FS20" s="38">
        <f>'Single Stock VO'!PP24*100</f>
        <v>4.1416146070544508</v>
      </c>
      <c r="FU20" t="s">
        <v>84</v>
      </c>
      <c r="FV20">
        <f>'Single Stock VO'!QG24</f>
        <v>0</v>
      </c>
      <c r="FW20" t="str">
        <f>'Single Stock VO'!QK24</f>
        <v>STK</v>
      </c>
      <c r="FX20">
        <f>'Single Stock VO'!QL24</f>
        <v>0</v>
      </c>
      <c r="GD20" s="38">
        <f>'Single Stock VO'!QQ24*100</f>
        <v>4.4433735120931441</v>
      </c>
    </row>
    <row r="21" spans="1:186" x14ac:dyDescent="0.2">
      <c r="A21" t="s">
        <v>84</v>
      </c>
      <c r="B21" t="str">
        <f>'Single Stock VO'!Q25</f>
        <v>TTE</v>
      </c>
      <c r="C21" t="str">
        <f>'Single Stock VO'!U25</f>
        <v>STK</v>
      </c>
      <c r="D21" t="str">
        <f>'Single Stock VO'!V25</f>
        <v>SMART/FWB</v>
      </c>
      <c r="J21" s="38">
        <f>'Single Stock VO'!AA25*100</f>
        <v>2.7376382499806615</v>
      </c>
      <c r="L21" t="s">
        <v>84</v>
      </c>
      <c r="M21" t="str">
        <f>'Single Stock VO'!AR25</f>
        <v>WAT</v>
      </c>
      <c r="N21" t="str">
        <f>'Single Stock VO'!AV25</f>
        <v>STK</v>
      </c>
      <c r="O21" t="str">
        <f>'Single Stock VO'!AW25</f>
        <v>SMART/AMEX</v>
      </c>
      <c r="U21" s="38">
        <f>'Single Stock VO'!BB25*100</f>
        <v>2.950485371857118</v>
      </c>
      <c r="AQ21" s="38"/>
      <c r="AS21" t="s">
        <v>84</v>
      </c>
      <c r="AT21" t="str">
        <f>'Single Stock VO'!DU25</f>
        <v>VOD</v>
      </c>
      <c r="AU21" t="str">
        <f>'Single Stock VO'!DY25</f>
        <v>STK</v>
      </c>
      <c r="AV21" t="str">
        <f>'Single Stock VO'!DZ25</f>
        <v>SMART/LSE</v>
      </c>
      <c r="BB21" s="38">
        <f>'Single Stock VO'!EE25*100</f>
        <v>5.3585825192732646</v>
      </c>
      <c r="BD21" t="s">
        <v>84</v>
      </c>
      <c r="BE21" t="str">
        <f>'Single Stock VO'!EV25</f>
        <v>CSCO</v>
      </c>
      <c r="BF21" t="str">
        <f>'Single Stock VO'!EZ25</f>
        <v>STK</v>
      </c>
      <c r="BG21" t="str">
        <f>'Single Stock VO'!FA25</f>
        <v>SMART/AMEX</v>
      </c>
      <c r="BM21" s="38">
        <f>'Single Stock VO'!FF25*100</f>
        <v>2.9875725977583421</v>
      </c>
      <c r="BO21" t="s">
        <v>84</v>
      </c>
      <c r="BP21">
        <f>'Single Stock VO'!FW25</f>
        <v>4307</v>
      </c>
      <c r="BQ21" t="str">
        <f>'Single Stock VO'!GA25</f>
        <v>STK</v>
      </c>
      <c r="BR21" t="str">
        <f>'Single Stock VO'!GB25</f>
        <v>SMART/TSEJ</v>
      </c>
      <c r="BX21" s="38">
        <f>'Single Stock VO'!GG25*100</f>
        <v>2.1311448852389772</v>
      </c>
      <c r="BZ21" t="s">
        <v>84</v>
      </c>
      <c r="CA21">
        <f>'Single Stock VO'!GX25</f>
        <v>9432</v>
      </c>
      <c r="CB21" t="str">
        <f>'Single Stock VO'!HB25</f>
        <v>STK</v>
      </c>
      <c r="CC21" t="str">
        <f>'Single Stock VO'!HC25</f>
        <v>SMART/TSEJ</v>
      </c>
      <c r="CI21" s="38">
        <f>'Single Stock VO'!HH25*100</f>
        <v>2.5356068583962417</v>
      </c>
      <c r="CK21" t="s">
        <v>84</v>
      </c>
      <c r="CL21">
        <f>'Single Stock VO'!HY25</f>
        <v>6823</v>
      </c>
      <c r="CM21" t="str">
        <f>'Single Stock VO'!IC25</f>
        <v>STK</v>
      </c>
      <c r="CN21" t="str">
        <f>'Single Stock VO'!ID25</f>
        <v>SEHK</v>
      </c>
      <c r="CT21" s="38">
        <f>'Single Stock VO'!II25*100</f>
        <v>4.2296233618277856</v>
      </c>
      <c r="CV21" t="s">
        <v>84</v>
      </c>
      <c r="CW21" t="str">
        <f>'Single Stock VO'!IZ25</f>
        <v>SIE</v>
      </c>
      <c r="CX21" t="str">
        <f>'Single Stock VO'!JD25</f>
        <v>STK</v>
      </c>
      <c r="CY21" t="str">
        <f>'Single Stock VO'!JE25</f>
        <v>SMART/EBS</v>
      </c>
      <c r="DE21" s="38">
        <f>'Single Stock VO'!JJ25*100</f>
        <v>3.3911148699781366</v>
      </c>
      <c r="DG21" t="s">
        <v>84</v>
      </c>
      <c r="DH21" t="str">
        <f>'Single Stock VO'!KA25</f>
        <v>INGR</v>
      </c>
      <c r="DI21" t="str">
        <f>'Single Stock VO'!KE25</f>
        <v>STK</v>
      </c>
      <c r="DJ21" t="str">
        <f>'Single Stock VO'!KF25</f>
        <v>SMART/AMEX</v>
      </c>
      <c r="DP21" s="69">
        <f>'Single Stock VO'!KK25</f>
        <v>2.7142425969357179E-2</v>
      </c>
      <c r="EA21" s="38"/>
      <c r="EC21" t="s">
        <v>84</v>
      </c>
      <c r="ED21">
        <f>'Single Stock VO'!MC25</f>
        <v>857</v>
      </c>
      <c r="EE21" t="str">
        <f>'Single Stock VO'!MG25</f>
        <v>STK</v>
      </c>
      <c r="EF21" t="str">
        <f>'Single Stock VO'!MH25</f>
        <v>SEHK</v>
      </c>
      <c r="EL21" s="38">
        <f>'Single Stock VO'!MM25*100</f>
        <v>3.1034568736798032</v>
      </c>
      <c r="EN21" t="s">
        <v>84</v>
      </c>
      <c r="EO21" t="str">
        <f>'Single Stock VO'!ND25</f>
        <v>RHHBY</v>
      </c>
      <c r="EP21" t="str">
        <f>'Single Stock VO'!NH25</f>
        <v>STK</v>
      </c>
      <c r="EQ21" t="str">
        <f>'Single Stock VO'!NI25</f>
        <v>SMART/ARCAEDGE</v>
      </c>
      <c r="EW21" s="38">
        <f>'Single Stock VO'!NN25*100</f>
        <v>3.3520030082665269</v>
      </c>
      <c r="EY21" t="s">
        <v>84</v>
      </c>
      <c r="EZ21" t="str">
        <f>'Single Stock VO'!OE25</f>
        <v>RIO</v>
      </c>
      <c r="FA21" t="str">
        <f>'Single Stock VO'!OI25</f>
        <v>STK</v>
      </c>
      <c r="FB21" t="str">
        <f>'Single Stock VO'!OJ25</f>
        <v>SMART/LSE</v>
      </c>
      <c r="FH21" s="69">
        <f>'Single Stock VO'!OO25*100</f>
        <v>4.2807010157076952</v>
      </c>
      <c r="FJ21" t="s">
        <v>84</v>
      </c>
      <c r="FK21">
        <f>'Single Stock VO'!PF25</f>
        <v>9201</v>
      </c>
      <c r="FL21" t="str">
        <f>'Single Stock VO'!PJ25</f>
        <v>STK</v>
      </c>
      <c r="FM21" t="str">
        <f>'Single Stock VO'!PK25</f>
        <v>SMART/TSEJ</v>
      </c>
      <c r="FS21" s="38">
        <f>'Single Stock VO'!PP25*100</f>
        <v>4.0150683555995696</v>
      </c>
      <c r="FU21" t="s">
        <v>84</v>
      </c>
      <c r="FV21">
        <f>'Single Stock VO'!QG25</f>
        <v>0</v>
      </c>
      <c r="FW21" t="str">
        <f>'Single Stock VO'!QK25</f>
        <v>STK</v>
      </c>
      <c r="FX21">
        <f>'Single Stock VO'!QL25</f>
        <v>0</v>
      </c>
      <c r="GD21" s="38">
        <f>'Single Stock VO'!QQ25*100</f>
        <v>2.3450678025986496</v>
      </c>
    </row>
    <row r="22" spans="1:186" x14ac:dyDescent="0.2">
      <c r="A22" t="s">
        <v>84</v>
      </c>
      <c r="B22" t="str">
        <f>'Single Stock VO'!Q26</f>
        <v>TEL</v>
      </c>
      <c r="C22" t="str">
        <f>'Single Stock VO'!U26</f>
        <v>STK</v>
      </c>
      <c r="D22" t="str">
        <f>'Single Stock VO'!V26</f>
        <v>SMART/AMEX</v>
      </c>
      <c r="J22" s="38">
        <f>'Single Stock VO'!AA26*100</f>
        <v>2.446260000056911</v>
      </c>
      <c r="AQ22" s="38"/>
      <c r="BB22" s="38"/>
      <c r="BD22" t="s">
        <v>84</v>
      </c>
      <c r="BE22" t="str">
        <f>'Single Stock VO'!EV26</f>
        <v>CTSH</v>
      </c>
      <c r="BF22" t="str">
        <f>'Single Stock VO'!EZ26</f>
        <v>STK</v>
      </c>
      <c r="BG22" t="str">
        <f>'Single Stock VO'!FA26</f>
        <v>SMART/AMEX</v>
      </c>
      <c r="BM22" s="38">
        <f>'Single Stock VO'!FF26*100</f>
        <v>2.8572542308219471</v>
      </c>
      <c r="BO22" t="s">
        <v>84</v>
      </c>
      <c r="BP22" t="str">
        <f>'Single Stock VO'!FW26</f>
        <v>REA</v>
      </c>
      <c r="BQ22" t="str">
        <f>'Single Stock VO'!GA26</f>
        <v>STK</v>
      </c>
      <c r="BR22" t="str">
        <f>'Single Stock VO'!GB26</f>
        <v>SMART/ASX</v>
      </c>
      <c r="BX22" s="38">
        <f>'Single Stock VO'!GG26*100</f>
        <v>2.9386128191787568</v>
      </c>
      <c r="BZ22" t="s">
        <v>84</v>
      </c>
      <c r="CA22">
        <f>'Single Stock VO'!GX26</f>
        <v>7532</v>
      </c>
      <c r="CB22" t="str">
        <f>'Single Stock VO'!HB26</f>
        <v>STK</v>
      </c>
      <c r="CC22" t="str">
        <f>'Single Stock VO'!HC26</f>
        <v>SMART/TSEJ</v>
      </c>
      <c r="CI22" s="38">
        <f>'Single Stock VO'!HH26*100</f>
        <v>2.90253171215307</v>
      </c>
      <c r="CK22" t="s">
        <v>84</v>
      </c>
      <c r="CL22">
        <f>'Single Stock VO'!HY26</f>
        <v>288</v>
      </c>
      <c r="CM22" t="str">
        <f>'Single Stock VO'!IC26</f>
        <v>STK</v>
      </c>
      <c r="CN22" t="str">
        <f>'Single Stock VO'!ID26</f>
        <v>SEHK</v>
      </c>
      <c r="CT22" s="38">
        <f>'Single Stock VO'!II26*100</f>
        <v>4.3308230319805814</v>
      </c>
      <c r="CV22" t="s">
        <v>84</v>
      </c>
      <c r="CW22" t="str">
        <f>'Single Stock VO'!IZ26</f>
        <v>SYM</v>
      </c>
      <c r="CX22" t="str">
        <f>'Single Stock VO'!JD26</f>
        <v>STK</v>
      </c>
      <c r="CY22" t="str">
        <f>'Single Stock VO'!JE26</f>
        <v>SMART/AMEX</v>
      </c>
      <c r="DE22" s="38">
        <f>'Single Stock VO'!JJ26*100</f>
        <v>3.4568459891529209</v>
      </c>
      <c r="DG22" t="s">
        <v>84</v>
      </c>
      <c r="DH22" t="str">
        <f>'Single Stock VO'!KA26</f>
        <v>ISRG</v>
      </c>
      <c r="DI22" t="str">
        <f>'Single Stock VO'!KE26</f>
        <v>STK</v>
      </c>
      <c r="DJ22" t="str">
        <f>'Single Stock VO'!KF26</f>
        <v>SMART/AMEX</v>
      </c>
      <c r="DP22" s="69">
        <f>'Single Stock VO'!KK26</f>
        <v>2.8928892790189707E-2</v>
      </c>
      <c r="EA22" s="38"/>
      <c r="EC22" t="s">
        <v>84</v>
      </c>
      <c r="ED22" t="str">
        <f>'Single Stock VO'!MC26</f>
        <v>PFE</v>
      </c>
      <c r="EE22" t="str">
        <f>'Single Stock VO'!MG26</f>
        <v>STK</v>
      </c>
      <c r="EF22" t="str">
        <f>'Single Stock VO'!MH26</f>
        <v>SMART/AMEX</v>
      </c>
      <c r="EL22" s="38">
        <f>'Single Stock VO'!MM26*100</f>
        <v>2.7655107350514103</v>
      </c>
      <c r="EN22" t="s">
        <v>84</v>
      </c>
      <c r="EO22" t="str">
        <f>'Single Stock VO'!ND26</f>
        <v>SNY</v>
      </c>
      <c r="EP22" t="str">
        <f>'Single Stock VO'!NH26</f>
        <v>STK</v>
      </c>
      <c r="EQ22" t="str">
        <f>'Single Stock VO'!NI26</f>
        <v>SMART/AMEX</v>
      </c>
      <c r="EW22" s="38">
        <f>'Single Stock VO'!NN26*100</f>
        <v>3.5330028134729843</v>
      </c>
      <c r="EY22" t="s">
        <v>84</v>
      </c>
      <c r="EZ22" t="str">
        <f>'Single Stock VO'!OE26</f>
        <v>ROG</v>
      </c>
      <c r="FA22" t="str">
        <f>'Single Stock VO'!OI26</f>
        <v>STK</v>
      </c>
      <c r="FB22" t="str">
        <f>'Single Stock VO'!OJ26</f>
        <v>SMART/EBS</v>
      </c>
      <c r="FH22" s="69">
        <f>'Single Stock VO'!OO26*100</f>
        <v>3.9411649848210697</v>
      </c>
      <c r="FJ22" t="s">
        <v>84</v>
      </c>
      <c r="FK22">
        <f>'Single Stock VO'!PF26</f>
        <v>9432</v>
      </c>
      <c r="FL22" t="str">
        <f>'Single Stock VO'!PJ26</f>
        <v>STK</v>
      </c>
      <c r="FM22" t="str">
        <f>'Single Stock VO'!PK26</f>
        <v>SMART/TSEJ</v>
      </c>
      <c r="FS22" s="38">
        <f>'Single Stock VO'!PP26*100</f>
        <v>4.0758821869470472</v>
      </c>
      <c r="FU22" t="s">
        <v>84</v>
      </c>
      <c r="FV22">
        <f>'Single Stock VO'!QG26</f>
        <v>0</v>
      </c>
      <c r="FW22" t="str">
        <f>'Single Stock VO'!QK26</f>
        <v>STK</v>
      </c>
      <c r="FX22">
        <f>'Single Stock VO'!QL26</f>
        <v>0</v>
      </c>
      <c r="GD22" s="38">
        <f>'Single Stock VO'!QQ26*100</f>
        <v>4.3446711226818282</v>
      </c>
    </row>
    <row r="23" spans="1:186" x14ac:dyDescent="0.2">
      <c r="A23" t="s">
        <v>84</v>
      </c>
      <c r="B23" t="str">
        <f>'Single Stock VO'!Q27</f>
        <v>ROG</v>
      </c>
      <c r="C23" t="str">
        <f>'Single Stock VO'!U27</f>
        <v>STK</v>
      </c>
      <c r="D23" t="str">
        <f>'Single Stock VO'!V27</f>
        <v>SMART/EBS</v>
      </c>
      <c r="J23" s="38">
        <f>'Single Stock VO'!AA27*100</f>
        <v>2.5797292132370604</v>
      </c>
      <c r="AQ23" s="38"/>
      <c r="BB23" s="38"/>
      <c r="BD23" t="s">
        <v>84</v>
      </c>
      <c r="BE23" t="str">
        <f>'Single Stock VO'!EV27</f>
        <v>TRV</v>
      </c>
      <c r="BF23" t="str">
        <f>'Single Stock VO'!EZ27</f>
        <v>STK</v>
      </c>
      <c r="BG23" t="str">
        <f>'Single Stock VO'!FA27</f>
        <v>SMART/AMEX</v>
      </c>
      <c r="BM23" s="38">
        <f>'Single Stock VO'!FF27*100</f>
        <v>3.3932973093146703</v>
      </c>
      <c r="BO23" t="s">
        <v>84</v>
      </c>
      <c r="BP23" t="str">
        <f>'Single Stock VO'!FW27</f>
        <v>SMSN</v>
      </c>
      <c r="BQ23" t="str">
        <f>'Single Stock VO'!GA27</f>
        <v>STK</v>
      </c>
      <c r="BR23" t="str">
        <f>'Single Stock'!GB27</f>
        <v>SMART/LSEIOB1</v>
      </c>
      <c r="BX23" s="38">
        <f>'Single Stock VO'!GG27*100</f>
        <v>5.6292716938624148</v>
      </c>
      <c r="BZ23" t="s">
        <v>84</v>
      </c>
      <c r="CA23">
        <f>'Single Stock VO'!GX27</f>
        <v>857</v>
      </c>
      <c r="CB23" t="str">
        <f>'Single Stock VO'!HB27</f>
        <v>STK</v>
      </c>
      <c r="CC23" t="str">
        <f>'Single Stock VO'!HC27</f>
        <v>SEHK</v>
      </c>
      <c r="CI23" s="38">
        <f>'Single Stock VO'!HH27*100</f>
        <v>3.8953103813177772</v>
      </c>
      <c r="CK23" t="s">
        <v>84</v>
      </c>
      <c r="CL23">
        <f>'Single Stock VO'!HY27</f>
        <v>1606</v>
      </c>
      <c r="CM23" t="str">
        <f>'Single Stock VO'!IC27</f>
        <v>STK</v>
      </c>
      <c r="CN23" t="str">
        <f>'Single Stock VO'!ID27</f>
        <v>SEHK</v>
      </c>
      <c r="CT23" s="38">
        <f>'Single Stock VO'!II27*100</f>
        <v>4.2469436868147987</v>
      </c>
      <c r="CV23" t="s">
        <v>84</v>
      </c>
      <c r="CW23" t="str">
        <f>'Single Stock VO'!IZ27</f>
        <v>TXN</v>
      </c>
      <c r="CX23" t="str">
        <f>'Single Stock VO'!JD27</f>
        <v>STK</v>
      </c>
      <c r="CY23" t="str">
        <f>'Single Stock VO'!JE27</f>
        <v>SMART/AMEX</v>
      </c>
      <c r="DE23" s="38">
        <f>'Single Stock VO'!JJ27*100</f>
        <v>3.5559031450526413</v>
      </c>
      <c r="DG23" t="s">
        <v>84</v>
      </c>
      <c r="DH23" t="str">
        <f>'Single Stock VO'!KA27</f>
        <v>IQV</v>
      </c>
      <c r="DI23" t="str">
        <f>'Single Stock VO'!KE27</f>
        <v>STK</v>
      </c>
      <c r="DJ23" t="str">
        <f>'Single Stock VO'!KF27</f>
        <v>SMART/AMEX</v>
      </c>
      <c r="DP23" s="69">
        <f>'Single Stock VO'!KK27</f>
        <v>2.6593023905406396E-2</v>
      </c>
      <c r="EA23" s="38"/>
      <c r="EC23" t="s">
        <v>84</v>
      </c>
      <c r="ED23" t="str">
        <f>'Single Stock VO'!MC27</f>
        <v>PGR</v>
      </c>
      <c r="EE23" t="str">
        <f>'Single Stock VO'!MG27</f>
        <v>STK</v>
      </c>
      <c r="EF23" t="str">
        <f>'Single Stock VO'!MH27</f>
        <v>SMART/AMEX</v>
      </c>
      <c r="EL23" s="38">
        <f>'Single Stock VO'!MM27*100</f>
        <v>2.8321712315189873</v>
      </c>
      <c r="EN23" t="s">
        <v>84</v>
      </c>
      <c r="EO23" t="str">
        <f>'Single Stock VO'!ND27</f>
        <v>SHEL</v>
      </c>
      <c r="EP23" t="str">
        <f>'Single Stock VO'!NH27</f>
        <v>STK</v>
      </c>
      <c r="EQ23" t="str">
        <f>'Single Stock VO'!NI27</f>
        <v>SMART/AMEX</v>
      </c>
      <c r="EW23" s="38">
        <f>'Single Stock VO'!NN27*100</f>
        <v>3.8165940688616695</v>
      </c>
      <c r="EY23" t="s">
        <v>84</v>
      </c>
      <c r="EZ23" t="str">
        <f>'Single Stock VO'!OE27</f>
        <v>SAN1</v>
      </c>
      <c r="FA23" t="str">
        <f>'Single Stock VO'!OI27</f>
        <v>STK</v>
      </c>
      <c r="FB23" t="str">
        <f>'Single Stock VO'!OJ27</f>
        <v>SMART/FWB</v>
      </c>
      <c r="FH23" s="69">
        <f>'Single Stock VO'!OO27*100</f>
        <v>2.8571638632581648</v>
      </c>
      <c r="FJ23" t="s">
        <v>84</v>
      </c>
      <c r="FK23">
        <f>'Single Stock VO'!PF27</f>
        <v>9433</v>
      </c>
      <c r="FL23" t="str">
        <f>'Single Stock VO'!PJ27</f>
        <v>STK</v>
      </c>
      <c r="FM23" t="str">
        <f>'Single Stock VO'!PK27</f>
        <v>SMART/TSEJ</v>
      </c>
      <c r="FS23" s="38">
        <f>'Single Stock VO'!PP27*100</f>
        <v>4.084306630528542</v>
      </c>
      <c r="GD23" s="38"/>
    </row>
    <row r="24" spans="1:186" x14ac:dyDescent="0.2">
      <c r="A24" t="s">
        <v>84</v>
      </c>
      <c r="B24" t="str">
        <f>'Single Stock VO'!Q28</f>
        <v>MC</v>
      </c>
      <c r="C24" t="str">
        <f>'Single Stock VO'!U28</f>
        <v>STK</v>
      </c>
      <c r="D24" t="str">
        <f>'Single Stock VO'!V28</f>
        <v>SMART/FWB</v>
      </c>
      <c r="J24" s="38">
        <f>'Single Stock VO'!AA28*100</f>
        <v>2.4109209528963262</v>
      </c>
      <c r="BB24" s="38"/>
      <c r="BD24" t="s">
        <v>84</v>
      </c>
      <c r="BE24" t="str">
        <f>'Single Stock VO'!EV28</f>
        <v>IBM</v>
      </c>
      <c r="BF24" t="str">
        <f>'Single Stock VO'!EZ28</f>
        <v>STK</v>
      </c>
      <c r="BG24" t="str">
        <f>'Single Stock VO'!FA28</f>
        <v>SMART/AMEX</v>
      </c>
      <c r="BM24" s="38">
        <f>'Single Stock VO'!FF28*100</f>
        <v>2.8052759291016236</v>
      </c>
      <c r="BO24" t="s">
        <v>84</v>
      </c>
      <c r="BP24" t="str">
        <f>'Single Stock VO'!FW28</f>
        <v>SE</v>
      </c>
      <c r="BQ24" t="str">
        <f>'Single Stock VO'!GA28</f>
        <v>STK</v>
      </c>
      <c r="BR24" t="str">
        <f>'Single Stock VO'!GB28</f>
        <v>SMART/AMEX</v>
      </c>
      <c r="BX24" s="38">
        <f>'Single Stock VO'!GG28*100</f>
        <v>2.0453838522685763</v>
      </c>
      <c r="BZ24" t="s">
        <v>84</v>
      </c>
      <c r="CA24">
        <f>'Single Stock VO'!GX28</f>
        <v>2328</v>
      </c>
      <c r="CB24" t="str">
        <f>'Single Stock VO'!HB28</f>
        <v>STK</v>
      </c>
      <c r="CC24" t="str">
        <f>'Single Stock VO'!HC28</f>
        <v>SEHK</v>
      </c>
      <c r="CI24" s="38">
        <f>'Single Stock VO'!HH28*100</f>
        <v>2.3963164189636728</v>
      </c>
      <c r="CT24" s="38"/>
      <c r="CV24" t="s">
        <v>84</v>
      </c>
      <c r="CW24" t="str">
        <f>'Single Stock VO'!IZ28</f>
        <v>TRMB</v>
      </c>
      <c r="CX24" t="str">
        <f>'Single Stock VO'!JD28</f>
        <v>STK</v>
      </c>
      <c r="CY24" t="str">
        <f>'Single Stock VO'!JE28</f>
        <v>SMART/AMEX</v>
      </c>
      <c r="DE24" s="38">
        <f>'Single Stock VO'!JJ28*100</f>
        <v>2.8853535765520917</v>
      </c>
      <c r="DG24" t="s">
        <v>84</v>
      </c>
      <c r="DH24" t="str">
        <f>'Single Stock VO'!KA28</f>
        <v>NTAP</v>
      </c>
      <c r="DI24" t="str">
        <f>'Single Stock VO'!KE28</f>
        <v>STK</v>
      </c>
      <c r="DJ24" t="str">
        <f>'Single Stock VO'!KF28</f>
        <v>SMART/AMEX</v>
      </c>
      <c r="DP24" s="69">
        <f>'Single Stock VO'!KK28</f>
        <v>2.8269419372034435E-2</v>
      </c>
      <c r="EA24" s="38"/>
      <c r="EC24" t="s">
        <v>84</v>
      </c>
      <c r="ED24" t="str">
        <f>'Single Stock VO'!MC28</f>
        <v>PRU</v>
      </c>
      <c r="EE24" t="str">
        <f>'Single Stock VO'!MG28</f>
        <v>STK</v>
      </c>
      <c r="EF24" t="str">
        <f>'Single Stock VO'!MH28</f>
        <v>SMART/AMEX</v>
      </c>
      <c r="EL24" s="38">
        <f>'Single Stock VO'!MM28*100</f>
        <v>2.8957942809738615</v>
      </c>
      <c r="EN24" t="s">
        <v>84</v>
      </c>
      <c r="EO24" t="str">
        <f>'Single Stock VO'!ND28</f>
        <v>TTE</v>
      </c>
      <c r="EP24" t="str">
        <f>'Single Stock VO'!NH28</f>
        <v>STK</v>
      </c>
      <c r="EQ24" t="str">
        <f>'Single Stock VO'!NI28</f>
        <v>SMART/AMEX</v>
      </c>
      <c r="EW24" s="38">
        <f>'Single Stock VO'!NN28*100</f>
        <v>3.6311143600731954</v>
      </c>
      <c r="EY24" t="s">
        <v>84</v>
      </c>
      <c r="EZ24" t="str">
        <f>'Single Stock VO'!OE28</f>
        <v>SHEL</v>
      </c>
      <c r="FA24" t="str">
        <f>'Single Stock VO'!OI28</f>
        <v>STK</v>
      </c>
      <c r="FB24" t="str">
        <f>'Single Stock VO'!OJ28</f>
        <v>SMART/LSE</v>
      </c>
      <c r="FH24" s="69">
        <f>'Single Stock VO'!OO28*100</f>
        <v>3.5190564434240867</v>
      </c>
      <c r="FJ24" t="s">
        <v>84</v>
      </c>
      <c r="FK24">
        <f>'Single Stock VO'!PF28</f>
        <v>9434</v>
      </c>
      <c r="FL24" t="str">
        <f>'Single Stock VO'!PJ28</f>
        <v>STK</v>
      </c>
      <c r="FM24" t="str">
        <f>'Single Stock VO'!PK28</f>
        <v>SMART/TSEJ</v>
      </c>
      <c r="FS24" s="38">
        <f>'Single Stock VO'!PP28*100</f>
        <v>4.072845256522605</v>
      </c>
      <c r="GD24" s="38"/>
    </row>
    <row r="25" spans="1:186" x14ac:dyDescent="0.2">
      <c r="A25" t="s">
        <v>84</v>
      </c>
      <c r="B25" t="str">
        <f>'Single Stock VO'!Q29</f>
        <v>MU</v>
      </c>
      <c r="C25" t="str">
        <f>'Single Stock VO'!U29</f>
        <v>STK</v>
      </c>
      <c r="D25" t="str">
        <f>'Single Stock VO'!V29</f>
        <v>SMART/AMEX</v>
      </c>
      <c r="J25" s="38">
        <f>'Single Stock VO'!AA29*100</f>
        <v>2.7239433866837173</v>
      </c>
      <c r="BD25" t="s">
        <v>84</v>
      </c>
      <c r="BE25" t="str">
        <f>'Single Stock VO'!EV29</f>
        <v>MA</v>
      </c>
      <c r="BF25" t="str">
        <f>'Single Stock VO'!EZ29</f>
        <v>STK</v>
      </c>
      <c r="BG25" t="str">
        <f>'Single Stock VO'!FA29</f>
        <v>SMART/AMEX</v>
      </c>
      <c r="BM25" s="38">
        <f>'Single Stock VO'!FF29*100</f>
        <v>3.1757785838890711</v>
      </c>
      <c r="BO25" t="s">
        <v>84</v>
      </c>
      <c r="BP25" t="str">
        <f>'Single Stock VO'!FW29</f>
        <v>NOW</v>
      </c>
      <c r="BQ25" t="str">
        <f>'Single Stock VO'!GA29</f>
        <v>STK</v>
      </c>
      <c r="BR25" t="str">
        <f>'Single Stock VO'!GB29</f>
        <v>SMART/AMEX</v>
      </c>
      <c r="BX25" s="38">
        <f>'Single Stock VO'!GG29*100</f>
        <v>2.2475856226619833</v>
      </c>
      <c r="BZ25" t="s">
        <v>84</v>
      </c>
      <c r="CA25" t="str">
        <f>'Single Stock VO'!GX29</f>
        <v>QBE</v>
      </c>
      <c r="CB25" t="str">
        <f>'Single Stock VO'!HB29</f>
        <v>STK</v>
      </c>
      <c r="CC25" t="str">
        <f>'Single Stock VO'!HC29</f>
        <v>SMART/ASX</v>
      </c>
      <c r="CI25" s="38">
        <f>'Single Stock VO'!HH29*100</f>
        <v>2.9023188590616353</v>
      </c>
      <c r="CT25" s="38"/>
      <c r="CV25" t="s">
        <v>84</v>
      </c>
      <c r="CW25" t="str">
        <f>'Single Stock VO'!IZ29</f>
        <v>TWOLO</v>
      </c>
      <c r="CX25" t="str">
        <f>'Single Stock VO'!JD29</f>
        <v>STK</v>
      </c>
      <c r="CY25" t="str">
        <f>'Single Stock VO'!JE29</f>
        <v>SMART/AMEX</v>
      </c>
      <c r="DE25" s="38">
        <f>'Single Stock VO'!JJ29*100</f>
        <v>4.2635154701872642</v>
      </c>
      <c r="DG25" t="s">
        <v>84</v>
      </c>
      <c r="DH25" t="str">
        <f>'Single Stock VO'!KA29</f>
        <v>NDX1</v>
      </c>
      <c r="DI25" t="str">
        <f>'Single Stock VO'!KE29</f>
        <v>STK</v>
      </c>
      <c r="DJ25" t="str">
        <f>'Single Stock VO'!KF29</f>
        <v>SMART/IBIS</v>
      </c>
      <c r="DP25" s="69">
        <f>'Single Stock VO'!KK29</f>
        <v>3.4985068888451515E-2</v>
      </c>
      <c r="EA25" s="38"/>
      <c r="EC25" t="s">
        <v>84</v>
      </c>
      <c r="ED25" t="str">
        <f>'Single Stock VO'!MC29</f>
        <v>PUB</v>
      </c>
      <c r="EE25" t="str">
        <f>'Single Stock VO'!MG29</f>
        <v>STK</v>
      </c>
      <c r="EF25" t="str">
        <f>'Single Stock VO'!MH29</f>
        <v>SMART/FWB</v>
      </c>
      <c r="EL25" s="38">
        <f>'Single Stock VO'!MM29*100</f>
        <v>2.8391524214520092</v>
      </c>
      <c r="EN25" t="s">
        <v>84</v>
      </c>
      <c r="EO25" t="str">
        <f>'Single Stock VO'!ND29</f>
        <v>VZ</v>
      </c>
      <c r="EP25" t="str">
        <f>'Single Stock VO'!NH29</f>
        <v>STK</v>
      </c>
      <c r="EQ25" t="str">
        <f>'Single Stock VO'!NI29</f>
        <v>SMART/AMEX</v>
      </c>
      <c r="EW25" s="38">
        <f>'Single Stock VO'!NN29*100</f>
        <v>3.815048107180282</v>
      </c>
      <c r="EY25" t="s">
        <v>84</v>
      </c>
      <c r="EZ25" t="str">
        <f>'Single Stock VO'!OE29</f>
        <v>TEL</v>
      </c>
      <c r="FA25" t="str">
        <f>'Single Stock VO'!OI29</f>
        <v>STK</v>
      </c>
      <c r="FB25" t="str">
        <f>'Single Stock VO'!OJ29</f>
        <v>SMART/OSE</v>
      </c>
      <c r="FH25" s="69">
        <f>'Single Stock VO'!OO29*100</f>
        <v>3.1933651377959107</v>
      </c>
      <c r="FS25" s="38"/>
      <c r="GD25" s="38"/>
    </row>
    <row r="26" spans="1:186" x14ac:dyDescent="0.2">
      <c r="A26" t="s">
        <v>84</v>
      </c>
      <c r="B26" t="str">
        <f>'Single Stock VO'!Q30</f>
        <v>CSCO</v>
      </c>
      <c r="C26" t="str">
        <f>'Single Stock VO'!U30</f>
        <v>STK</v>
      </c>
      <c r="D26" t="str">
        <f>'Single Stock VO'!V30</f>
        <v>SMART/AMEX</v>
      </c>
      <c r="J26" s="38">
        <f>'Single Stock VO'!AA30*100</f>
        <v>2.4257322919687905</v>
      </c>
      <c r="BD26" t="s">
        <v>84</v>
      </c>
      <c r="BE26" t="str">
        <f>'Single Stock VO'!EV30</f>
        <v>BMY</v>
      </c>
      <c r="BF26" t="str">
        <f>'Single Stock VO'!EZ30</f>
        <v>STK</v>
      </c>
      <c r="BG26" t="str">
        <f>'Single Stock VO'!FA30</f>
        <v>SMART/AMEX</v>
      </c>
      <c r="BM26" s="38">
        <f>'Single Stock VO'!FF30*100</f>
        <v>3.2387646765959595</v>
      </c>
      <c r="BO26" t="s">
        <v>84</v>
      </c>
      <c r="BP26" t="str">
        <f>'Single Stock VO'!FW30</f>
        <v>TSM</v>
      </c>
      <c r="BQ26" t="str">
        <f>'Single Stock VO'!GA30</f>
        <v>STK</v>
      </c>
      <c r="BR26" t="str">
        <f>'Single Stock VO'!GB30</f>
        <v>SMART/AMEX</v>
      </c>
      <c r="BX26" s="38">
        <f>'Single Stock VO'!GG30*100</f>
        <v>3.9263384254424718</v>
      </c>
      <c r="BZ26" t="s">
        <v>84</v>
      </c>
      <c r="CA26" t="str">
        <f>'Single Stock VO'!GX30</f>
        <v>SMSN</v>
      </c>
      <c r="CB26" t="str">
        <f>'Single Stock VO'!HB30</f>
        <v>STK</v>
      </c>
      <c r="CC26" t="str">
        <f>'Single Stock VO'!HC30</f>
        <v>SMART/LSEIOB1</v>
      </c>
      <c r="CI26" s="38">
        <f>'Single Stock VO'!HH30*100</f>
        <v>5.382187187877042</v>
      </c>
      <c r="CT26" s="38"/>
      <c r="CV26" t="s">
        <v>84</v>
      </c>
      <c r="CW26">
        <f>'Single Stock VO'!IZ30</f>
        <v>9880</v>
      </c>
      <c r="CX26" t="str">
        <f>'Single Stock VO'!JD30</f>
        <v>STK</v>
      </c>
      <c r="CY26" t="str">
        <f>'Single Stock VO'!JE30</f>
        <v>SEHK</v>
      </c>
      <c r="DE26" s="38">
        <f>'Single Stock VO'!JJ30*100</f>
        <v>4.1834135378095914</v>
      </c>
      <c r="DG26" t="s">
        <v>84</v>
      </c>
      <c r="DH26" t="str">
        <f>'Single Stock VO'!KA30</f>
        <v>NSIS.B</v>
      </c>
      <c r="DI26" t="str">
        <f>'Single Stock VO'!KE30</f>
        <v>STK</v>
      </c>
      <c r="DJ26" t="str">
        <f>'Single Stock VO'!KF30</f>
        <v>SMART/CPH</v>
      </c>
      <c r="DP26" s="69">
        <f>'Single Stock VO'!KK30</f>
        <v>2.6996265413166329E-2</v>
      </c>
      <c r="EA26" s="38"/>
      <c r="EC26" t="s">
        <v>84</v>
      </c>
      <c r="ED26" t="str">
        <f>'Single Stock VO'!MC30</f>
        <v>ROG</v>
      </c>
      <c r="EE26" t="str">
        <f>'Single Stock VO'!MG30</f>
        <v>STK</v>
      </c>
      <c r="EF26" t="str">
        <f>'Single Stock VO'!MH30</f>
        <v>SMART/EBS</v>
      </c>
      <c r="EL26" s="38">
        <f>'Single Stock VO'!MM30*100</f>
        <v>2.7132617340261711</v>
      </c>
      <c r="EN26" t="s">
        <v>84</v>
      </c>
      <c r="EO26" t="str">
        <f>'Single Stock VO'!ND30</f>
        <v>VICI</v>
      </c>
      <c r="EP26" t="str">
        <f>'Single Stock VO'!NH30</f>
        <v>STK</v>
      </c>
      <c r="EQ26" t="str">
        <f>'Single Stock VO'!NI30</f>
        <v>SMART/AMEX</v>
      </c>
      <c r="EW26" s="38">
        <f>'Single Stock VO'!NN30*100</f>
        <v>3.6223797874206562</v>
      </c>
      <c r="EY26" t="s">
        <v>84</v>
      </c>
      <c r="EZ26" t="str">
        <f>'Single Stock VO'!OE30</f>
        <v>TTE</v>
      </c>
      <c r="FA26" t="str">
        <f>'Single Stock VO'!OI30</f>
        <v>STK</v>
      </c>
      <c r="FB26" t="str">
        <f>'Single Stock VO'!OJ30</f>
        <v>SMART/FWB</v>
      </c>
      <c r="FH26" s="69">
        <f>'Single Stock VO'!OO30*100</f>
        <v>3.8064678931669169</v>
      </c>
      <c r="FS26" s="38"/>
      <c r="GD26" s="38"/>
    </row>
    <row r="27" spans="1:186" x14ac:dyDescent="0.2">
      <c r="A27" t="s">
        <v>84</v>
      </c>
      <c r="B27">
        <f>'Single Stock VO'!Q31</f>
        <v>9999</v>
      </c>
      <c r="C27" t="str">
        <f>'Single Stock VO'!U31</f>
        <v>STK</v>
      </c>
      <c r="D27" t="str">
        <f>'Single Stock VO'!V31</f>
        <v>SEHK</v>
      </c>
      <c r="J27" s="38">
        <f>'Single Stock VO'!AA31*100</f>
        <v>2.5888741284524555</v>
      </c>
      <c r="BD27" t="s">
        <v>84</v>
      </c>
      <c r="BE27" t="str">
        <f>'Single Stock VO'!EV31</f>
        <v>PG</v>
      </c>
      <c r="BF27" t="str">
        <f>'Single Stock VO'!EZ31</f>
        <v>STK</v>
      </c>
      <c r="BG27" t="str">
        <f>'Single Stock VO'!FA31</f>
        <v>SMART/AMEX</v>
      </c>
      <c r="BM27" s="38">
        <f>'Single Stock VO'!FF31*100</f>
        <v>2.6815055301627968</v>
      </c>
      <c r="BO27" t="s">
        <v>84</v>
      </c>
      <c r="BP27">
        <f>'Single Stock VO'!FW31</f>
        <v>6762</v>
      </c>
      <c r="BQ27" t="str">
        <f>'Single Stock VO'!GA31</f>
        <v>STK</v>
      </c>
      <c r="BR27" t="str">
        <f>'Single Stock VO'!GB31</f>
        <v>SMART/TSEJ</v>
      </c>
      <c r="BX27" s="38">
        <f>'Single Stock VO'!GG31*100</f>
        <v>2.7274544874766882</v>
      </c>
      <c r="BZ27" t="s">
        <v>84</v>
      </c>
      <c r="CA27" t="str">
        <f>'Single Stock VO'!GX31</f>
        <v>SE</v>
      </c>
      <c r="CB27" t="str">
        <f>'Single Stock VO'!HB31</f>
        <v>STK</v>
      </c>
      <c r="CC27" t="str">
        <f>'Single Stock VO'!HC31</f>
        <v>SMART/AMEX</v>
      </c>
      <c r="CI27" s="38">
        <f>'Single Stock VO'!HH31*100</f>
        <v>1.4376195210808991</v>
      </c>
      <c r="CT27" s="38"/>
      <c r="CV27" t="s">
        <v>84</v>
      </c>
      <c r="CW27" t="str">
        <f>'Single Stock VO'!IZ31</f>
        <v>VEEV</v>
      </c>
      <c r="CX27" t="str">
        <f>'Single Stock VO'!JD31</f>
        <v>STK</v>
      </c>
      <c r="CY27" t="str">
        <f>'Single Stock VO'!JE31</f>
        <v>SMART/AMEX</v>
      </c>
      <c r="DE27" s="38">
        <f>'Single Stock VO'!JJ31*100</f>
        <v>2.4429470889007225</v>
      </c>
      <c r="DG27" t="s">
        <v>84</v>
      </c>
      <c r="DH27" t="str">
        <f>'Single Stock VO'!KA31</f>
        <v>QGEN</v>
      </c>
      <c r="DI27" t="str">
        <f>'Single Stock VO'!KE31</f>
        <v>STK</v>
      </c>
      <c r="DJ27" t="str">
        <f>'Single Stock VO'!KF31</f>
        <v>SMART/AMEX</v>
      </c>
      <c r="DP27" s="69">
        <f>'Single Stock VO'!KK31</f>
        <v>2.6250834589622022E-2</v>
      </c>
      <c r="EA27" s="38"/>
      <c r="EC27" t="s">
        <v>84</v>
      </c>
      <c r="ED27" t="str">
        <f>'Single Stock VO'!MC31</f>
        <v>SAN1</v>
      </c>
      <c r="EE27" t="str">
        <f>'Single Stock VO'!MG31</f>
        <v>STK</v>
      </c>
      <c r="EF27" t="str">
        <f>'Single Stock VO'!MH31</f>
        <v>SMART/FWB</v>
      </c>
      <c r="EL27" s="38">
        <f>'Single Stock VO'!MM31*100</f>
        <v>2.6745230043954846</v>
      </c>
      <c r="EN27" t="s">
        <v>84</v>
      </c>
      <c r="EO27" t="str">
        <f>'Single Stock VO'!ND31</f>
        <v>VOD</v>
      </c>
      <c r="EP27" t="str">
        <f>'Single Stock VO'!NH31</f>
        <v>STK</v>
      </c>
      <c r="EQ27" t="str">
        <f>'Single Stock VO'!NI31</f>
        <v>SMART/AMEX</v>
      </c>
      <c r="EW27" s="38">
        <f>'Single Stock VO'!NN31*100</f>
        <v>3.4295647184634972</v>
      </c>
      <c r="EY27" t="s">
        <v>84</v>
      </c>
      <c r="EZ27" t="str">
        <f>'Single Stock VO'!OE31</f>
        <v>VOD</v>
      </c>
      <c r="FA27" t="str">
        <f>'Single Stock VO'!OI31</f>
        <v>STK</v>
      </c>
      <c r="FB27" t="str">
        <f>'Single Stock VO'!OJ31</f>
        <v>SMART/LSE</v>
      </c>
      <c r="FH27" s="69">
        <f>'Single Stock VO'!OO31*100</f>
        <v>3.8402593406136365</v>
      </c>
      <c r="FS27" s="38"/>
      <c r="GD27" s="38"/>
    </row>
    <row r="28" spans="1:186" x14ac:dyDescent="0.2">
      <c r="A28" t="s">
        <v>84</v>
      </c>
      <c r="B28" t="str">
        <f>'Single Stock VO'!Q32</f>
        <v>TRV</v>
      </c>
      <c r="C28" t="str">
        <f>'Single Stock VO'!U32</f>
        <v>STK</v>
      </c>
      <c r="D28" t="str">
        <f>'Single Stock VO'!V32</f>
        <v>SMART/AMEX</v>
      </c>
      <c r="J28" s="38">
        <f>'Single Stock VO'!AA32*100</f>
        <v>2.7551567669456878</v>
      </c>
      <c r="BD28" t="s">
        <v>84</v>
      </c>
      <c r="BE28" t="str">
        <f>'Single Stock VO'!EV32</f>
        <v>CMSA</v>
      </c>
      <c r="BF28" t="str">
        <f>'Single Stock VO'!EZ32</f>
        <v>STK</v>
      </c>
      <c r="BG28" t="str">
        <f>'Single Stock VO'!FA32</f>
        <v>SMART/AMEX</v>
      </c>
      <c r="BM28" s="38">
        <f>'Single Stock VO'!FF32*100</f>
        <v>2.7199116504027017</v>
      </c>
      <c r="BO28" t="s">
        <v>84</v>
      </c>
      <c r="BP28" t="str">
        <f>'Single Stock VO'!FW32</f>
        <v>TEL</v>
      </c>
      <c r="BQ28" t="str">
        <f>'Single Stock VO'!GA32</f>
        <v>STK</v>
      </c>
      <c r="BR28" t="str">
        <f>'Single Stock VO'!GB32</f>
        <v>SMART/AMEX</v>
      </c>
      <c r="BX28" s="38">
        <f>'Single Stock VO'!GG32*100</f>
        <v>2.8149174834939426</v>
      </c>
      <c r="BZ28" t="s">
        <v>84</v>
      </c>
      <c r="CA28">
        <f>'Single Stock VO'!GX32</f>
        <v>4507</v>
      </c>
      <c r="CB28" t="str">
        <f>'Single Stock VO'!HB32</f>
        <v>STK</v>
      </c>
      <c r="CC28" t="str">
        <f>'Single Stock VO'!HC32</f>
        <v>SMART/TSEJ</v>
      </c>
      <c r="CI28" s="38">
        <f>'Single Stock VO'!HH32*100</f>
        <v>3.5433178815282163</v>
      </c>
      <c r="CT28" s="38"/>
      <c r="DE28" s="38"/>
      <c r="DG28" t="s">
        <v>84</v>
      </c>
      <c r="DH28" t="str">
        <f>'Single Stock VO'!KA32</f>
        <v>REGN</v>
      </c>
      <c r="DI28" t="str">
        <f>'Single Stock VO'!KE32</f>
        <v>STK</v>
      </c>
      <c r="DJ28" t="str">
        <f>'Single Stock VO'!KF32</f>
        <v>SMART/AMEX</v>
      </c>
      <c r="DP28" s="69">
        <f>'Single Stock VO'!KK32</f>
        <v>2.8139399130978411E-2</v>
      </c>
      <c r="EA28" s="38"/>
      <c r="EC28" t="s">
        <v>84</v>
      </c>
      <c r="ED28" t="str">
        <f>'Single Stock VO'!MC32</f>
        <v>SHEL</v>
      </c>
      <c r="EE28" t="str">
        <f>'Single Stock VO'!MG32</f>
        <v>STK</v>
      </c>
      <c r="EF28" t="str">
        <f>'Single Stock VO'!MH32</f>
        <v>SMART/LSE</v>
      </c>
      <c r="EL28" s="38">
        <f>'Single Stock VO'!MM32*100</f>
        <v>2.8903165124282117</v>
      </c>
      <c r="EW28" s="38"/>
      <c r="EY28" t="s">
        <v>84</v>
      </c>
      <c r="EZ28" t="str">
        <f>'Single Stock VO'!OE32</f>
        <v>ZURN</v>
      </c>
      <c r="FA28" t="str">
        <f>'Single Stock VO'!OI32</f>
        <v>STK</v>
      </c>
      <c r="FB28" t="str">
        <f>'Single Stock VO'!OJ32</f>
        <v>SMART/EBS</v>
      </c>
      <c r="FH28" s="69">
        <f>'Single Stock VO'!OO32*100</f>
        <v>2.9061097700329341</v>
      </c>
      <c r="FS28" s="38"/>
      <c r="GD28" s="38"/>
    </row>
    <row r="29" spans="1:186" x14ac:dyDescent="0.2">
      <c r="A29" t="s">
        <v>84</v>
      </c>
      <c r="B29" t="str">
        <f>'Single Stock VO'!Q33</f>
        <v>IBM</v>
      </c>
      <c r="C29" t="str">
        <f>'Single Stock VO'!U33</f>
        <v>STK</v>
      </c>
      <c r="D29" t="str">
        <f>'Single Stock VO'!V33</f>
        <v>SMART/AMEX</v>
      </c>
      <c r="J29" s="38">
        <f>'Single Stock VO'!AA33*100</f>
        <v>2.2777181763584351</v>
      </c>
      <c r="BD29" t="s">
        <v>84</v>
      </c>
      <c r="BE29" t="str">
        <f>'Single Stock VO'!EV33</f>
        <v>ACN</v>
      </c>
      <c r="BF29" t="str">
        <f>'Single Stock VO'!EZ33</f>
        <v>STK</v>
      </c>
      <c r="BG29" t="str">
        <f>'Single Stock VO'!FA33</f>
        <v>SMART/AMEX</v>
      </c>
      <c r="BM29" s="38">
        <f>'Single Stock VO'!FF33*100</f>
        <v>2.3311370764810007</v>
      </c>
      <c r="BO29" t="s">
        <v>84</v>
      </c>
      <c r="BP29" t="str">
        <f>'Single Stock VO'!FW33</f>
        <v>TEL2.B</v>
      </c>
      <c r="BQ29" t="str">
        <f>'Single Stock VO'!GA33</f>
        <v>STK</v>
      </c>
      <c r="BR29" t="str">
        <f>'Single Stock VO'!GB33</f>
        <v>SMART/SFB</v>
      </c>
      <c r="BX29" s="38">
        <f>'Single Stock VO'!GG33*100</f>
        <v>4.1361418201669986</v>
      </c>
      <c r="BZ29" t="s">
        <v>84</v>
      </c>
      <c r="CA29">
        <f>'Single Stock VO'!GX33</f>
        <v>1099</v>
      </c>
      <c r="CB29" t="str">
        <f>'Single Stock VO'!HB33</f>
        <v>STK</v>
      </c>
      <c r="CC29" t="str">
        <f>'Single Stock VO'!HC33</f>
        <v>SEHK</v>
      </c>
      <c r="CI29" s="38">
        <f>'Single Stock VO'!HH33*100</f>
        <v>3.0067341225189779</v>
      </c>
      <c r="CT29" s="38"/>
      <c r="DE29" s="38"/>
      <c r="DG29" t="s">
        <v>84</v>
      </c>
      <c r="DH29" t="str">
        <f>'Single Stock VO'!KA33</f>
        <v>RMD</v>
      </c>
      <c r="DI29" t="str">
        <f>'Single Stock VO'!KE33</f>
        <v>STK</v>
      </c>
      <c r="DJ29" t="str">
        <f>'Single Stock VO'!KF33</f>
        <v>SMART/AMEX</v>
      </c>
      <c r="DP29" s="69">
        <f>'Single Stock VO'!KK33</f>
        <v>2.6557200988330067E-2</v>
      </c>
      <c r="EA29" s="38"/>
      <c r="EC29" t="s">
        <v>84</v>
      </c>
      <c r="ED29">
        <f>'Single Stock VO'!MC33</f>
        <v>9434</v>
      </c>
      <c r="EE29" t="str">
        <f>'Single Stock VO'!MG33</f>
        <v>STK</v>
      </c>
      <c r="EF29" t="str">
        <f>'Single Stock VO'!MH33</f>
        <v>SMART/TSEJ</v>
      </c>
      <c r="EL29" s="38">
        <f>'Single Stock VO'!MM33*100</f>
        <v>2.810604036541398</v>
      </c>
      <c r="EW29" s="38"/>
      <c r="FS29" s="38"/>
      <c r="GD29" s="38"/>
    </row>
    <row r="30" spans="1:186" x14ac:dyDescent="0.2">
      <c r="A30" t="s">
        <v>84</v>
      </c>
      <c r="B30" t="str">
        <f>'Single Stock VO'!Q34</f>
        <v>MA</v>
      </c>
      <c r="C30" t="str">
        <f>'Single Stock VO'!U34</f>
        <v>STK</v>
      </c>
      <c r="D30" t="str">
        <f>'Single Stock VO'!V34</f>
        <v>SMART/AMEX</v>
      </c>
      <c r="J30" s="38">
        <f>'Single Stock VO'!AA34*100</f>
        <v>2.5785444239456687</v>
      </c>
      <c r="BD30" t="s">
        <v>84</v>
      </c>
      <c r="BE30" t="str">
        <f>'Single Stock VO'!EV34</f>
        <v>ADBE</v>
      </c>
      <c r="BF30" t="str">
        <f>'Single Stock VO'!EZ34</f>
        <v>STK</v>
      </c>
      <c r="BG30" t="str">
        <f>'Single Stock VO'!FA34</f>
        <v>SMART/AMEX</v>
      </c>
      <c r="BM30" s="38">
        <f>'Single Stock VO'!FF34*100</f>
        <v>2.1340934485689864</v>
      </c>
      <c r="BO30" t="s">
        <v>84</v>
      </c>
      <c r="BP30" t="str">
        <f>'Single Stock VO'!FW34</f>
        <v>UBER</v>
      </c>
      <c r="BQ30" t="str">
        <f>'Single Stock VO'!GA34</f>
        <v>STK</v>
      </c>
      <c r="BR30" t="str">
        <f>'Single Stock VO'!GB34</f>
        <v>SMART/AMEX</v>
      </c>
      <c r="BX30" s="38">
        <f>'Single Stock VO'!GG34*100</f>
        <v>2.5561360776438584</v>
      </c>
      <c r="BZ30" t="s">
        <v>84</v>
      </c>
      <c r="CA30">
        <f>'Single Stock VO'!GX34</f>
        <v>16</v>
      </c>
      <c r="CB30" t="str">
        <f>'Single Stock VO'!HB34</f>
        <v>STK</v>
      </c>
      <c r="CC30" t="str">
        <f>'Single Stock VO'!HC34</f>
        <v>SEHK</v>
      </c>
      <c r="CI30" s="38">
        <f>'Single Stock VO'!HH34*100</f>
        <v>4.1246542022186654</v>
      </c>
      <c r="CT30" s="38"/>
      <c r="DE30" s="38"/>
      <c r="DG30" t="s">
        <v>84</v>
      </c>
      <c r="DH30" t="str">
        <f>'Single Stock VO'!KA34</f>
        <v>SGM</v>
      </c>
      <c r="DI30" t="str">
        <f>'Single Stock VO'!KE34</f>
        <v>STK</v>
      </c>
      <c r="DJ30" t="str">
        <f>'Single Stock VO'!KF34</f>
        <v>SMART/ASX</v>
      </c>
      <c r="DP30" s="69">
        <f>'Single Stock VO'!KK34</f>
        <v>2.7121591522075751E-2</v>
      </c>
      <c r="EA30" s="38"/>
      <c r="EC30" t="s">
        <v>84</v>
      </c>
      <c r="ED30" t="str">
        <f>'Single Stock VO'!MC34</f>
        <v>TEL</v>
      </c>
      <c r="EE30" t="str">
        <f>'Single Stock VO'!MG34</f>
        <v>STK</v>
      </c>
      <c r="EF30" t="str">
        <f>'Single Stock VO'!MH34</f>
        <v>SMART/OSE</v>
      </c>
      <c r="EL30" s="38">
        <f>'Single Stock VO'!MM34*100</f>
        <v>2.7363924219371274</v>
      </c>
      <c r="FH30" s="38"/>
      <c r="FS30" s="38"/>
      <c r="GD30" s="38"/>
    </row>
    <row r="31" spans="1:186" x14ac:dyDescent="0.2">
      <c r="A31" t="s">
        <v>84</v>
      </c>
      <c r="B31" t="str">
        <f>'Single Stock VO'!Q35</f>
        <v>CMCSA</v>
      </c>
      <c r="C31" t="str">
        <f>'Single Stock VO'!U35</f>
        <v>STK</v>
      </c>
      <c r="D31" t="str">
        <f>'Single Stock VO'!V35</f>
        <v>SMART/AMEX</v>
      </c>
      <c r="J31" s="38">
        <f>'Single Stock VO'!AA35*100</f>
        <v>2.6301519041323749</v>
      </c>
      <c r="BM31" s="38"/>
      <c r="BO31" t="s">
        <v>84</v>
      </c>
      <c r="BP31" t="str">
        <f>'Single Stock VO'!FW35</f>
        <v>UI</v>
      </c>
      <c r="BQ31" t="str">
        <f>'Single Stock VO'!GA35</f>
        <v>STK</v>
      </c>
      <c r="BR31" t="str">
        <f>'Single Stock VO'!GB35</f>
        <v>SMART/AMEX</v>
      </c>
      <c r="BX31" s="38">
        <f>'Single Stock VO'!GG35*100</f>
        <v>4.4624342035752136</v>
      </c>
      <c r="BZ31" t="s">
        <v>84</v>
      </c>
      <c r="CA31">
        <f>'Single Stock VO'!GX35</f>
        <v>4502</v>
      </c>
      <c r="CB31" t="str">
        <f>'Single Stock VO'!HB35</f>
        <v>STK</v>
      </c>
      <c r="CC31" t="str">
        <f>'Single Stock VO'!HC35</f>
        <v>SMART/TSEJ</v>
      </c>
      <c r="CI31" s="38">
        <f>'Single Stock VO'!HH35*100</f>
        <v>3.3798451217042169</v>
      </c>
      <c r="CT31" s="38"/>
      <c r="DE31" s="38"/>
      <c r="DG31" t="s">
        <v>84</v>
      </c>
      <c r="DH31" t="str">
        <f>'Single Stock VO'!KA35</f>
        <v>SKA.B</v>
      </c>
      <c r="DI31" t="str">
        <f>'Single Stock VO'!KE35</f>
        <v>STK</v>
      </c>
      <c r="DJ31" t="str">
        <f>'Single Stock VO'!KF35</f>
        <v>SMART/SFB</v>
      </c>
      <c r="DP31" s="69">
        <f>'Single Stock VO'!KK35</f>
        <v>2.7969738253922561E-2</v>
      </c>
      <c r="EA31" s="38"/>
      <c r="EC31" t="s">
        <v>84</v>
      </c>
      <c r="ED31" t="str">
        <f>'Single Stock VO'!MC35</f>
        <v>TTE</v>
      </c>
      <c r="EE31" t="str">
        <f>'Single Stock VO'!MG35</f>
        <v>STK</v>
      </c>
      <c r="EF31" t="str">
        <f>'Single Stock VO'!MH35</f>
        <v>SMART/FWB</v>
      </c>
      <c r="EL31" s="38">
        <f>'Single Stock VO'!MM35*100</f>
        <v>2.8068866892528916</v>
      </c>
      <c r="EW31" s="38"/>
      <c r="FH31" s="38"/>
      <c r="FS31" s="38"/>
      <c r="GD31" s="38"/>
    </row>
    <row r="32" spans="1:186" x14ac:dyDescent="0.2">
      <c r="A32" t="s">
        <v>84</v>
      </c>
      <c r="B32" t="str">
        <f>'Single Stock VO'!Q36</f>
        <v>BMY</v>
      </c>
      <c r="C32" t="str">
        <f>'Single Stock VO'!U36</f>
        <v>STK</v>
      </c>
      <c r="D32" t="str">
        <f>'Single Stock VO'!V36</f>
        <v>SMART/AMEX</v>
      </c>
      <c r="J32" s="38">
        <f>'Single Stock VO'!AA36*100</f>
        <v>2.6296854068087057</v>
      </c>
      <c r="BM32" s="38"/>
      <c r="BX32" s="38"/>
      <c r="BZ32" t="s">
        <v>84</v>
      </c>
      <c r="CA32">
        <f>'Single Stock VO'!GX36</f>
        <v>700</v>
      </c>
      <c r="CB32" t="str">
        <f>'Single Stock VO'!HB36</f>
        <v>STK</v>
      </c>
      <c r="CC32" t="str">
        <f>'Single Stock VO'!HC36</f>
        <v>SEHK</v>
      </c>
      <c r="CI32" s="38">
        <f>'Single Stock VO'!HH36*100</f>
        <v>2.095051635367009</v>
      </c>
      <c r="CT32" s="38"/>
      <c r="DE32" s="38"/>
      <c r="DG32" t="s">
        <v>84</v>
      </c>
      <c r="DH32" t="str">
        <f>'Single Stock VO'!KA36</f>
        <v>TEL</v>
      </c>
      <c r="DI32" t="str">
        <f>'Single Stock VO'!KE36</f>
        <v>STK</v>
      </c>
      <c r="DJ32" t="str">
        <f>'Single Stock VO'!KF36</f>
        <v>SMART/AMEX</v>
      </c>
      <c r="DP32" s="69">
        <f>'Single Stock VO'!KK36</f>
        <v>2.6688733795157089E-2</v>
      </c>
      <c r="EA32" s="38"/>
      <c r="EC32" t="s">
        <v>84</v>
      </c>
      <c r="ED32" t="str">
        <f>'Single Stock VO'!MC36</f>
        <v>VZ</v>
      </c>
      <c r="EE32" t="str">
        <f>'Single Stock VO'!MG36</f>
        <v>STK</v>
      </c>
      <c r="EF32" t="str">
        <f>'Single Stock VO'!MH36</f>
        <v>SMART/AMEX</v>
      </c>
      <c r="EL32" s="38">
        <f>'Single Stock VO'!MM36*100</f>
        <v>2.9331992255289951</v>
      </c>
      <c r="EW32" s="38"/>
      <c r="FH32" s="38"/>
      <c r="FS32" s="38"/>
      <c r="GD32" s="38"/>
    </row>
    <row r="33" spans="1:175" x14ac:dyDescent="0.2">
      <c r="A33" t="s">
        <v>84</v>
      </c>
      <c r="B33" t="str">
        <f>'Single Stock VO'!Q37</f>
        <v>TCOM</v>
      </c>
      <c r="C33" t="str">
        <f>'Single Stock VO'!U37</f>
        <v>STK</v>
      </c>
      <c r="D33" t="str">
        <f>'Single Stock VO'!V37</f>
        <v>SMART/AMEX</v>
      </c>
      <c r="J33" s="38">
        <f>'Single Stock VO'!AA37*100</f>
        <v>2.3336623527886107</v>
      </c>
      <c r="BM33" s="38"/>
      <c r="BX33" s="38"/>
      <c r="BZ33" t="s">
        <v>84</v>
      </c>
      <c r="CA33" t="str">
        <f>'Single Stock VO'!GX37</f>
        <v>VIPS</v>
      </c>
      <c r="CB33" t="str">
        <f>'Single Stock VO'!HB37</f>
        <v>STK</v>
      </c>
      <c r="CC33" t="str">
        <f>'Single Stock VO'!HC37</f>
        <v>SMART/AMEX</v>
      </c>
      <c r="CI33" s="38">
        <f>'Single Stock VO'!HH37*100</f>
        <v>2.1154330195059767</v>
      </c>
      <c r="CT33" s="38"/>
      <c r="DG33" t="s">
        <v>84</v>
      </c>
      <c r="DH33" t="str">
        <f>'Single Stock VO'!KA37</f>
        <v>VIE</v>
      </c>
      <c r="DI33" t="str">
        <f>'Single Stock VO'!KE37</f>
        <v>STK</v>
      </c>
      <c r="DJ33" t="str">
        <f>'Single Stock VO'!KF37</f>
        <v>SMART/FWB</v>
      </c>
      <c r="DP33" s="69">
        <f>'Single Stock VO'!KK37</f>
        <v>2.8975444412195052E-2</v>
      </c>
      <c r="EA33" s="38"/>
      <c r="EC33" t="s">
        <v>84</v>
      </c>
      <c r="ED33" t="str">
        <f>'Single Stock VO'!MC37</f>
        <v>VICI</v>
      </c>
      <c r="EE33" t="str">
        <f>'Single Stock VO'!MG37</f>
        <v>STK</v>
      </c>
      <c r="EF33" t="str">
        <f>'Single Stock VO'!MH37</f>
        <v>SMART/AMEX</v>
      </c>
      <c r="EL33" s="38">
        <f>'Single Stock VO'!MM37*100</f>
        <v>2.8241325869354936</v>
      </c>
      <c r="EW33" s="38"/>
      <c r="FH33" s="38"/>
      <c r="FS33" s="38"/>
    </row>
    <row r="34" spans="1:175" x14ac:dyDescent="0.2">
      <c r="A34" t="s">
        <v>84</v>
      </c>
      <c r="B34" t="str">
        <f>'Single Stock VO'!Q38</f>
        <v>DTE</v>
      </c>
      <c r="C34" t="str">
        <f>'Single Stock VO'!U38</f>
        <v>STK</v>
      </c>
      <c r="D34" t="str">
        <f>'Single Stock VO'!V38</f>
        <v>SMART/FWB</v>
      </c>
      <c r="J34" s="38">
        <f>'Single Stock VO'!AA38*100</f>
        <v>2.6454334530388217</v>
      </c>
      <c r="BM34" s="38"/>
      <c r="BX34" s="38"/>
      <c r="BZ34" t="s">
        <v>84</v>
      </c>
      <c r="CA34">
        <f>'Single Stock VO'!GX38</f>
        <v>1810</v>
      </c>
      <c r="CB34" t="str">
        <f>'Single Stock VO'!HB38</f>
        <v>STK</v>
      </c>
      <c r="CC34" t="str">
        <f>'Single Stock VO'!HC38</f>
        <v>SEHK</v>
      </c>
      <c r="CI34" s="38">
        <f>'Single Stock VO'!HH38*100</f>
        <v>1.6529332426440306</v>
      </c>
      <c r="CT34" s="38"/>
      <c r="DG34" t="s">
        <v>84</v>
      </c>
      <c r="DH34" t="str">
        <f>'Single Stock VO'!KA38</f>
        <v>VER</v>
      </c>
      <c r="DI34" t="str">
        <f>'Single Stock VO'!KE38</f>
        <v>STK</v>
      </c>
      <c r="DJ34" t="str">
        <f>'Single Stock VO'!KF38</f>
        <v>SMART/VSE</v>
      </c>
      <c r="DP34" s="69">
        <f>'Single Stock VO'!KK38</f>
        <v>2.8548443868084382E-2</v>
      </c>
      <c r="EA34" s="38"/>
      <c r="EC34" t="s">
        <v>84</v>
      </c>
      <c r="ED34" t="str">
        <f>'Single Stock VO'!MC38</f>
        <v>VOD</v>
      </c>
      <c r="EE34" t="str">
        <f>'Single Stock VO'!MG38</f>
        <v>STK</v>
      </c>
      <c r="EF34" t="str">
        <f>'Single Stock VO'!MH38</f>
        <v>SMART/LSE</v>
      </c>
      <c r="EL34" s="38">
        <f>'Single Stock VO'!MM38*100</f>
        <v>2.7409080399479113</v>
      </c>
      <c r="EW34" s="38"/>
      <c r="FH34" s="38"/>
      <c r="FS34" s="38"/>
    </row>
    <row r="35" spans="1:175" x14ac:dyDescent="0.2">
      <c r="A35" t="s">
        <v>84</v>
      </c>
      <c r="B35" t="str">
        <f>'Single Stock VO'!Q39</f>
        <v>ACN</v>
      </c>
      <c r="C35" t="str">
        <f>'Single Stock VO'!U39</f>
        <v>STK</v>
      </c>
      <c r="D35" t="str">
        <f>'Single Stock VO'!V39</f>
        <v>SMART/AMEX</v>
      </c>
      <c r="J35" s="38">
        <f>'Single Stock VO'!AA39*100</f>
        <v>2.2137621541385926</v>
      </c>
      <c r="BX35" s="38"/>
      <c r="BZ35" t="s">
        <v>84</v>
      </c>
      <c r="CA35">
        <f>'Single Stock VO'!GX39</f>
        <v>1585</v>
      </c>
      <c r="CB35" t="str">
        <f>'Single Stock VO'!HB39</f>
        <v>STK</v>
      </c>
      <c r="CC35" t="str">
        <f>'Single Stock VO'!HC39</f>
        <v>SEHK</v>
      </c>
      <c r="CI35" s="38">
        <f>'Single Stock VO'!HH39*100</f>
        <v>2.1184255044855371</v>
      </c>
      <c r="CT35" s="38"/>
      <c r="DG35" t="s">
        <v>84</v>
      </c>
      <c r="DH35" t="str">
        <f>'Single Stock VO'!KA39</f>
        <v>WCN</v>
      </c>
      <c r="DI35" t="str">
        <f>'Single Stock VO'!KE39</f>
        <v>STK</v>
      </c>
      <c r="DJ35" t="str">
        <f>'Single Stock VO'!KF39</f>
        <v>SMART/AMEX</v>
      </c>
      <c r="DP35" s="69">
        <f>'Single Stock VO'!KK39</f>
        <v>2.8517004539457005E-2</v>
      </c>
      <c r="EA35" s="38"/>
      <c r="EC35" t="s">
        <v>84</v>
      </c>
      <c r="ED35" t="str">
        <f>'Single Stock VO'!MC39</f>
        <v>ZURN</v>
      </c>
      <c r="EE35" t="str">
        <f>'Single Stock VO'!MG39</f>
        <v>STK</v>
      </c>
      <c r="EF35" t="str">
        <f>'Single Stock VO'!MH39</f>
        <v>SMART/EBS</v>
      </c>
      <c r="EL35" s="38">
        <f>'Single Stock VO'!MM39*100</f>
        <v>2.6113885649203179</v>
      </c>
    </row>
    <row r="36" spans="1:175" x14ac:dyDescent="0.2">
      <c r="A36" t="s">
        <v>84</v>
      </c>
      <c r="B36" t="str">
        <f>'Single Stock VO'!Q40</f>
        <v>MELI</v>
      </c>
      <c r="C36" t="str">
        <f>'Single Stock VO'!U40</f>
        <v>STK</v>
      </c>
      <c r="D36" t="str">
        <f>'Single Stock VO'!V40</f>
        <v>SMART/AMEX</v>
      </c>
      <c r="J36" s="38">
        <f>'Single Stock VO'!AA40*100</f>
        <v>1.8408811538437975</v>
      </c>
      <c r="BM36" s="38"/>
      <c r="BX36" s="38"/>
      <c r="CI36" s="38"/>
      <c r="EA36" s="38"/>
      <c r="EL36" s="38"/>
    </row>
    <row r="37" spans="1:175" x14ac:dyDescent="0.2">
      <c r="A37" t="s">
        <v>84</v>
      </c>
      <c r="B37" t="str">
        <f>'Single Stock VO'!Q41</f>
        <v>ADBE</v>
      </c>
      <c r="C37" t="str">
        <f>'Single Stock VO'!U41</f>
        <v>STK</v>
      </c>
      <c r="D37" t="str">
        <f>'Single Stock VO'!V41</f>
        <v>SMART/AMEX</v>
      </c>
      <c r="J37" s="38">
        <f>'Single Stock VO'!AA41*100</f>
        <v>2.0501305892170496</v>
      </c>
      <c r="BM37" s="38"/>
      <c r="BX37" s="38"/>
      <c r="DP37" s="38"/>
      <c r="EA37" s="38"/>
    </row>
    <row r="38" spans="1:175" x14ac:dyDescent="0.2">
      <c r="J38" s="38"/>
      <c r="BM38" s="38"/>
      <c r="BX38" s="38"/>
    </row>
    <row r="41" spans="1:175" x14ac:dyDescent="0.2">
      <c r="BD41" s="55"/>
      <c r="BF41" s="52"/>
      <c r="BG41" s="52"/>
      <c r="BH41" s="52"/>
      <c r="BI41" s="51"/>
      <c r="BJ41" s="51"/>
      <c r="BK41" s="51"/>
      <c r="BL41" s="51"/>
      <c r="BM41" s="51"/>
      <c r="BN41" s="53"/>
      <c r="BO41" s="55"/>
      <c r="BQ41" s="52"/>
      <c r="BR41" s="52"/>
      <c r="BS41" s="52"/>
      <c r="BT41" s="51"/>
      <c r="BU41" s="51"/>
      <c r="BV41" s="51"/>
      <c r="BW41" s="51"/>
      <c r="BX41" s="51"/>
      <c r="BY41" s="53"/>
    </row>
    <row r="43" spans="1:175" x14ac:dyDescent="0.2">
      <c r="EW43" s="39"/>
      <c r="FH43" s="39"/>
      <c r="FS43" s="39"/>
    </row>
  </sheetData>
  <mergeCells count="17">
    <mergeCell ref="FJ1:FS1"/>
    <mergeCell ref="FU1:GD1"/>
    <mergeCell ref="DG1:DP1"/>
    <mergeCell ref="DR1:EA1"/>
    <mergeCell ref="EC1:EL1"/>
    <mergeCell ref="EN1:EW1"/>
    <mergeCell ref="EY1:FH1"/>
    <mergeCell ref="BD1:BM1"/>
    <mergeCell ref="BO1:BX1"/>
    <mergeCell ref="BZ1:CI1"/>
    <mergeCell ref="CK1:CT1"/>
    <mergeCell ref="CV1:DE1"/>
    <mergeCell ref="A1:J1"/>
    <mergeCell ref="L1:U1"/>
    <mergeCell ref="W1:AF1"/>
    <mergeCell ref="AH1:AQ1"/>
    <mergeCell ref="AS1:BB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A2D05-1231-4CDC-B73D-9EC6451DDEE2}">
  <sheetPr codeName="Sheet9"/>
  <dimension ref="A1:AL422"/>
  <sheetViews>
    <sheetView topLeftCell="A285" zoomScale="70" zoomScaleNormal="70" workbookViewId="0">
      <selection activeCell="D85" sqref="D85:D102"/>
    </sheetView>
  </sheetViews>
  <sheetFormatPr defaultRowHeight="14.25" x14ac:dyDescent="0.2"/>
  <cols>
    <col min="1" max="1" width="12.19921875" bestFit="1" customWidth="1"/>
    <col min="3" max="3" width="61.5" bestFit="1" customWidth="1"/>
    <col min="4" max="4" width="11.296875" bestFit="1" customWidth="1"/>
    <col min="5" max="5" width="8.5" bestFit="1" customWidth="1"/>
    <col min="6" max="6" width="12" bestFit="1" customWidth="1"/>
    <col min="7" max="7" width="12.09765625" bestFit="1" customWidth="1"/>
    <col min="8" max="8" width="13.09765625" bestFit="1" customWidth="1"/>
    <col min="9" max="9" width="14.5" bestFit="1" customWidth="1"/>
    <col min="10" max="11" width="10.3984375" bestFit="1" customWidth="1"/>
    <col min="12" max="12" width="14.19921875" bestFit="1" customWidth="1"/>
    <col min="13" max="13" width="19.8984375" bestFit="1" customWidth="1"/>
    <col min="14" max="14" width="4.69921875" bestFit="1" customWidth="1"/>
    <col min="15" max="15" width="4.3984375" bestFit="1" customWidth="1"/>
    <col min="16" max="16" width="10.3984375" bestFit="1" customWidth="1"/>
    <col min="17" max="17" width="24" bestFit="1" customWidth="1"/>
    <col min="18" max="18" width="8" bestFit="1" customWidth="1"/>
    <col min="19" max="19" width="24" bestFit="1" customWidth="1"/>
    <col min="20" max="20" width="8" bestFit="1" customWidth="1"/>
    <col min="21" max="21" width="24" bestFit="1" customWidth="1"/>
    <col min="22" max="22" width="8" bestFit="1" customWidth="1"/>
    <col min="23" max="23" width="24" bestFit="1" customWidth="1"/>
    <col min="24" max="24" width="8.19921875" bestFit="1" customWidth="1"/>
    <col min="25" max="25" width="24" bestFit="1" customWidth="1"/>
    <col min="26" max="26" width="8" bestFit="1" customWidth="1"/>
    <col min="28" max="28" width="8.8984375" bestFit="1" customWidth="1"/>
    <col min="29" max="29" width="12.3984375" bestFit="1" customWidth="1"/>
    <col min="30" max="30" width="13.09765625" bestFit="1" customWidth="1"/>
    <col min="31" max="31" width="11.5" bestFit="1" customWidth="1"/>
    <col min="32" max="32" width="12.69921875" bestFit="1" customWidth="1"/>
    <col min="33" max="33" width="12.3984375" bestFit="1" customWidth="1"/>
    <col min="34" max="35" width="14.69921875" bestFit="1" customWidth="1"/>
    <col min="36" max="36" width="17.3984375" bestFit="1" customWidth="1"/>
    <col min="37" max="37" width="13" bestFit="1" customWidth="1"/>
    <col min="38" max="38" width="14.69921875" bestFit="1" customWidth="1"/>
  </cols>
  <sheetData>
    <row r="1" spans="1:38" x14ac:dyDescent="0.2">
      <c r="A1" s="76" t="s">
        <v>0</v>
      </c>
      <c r="B1" s="1"/>
      <c r="C1" s="95" t="s">
        <v>432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1:38" x14ac:dyDescent="0.2">
      <c r="A2" s="89">
        <v>45565</v>
      </c>
      <c r="B2" s="1"/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1426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14</v>
      </c>
      <c r="Q2" s="99" t="s">
        <v>438</v>
      </c>
      <c r="R2" s="99" t="s">
        <v>536</v>
      </c>
      <c r="S2" s="100" t="s">
        <v>439</v>
      </c>
      <c r="T2" s="100" t="s">
        <v>537</v>
      </c>
      <c r="U2" s="101" t="s">
        <v>440</v>
      </c>
      <c r="V2" s="101" t="s">
        <v>538</v>
      </c>
      <c r="W2" s="102" t="s">
        <v>441</v>
      </c>
      <c r="X2" s="102" t="s">
        <v>539</v>
      </c>
      <c r="Y2" s="140" t="s">
        <v>442</v>
      </c>
      <c r="Z2" s="140" t="s">
        <v>540</v>
      </c>
      <c r="AA2" s="1"/>
      <c r="AB2" s="1"/>
      <c r="AC2" s="141" t="s">
        <v>438</v>
      </c>
      <c r="AD2" s="141"/>
      <c r="AE2" s="103" t="s">
        <v>439</v>
      </c>
      <c r="AF2" s="103"/>
      <c r="AG2" s="104" t="s">
        <v>440</v>
      </c>
      <c r="AH2" s="104"/>
      <c r="AI2" s="105" t="s">
        <v>441</v>
      </c>
      <c r="AJ2" s="105"/>
      <c r="AK2" s="142" t="s">
        <v>458</v>
      </c>
      <c r="AL2" s="142"/>
    </row>
    <row r="3" spans="1:38" x14ac:dyDescent="0.2">
      <c r="A3" s="90"/>
      <c r="B3" s="1"/>
      <c r="C3" s="106" t="s">
        <v>16</v>
      </c>
      <c r="D3" s="45"/>
      <c r="E3" s="45"/>
      <c r="F3" s="45"/>
      <c r="G3" s="45"/>
      <c r="H3" s="45"/>
      <c r="I3" s="45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Y3" s="143"/>
      <c r="Z3" s="143"/>
      <c r="AA3" s="1"/>
      <c r="AB3" s="13" t="s">
        <v>17</v>
      </c>
      <c r="AC3" s="78" t="s">
        <v>18</v>
      </c>
      <c r="AD3" s="79" t="s">
        <v>19</v>
      </c>
      <c r="AE3" s="78" t="s">
        <v>18</v>
      </c>
      <c r="AF3" s="79" t="s">
        <v>19</v>
      </c>
      <c r="AG3" s="78" t="s">
        <v>18</v>
      </c>
      <c r="AH3" s="79" t="s">
        <v>19</v>
      </c>
      <c r="AI3" s="78" t="s">
        <v>18</v>
      </c>
      <c r="AJ3" s="79" t="s">
        <v>19</v>
      </c>
      <c r="AK3" s="78" t="s">
        <v>18</v>
      </c>
      <c r="AL3" s="79" t="s">
        <v>19</v>
      </c>
    </row>
    <row r="4" spans="1:38" x14ac:dyDescent="0.2">
      <c r="A4" s="91"/>
      <c r="B4" s="1"/>
      <c r="C4" s="86" t="s">
        <v>1268</v>
      </c>
      <c r="D4" s="45" t="s">
        <v>1256</v>
      </c>
      <c r="E4" s="45" t="s">
        <v>1261</v>
      </c>
      <c r="F4" s="45" t="s">
        <v>552</v>
      </c>
      <c r="G4" s="45" t="s">
        <v>26</v>
      </c>
      <c r="H4" s="45" t="s">
        <v>1735</v>
      </c>
      <c r="I4" s="45"/>
      <c r="J4" s="34" t="s">
        <v>470</v>
      </c>
      <c r="K4" s="34" t="s">
        <v>453</v>
      </c>
      <c r="L4" s="34" t="s">
        <v>1284</v>
      </c>
      <c r="M4" s="34" t="s">
        <v>777</v>
      </c>
      <c r="N4" s="34" t="s">
        <v>34</v>
      </c>
      <c r="O4" s="111">
        <v>0.03</v>
      </c>
      <c r="P4" s="45">
        <v>200.42</v>
      </c>
      <c r="Q4" s="112">
        <f t="shared" ref="Q4:Q12" si="0">AD4/$AD$22</f>
        <v>0.25996763369425474</v>
      </c>
      <c r="R4" s="112">
        <f t="shared" ref="R4:R12" si="1">Q4*(1-$R$39)/(1-$Q$21)</f>
        <v>0.24699423746475194</v>
      </c>
      <c r="S4" s="113">
        <f t="shared" ref="S4:S12" si="2">AF4/$AF$22</f>
        <v>0.1881615439962914</v>
      </c>
      <c r="T4" s="113">
        <f t="shared" ref="T4:T12" si="3">S4*(1-$T$39)/(1-$S$21)</f>
        <v>0.1787301791527941</v>
      </c>
      <c r="U4" s="114">
        <f t="shared" ref="U4:U12" si="4">AH4/$AH$22</f>
        <v>0.12474857223237022</v>
      </c>
      <c r="V4" s="114">
        <f t="shared" ref="V4:V12" si="5">U4*(1-$V$39)/(1-$U$21)</f>
        <v>0.11851669618533513</v>
      </c>
      <c r="W4" s="115">
        <f t="shared" ref="W4:W12" si="6">AJ4/$AJ$22</f>
        <v>8.7061852472624573E-2</v>
      </c>
      <c r="X4" s="115">
        <f t="shared" ref="X4:X12" si="7">W4*(1-$X$39)/(1-$W$21)</f>
        <v>8.2711233435375064E-2</v>
      </c>
      <c r="Y4" s="144"/>
      <c r="Z4" s="144"/>
      <c r="AA4" s="1"/>
      <c r="AB4" s="1">
        <v>1</v>
      </c>
      <c r="AC4" s="80">
        <v>347972.03018865502</v>
      </c>
      <c r="AD4" s="81">
        <v>69740554.290410236</v>
      </c>
      <c r="AE4" s="80">
        <v>110925.80074918301</v>
      </c>
      <c r="AF4" s="81">
        <v>22231748.986151256</v>
      </c>
      <c r="AG4" s="80">
        <v>322289.092985811</v>
      </c>
      <c r="AH4" s="81">
        <v>64593180.016216241</v>
      </c>
      <c r="AI4" s="80">
        <v>49204.805754756198</v>
      </c>
      <c r="AJ4" s="81">
        <v>9861627.1693682373</v>
      </c>
      <c r="AK4" s="80"/>
      <c r="AL4" s="81">
        <v>0</v>
      </c>
    </row>
    <row r="5" spans="1:38" x14ac:dyDescent="0.2">
      <c r="A5" s="91"/>
      <c r="B5" s="1"/>
      <c r="C5" s="86" t="s">
        <v>1269</v>
      </c>
      <c r="D5" s="45" t="s">
        <v>1257</v>
      </c>
      <c r="E5" s="45" t="s">
        <v>1262</v>
      </c>
      <c r="F5" s="45" t="s">
        <v>552</v>
      </c>
      <c r="G5" s="45" t="s">
        <v>26</v>
      </c>
      <c r="H5" s="45" t="s">
        <v>1736</v>
      </c>
      <c r="I5" s="45"/>
      <c r="J5" s="34" t="s">
        <v>470</v>
      </c>
      <c r="K5" s="34" t="s">
        <v>443</v>
      </c>
      <c r="L5" s="34" t="s">
        <v>444</v>
      </c>
      <c r="M5" s="34" t="s">
        <v>777</v>
      </c>
      <c r="N5" s="34" t="s">
        <v>34</v>
      </c>
      <c r="O5" s="111">
        <v>0.24</v>
      </c>
      <c r="P5" s="45">
        <v>5.9720000000000004</v>
      </c>
      <c r="Q5" s="112">
        <f t="shared" si="0"/>
        <v>0.18589155958001061</v>
      </c>
      <c r="R5" s="112">
        <f t="shared" si="1"/>
        <v>0.17661484761444332</v>
      </c>
      <c r="S5" s="113">
        <f t="shared" si="2"/>
        <v>0.13452308098804769</v>
      </c>
      <c r="T5" s="113">
        <f t="shared" si="3"/>
        <v>0.12778027781092974</v>
      </c>
      <c r="U5" s="114">
        <f t="shared" si="4"/>
        <v>8.9177429474907213E-2</v>
      </c>
      <c r="V5" s="114">
        <f t="shared" si="5"/>
        <v>8.4722527292574831E-2</v>
      </c>
      <c r="W5" s="115">
        <f t="shared" si="6"/>
        <v>6.2225565675667602E-2</v>
      </c>
      <c r="X5" s="115">
        <f t="shared" si="7"/>
        <v>5.911605533395619E-2</v>
      </c>
      <c r="Y5" s="144"/>
      <c r="Z5" s="144"/>
      <c r="AA5" s="1"/>
      <c r="AB5" s="1">
        <v>1</v>
      </c>
      <c r="AC5" s="80">
        <v>8350375.1224962203</v>
      </c>
      <c r="AD5" s="81">
        <v>49868440.23154743</v>
      </c>
      <c r="AE5" s="80">
        <v>2661458.9284553798</v>
      </c>
      <c r="AF5" s="81">
        <v>15894232.720735529</v>
      </c>
      <c r="AG5" s="80">
        <v>7731900.0794543196</v>
      </c>
      <c r="AH5" s="81">
        <v>46174907.274501197</v>
      </c>
      <c r="AI5" s="80">
        <v>1180238.37129918</v>
      </c>
      <c r="AJ5" s="81">
        <v>7048383.5533987032</v>
      </c>
      <c r="AK5" s="80"/>
      <c r="AL5" s="81">
        <v>0</v>
      </c>
    </row>
    <row r="6" spans="1:38" x14ac:dyDescent="0.2">
      <c r="A6" s="92"/>
      <c r="B6" s="1"/>
      <c r="C6" s="86" t="s">
        <v>778</v>
      </c>
      <c r="D6" s="45" t="s">
        <v>445</v>
      </c>
      <c r="E6" s="45" t="s">
        <v>541</v>
      </c>
      <c r="F6" s="45" t="s">
        <v>552</v>
      </c>
      <c r="G6" s="45" t="s">
        <v>26</v>
      </c>
      <c r="H6" s="45" t="s">
        <v>1737</v>
      </c>
      <c r="I6" s="45"/>
      <c r="J6" s="34" t="s">
        <v>470</v>
      </c>
      <c r="K6" s="34" t="s">
        <v>443</v>
      </c>
      <c r="L6" s="34" t="s">
        <v>444</v>
      </c>
      <c r="M6" s="34" t="s">
        <v>777</v>
      </c>
      <c r="N6" s="34" t="s">
        <v>34</v>
      </c>
      <c r="O6" s="111">
        <v>0.25</v>
      </c>
      <c r="P6" s="45">
        <v>60.84</v>
      </c>
      <c r="Q6" s="112">
        <f t="shared" si="0"/>
        <v>0.18576243790558933</v>
      </c>
      <c r="R6" s="112">
        <f t="shared" si="1"/>
        <v>0.17649216961387593</v>
      </c>
      <c r="S6" s="113">
        <f t="shared" si="2"/>
        <v>0.13442964024493553</v>
      </c>
      <c r="T6" s="113">
        <f t="shared" si="3"/>
        <v>0.12769152066958242</v>
      </c>
      <c r="U6" s="114">
        <f t="shared" si="4"/>
        <v>8.9115486162148053E-2</v>
      </c>
      <c r="V6" s="114">
        <f t="shared" si="5"/>
        <v>8.466367838835398E-2</v>
      </c>
      <c r="W6" s="115">
        <f t="shared" si="6"/>
        <v>6.2182343330069702E-2</v>
      </c>
      <c r="X6" s="115">
        <f t="shared" si="7"/>
        <v>5.9074992877612337E-2</v>
      </c>
      <c r="Y6" s="144"/>
      <c r="Z6" s="144"/>
      <c r="AA6" s="1"/>
      <c r="AB6" s="1">
        <v>1</v>
      </c>
      <c r="AC6" s="80">
        <v>819096.00983165402</v>
      </c>
      <c r="AD6" s="81">
        <v>49833801.238157831</v>
      </c>
      <c r="AE6" s="80">
        <v>261064.96494458799</v>
      </c>
      <c r="AF6" s="81">
        <v>15883192.467228735</v>
      </c>
      <c r="AG6" s="80">
        <v>758429.22151321103</v>
      </c>
      <c r="AH6" s="81">
        <v>46142833.836863764</v>
      </c>
      <c r="AI6" s="80">
        <v>115770.67214345399</v>
      </c>
      <c r="AJ6" s="81">
        <v>7043487.6932077417</v>
      </c>
      <c r="AK6" s="80"/>
      <c r="AL6" s="81">
        <v>0</v>
      </c>
    </row>
    <row r="7" spans="1:38" x14ac:dyDescent="0.2">
      <c r="A7" s="90"/>
      <c r="B7" s="1"/>
      <c r="C7" s="86" t="s">
        <v>1270</v>
      </c>
      <c r="D7" s="45" t="s">
        <v>1258</v>
      </c>
      <c r="E7" s="45" t="s">
        <v>1263</v>
      </c>
      <c r="F7" s="45" t="s">
        <v>552</v>
      </c>
      <c r="G7" s="45" t="s">
        <v>26</v>
      </c>
      <c r="H7" s="45" t="s">
        <v>1738</v>
      </c>
      <c r="I7" s="45"/>
      <c r="J7" s="34" t="s">
        <v>470</v>
      </c>
      <c r="K7" s="34" t="s">
        <v>453</v>
      </c>
      <c r="L7" s="34" t="s">
        <v>450</v>
      </c>
      <c r="M7" s="34" t="s">
        <v>777</v>
      </c>
      <c r="N7" s="34" t="s">
        <v>34</v>
      </c>
      <c r="O7" s="111">
        <v>0.18</v>
      </c>
      <c r="P7" s="45">
        <v>79.55</v>
      </c>
      <c r="Q7" s="112">
        <f t="shared" si="0"/>
        <v>0.15855684931289624</v>
      </c>
      <c r="R7" s="112">
        <f t="shared" si="1"/>
        <v>0.15064424572526267</v>
      </c>
      <c r="S7" s="113">
        <f t="shared" si="2"/>
        <v>0.114731271831365</v>
      </c>
      <c r="T7" s="113">
        <f t="shared" si="3"/>
        <v>0.10898050862747996</v>
      </c>
      <c r="U7" s="114">
        <f t="shared" si="4"/>
        <v>7.6085396817934789E-2</v>
      </c>
      <c r="V7" s="114">
        <f t="shared" si="5"/>
        <v>7.2284513541486267E-2</v>
      </c>
      <c r="W7" s="115">
        <f t="shared" si="6"/>
        <v>5.306230618061035E-2</v>
      </c>
      <c r="X7" s="115">
        <f t="shared" si="7"/>
        <v>5.0410698468698702E-2</v>
      </c>
      <c r="Y7" s="144"/>
      <c r="Z7" s="144"/>
      <c r="AA7" s="1"/>
      <c r="AB7" s="1">
        <v>1</v>
      </c>
      <c r="AC7" s="80">
        <v>534700.927006969</v>
      </c>
      <c r="AD7" s="81">
        <v>42535458.743404381</v>
      </c>
      <c r="AE7" s="80">
        <v>170405.80533116401</v>
      </c>
      <c r="AF7" s="81">
        <v>13555781.814094096</v>
      </c>
      <c r="AG7" s="80">
        <v>495236.00126803201</v>
      </c>
      <c r="AH7" s="81">
        <v>39396023.900871947</v>
      </c>
      <c r="AI7" s="80">
        <v>75555.592054443303</v>
      </c>
      <c r="AJ7" s="81">
        <v>6010447.3479309641</v>
      </c>
      <c r="AK7" s="80"/>
      <c r="AL7" s="81">
        <v>0</v>
      </c>
    </row>
    <row r="8" spans="1:38" x14ac:dyDescent="0.2">
      <c r="A8" s="91"/>
      <c r="B8" s="3"/>
      <c r="C8" s="86" t="s">
        <v>1271</v>
      </c>
      <c r="D8" s="45" t="s">
        <v>1259</v>
      </c>
      <c r="E8" s="45" t="s">
        <v>1264</v>
      </c>
      <c r="F8" s="45" t="s">
        <v>552</v>
      </c>
      <c r="G8" s="45" t="s">
        <v>26</v>
      </c>
      <c r="H8" s="45" t="s">
        <v>1739</v>
      </c>
      <c r="I8" s="45"/>
      <c r="J8" s="34" t="s">
        <v>470</v>
      </c>
      <c r="K8" s="34" t="s">
        <v>453</v>
      </c>
      <c r="L8" s="34" t="s">
        <v>444</v>
      </c>
      <c r="M8" s="34" t="s">
        <v>777</v>
      </c>
      <c r="N8" s="34" t="s">
        <v>34</v>
      </c>
      <c r="O8" s="111">
        <v>0.15</v>
      </c>
      <c r="P8" s="45">
        <v>42.405000000000001</v>
      </c>
      <c r="Q8" s="112">
        <f t="shared" si="0"/>
        <v>8.5511248922108846E-2</v>
      </c>
      <c r="R8" s="112">
        <f t="shared" si="1"/>
        <v>8.1243904950932491E-2</v>
      </c>
      <c r="S8" s="113">
        <f t="shared" si="2"/>
        <v>6.1838166142511496E-2</v>
      </c>
      <c r="T8" s="113">
        <f t="shared" si="3"/>
        <v>5.8738604490560321E-2</v>
      </c>
      <c r="U8" s="114">
        <f t="shared" si="4"/>
        <v>4.100870960762875E-2</v>
      </c>
      <c r="V8" s="114">
        <f t="shared" si="5"/>
        <v>3.8960099426763803E-2</v>
      </c>
      <c r="W8" s="115">
        <f t="shared" si="6"/>
        <v>2.8669718814742721E-2</v>
      </c>
      <c r="X8" s="115">
        <f t="shared" si="7"/>
        <v>2.7237047433126646E-2</v>
      </c>
      <c r="Y8" s="144"/>
      <c r="Z8" s="144"/>
      <c r="AA8" s="1"/>
      <c r="AB8" s="1">
        <v>1</v>
      </c>
      <c r="AC8" s="80">
        <v>540968.89644928195</v>
      </c>
      <c r="AD8" s="81">
        <v>22939786.053931803</v>
      </c>
      <c r="AE8" s="80">
        <v>172298.81731630399</v>
      </c>
      <c r="AF8" s="81">
        <v>7306331.3482978707</v>
      </c>
      <c r="AG8" s="80">
        <v>500737.50213563</v>
      </c>
      <c r="AH8" s="81">
        <v>21233773.77806139</v>
      </c>
      <c r="AI8" s="80">
        <v>76582.059541512994</v>
      </c>
      <c r="AJ8" s="81">
        <v>3247462.2348578586</v>
      </c>
      <c r="AK8" s="80"/>
      <c r="AL8" s="81">
        <v>0</v>
      </c>
    </row>
    <row r="9" spans="1:38" x14ac:dyDescent="0.2">
      <c r="A9" s="90"/>
      <c r="B9" s="1"/>
      <c r="C9" s="86" t="s">
        <v>1272</v>
      </c>
      <c r="D9" s="45" t="s">
        <v>1260</v>
      </c>
      <c r="E9" s="45" t="s">
        <v>1265</v>
      </c>
      <c r="F9" s="45" t="s">
        <v>552</v>
      </c>
      <c r="G9" s="45" t="s">
        <v>26</v>
      </c>
      <c r="H9" s="45" t="s">
        <v>1740</v>
      </c>
      <c r="I9" s="45"/>
      <c r="J9" s="34" t="s">
        <v>470</v>
      </c>
      <c r="K9" s="34" t="s">
        <v>446</v>
      </c>
      <c r="L9" s="34" t="s">
        <v>1283</v>
      </c>
      <c r="M9" s="34" t="s">
        <v>777</v>
      </c>
      <c r="N9" s="34" t="s">
        <v>34</v>
      </c>
      <c r="O9" s="111">
        <v>0.35</v>
      </c>
      <c r="P9" s="45">
        <v>9.5820000000000007</v>
      </c>
      <c r="Q9" s="112">
        <f t="shared" si="0"/>
        <v>4.0371254471610989E-2</v>
      </c>
      <c r="R9" s="112">
        <f t="shared" si="1"/>
        <v>3.8356571824007729E-2</v>
      </c>
      <c r="S9" s="113">
        <f t="shared" si="2"/>
        <v>2.9212521509021146E-2</v>
      </c>
      <c r="T9" s="113">
        <f t="shared" si="3"/>
        <v>2.7748279972208922E-2</v>
      </c>
      <c r="U9" s="114">
        <f t="shared" si="4"/>
        <v>1.9372628365292015E-2</v>
      </c>
      <c r="V9" s="114">
        <f t="shared" si="5"/>
        <v>1.8404859223590777E-2</v>
      </c>
      <c r="W9" s="115">
        <f t="shared" si="6"/>
        <v>1.3535441576274988E-2</v>
      </c>
      <c r="X9" s="115">
        <f t="shared" si="7"/>
        <v>1.2859054064099816E-2</v>
      </c>
      <c r="Y9" s="144"/>
      <c r="Z9" s="144"/>
      <c r="AA9" s="1"/>
      <c r="AB9" s="1">
        <v>1</v>
      </c>
      <c r="AC9" s="80">
        <v>1130269.97709346</v>
      </c>
      <c r="AD9" s="81">
        <v>10830246.920509536</v>
      </c>
      <c r="AE9" s="80">
        <v>360209.89671060903</v>
      </c>
      <c r="AF9" s="81">
        <v>3451531.2302810559</v>
      </c>
      <c r="AG9" s="80">
        <v>1046847.60309342</v>
      </c>
      <c r="AH9" s="81">
        <v>10030893.732841151</v>
      </c>
      <c r="AI9" s="80">
        <v>160006.246665738</v>
      </c>
      <c r="AJ9" s="81">
        <v>1533179.8555511017</v>
      </c>
      <c r="AK9" s="80"/>
      <c r="AL9" s="81">
        <v>0</v>
      </c>
    </row>
    <row r="10" spans="1:38" x14ac:dyDescent="0.2">
      <c r="A10" s="90"/>
      <c r="B10" s="1"/>
      <c r="C10" s="86" t="s">
        <v>780</v>
      </c>
      <c r="D10" s="45" t="s">
        <v>451</v>
      </c>
      <c r="E10" s="45" t="s">
        <v>542</v>
      </c>
      <c r="F10" s="45" t="s">
        <v>552</v>
      </c>
      <c r="G10" s="45" t="s">
        <v>26</v>
      </c>
      <c r="H10" s="45" t="s">
        <v>1741</v>
      </c>
      <c r="I10" s="45"/>
      <c r="J10" s="34" t="s">
        <v>470</v>
      </c>
      <c r="K10" s="34" t="s">
        <v>453</v>
      </c>
      <c r="L10" s="34" t="s">
        <v>452</v>
      </c>
      <c r="M10" s="34" t="s">
        <v>777</v>
      </c>
      <c r="N10" s="34" t="s">
        <v>34</v>
      </c>
      <c r="O10" s="111">
        <v>0.12</v>
      </c>
      <c r="P10" s="45">
        <v>127.08</v>
      </c>
      <c r="Q10" s="112">
        <f t="shared" si="0"/>
        <v>3.9566054574080585E-2</v>
      </c>
      <c r="R10" s="112">
        <f t="shared" si="1"/>
        <v>3.7591554533697204E-2</v>
      </c>
      <c r="S10" s="113">
        <f t="shared" si="2"/>
        <v>2.862988122118441E-2</v>
      </c>
      <c r="T10" s="113">
        <f t="shared" si="3"/>
        <v>2.7194843808713433E-2</v>
      </c>
      <c r="U10" s="114">
        <f t="shared" si="4"/>
        <v>1.8986243582882135E-2</v>
      </c>
      <c r="V10" s="114">
        <f t="shared" si="5"/>
        <v>1.8037776482297277E-2</v>
      </c>
      <c r="W10" s="115">
        <f t="shared" si="6"/>
        <v>1.3265478794268622E-2</v>
      </c>
      <c r="X10" s="115">
        <f t="shared" si="7"/>
        <v>1.2602581751057627E-2</v>
      </c>
      <c r="Y10" s="144"/>
      <c r="Z10" s="144"/>
      <c r="AA10" s="1"/>
      <c r="AB10" s="1">
        <v>1</v>
      </c>
      <c r="AC10" s="80">
        <v>83524.070869450399</v>
      </c>
      <c r="AD10" s="81">
        <v>10614238.926089756</v>
      </c>
      <c r="AE10" s="80">
        <v>26618.593389609701</v>
      </c>
      <c r="AF10" s="81">
        <v>3382690.8479516008</v>
      </c>
      <c r="AG10" s="80">
        <v>77359.370028687496</v>
      </c>
      <c r="AH10" s="81">
        <v>9830828.7432456072</v>
      </c>
      <c r="AI10" s="80">
        <v>11824.0538605042</v>
      </c>
      <c r="AJ10" s="81">
        <v>1502600.7645928736</v>
      </c>
      <c r="AK10" s="80"/>
      <c r="AL10" s="81">
        <v>0</v>
      </c>
    </row>
    <row r="11" spans="1:38" x14ac:dyDescent="0.2">
      <c r="A11" s="90"/>
      <c r="B11" s="1"/>
      <c r="C11" s="86" t="s">
        <v>781</v>
      </c>
      <c r="D11" s="45" t="s">
        <v>454</v>
      </c>
      <c r="E11" s="45" t="s">
        <v>543</v>
      </c>
      <c r="F11" s="45" t="s">
        <v>552</v>
      </c>
      <c r="G11" s="45" t="s">
        <v>26</v>
      </c>
      <c r="H11" s="45" t="s">
        <v>1742</v>
      </c>
      <c r="I11" s="45"/>
      <c r="J11" s="34" t="s">
        <v>470</v>
      </c>
      <c r="K11" s="34" t="s">
        <v>446</v>
      </c>
      <c r="L11" s="34" t="s">
        <v>455</v>
      </c>
      <c r="M11" s="34" t="s">
        <v>777</v>
      </c>
      <c r="N11" s="34" t="s">
        <v>34</v>
      </c>
      <c r="O11" s="111">
        <v>0.25</v>
      </c>
      <c r="P11" s="45">
        <v>57.9</v>
      </c>
      <c r="Q11" s="112">
        <f t="shared" si="0"/>
        <v>3.9272309280557485E-2</v>
      </c>
      <c r="R11" s="112">
        <f t="shared" si="1"/>
        <v>3.7312468273028587E-2</v>
      </c>
      <c r="S11" s="113">
        <f t="shared" si="2"/>
        <v>2.8417327987019909E-2</v>
      </c>
      <c r="T11" s="113">
        <f t="shared" si="3"/>
        <v>2.6992944542716359E-2</v>
      </c>
      <c r="U11" s="114">
        <f t="shared" si="4"/>
        <v>1.8845286397380749E-2</v>
      </c>
      <c r="V11" s="114">
        <f t="shared" si="5"/>
        <v>1.7903860882060269E-2</v>
      </c>
      <c r="W11" s="115">
        <f t="shared" si="6"/>
        <v>1.3166993564844149E-2</v>
      </c>
      <c r="X11" s="115">
        <f t="shared" si="7"/>
        <v>1.2509017984958975E-2</v>
      </c>
      <c r="Y11" s="144"/>
      <c r="Z11" s="144"/>
      <c r="AA11" s="1"/>
      <c r="AB11" s="1">
        <v>1</v>
      </c>
      <c r="AC11" s="80">
        <v>181959.18763547501</v>
      </c>
      <c r="AD11" s="81">
        <v>10535436.964094004</v>
      </c>
      <c r="AE11" s="80">
        <v>57989.242846446898</v>
      </c>
      <c r="AF11" s="81">
        <v>3357577.1608092752</v>
      </c>
      <c r="AG11" s="80">
        <v>168529.23929454401</v>
      </c>
      <c r="AH11" s="81">
        <v>9757842.9551540986</v>
      </c>
      <c r="AI11" s="80">
        <v>25758.9843576741</v>
      </c>
      <c r="AJ11" s="81">
        <v>1491445.1943093303</v>
      </c>
      <c r="AK11" s="80"/>
      <c r="AL11" s="81">
        <v>0</v>
      </c>
    </row>
    <row r="12" spans="1:38" x14ac:dyDescent="0.2">
      <c r="A12" s="90"/>
      <c r="B12" s="1"/>
      <c r="C12" s="86" t="s">
        <v>1273</v>
      </c>
      <c r="D12" s="45" t="s">
        <v>1267</v>
      </c>
      <c r="E12" s="45" t="s">
        <v>1266</v>
      </c>
      <c r="F12" s="45" t="s">
        <v>552</v>
      </c>
      <c r="G12" s="45" t="s">
        <v>26</v>
      </c>
      <c r="H12" s="45" t="s">
        <v>1743</v>
      </c>
      <c r="I12" s="45"/>
      <c r="J12" s="34" t="s">
        <v>447</v>
      </c>
      <c r="K12" s="34" t="s">
        <v>446</v>
      </c>
      <c r="L12" s="34" t="s">
        <v>447</v>
      </c>
      <c r="M12" s="34" t="s">
        <v>777</v>
      </c>
      <c r="N12" s="34" t="s">
        <v>34</v>
      </c>
      <c r="O12" s="111">
        <v>0.35</v>
      </c>
      <c r="P12" s="45">
        <v>17.422000000000001</v>
      </c>
      <c r="Q12" s="112">
        <f t="shared" si="0"/>
        <v>0</v>
      </c>
      <c r="R12" s="112">
        <f t="shared" si="1"/>
        <v>0</v>
      </c>
      <c r="S12" s="113">
        <f t="shared" si="2"/>
        <v>2.9921064303121605E-2</v>
      </c>
      <c r="T12" s="113">
        <f t="shared" si="3"/>
        <v>2.8421307934444882E-2</v>
      </c>
      <c r="U12" s="114">
        <f t="shared" si="4"/>
        <v>2.9763760320692209E-2</v>
      </c>
      <c r="V12" s="114">
        <f t="shared" si="5"/>
        <v>2.8276897090973536E-2</v>
      </c>
      <c r="W12" s="115">
        <f t="shared" si="6"/>
        <v>2.9664327115608357E-2</v>
      </c>
      <c r="X12" s="115">
        <f t="shared" si="7"/>
        <v>2.8181953577589014E-2</v>
      </c>
      <c r="Y12" s="144"/>
      <c r="Z12" s="144"/>
      <c r="AA12" s="1"/>
      <c r="AB12" s="1">
        <v>1</v>
      </c>
      <c r="AC12" s="80"/>
      <c r="AD12" s="81"/>
      <c r="AE12" s="80">
        <v>202918.56866234401</v>
      </c>
      <c r="AF12" s="81">
        <v>3535247.3032353576</v>
      </c>
      <c r="AG12" s="80">
        <v>884587.64945310703</v>
      </c>
      <c r="AH12" s="81">
        <v>15411286.028772032</v>
      </c>
      <c r="AI12" s="80">
        <v>192866.66371590801</v>
      </c>
      <c r="AJ12" s="81">
        <v>3360123.0152585497</v>
      </c>
      <c r="AK12" s="80"/>
      <c r="AL12" s="81"/>
    </row>
    <row r="13" spans="1:38" x14ac:dyDescent="0.2">
      <c r="A13" s="90"/>
      <c r="B13" s="1"/>
      <c r="C13" s="116" t="s">
        <v>456</v>
      </c>
      <c r="D13" s="45"/>
      <c r="E13" s="45"/>
      <c r="F13" s="45"/>
      <c r="G13" s="45"/>
      <c r="H13" s="45"/>
      <c r="I13" s="45"/>
      <c r="J13" s="45"/>
      <c r="K13" s="45"/>
      <c r="L13" s="45"/>
      <c r="M13" s="34"/>
      <c r="N13" s="34"/>
      <c r="O13" s="111"/>
      <c r="P13" s="45"/>
      <c r="Q13" s="112"/>
      <c r="R13" s="112"/>
      <c r="S13" s="113"/>
      <c r="T13" s="113"/>
      <c r="U13" s="114"/>
      <c r="V13" s="114"/>
      <c r="W13" s="115"/>
      <c r="X13" s="115"/>
      <c r="Y13" s="144"/>
      <c r="Z13" s="144"/>
      <c r="AA13" s="1"/>
      <c r="AB13" s="1">
        <v>1</v>
      </c>
      <c r="AC13" s="80"/>
      <c r="AD13" s="81"/>
      <c r="AE13" s="80"/>
      <c r="AF13" s="81"/>
      <c r="AG13" s="80"/>
      <c r="AH13" s="81"/>
      <c r="AI13" s="80"/>
      <c r="AJ13" s="81"/>
      <c r="AK13" s="80"/>
      <c r="AL13" s="81"/>
    </row>
    <row r="14" spans="1:38" x14ac:dyDescent="0.2">
      <c r="A14" s="90"/>
      <c r="B14" s="1"/>
      <c r="C14" s="86" t="s">
        <v>782</v>
      </c>
      <c r="D14" s="45" t="s">
        <v>457</v>
      </c>
      <c r="E14" s="45" t="s">
        <v>544</v>
      </c>
      <c r="F14" s="45" t="s">
        <v>551</v>
      </c>
      <c r="G14" s="45" t="s">
        <v>26</v>
      </c>
      <c r="H14" s="45" t="s">
        <v>1744</v>
      </c>
      <c r="I14" s="45"/>
      <c r="J14" s="34" t="s">
        <v>458</v>
      </c>
      <c r="K14" s="34" t="s">
        <v>458</v>
      </c>
      <c r="L14" s="34" t="s">
        <v>459</v>
      </c>
      <c r="M14" s="34" t="s">
        <v>783</v>
      </c>
      <c r="N14" s="34" t="s">
        <v>34</v>
      </c>
      <c r="O14" s="111">
        <v>0.2</v>
      </c>
      <c r="P14" s="45">
        <v>5.4771999999999998</v>
      </c>
      <c r="Q14" s="112"/>
      <c r="R14" s="112"/>
      <c r="S14" s="113">
        <f t="shared" ref="S14:S21" si="8">AF14/$AF$22</f>
        <v>2.7258576364324719E-2</v>
      </c>
      <c r="T14" s="113">
        <f t="shared" ref="T14:T20" si="9">S14*(1-$T$39)/(1-$S$21)</f>
        <v>2.5892273913004776E-2</v>
      </c>
      <c r="U14" s="114">
        <f t="shared" ref="U14:U21" si="10">AH14/$AH$22</f>
        <v>5.4128984436430959E-2</v>
      </c>
      <c r="V14" s="114">
        <f t="shared" ref="V14:V20" si="11">U14*(1-$V$39)/(1-$U$21)</f>
        <v>5.1424944498151014E-2</v>
      </c>
      <c r="W14" s="115">
        <f t="shared" ref="W14:W21" si="12">AJ14/$AJ$22</f>
        <v>7.014272072843443E-2</v>
      </c>
      <c r="X14" s="115">
        <f t="shared" ref="X14:X20" si="13">W14*(1-$X$39)/(1-$W$21)</f>
        <v>6.6637577574932647E-2</v>
      </c>
      <c r="Y14" s="144">
        <f t="shared" ref="Y14:Y21" si="14">AL14/$AL$22</f>
        <v>0.11468033051553676</v>
      </c>
      <c r="Z14" s="144">
        <f t="shared" ref="Z14:Z20" si="15">Y14*(1-$Z$39)/(1-$Y$21)</f>
        <v>0.10893227396047508</v>
      </c>
      <c r="AA14" s="1"/>
      <c r="AB14" s="1">
        <v>1</v>
      </c>
      <c r="AC14" s="80"/>
      <c r="AD14" s="81">
        <v>0</v>
      </c>
      <c r="AE14" s="80">
        <v>588013.54852754402</v>
      </c>
      <c r="AF14" s="81">
        <v>3220667.8079950642</v>
      </c>
      <c r="AG14" s="80">
        <v>5117081.8263143003</v>
      </c>
      <c r="AH14" s="81">
        <v>28027280.579088684</v>
      </c>
      <c r="AI14" s="80">
        <v>1450590.0152819301</v>
      </c>
      <c r="AJ14" s="81">
        <v>7945171.6317021875</v>
      </c>
      <c r="AK14" s="80">
        <v>99379759.429381698</v>
      </c>
      <c r="AL14" s="81">
        <v>544322818.34660947</v>
      </c>
    </row>
    <row r="15" spans="1:38" x14ac:dyDescent="0.2">
      <c r="A15" s="90"/>
      <c r="B15" s="1"/>
      <c r="C15" s="86" t="s">
        <v>784</v>
      </c>
      <c r="D15" s="145" t="s">
        <v>460</v>
      </c>
      <c r="E15" s="145" t="s">
        <v>545</v>
      </c>
      <c r="F15" s="45" t="s">
        <v>552</v>
      </c>
      <c r="G15" s="45" t="s">
        <v>26</v>
      </c>
      <c r="H15" s="45" t="s">
        <v>1745</v>
      </c>
      <c r="I15" s="45"/>
      <c r="J15" s="34" t="s">
        <v>458</v>
      </c>
      <c r="K15" s="34" t="s">
        <v>458</v>
      </c>
      <c r="L15" s="34" t="s">
        <v>1403</v>
      </c>
      <c r="M15" s="34" t="s">
        <v>777</v>
      </c>
      <c r="N15" s="34" t="s">
        <v>34</v>
      </c>
      <c r="O15" s="111">
        <v>0.2</v>
      </c>
      <c r="P15" s="45">
        <v>91.7</v>
      </c>
      <c r="Q15" s="112"/>
      <c r="R15" s="112"/>
      <c r="S15" s="113">
        <f t="shared" si="8"/>
        <v>4.154339763881007E-2</v>
      </c>
      <c r="T15" s="113">
        <f t="shared" si="9"/>
        <v>3.9461086175752433E-2</v>
      </c>
      <c r="U15" s="114">
        <f t="shared" si="10"/>
        <v>8.2649983149145775E-2</v>
      </c>
      <c r="V15" s="114">
        <f t="shared" si="11"/>
        <v>7.8521162746170742E-2</v>
      </c>
      <c r="W15" s="115">
        <f t="shared" si="12"/>
        <v>0.1071660061935229</v>
      </c>
      <c r="X15" s="115">
        <f t="shared" si="13"/>
        <v>0.10181075066598698</v>
      </c>
      <c r="Y15" s="144">
        <f t="shared" si="14"/>
        <v>0.1823555395331625</v>
      </c>
      <c r="Z15" s="144">
        <f t="shared" si="15"/>
        <v>0.17321543721872598</v>
      </c>
      <c r="AA15" s="1"/>
      <c r="AB15" s="1">
        <v>1</v>
      </c>
      <c r="AC15" s="80"/>
      <c r="AD15" s="81">
        <v>0</v>
      </c>
      <c r="AE15" s="80">
        <v>53527.312523081797</v>
      </c>
      <c r="AF15" s="81">
        <v>4908454.5583666014</v>
      </c>
      <c r="AG15" s="80">
        <v>466685.72401695198</v>
      </c>
      <c r="AH15" s="81">
        <v>42795080.892354496</v>
      </c>
      <c r="AI15" s="80">
        <v>132375.73548397701</v>
      </c>
      <c r="AJ15" s="81">
        <v>12138854.943880692</v>
      </c>
      <c r="AK15" s="80">
        <v>9438809.6891840007</v>
      </c>
      <c r="AL15" s="81">
        <v>865538848.49817288</v>
      </c>
    </row>
    <row r="16" spans="1:38" x14ac:dyDescent="0.2">
      <c r="A16" s="90"/>
      <c r="B16" s="1"/>
      <c r="C16" s="86" t="s">
        <v>785</v>
      </c>
      <c r="D16" s="145" t="s">
        <v>462</v>
      </c>
      <c r="E16" s="145" t="s">
        <v>546</v>
      </c>
      <c r="F16" s="45" t="s">
        <v>552</v>
      </c>
      <c r="G16" s="45" t="s">
        <v>26</v>
      </c>
      <c r="H16" s="45" t="s">
        <v>1746</v>
      </c>
      <c r="I16" s="45"/>
      <c r="J16" s="34" t="s">
        <v>458</v>
      </c>
      <c r="K16" s="34" t="s">
        <v>458</v>
      </c>
      <c r="L16" s="34" t="s">
        <v>450</v>
      </c>
      <c r="M16" s="34" t="s">
        <v>777</v>
      </c>
      <c r="N16" s="34" t="s">
        <v>34</v>
      </c>
      <c r="O16" s="111">
        <v>0.5</v>
      </c>
      <c r="P16" s="45">
        <v>5.65</v>
      </c>
      <c r="Q16" s="112"/>
      <c r="R16" s="112"/>
      <c r="S16" s="113">
        <f t="shared" si="8"/>
        <v>2.6643372144023771E-2</v>
      </c>
      <c r="T16" s="113">
        <f t="shared" si="9"/>
        <v>2.5307906043913996E-2</v>
      </c>
      <c r="U16" s="114">
        <f t="shared" si="10"/>
        <v>5.3006599938826171E-2</v>
      </c>
      <c r="V16" s="114">
        <f t="shared" si="11"/>
        <v>5.0358629268041799E-2</v>
      </c>
      <c r="W16" s="115">
        <f t="shared" si="12"/>
        <v>6.8658587424420825E-2</v>
      </c>
      <c r="X16" s="115">
        <f t="shared" si="13"/>
        <v>6.522760876917949E-2</v>
      </c>
      <c r="Y16" s="144">
        <f t="shared" si="14"/>
        <v>6.9757546777957244E-2</v>
      </c>
      <c r="Z16" s="144">
        <f t="shared" si="15"/>
        <v>6.6261129195103005E-2</v>
      </c>
      <c r="AA16" s="1"/>
      <c r="AB16" s="1">
        <v>1</v>
      </c>
      <c r="AC16" s="80"/>
      <c r="AD16" s="81">
        <v>0</v>
      </c>
      <c r="AE16" s="80">
        <v>557164.58707824803</v>
      </c>
      <c r="AF16" s="81">
        <v>3147979.9169921018</v>
      </c>
      <c r="AG16" s="80">
        <v>4857721.1606708802</v>
      </c>
      <c r="AH16" s="81">
        <v>27446124.557790477</v>
      </c>
      <c r="AI16" s="80">
        <v>1376471.0826250799</v>
      </c>
      <c r="AJ16" s="81">
        <v>7777061.6168317022</v>
      </c>
      <c r="AK16" s="80">
        <v>58601719.026585601</v>
      </c>
      <c r="AL16" s="81">
        <v>331099712.50020868</v>
      </c>
    </row>
    <row r="17" spans="1:38" x14ac:dyDescent="0.2">
      <c r="A17" s="91"/>
      <c r="B17" s="3"/>
      <c r="C17" s="86" t="s">
        <v>786</v>
      </c>
      <c r="D17" s="145" t="s">
        <v>463</v>
      </c>
      <c r="E17" s="145" t="s">
        <v>547</v>
      </c>
      <c r="F17" s="45" t="s">
        <v>552</v>
      </c>
      <c r="G17" s="45" t="s">
        <v>26</v>
      </c>
      <c r="H17" s="45" t="s">
        <v>1747</v>
      </c>
      <c r="I17" s="45"/>
      <c r="J17" s="34" t="s">
        <v>458</v>
      </c>
      <c r="K17" s="34" t="s">
        <v>458</v>
      </c>
      <c r="L17" s="34" t="s">
        <v>464</v>
      </c>
      <c r="M17" s="34" t="s">
        <v>777</v>
      </c>
      <c r="N17" s="34" t="s">
        <v>34</v>
      </c>
      <c r="O17" s="111">
        <v>7.0000000000000007E-2</v>
      </c>
      <c r="P17" s="45">
        <v>3.2989999999999999</v>
      </c>
      <c r="Q17" s="112"/>
      <c r="R17" s="112"/>
      <c r="S17" s="113">
        <f t="shared" si="8"/>
        <v>1.1204106947841659E-2</v>
      </c>
      <c r="T17" s="113">
        <f t="shared" si="9"/>
        <v>1.0642514934264536E-2</v>
      </c>
      <c r="U17" s="114">
        <f t="shared" si="10"/>
        <v>2.2290407214436588E-2</v>
      </c>
      <c r="V17" s="114">
        <f t="shared" si="11"/>
        <v>2.1176879000746454E-2</v>
      </c>
      <c r="W17" s="115">
        <f t="shared" si="12"/>
        <v>2.8941867563290053E-2</v>
      </c>
      <c r="X17" s="115">
        <f t="shared" si="13"/>
        <v>2.7495596476490056E-2</v>
      </c>
      <c r="Y17" s="144">
        <f t="shared" si="14"/>
        <v>5.2383163837728466E-2</v>
      </c>
      <c r="Z17" s="144">
        <f t="shared" si="15"/>
        <v>4.9757592504625865E-2</v>
      </c>
      <c r="AA17" s="1"/>
      <c r="AB17" s="1">
        <v>1</v>
      </c>
      <c r="AC17" s="80"/>
      <c r="AD17" s="81">
        <v>0</v>
      </c>
      <c r="AE17" s="80">
        <v>401270.92430101999</v>
      </c>
      <c r="AF17" s="81">
        <v>1323792.779269065</v>
      </c>
      <c r="AG17" s="80">
        <v>3498539.3999300902</v>
      </c>
      <c r="AH17" s="81">
        <v>11541681.480369367</v>
      </c>
      <c r="AI17" s="80">
        <v>993722.01683506102</v>
      </c>
      <c r="AJ17" s="81">
        <v>3278288.9335388662</v>
      </c>
      <c r="AK17" s="80">
        <v>75366268.722945303</v>
      </c>
      <c r="AL17" s="81">
        <v>248633320.51699656</v>
      </c>
    </row>
    <row r="18" spans="1:38" x14ac:dyDescent="0.2">
      <c r="A18" s="90"/>
      <c r="B18" s="1"/>
      <c r="C18" s="86" t="s">
        <v>787</v>
      </c>
      <c r="D18" s="45" t="s">
        <v>465</v>
      </c>
      <c r="E18" s="45" t="s">
        <v>548</v>
      </c>
      <c r="F18" s="45" t="s">
        <v>552</v>
      </c>
      <c r="G18" s="45" t="s">
        <v>26</v>
      </c>
      <c r="H18" s="45" t="s">
        <v>1748</v>
      </c>
      <c r="I18" s="45"/>
      <c r="J18" s="34" t="s">
        <v>458</v>
      </c>
      <c r="K18" s="34" t="s">
        <v>458</v>
      </c>
      <c r="L18" s="34" t="s">
        <v>464</v>
      </c>
      <c r="M18" s="34" t="s">
        <v>777</v>
      </c>
      <c r="N18" s="34" t="s">
        <v>34</v>
      </c>
      <c r="O18" s="111">
        <v>7.0000000000000007E-2</v>
      </c>
      <c r="P18" s="45">
        <v>176.43</v>
      </c>
      <c r="Q18" s="112"/>
      <c r="R18" s="112"/>
      <c r="S18" s="113">
        <f t="shared" si="8"/>
        <v>6.0898876626981735E-2</v>
      </c>
      <c r="T18" s="113">
        <f t="shared" si="9"/>
        <v>5.7846395701126263E-2</v>
      </c>
      <c r="U18" s="114">
        <f t="shared" si="10"/>
        <v>0.12115742604355059</v>
      </c>
      <c r="V18" s="114">
        <f t="shared" si="11"/>
        <v>0.11510494746387745</v>
      </c>
      <c r="W18" s="115">
        <f t="shared" si="12"/>
        <v>0.1569378131282714</v>
      </c>
      <c r="X18" s="115">
        <f t="shared" si="13"/>
        <v>0.14909538136201816</v>
      </c>
      <c r="Y18" s="144">
        <f t="shared" si="14"/>
        <v>0.27248823869612859</v>
      </c>
      <c r="Z18" s="144">
        <f t="shared" si="15"/>
        <v>0.25883046670006432</v>
      </c>
      <c r="AA18" s="1"/>
      <c r="AB18" s="1">
        <v>1</v>
      </c>
      <c r="AC18" s="80"/>
      <c r="AD18" s="81">
        <v>0</v>
      </c>
      <c r="AE18" s="80">
        <v>40783.041336254202</v>
      </c>
      <c r="AF18" s="81">
        <v>7195351.9829553291</v>
      </c>
      <c r="AG18" s="80">
        <v>355572.92672625399</v>
      </c>
      <c r="AH18" s="81">
        <v>62733731.462312996</v>
      </c>
      <c r="AI18" s="80">
        <v>100757.14156214699</v>
      </c>
      <c r="AJ18" s="81">
        <v>17776582.485809594</v>
      </c>
      <c r="AK18" s="80">
        <v>7330657.5542331003</v>
      </c>
      <c r="AL18" s="81">
        <v>1293347912.2933459</v>
      </c>
    </row>
    <row r="19" spans="1:38" x14ac:dyDescent="0.2">
      <c r="A19" s="90"/>
      <c r="B19" s="1"/>
      <c r="C19" s="86" t="s">
        <v>788</v>
      </c>
      <c r="D19" s="45" t="s">
        <v>466</v>
      </c>
      <c r="E19" s="45" t="s">
        <v>549</v>
      </c>
      <c r="F19" s="45" t="s">
        <v>552</v>
      </c>
      <c r="G19" s="45" t="s">
        <v>26</v>
      </c>
      <c r="H19" s="45" t="s">
        <v>1749</v>
      </c>
      <c r="I19" s="45"/>
      <c r="J19" s="34" t="s">
        <v>458</v>
      </c>
      <c r="K19" s="34" t="s">
        <v>458</v>
      </c>
      <c r="L19" s="34" t="s">
        <v>1286</v>
      </c>
      <c r="M19" s="34" t="s">
        <v>777</v>
      </c>
      <c r="N19" s="34" t="s">
        <v>34</v>
      </c>
      <c r="O19" s="111">
        <v>0.28000000000000003</v>
      </c>
      <c r="P19" s="45">
        <v>4.2510000000000003</v>
      </c>
      <c r="Q19" s="112"/>
      <c r="R19" s="112"/>
      <c r="S19" s="113">
        <f t="shared" si="8"/>
        <v>3.8417727435275086E-2</v>
      </c>
      <c r="T19" s="113">
        <f t="shared" si="9"/>
        <v>3.6492086328146121E-2</v>
      </c>
      <c r="U19" s="114">
        <f t="shared" si="10"/>
        <v>7.6431507907953306E-2</v>
      </c>
      <c r="V19" s="114">
        <f t="shared" si="11"/>
        <v>7.2613334482424088E-2</v>
      </c>
      <c r="W19" s="115">
        <f t="shared" si="12"/>
        <v>9.8968241551345593E-2</v>
      </c>
      <c r="X19" s="115">
        <f t="shared" si="13"/>
        <v>9.4022641342439178E-2</v>
      </c>
      <c r="Y19" s="144">
        <f t="shared" si="14"/>
        <v>0.13044336689906674</v>
      </c>
      <c r="Z19" s="144">
        <f t="shared" si="15"/>
        <v>0.1239052286952628</v>
      </c>
      <c r="AA19" s="1"/>
      <c r="AB19" s="1">
        <v>1</v>
      </c>
      <c r="AC19" s="80"/>
      <c r="AD19" s="81">
        <v>0</v>
      </c>
      <c r="AE19" s="80">
        <v>1067783.8014333299</v>
      </c>
      <c r="AF19" s="81">
        <v>4539148.9398930855</v>
      </c>
      <c r="AG19" s="80">
        <v>9309629.66337239</v>
      </c>
      <c r="AH19" s="81">
        <v>39575235.69899603</v>
      </c>
      <c r="AI19" s="80">
        <v>2637092.8710202798</v>
      </c>
      <c r="AJ19" s="81">
        <v>11210281.794707211</v>
      </c>
      <c r="AK19" s="80">
        <v>145645979.171691</v>
      </c>
      <c r="AL19" s="81">
        <v>619141057.45885849</v>
      </c>
    </row>
    <row r="20" spans="1:38" x14ac:dyDescent="0.2">
      <c r="A20" s="90"/>
      <c r="B20" s="1"/>
      <c r="C20" s="86" t="s">
        <v>789</v>
      </c>
      <c r="D20" s="45" t="s">
        <v>469</v>
      </c>
      <c r="E20" s="45" t="s">
        <v>550</v>
      </c>
      <c r="F20" s="45" t="s">
        <v>552</v>
      </c>
      <c r="G20" s="45" t="s">
        <v>26</v>
      </c>
      <c r="H20" s="45" t="s">
        <v>1750</v>
      </c>
      <c r="I20" s="45"/>
      <c r="J20" s="34" t="s">
        <v>458</v>
      </c>
      <c r="K20" s="34" t="s">
        <v>458</v>
      </c>
      <c r="L20" s="34" t="s">
        <v>1403</v>
      </c>
      <c r="M20" s="34" t="s">
        <v>777</v>
      </c>
      <c r="N20" s="34" t="s">
        <v>34</v>
      </c>
      <c r="O20" s="111">
        <v>7.0000000000000007E-2</v>
      </c>
      <c r="P20" s="45">
        <v>47.975999999999999</v>
      </c>
      <c r="Q20" s="112"/>
      <c r="R20" s="112"/>
      <c r="S20" s="113">
        <f t="shared" si="8"/>
        <v>3.9299088116354026E-2</v>
      </c>
      <c r="T20" s="113">
        <f t="shared" si="9"/>
        <v>3.7329269894361812E-2</v>
      </c>
      <c r="U20" s="114">
        <f t="shared" si="10"/>
        <v>7.8184962116798207E-2</v>
      </c>
      <c r="V20" s="114">
        <f t="shared" si="11"/>
        <v>7.4279194027152773E-2</v>
      </c>
      <c r="W20" s="115">
        <f t="shared" si="12"/>
        <v>0.10132097912446632</v>
      </c>
      <c r="X20" s="115">
        <f t="shared" si="13"/>
        <v>9.6257808882479215E-2</v>
      </c>
      <c r="Y20" s="144">
        <f t="shared" si="14"/>
        <v>0.17302005699313552</v>
      </c>
      <c r="Z20" s="144">
        <f t="shared" si="15"/>
        <v>0.16434787172574306</v>
      </c>
      <c r="AA20" s="1"/>
      <c r="AB20" s="1">
        <v>1</v>
      </c>
      <c r="AC20" s="80"/>
      <c r="AD20" s="81">
        <v>0</v>
      </c>
      <c r="AE20" s="80">
        <v>96783.472382798194</v>
      </c>
      <c r="AF20" s="81">
        <v>4643283.8710371265</v>
      </c>
      <c r="AG20" s="80">
        <v>843820.89727303002</v>
      </c>
      <c r="AH20" s="81">
        <v>40483151.367570885</v>
      </c>
      <c r="AI20" s="80">
        <v>239219.191335321</v>
      </c>
      <c r="AJ20" s="81">
        <v>11476779.92350336</v>
      </c>
      <c r="AK20" s="80">
        <v>17117487.506431501</v>
      </c>
      <c r="AL20" s="81">
        <v>821228580.6085577</v>
      </c>
    </row>
    <row r="21" spans="1:38" x14ac:dyDescent="0.2">
      <c r="A21" s="91"/>
      <c r="B21" s="3"/>
      <c r="C21" s="86" t="s">
        <v>790</v>
      </c>
      <c r="D21" s="146" t="s">
        <v>34</v>
      </c>
      <c r="E21" s="146"/>
      <c r="F21" s="146"/>
      <c r="G21" s="146"/>
      <c r="H21" s="146"/>
      <c r="I21" s="146"/>
      <c r="J21" s="34" t="s">
        <v>80</v>
      </c>
      <c r="K21" s="34" t="s">
        <v>80</v>
      </c>
      <c r="L21" s="34"/>
      <c r="M21" s="34"/>
      <c r="N21" s="34" t="s">
        <v>34</v>
      </c>
      <c r="O21" s="111"/>
      <c r="P21" s="45">
        <v>1</v>
      </c>
      <c r="Q21" s="112">
        <f t="shared" ref="Q21" si="16">AD21/$AD$22</f>
        <v>5.1006522588910499E-3</v>
      </c>
      <c r="R21" s="112">
        <f>R39</f>
        <v>5.475E-2</v>
      </c>
      <c r="S21" s="113">
        <f t="shared" si="8"/>
        <v>4.8703565028908515E-3</v>
      </c>
      <c r="T21" s="113">
        <f>T39</f>
        <v>5.475E-2</v>
      </c>
      <c r="U21" s="114">
        <f t="shared" si="10"/>
        <v>5.0466162316223648E-3</v>
      </c>
      <c r="V21" s="114">
        <f>V39</f>
        <v>5.475E-2</v>
      </c>
      <c r="W21" s="115">
        <f t="shared" si="12"/>
        <v>5.0297567615375403E-3</v>
      </c>
      <c r="X21" s="115">
        <f>X39</f>
        <v>5.475E-2</v>
      </c>
      <c r="Y21" s="144">
        <f t="shared" si="14"/>
        <v>4.8717567472842454E-3</v>
      </c>
      <c r="Z21" s="144">
        <f>Z39</f>
        <v>5.475E-2</v>
      </c>
      <c r="AA21" s="1"/>
      <c r="AB21" s="1">
        <v>1</v>
      </c>
      <c r="AC21" s="80">
        <v>1368333.0910187699</v>
      </c>
      <c r="AD21" s="81">
        <v>1368333.0910187699</v>
      </c>
      <c r="AE21" s="80">
        <v>575444.59375542204</v>
      </c>
      <c r="AF21" s="81">
        <v>575444.59375542204</v>
      </c>
      <c r="AG21" s="80">
        <v>2613071.9164844798</v>
      </c>
      <c r="AH21" s="81">
        <v>2613071.9164844798</v>
      </c>
      <c r="AI21" s="80">
        <v>569728.12461679196</v>
      </c>
      <c r="AJ21" s="81">
        <v>569728.12461679196</v>
      </c>
      <c r="AK21" s="80">
        <v>23123480.295704301</v>
      </c>
      <c r="AL21" s="81">
        <v>23123480.295704301</v>
      </c>
    </row>
    <row r="22" spans="1:38" x14ac:dyDescent="0.2">
      <c r="A22" s="90"/>
      <c r="B22" s="1"/>
      <c r="C22" s="86"/>
      <c r="D22" s="146"/>
      <c r="E22" s="146"/>
      <c r="F22" s="146"/>
      <c r="G22" s="146"/>
      <c r="H22" s="146"/>
      <c r="I22" s="146"/>
      <c r="J22" s="34"/>
      <c r="K22" s="34"/>
      <c r="L22" s="34"/>
      <c r="M22" s="34"/>
      <c r="N22" s="34"/>
      <c r="O22" s="111"/>
      <c r="P22" s="45"/>
      <c r="Q22" s="112"/>
      <c r="R22" s="112"/>
      <c r="S22" s="113"/>
      <c r="T22" s="113"/>
      <c r="U22" s="114"/>
      <c r="V22" s="114"/>
      <c r="W22" s="115"/>
      <c r="X22" s="115"/>
      <c r="Y22" s="144"/>
      <c r="Z22" s="144"/>
      <c r="AA22" s="1"/>
      <c r="AB22" s="1"/>
      <c r="AC22" s="40"/>
      <c r="AD22" s="82">
        <v>268266296.45916378</v>
      </c>
      <c r="AE22" s="40"/>
      <c r="AF22" s="82">
        <v>118152458.32904856</v>
      </c>
      <c r="AG22" s="40"/>
      <c r="AH22" s="82">
        <v>517786928.22149479</v>
      </c>
      <c r="AI22" s="40"/>
      <c r="AJ22" s="82">
        <v>113271506.28306575</v>
      </c>
      <c r="AK22" s="40"/>
      <c r="AL22" s="82">
        <v>4746435730.5184536</v>
      </c>
    </row>
    <row r="23" spans="1:38" x14ac:dyDescent="0.2">
      <c r="A23" s="90"/>
      <c r="B23" s="1"/>
      <c r="C23" s="119"/>
      <c r="D23" s="122"/>
      <c r="E23" s="122"/>
      <c r="F23" s="122"/>
      <c r="G23" s="122"/>
      <c r="H23" s="122"/>
      <c r="I23" s="122"/>
      <c r="J23" s="77"/>
      <c r="K23" s="77"/>
      <c r="L23" s="77"/>
      <c r="M23" s="77"/>
      <c r="N23" s="77"/>
      <c r="O23" s="77"/>
      <c r="P23" s="121" t="s">
        <v>81</v>
      </c>
      <c r="Q23" s="107">
        <f t="shared" ref="Q23:Y23" si="17">SUM(Q4:Q21)</f>
        <v>0.99999999999999978</v>
      </c>
      <c r="R23" s="107">
        <f t="shared" si="17"/>
        <v>0.99999999999999989</v>
      </c>
      <c r="S23" s="108">
        <f t="shared" si="17"/>
        <v>1</v>
      </c>
      <c r="T23" s="108">
        <f t="shared" si="17"/>
        <v>1</v>
      </c>
      <c r="U23" s="109">
        <f t="shared" si="17"/>
        <v>1</v>
      </c>
      <c r="V23" s="109">
        <f t="shared" si="17"/>
        <v>1.0000000000000002</v>
      </c>
      <c r="W23" s="110">
        <f t="shared" si="17"/>
        <v>1</v>
      </c>
      <c r="X23" s="110">
        <f t="shared" si="17"/>
        <v>1.0000000000000002</v>
      </c>
      <c r="Y23" s="143">
        <f t="shared" si="17"/>
        <v>1</v>
      </c>
      <c r="Z23" s="143">
        <f>SUM(Z14:Z21)</f>
        <v>1.0000000000000002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spans="1:38" x14ac:dyDescent="0.2">
      <c r="A24" s="90"/>
      <c r="B24" s="1"/>
      <c r="C24" s="119"/>
      <c r="D24" s="122"/>
      <c r="E24" s="122"/>
      <c r="F24" s="122"/>
      <c r="G24" s="122"/>
      <c r="H24" s="122"/>
      <c r="I24" s="122"/>
      <c r="J24" s="77"/>
      <c r="K24" s="77"/>
      <c r="L24" s="77"/>
      <c r="M24" s="77"/>
      <c r="N24" s="77"/>
      <c r="O24" s="77"/>
      <c r="P24" s="122" t="s">
        <v>470</v>
      </c>
      <c r="Q24" s="112">
        <f>SUMIF($J$4:$J$21,$P$24,Q$4:Q$21)</f>
        <v>0.99489934774110877</v>
      </c>
      <c r="R24" s="112"/>
      <c r="S24" s="113">
        <f>SUMIF($J$4:$J$21,$P$24,S$4:S$21)</f>
        <v>0.71994343392037652</v>
      </c>
      <c r="T24" s="113"/>
      <c r="U24" s="114">
        <f>SUMIF($J$4:$J$21,$P$24,U$4:U$21)</f>
        <v>0.47733975264054396</v>
      </c>
      <c r="V24" s="114"/>
      <c r="W24" s="115">
        <f>SUMIF($J$4:$J$21,$P$24,W$4:W$21)</f>
        <v>0.33316970040910271</v>
      </c>
      <c r="X24" s="115"/>
      <c r="Y24" s="144">
        <f>SUMIF($J$4:$J$21,$P$24,Y$4:Y$21)</f>
        <v>0</v>
      </c>
      <c r="Z24" s="144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38" x14ac:dyDescent="0.2">
      <c r="A25" s="90"/>
      <c r="B25" s="1"/>
      <c r="C25" s="119"/>
      <c r="D25" s="122"/>
      <c r="E25" s="122"/>
      <c r="F25" s="122"/>
      <c r="G25" s="122"/>
      <c r="H25" s="122"/>
      <c r="I25" s="122"/>
      <c r="J25" s="77"/>
      <c r="K25" s="77"/>
      <c r="L25" s="77"/>
      <c r="M25" s="77"/>
      <c r="N25" s="77"/>
      <c r="O25" s="77"/>
      <c r="P25" s="123" t="s">
        <v>453</v>
      </c>
      <c r="Q25" s="112">
        <f>SUMIF($K$4:$K$21,$P$25,Q$4:Q$21)</f>
        <v>0.54360178650334035</v>
      </c>
      <c r="R25" s="112"/>
      <c r="S25" s="113">
        <f>SUMIF($K$4:$K$21,$P$25,S$4:S$21)</f>
        <v>0.39336086319135227</v>
      </c>
      <c r="T25" s="113"/>
      <c r="U25" s="114">
        <f>SUMIF($K$4:$K$21,$P$25,U$4:U$21)</f>
        <v>0.26082892224081589</v>
      </c>
      <c r="V25" s="114"/>
      <c r="W25" s="115">
        <f>SUMIF($K$4:$K$21,$P$25,W$4:W$21)</f>
        <v>0.18205935626224626</v>
      </c>
      <c r="X25" s="115"/>
      <c r="Y25" s="144">
        <f>SUMIF($K$4:$K$21,$P$25,Y$4:Y$21)</f>
        <v>0</v>
      </c>
      <c r="Z25" s="144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38" x14ac:dyDescent="0.2">
      <c r="A26" s="90"/>
      <c r="B26" s="1"/>
      <c r="C26" s="119"/>
      <c r="D26" s="122"/>
      <c r="E26" s="122"/>
      <c r="F26" s="122"/>
      <c r="G26" s="122"/>
      <c r="H26" s="122"/>
      <c r="I26" s="122"/>
      <c r="J26" s="77"/>
      <c r="K26" s="77"/>
      <c r="L26" s="77"/>
      <c r="M26" s="77"/>
      <c r="N26" s="77"/>
      <c r="O26" s="77"/>
      <c r="P26" s="123" t="s">
        <v>443</v>
      </c>
      <c r="Q26" s="112">
        <f>SUMIF($K$4:$K$21,$P$26,Q$4:Q$21)</f>
        <v>0.37165399748559991</v>
      </c>
      <c r="R26" s="112"/>
      <c r="S26" s="113">
        <f>SUMIF($K$4:$K$21,$P$26,S$4:S$21)</f>
        <v>0.26895272123298319</v>
      </c>
      <c r="T26" s="113"/>
      <c r="U26" s="114">
        <f>SUMIF($K$4:$K$21,$P$26,U$4:U$21)</f>
        <v>0.17829291563705527</v>
      </c>
      <c r="V26" s="114"/>
      <c r="W26" s="115">
        <f>SUMIF($K$4:$K$21,$P$26,W$4:W$21)</f>
        <v>0.12440790900573731</v>
      </c>
      <c r="X26" s="115"/>
      <c r="Y26" s="144">
        <f>SUMIF($K$4:$K$21,$P$26,Y$4:Y$21)</f>
        <v>0</v>
      </c>
      <c r="Z26" s="144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38" x14ac:dyDescent="0.2">
      <c r="A27" s="90"/>
      <c r="B27" s="1"/>
      <c r="C27" s="119"/>
      <c r="D27" s="122"/>
      <c r="E27" s="122"/>
      <c r="F27" s="122"/>
      <c r="G27" s="122"/>
      <c r="H27" s="122"/>
      <c r="I27" s="122"/>
      <c r="J27" s="77"/>
      <c r="K27" s="77"/>
      <c r="L27" s="77"/>
      <c r="M27" s="77"/>
      <c r="N27" s="77"/>
      <c r="O27" s="77"/>
      <c r="P27" s="123" t="s">
        <v>446</v>
      </c>
      <c r="Q27" s="112">
        <f>SUMIF($K$4:$K$21,$P$27,Q$4:Q$21)</f>
        <v>7.9643563752168467E-2</v>
      </c>
      <c r="R27" s="112"/>
      <c r="S27" s="113">
        <f>SUMIF($K$4:$K$21,$P$27,S$4:S$21)</f>
        <v>8.7550913799162661E-2</v>
      </c>
      <c r="T27" s="113"/>
      <c r="U27" s="114">
        <f>SUMIF($K$4:$K$21,$P$27,U$4:U$21)</f>
        <v>6.7981675083364973E-2</v>
      </c>
      <c r="V27" s="114"/>
      <c r="W27" s="115">
        <f>SUMIF($K$4:$K$21,$P$27,W$4:W$21)</f>
        <v>5.6366762256727494E-2</v>
      </c>
      <c r="X27" s="115"/>
      <c r="Y27" s="144">
        <f>SUMIF($K$4:$K$21,$P$27,Y$4:Y$21)</f>
        <v>0</v>
      </c>
      <c r="Z27" s="144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38" x14ac:dyDescent="0.2">
      <c r="A28" s="90"/>
      <c r="B28" s="1"/>
      <c r="C28" s="119"/>
      <c r="D28" s="122"/>
      <c r="E28" s="122"/>
      <c r="F28" s="122"/>
      <c r="G28" s="122"/>
      <c r="H28" s="122"/>
      <c r="I28" s="122"/>
      <c r="J28" s="77" t="s">
        <v>471</v>
      </c>
      <c r="K28" s="77"/>
      <c r="L28" s="77"/>
      <c r="M28" s="77"/>
      <c r="N28" s="77"/>
      <c r="O28" s="77"/>
      <c r="P28" s="122" t="s">
        <v>458</v>
      </c>
      <c r="Q28" s="112">
        <f>SUMIF($J$4:$J$21,$P$28,Q$4:Q$21)</f>
        <v>0</v>
      </c>
      <c r="R28" s="112"/>
      <c r="S28" s="113">
        <f>SUMIF($J$4:$J$21,$P$28,S$4:S$21)</f>
        <v>0.24526514527361104</v>
      </c>
      <c r="T28" s="113"/>
      <c r="U28" s="114">
        <f>SUMIF($J$4:$J$21,$P$28,U$4:U$21)</f>
        <v>0.48784987080714154</v>
      </c>
      <c r="V28" s="114"/>
      <c r="W28" s="115">
        <f>SUMIF($J$4:$J$21,$P$28,W$4:W$21)</f>
        <v>0.63213621571375145</v>
      </c>
      <c r="X28" s="115"/>
      <c r="Y28" s="144">
        <f>SUMIF($J$4:$J$21,$P$28,Y$4:Y$21)</f>
        <v>0.99512824325271576</v>
      </c>
      <c r="Z28" s="144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38" x14ac:dyDescent="0.2">
      <c r="A29" s="90"/>
      <c r="B29" s="1"/>
      <c r="C29" s="119"/>
      <c r="D29" s="122"/>
      <c r="E29" s="122"/>
      <c r="F29" s="122"/>
      <c r="G29" s="122"/>
      <c r="H29" s="122"/>
      <c r="I29" s="122"/>
      <c r="J29" s="77"/>
      <c r="K29" s="77"/>
      <c r="L29" s="77"/>
      <c r="M29" s="77"/>
      <c r="N29" s="77"/>
      <c r="O29" s="77"/>
      <c r="P29" s="122" t="s">
        <v>447</v>
      </c>
      <c r="Q29" s="112">
        <f>SUMIF($J$4:$J$21,$P$29,Q$4:Q$21)</f>
        <v>0</v>
      </c>
      <c r="R29" s="112"/>
      <c r="S29" s="113">
        <f>SUMIF($J$4:$J$21,$P$29,S$4:S$21)</f>
        <v>2.9921064303121605E-2</v>
      </c>
      <c r="T29" s="113"/>
      <c r="U29" s="114">
        <f>SUMIF($J$4:$J$21,$P$29,U$4:U$21)</f>
        <v>2.9763760320692209E-2</v>
      </c>
      <c r="V29" s="114"/>
      <c r="W29" s="115">
        <f>SUMIF($J$4:$J$21,$P$29,W$4:W$21)</f>
        <v>2.9664327115608357E-2</v>
      </c>
      <c r="X29" s="115"/>
      <c r="Y29" s="144">
        <f>SUMIF($J$4:$J$21,$P$29,Y$4:Y$21)</f>
        <v>0</v>
      </c>
      <c r="Z29" s="144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38" x14ac:dyDescent="0.2">
      <c r="A30" s="90"/>
      <c r="B30" s="1"/>
      <c r="C30" s="119"/>
      <c r="D30" s="122"/>
      <c r="E30" s="122"/>
      <c r="F30" s="122"/>
      <c r="G30" s="122"/>
      <c r="H30" s="122"/>
      <c r="I30" s="122"/>
      <c r="J30" s="77"/>
      <c r="K30" s="77"/>
      <c r="L30" s="77"/>
      <c r="M30" s="77"/>
      <c r="N30" s="77"/>
      <c r="O30" s="77"/>
      <c r="P30" s="122" t="s">
        <v>80</v>
      </c>
      <c r="Q30" s="112">
        <f>Q21</f>
        <v>5.1006522588910499E-3</v>
      </c>
      <c r="R30" s="112"/>
      <c r="S30" s="113">
        <f t="shared" ref="S30:Y30" si="18">S21</f>
        <v>4.8703565028908515E-3</v>
      </c>
      <c r="T30" s="113"/>
      <c r="U30" s="114">
        <f t="shared" si="18"/>
        <v>5.0466162316223648E-3</v>
      </c>
      <c r="V30" s="114"/>
      <c r="W30" s="115">
        <f t="shared" si="18"/>
        <v>5.0297567615375403E-3</v>
      </c>
      <c r="X30" s="115"/>
      <c r="Y30" s="144">
        <f t="shared" si="18"/>
        <v>4.8717567472842454E-3</v>
      </c>
      <c r="Z30" s="144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38" x14ac:dyDescent="0.2">
      <c r="A31" s="90"/>
      <c r="B31" s="1"/>
      <c r="C31" s="119"/>
      <c r="D31" s="122"/>
      <c r="E31" s="122"/>
      <c r="F31" s="122"/>
      <c r="G31" s="122"/>
      <c r="H31" s="122"/>
      <c r="I31" s="122"/>
      <c r="J31" s="77"/>
      <c r="K31" s="77"/>
      <c r="L31" s="77"/>
      <c r="M31" s="77"/>
      <c r="N31" s="77"/>
      <c r="O31" s="77"/>
      <c r="P31" s="121"/>
      <c r="Q31" s="107"/>
      <c r="R31" s="107"/>
      <c r="S31" s="108"/>
      <c r="T31" s="108"/>
      <c r="U31" s="109"/>
      <c r="V31" s="109"/>
      <c r="W31" s="110"/>
      <c r="X31" s="110"/>
      <c r="Y31" s="143"/>
      <c r="Z31" s="14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38" x14ac:dyDescent="0.2">
      <c r="A32" s="90"/>
      <c r="B32" s="1"/>
      <c r="C32" s="119"/>
      <c r="D32" s="122"/>
      <c r="E32" s="122"/>
      <c r="F32" s="122"/>
      <c r="G32" s="122"/>
      <c r="H32" s="122"/>
      <c r="I32" s="122"/>
      <c r="J32" s="77"/>
      <c r="K32" s="77"/>
      <c r="L32" s="77"/>
      <c r="M32" s="77"/>
      <c r="N32" s="77"/>
      <c r="O32" s="77"/>
      <c r="P32" s="121" t="s">
        <v>437</v>
      </c>
      <c r="Q32" s="125">
        <f>SUMPRODUCT(Q4:Q21,$O4:$O21)/Q23</f>
        <v>0.16891647593515807</v>
      </c>
      <c r="R32" s="125"/>
      <c r="S32" s="126">
        <f>SUMPRODUCT(S4:S21,$O4:$O21)/S23</f>
        <v>0.17833901201972188</v>
      </c>
      <c r="T32" s="126"/>
      <c r="U32" s="127">
        <f>SUMPRODUCT(U4:U21,$O4:$O21)/U23</f>
        <v>0.18223220789623429</v>
      </c>
      <c r="V32" s="127"/>
      <c r="W32" s="128">
        <f>SUMPRODUCT(W4:W21,$O4:$O21)/W23</f>
        <v>0.18455296791036069</v>
      </c>
      <c r="X32" s="128"/>
      <c r="Y32" s="147">
        <f>SUMPRODUCT(Y4:Y21,$O4:$O21)/Y23</f>
        <v>0.16566249229734664</v>
      </c>
      <c r="Z32" s="147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38" x14ac:dyDescent="0.2">
      <c r="A33" s="90"/>
      <c r="B33" s="1"/>
      <c r="C33" s="119"/>
      <c r="D33" s="122"/>
      <c r="E33" s="122"/>
      <c r="F33" s="122"/>
      <c r="G33" s="122"/>
      <c r="H33" s="122"/>
      <c r="I33" s="122"/>
      <c r="J33" s="77"/>
      <c r="K33" s="77"/>
      <c r="L33" s="77"/>
      <c r="M33" s="77"/>
      <c r="N33" s="77"/>
      <c r="O33" s="77"/>
      <c r="P33" s="121"/>
      <c r="Q33" s="125"/>
      <c r="R33" s="125"/>
      <c r="S33" s="126"/>
      <c r="T33" s="126"/>
      <c r="U33" s="127"/>
      <c r="V33" s="127"/>
      <c r="W33" s="128"/>
      <c r="X33" s="128"/>
      <c r="Y33" s="147"/>
      <c r="Z33" s="147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38" ht="15" thickBot="1" x14ac:dyDescent="0.25">
      <c r="A34" s="90"/>
      <c r="B34" s="1"/>
      <c r="C34" s="3"/>
      <c r="D34" s="83"/>
      <c r="E34" s="83"/>
      <c r="F34" s="83"/>
      <c r="G34" s="83"/>
      <c r="H34" s="83"/>
      <c r="I34" s="83"/>
      <c r="J34" s="1"/>
      <c r="K34" s="1"/>
      <c r="L34" s="1"/>
      <c r="M34" s="1"/>
      <c r="N34" s="1"/>
      <c r="O34" s="1"/>
      <c r="P34" s="148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38" x14ac:dyDescent="0.2">
      <c r="A35" s="90"/>
      <c r="B35" s="1"/>
      <c r="C35" s="3"/>
      <c r="D35" s="83"/>
      <c r="E35" s="83"/>
      <c r="F35" s="83"/>
      <c r="G35" s="83"/>
      <c r="H35" s="83"/>
      <c r="I35" s="83"/>
      <c r="J35" s="1"/>
      <c r="K35" s="1"/>
      <c r="L35" s="1"/>
      <c r="M35" s="1"/>
      <c r="N35" s="1"/>
      <c r="O35" s="1"/>
      <c r="P35" s="148"/>
      <c r="Q35" s="129" t="s">
        <v>86</v>
      </c>
      <c r="R35" s="130">
        <v>100000</v>
      </c>
      <c r="S35" s="129" t="s">
        <v>86</v>
      </c>
      <c r="T35" s="130">
        <v>100000</v>
      </c>
      <c r="U35" s="129" t="s">
        <v>86</v>
      </c>
      <c r="V35" s="130">
        <v>100000</v>
      </c>
      <c r="W35" s="129" t="s">
        <v>86</v>
      </c>
      <c r="X35" s="130">
        <v>100000</v>
      </c>
      <c r="Y35" s="129" t="s">
        <v>86</v>
      </c>
      <c r="Z35" s="130">
        <v>100000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38" x14ac:dyDescent="0.2">
      <c r="A36" s="90"/>
      <c r="B36" s="1"/>
      <c r="C36" s="3"/>
      <c r="D36" s="83"/>
      <c r="E36" s="83"/>
      <c r="F36" s="83"/>
      <c r="G36" s="83"/>
      <c r="H36" s="83"/>
      <c r="I36" s="83"/>
      <c r="J36" s="1"/>
      <c r="K36" s="1"/>
      <c r="L36" s="1"/>
      <c r="M36" s="1"/>
      <c r="N36" s="1"/>
      <c r="O36" s="1"/>
      <c r="P36" s="148"/>
      <c r="Q36" s="132" t="s">
        <v>85</v>
      </c>
      <c r="R36" s="133">
        <v>5000</v>
      </c>
      <c r="S36" s="132" t="s">
        <v>85</v>
      </c>
      <c r="T36" s="133">
        <v>5000</v>
      </c>
      <c r="U36" s="132" t="s">
        <v>85</v>
      </c>
      <c r="V36" s="133">
        <v>5000</v>
      </c>
      <c r="W36" s="132" t="s">
        <v>85</v>
      </c>
      <c r="X36" s="133">
        <v>5000</v>
      </c>
      <c r="Y36" s="132" t="s">
        <v>85</v>
      </c>
      <c r="Z36" s="133">
        <v>5000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38" x14ac:dyDescent="0.2">
      <c r="A37" s="90"/>
      <c r="B37" s="1"/>
      <c r="C37" s="3"/>
      <c r="D37" s="83"/>
      <c r="E37" s="83"/>
      <c r="F37" s="83"/>
      <c r="G37" s="83"/>
      <c r="H37" s="83"/>
      <c r="I37" s="83"/>
      <c r="J37" s="1"/>
      <c r="K37" s="1"/>
      <c r="L37" s="1"/>
      <c r="M37" s="1"/>
      <c r="N37" s="1"/>
      <c r="O37" s="1"/>
      <c r="P37" s="148"/>
      <c r="Q37" s="132" t="s">
        <v>88</v>
      </c>
      <c r="R37" s="134">
        <f>(R35-R36)*0.5%</f>
        <v>475</v>
      </c>
      <c r="S37" s="132" t="s">
        <v>88</v>
      </c>
      <c r="T37" s="134">
        <f>(T35-T36)*0.5%</f>
        <v>475</v>
      </c>
      <c r="U37" s="132" t="s">
        <v>88</v>
      </c>
      <c r="V37" s="134">
        <f>(V35-V36)*0.5%</f>
        <v>475</v>
      </c>
      <c r="W37" s="132" t="s">
        <v>88</v>
      </c>
      <c r="X37" s="134">
        <f>(X35-X36)*0.5%</f>
        <v>475</v>
      </c>
      <c r="Y37" s="132" t="s">
        <v>88</v>
      </c>
      <c r="Z37" s="134">
        <f>(Z35-Z36)*0.5%</f>
        <v>475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38" x14ac:dyDescent="0.2">
      <c r="A38" s="90"/>
      <c r="B38" s="1"/>
      <c r="C38" s="3"/>
      <c r="D38" s="83"/>
      <c r="E38" s="83"/>
      <c r="F38" s="83"/>
      <c r="G38" s="83"/>
      <c r="H38" s="83"/>
      <c r="I38" s="83"/>
      <c r="J38" s="1"/>
      <c r="K38" s="1"/>
      <c r="L38" s="1"/>
      <c r="M38" s="1"/>
      <c r="N38" s="1"/>
      <c r="O38" s="1"/>
      <c r="P38" s="148"/>
      <c r="Q38" s="132" t="s">
        <v>87</v>
      </c>
      <c r="R38" s="134">
        <f>R36+R37</f>
        <v>5475</v>
      </c>
      <c r="S38" s="132" t="s">
        <v>87</v>
      </c>
      <c r="T38" s="134">
        <f>T36+T37</f>
        <v>5475</v>
      </c>
      <c r="U38" s="132" t="s">
        <v>87</v>
      </c>
      <c r="V38" s="134">
        <f>V36+V37</f>
        <v>5475</v>
      </c>
      <c r="W38" s="132" t="s">
        <v>87</v>
      </c>
      <c r="X38" s="134">
        <f>X36+X37</f>
        <v>5475</v>
      </c>
      <c r="Y38" s="132" t="s">
        <v>87</v>
      </c>
      <c r="Z38" s="134">
        <f>Z36+Z37</f>
        <v>5475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38" ht="15" thickBot="1" x14ac:dyDescent="0.25">
      <c r="A39" s="90"/>
      <c r="B39" s="1"/>
      <c r="C39" s="3"/>
      <c r="D39" s="83"/>
      <c r="E39" s="83"/>
      <c r="F39" s="83"/>
      <c r="G39" s="83"/>
      <c r="H39" s="83"/>
      <c r="I39" s="83"/>
      <c r="J39" s="1"/>
      <c r="K39" s="1"/>
      <c r="L39" s="1"/>
      <c r="M39" s="1"/>
      <c r="N39" s="1"/>
      <c r="O39" s="1"/>
      <c r="P39" s="148"/>
      <c r="Q39" s="136" t="s">
        <v>89</v>
      </c>
      <c r="R39" s="137">
        <f>R38/R35</f>
        <v>5.475E-2</v>
      </c>
      <c r="S39" s="136" t="s">
        <v>89</v>
      </c>
      <c r="T39" s="137">
        <f>T38/T35</f>
        <v>5.475E-2</v>
      </c>
      <c r="U39" s="136" t="s">
        <v>89</v>
      </c>
      <c r="V39" s="137">
        <f>V38/V35</f>
        <v>5.475E-2</v>
      </c>
      <c r="W39" s="136" t="s">
        <v>89</v>
      </c>
      <c r="X39" s="137">
        <f>X38/X35</f>
        <v>5.475E-2</v>
      </c>
      <c r="Y39" s="136" t="s">
        <v>89</v>
      </c>
      <c r="Z39" s="137">
        <f>Z38/Z35</f>
        <v>5.475E-2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38" x14ac:dyDescent="0.2">
      <c r="A40" s="90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38" x14ac:dyDescent="0.2">
      <c r="A41" s="93" t="s">
        <v>0</v>
      </c>
      <c r="B41" s="1"/>
      <c r="C41" s="95" t="s">
        <v>531</v>
      </c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6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1:38" x14ac:dyDescent="0.2">
      <c r="A42" s="89">
        <v>45565</v>
      </c>
      <c r="B42" s="1"/>
      <c r="C42" s="97" t="s">
        <v>5</v>
      </c>
      <c r="D42" s="98" t="s">
        <v>91</v>
      </c>
      <c r="E42" s="98" t="s">
        <v>533</v>
      </c>
      <c r="F42" s="98" t="s">
        <v>534</v>
      </c>
      <c r="G42" s="98" t="s">
        <v>535</v>
      </c>
      <c r="H42" s="98" t="s">
        <v>1426</v>
      </c>
      <c r="I42" s="98" t="s">
        <v>556</v>
      </c>
      <c r="J42" s="98" t="s">
        <v>434</v>
      </c>
      <c r="K42" s="98" t="s">
        <v>435</v>
      </c>
      <c r="L42" s="98" t="s">
        <v>436</v>
      </c>
      <c r="M42" s="98" t="s">
        <v>9</v>
      </c>
      <c r="N42" s="98" t="s">
        <v>13</v>
      </c>
      <c r="O42" s="98" t="s">
        <v>437</v>
      </c>
      <c r="P42" s="98" t="s">
        <v>14</v>
      </c>
      <c r="Q42" s="99" t="s">
        <v>438</v>
      </c>
      <c r="R42" s="99" t="s">
        <v>536</v>
      </c>
      <c r="S42" s="100" t="s">
        <v>439</v>
      </c>
      <c r="T42" s="100" t="s">
        <v>537</v>
      </c>
      <c r="U42" s="101" t="s">
        <v>440</v>
      </c>
      <c r="V42" s="101" t="s">
        <v>538</v>
      </c>
      <c r="W42" s="102" t="s">
        <v>441</v>
      </c>
      <c r="X42" s="102" t="s">
        <v>539</v>
      </c>
      <c r="Y42" s="140" t="s">
        <v>442</v>
      </c>
      <c r="Z42" s="140" t="s">
        <v>540</v>
      </c>
      <c r="AA42" s="1"/>
      <c r="AB42" s="1"/>
      <c r="AC42" s="141" t="s">
        <v>438</v>
      </c>
      <c r="AD42" s="141"/>
      <c r="AE42" s="103" t="s">
        <v>439</v>
      </c>
      <c r="AF42" s="103"/>
      <c r="AG42" s="104" t="s">
        <v>440</v>
      </c>
      <c r="AH42" s="104"/>
      <c r="AI42" s="105" t="s">
        <v>441</v>
      </c>
      <c r="AJ42" s="105"/>
      <c r="AK42" s="142" t="s">
        <v>458</v>
      </c>
      <c r="AL42" s="142"/>
    </row>
    <row r="43" spans="1:38" x14ac:dyDescent="0.2">
      <c r="A43" s="90"/>
      <c r="B43" s="1"/>
      <c r="C43" s="106" t="s">
        <v>16</v>
      </c>
      <c r="D43" s="45"/>
      <c r="E43" s="45"/>
      <c r="F43" s="45"/>
      <c r="G43" s="45"/>
      <c r="H43" s="45"/>
      <c r="I43" s="45"/>
      <c r="J43" s="34"/>
      <c r="K43" s="34"/>
      <c r="L43" s="34"/>
      <c r="M43" s="34"/>
      <c r="N43" s="34"/>
      <c r="O43" s="34"/>
      <c r="P43" s="34"/>
      <c r="Q43" s="107"/>
      <c r="R43" s="107"/>
      <c r="S43" s="108"/>
      <c r="T43" s="108"/>
      <c r="U43" s="109"/>
      <c r="V43" s="109"/>
      <c r="W43" s="110"/>
      <c r="X43" s="110"/>
      <c r="Y43" s="143"/>
      <c r="Z43" s="143"/>
      <c r="AA43" s="1"/>
      <c r="AB43" s="13" t="s">
        <v>17</v>
      </c>
      <c r="AC43" s="78" t="s">
        <v>18</v>
      </c>
      <c r="AD43" s="79" t="s">
        <v>19</v>
      </c>
      <c r="AE43" s="78" t="s">
        <v>18</v>
      </c>
      <c r="AF43" s="79" t="s">
        <v>19</v>
      </c>
      <c r="AG43" s="78" t="s">
        <v>18</v>
      </c>
      <c r="AH43" s="79" t="s">
        <v>19</v>
      </c>
      <c r="AI43" s="78" t="s">
        <v>18</v>
      </c>
      <c r="AJ43" s="79" t="s">
        <v>19</v>
      </c>
      <c r="AK43" s="78" t="s">
        <v>18</v>
      </c>
      <c r="AL43" s="79" t="s">
        <v>19</v>
      </c>
    </row>
    <row r="44" spans="1:38" x14ac:dyDescent="0.2">
      <c r="A44" s="91"/>
      <c r="B44" s="1"/>
      <c r="C44" s="86" t="s">
        <v>800</v>
      </c>
      <c r="D44" s="45" t="s">
        <v>479</v>
      </c>
      <c r="E44" s="45" t="s">
        <v>594</v>
      </c>
      <c r="F44" s="45" t="s">
        <v>33</v>
      </c>
      <c r="G44" s="45" t="s">
        <v>26</v>
      </c>
      <c r="H44" s="45" t="s">
        <v>1751</v>
      </c>
      <c r="I44" s="45"/>
      <c r="J44" s="34" t="s">
        <v>470</v>
      </c>
      <c r="K44" s="34" t="s">
        <v>453</v>
      </c>
      <c r="L44" s="34" t="s">
        <v>1284</v>
      </c>
      <c r="M44" s="34" t="s">
        <v>799</v>
      </c>
      <c r="N44" s="34" t="s">
        <v>34</v>
      </c>
      <c r="O44" s="111">
        <v>0.09</v>
      </c>
      <c r="P44" s="45">
        <v>118.43</v>
      </c>
      <c r="Q44" s="112">
        <f t="shared" ref="Q44:Q54" si="19">AD44/$AD$64</f>
        <v>0.23303222077189928</v>
      </c>
      <c r="R44" s="112">
        <f t="shared" ref="R44:R54" si="20">Q44*(1-$R$80)/(1-$Q$72)</f>
        <v>0.22141135232131076</v>
      </c>
      <c r="S44" s="113">
        <f t="shared" ref="S44:S54" si="21">AF44/$AF$64</f>
        <v>0.16869606530925602</v>
      </c>
      <c r="T44" s="113">
        <f t="shared" ref="T44:T54" si="22">S44*(1-$T$80)/(1-$S$63)</f>
        <v>0.16011472625123543</v>
      </c>
      <c r="U44" s="114">
        <f t="shared" ref="U44:U54" si="23">AH44/$AH$64</f>
        <v>0.11184232033518725</v>
      </c>
      <c r="V44" s="114">
        <f t="shared" ref="V44:V54" si="24">U44*(1-$V$80)/(1-$U$63)</f>
        <v>0.10622655289397968</v>
      </c>
      <c r="W44" s="115">
        <f t="shared" ref="W44:W54" si="25">AJ44/$AJ$64</f>
        <v>7.8039377516952779E-2</v>
      </c>
      <c r="X44" s="115">
        <f t="shared" ref="X44:X54" si="26">W44*(1-$X$80)/(1-$W$63)</f>
        <v>7.4119768024032348E-2</v>
      </c>
      <c r="Y44" s="144"/>
      <c r="Z44" s="144"/>
      <c r="AA44" s="1"/>
      <c r="AB44" s="1">
        <v>1</v>
      </c>
      <c r="AC44" s="80">
        <v>2195761.49412621</v>
      </c>
      <c r="AD44" s="81">
        <v>260044033.74936706</v>
      </c>
      <c r="AE44" s="80">
        <v>846975.53775010398</v>
      </c>
      <c r="AF44" s="81">
        <v>100307312.93574482</v>
      </c>
      <c r="AG44" s="80">
        <v>9629686.7066767793</v>
      </c>
      <c r="AH44" s="81">
        <v>1140443796.671731</v>
      </c>
      <c r="AI44" s="80">
        <v>701756478.80759799</v>
      </c>
      <c r="AJ44" s="81">
        <v>83109019785.183838</v>
      </c>
      <c r="AK44" s="80"/>
      <c r="AL44" s="81">
        <v>0</v>
      </c>
    </row>
    <row r="45" spans="1:38" x14ac:dyDescent="0.2">
      <c r="A45" s="91"/>
      <c r="B45" s="1"/>
      <c r="C45" s="86" t="s">
        <v>798</v>
      </c>
      <c r="D45" s="45" t="s">
        <v>478</v>
      </c>
      <c r="E45" s="45" t="s">
        <v>593</v>
      </c>
      <c r="F45" s="45" t="s">
        <v>33</v>
      </c>
      <c r="G45" s="45" t="s">
        <v>26</v>
      </c>
      <c r="H45" s="45" t="s">
        <v>1752</v>
      </c>
      <c r="I45" s="45"/>
      <c r="J45" s="34" t="s">
        <v>470</v>
      </c>
      <c r="K45" s="34" t="s">
        <v>453</v>
      </c>
      <c r="L45" s="34" t="s">
        <v>444</v>
      </c>
      <c r="M45" s="34" t="s">
        <v>799</v>
      </c>
      <c r="N45" s="34" t="s">
        <v>34</v>
      </c>
      <c r="O45" s="111">
        <v>0.1</v>
      </c>
      <c r="P45" s="45">
        <v>74.13</v>
      </c>
      <c r="Q45" s="112">
        <f t="shared" si="19"/>
        <v>0.19327040111487245</v>
      </c>
      <c r="R45" s="112">
        <f t="shared" si="20"/>
        <v>0.18363237810110711</v>
      </c>
      <c r="S45" s="113">
        <f t="shared" si="21"/>
        <v>0.14001669173625197</v>
      </c>
      <c r="T45" s="113">
        <f t="shared" si="22"/>
        <v>0.13289423334714573</v>
      </c>
      <c r="U45" s="114">
        <f t="shared" si="23"/>
        <v>9.2763062602764651E-2</v>
      </c>
      <c r="V45" s="114">
        <f t="shared" si="24"/>
        <v>8.8105292760811443E-2</v>
      </c>
      <c r="W45" s="115">
        <f t="shared" si="25"/>
        <v>6.4707037908509984E-2</v>
      </c>
      <c r="X45" s="115">
        <f t="shared" si="26"/>
        <v>6.1457059139908697E-2</v>
      </c>
      <c r="Y45" s="144"/>
      <c r="Z45" s="144"/>
      <c r="AA45" s="1"/>
      <c r="AB45" s="1">
        <v>1</v>
      </c>
      <c r="AC45" s="80">
        <v>2909392.18551283</v>
      </c>
      <c r="AD45" s="81">
        <v>215673242.71206608</v>
      </c>
      <c r="AE45" s="80">
        <v>1123087.14258521</v>
      </c>
      <c r="AF45" s="81">
        <v>83254449.879841611</v>
      </c>
      <c r="AG45" s="80">
        <v>12759944.8443157</v>
      </c>
      <c r="AH45" s="81">
        <v>945894711.3091228</v>
      </c>
      <c r="AI45" s="80">
        <v>929590941.48273003</v>
      </c>
      <c r="AJ45" s="81">
        <v>68910576492.114777</v>
      </c>
      <c r="AK45" s="80"/>
      <c r="AL45" s="81">
        <v>0</v>
      </c>
    </row>
    <row r="46" spans="1:38" x14ac:dyDescent="0.2">
      <c r="A46" s="91"/>
      <c r="B46" s="1"/>
      <c r="C46" s="86" t="s">
        <v>794</v>
      </c>
      <c r="D46" s="45" t="s">
        <v>474</v>
      </c>
      <c r="E46" s="45" t="s">
        <v>589</v>
      </c>
      <c r="F46" s="45" t="s">
        <v>33</v>
      </c>
      <c r="G46" s="45" t="s">
        <v>26</v>
      </c>
      <c r="H46" s="45" t="s">
        <v>1753</v>
      </c>
      <c r="I46" s="45"/>
      <c r="J46" s="34" t="s">
        <v>470</v>
      </c>
      <c r="K46" s="34" t="s">
        <v>443</v>
      </c>
      <c r="L46" s="34" t="s">
        <v>444</v>
      </c>
      <c r="M46" s="34" t="s">
        <v>792</v>
      </c>
      <c r="N46" s="34" t="s">
        <v>34</v>
      </c>
      <c r="O46" s="111">
        <v>0.09</v>
      </c>
      <c r="P46" s="45">
        <v>131.27000000000001</v>
      </c>
      <c r="Q46" s="112">
        <f t="shared" si="19"/>
        <v>0.15577031920546147</v>
      </c>
      <c r="R46" s="112">
        <f t="shared" si="20"/>
        <v>0.14800235311906895</v>
      </c>
      <c r="S46" s="113">
        <f t="shared" si="21"/>
        <v>0.11297755877573973</v>
      </c>
      <c r="T46" s="113">
        <f t="shared" si="22"/>
        <v>0.10723054424979467</v>
      </c>
      <c r="U46" s="114">
        <f t="shared" si="23"/>
        <v>7.4769427931569127E-2</v>
      </c>
      <c r="V46" s="114">
        <f t="shared" si="24"/>
        <v>7.1015144957848317E-2</v>
      </c>
      <c r="W46" s="115">
        <f t="shared" si="25"/>
        <v>5.2131659426557675E-2</v>
      </c>
      <c r="X46" s="115">
        <f t="shared" si="26"/>
        <v>4.9513292216675185E-2</v>
      </c>
      <c r="Y46" s="144"/>
      <c r="Z46" s="144"/>
      <c r="AA46" s="1"/>
      <c r="AB46" s="1">
        <v>1</v>
      </c>
      <c r="AC46" s="80">
        <v>1324189.5148843301</v>
      </c>
      <c r="AD46" s="81">
        <v>173826357.61886603</v>
      </c>
      <c r="AE46" s="80">
        <v>511745.86761624302</v>
      </c>
      <c r="AF46" s="81">
        <v>67176880.04198423</v>
      </c>
      <c r="AG46" s="80">
        <v>5807995.7681424804</v>
      </c>
      <c r="AH46" s="81">
        <v>762415604.48406351</v>
      </c>
      <c r="AI46" s="80">
        <v>422931884.68053901</v>
      </c>
      <c r="AJ46" s="81">
        <v>55518268502.014359</v>
      </c>
      <c r="AK46" s="80"/>
      <c r="AL46" s="81">
        <v>0</v>
      </c>
    </row>
    <row r="47" spans="1:38" x14ac:dyDescent="0.2">
      <c r="A47" s="92"/>
      <c r="B47" s="1"/>
      <c r="C47" s="86" t="s">
        <v>791</v>
      </c>
      <c r="D47" s="45" t="s">
        <v>472</v>
      </c>
      <c r="E47" s="45" t="s">
        <v>587</v>
      </c>
      <c r="F47" s="45" t="s">
        <v>33</v>
      </c>
      <c r="G47" s="45" t="s">
        <v>26</v>
      </c>
      <c r="H47" s="45" t="s">
        <v>1754</v>
      </c>
      <c r="I47" s="45"/>
      <c r="J47" s="34" t="s">
        <v>470</v>
      </c>
      <c r="K47" s="34" t="s">
        <v>446</v>
      </c>
      <c r="L47" s="34" t="s">
        <v>1401</v>
      </c>
      <c r="M47" s="34" t="s">
        <v>792</v>
      </c>
      <c r="N47" s="34" t="s">
        <v>34</v>
      </c>
      <c r="O47" s="111">
        <v>0.15</v>
      </c>
      <c r="P47" s="45">
        <v>114.98</v>
      </c>
      <c r="Q47" s="112">
        <f t="shared" si="19"/>
        <v>0.14770897170282923</v>
      </c>
      <c r="R47" s="112">
        <f t="shared" si="20"/>
        <v>0.14034300950479281</v>
      </c>
      <c r="S47" s="113">
        <f t="shared" si="21"/>
        <v>0.1064115826968544</v>
      </c>
      <c r="T47" s="113">
        <f t="shared" si="22"/>
        <v>0.1009985704303958</v>
      </c>
      <c r="U47" s="114">
        <f t="shared" si="23"/>
        <v>7.0851231458094771E-2</v>
      </c>
      <c r="V47" s="114">
        <f t="shared" si="24"/>
        <v>6.7293686893574053E-2</v>
      </c>
      <c r="W47" s="115">
        <f t="shared" si="25"/>
        <v>4.9427286494157584E-2</v>
      </c>
      <c r="X47" s="115">
        <f t="shared" si="26"/>
        <v>4.6944749248012695E-2</v>
      </c>
      <c r="Y47" s="144"/>
      <c r="Z47" s="144"/>
      <c r="AA47" s="1"/>
      <c r="AB47" s="1">
        <v>1</v>
      </c>
      <c r="AC47" s="80">
        <v>1433558.7325116401</v>
      </c>
      <c r="AD47" s="81">
        <v>164830583.06418839</v>
      </c>
      <c r="AE47" s="80">
        <v>550293.32098841795</v>
      </c>
      <c r="AF47" s="81">
        <v>63272726.047248296</v>
      </c>
      <c r="AG47" s="80">
        <v>6283372.6516490402</v>
      </c>
      <c r="AH47" s="81">
        <v>722462187.48660672</v>
      </c>
      <c r="AI47" s="80">
        <v>457803204.24386001</v>
      </c>
      <c r="AJ47" s="81">
        <v>52638212423.959023</v>
      </c>
      <c r="AK47" s="80"/>
      <c r="AL47" s="81">
        <v>0</v>
      </c>
    </row>
    <row r="48" spans="1:38" x14ac:dyDescent="0.2">
      <c r="A48" s="90"/>
      <c r="B48" s="1"/>
      <c r="C48" s="86" t="s">
        <v>797</v>
      </c>
      <c r="D48" s="45" t="s">
        <v>477</v>
      </c>
      <c r="E48" s="45" t="s">
        <v>592</v>
      </c>
      <c r="F48" s="45" t="s">
        <v>33</v>
      </c>
      <c r="G48" s="45" t="s">
        <v>26</v>
      </c>
      <c r="H48" s="45" t="s">
        <v>1755</v>
      </c>
      <c r="I48" s="45"/>
      <c r="J48" s="34" t="s">
        <v>470</v>
      </c>
      <c r="K48" s="34" t="s">
        <v>443</v>
      </c>
      <c r="L48" s="34" t="s">
        <v>444</v>
      </c>
      <c r="M48" s="34" t="s">
        <v>792</v>
      </c>
      <c r="N48" s="34" t="s">
        <v>34</v>
      </c>
      <c r="O48" s="111">
        <v>0.24</v>
      </c>
      <c r="P48" s="45">
        <v>77.48</v>
      </c>
      <c r="Q48" s="112">
        <f t="shared" si="19"/>
        <v>6.0694322317905787E-2</v>
      </c>
      <c r="R48" s="112">
        <f t="shared" si="20"/>
        <v>5.7667613251590026E-2</v>
      </c>
      <c r="S48" s="113">
        <f t="shared" si="21"/>
        <v>4.428026627941993E-2</v>
      </c>
      <c r="T48" s="113">
        <f t="shared" si="22"/>
        <v>4.202778944881605E-2</v>
      </c>
      <c r="U48" s="114">
        <f t="shared" si="23"/>
        <v>2.9123462745735882E-2</v>
      </c>
      <c r="V48" s="114">
        <f t="shared" si="24"/>
        <v>2.7661130836199577E-2</v>
      </c>
      <c r="W48" s="115">
        <f t="shared" si="25"/>
        <v>2.0351188515974485E-2</v>
      </c>
      <c r="X48" s="115">
        <f t="shared" si="26"/>
        <v>1.9329028752051482E-2</v>
      </c>
      <c r="Y48" s="144"/>
      <c r="Z48" s="144"/>
      <c r="AA48" s="1"/>
      <c r="AB48" s="1">
        <v>1</v>
      </c>
      <c r="AC48" s="80">
        <v>874156.86943704297</v>
      </c>
      <c r="AD48" s="81">
        <v>67729674.243982092</v>
      </c>
      <c r="AE48" s="80">
        <v>339819.467637519</v>
      </c>
      <c r="AF48" s="81">
        <v>26329212.352554973</v>
      </c>
      <c r="AG48" s="80">
        <v>3832843.7703532898</v>
      </c>
      <c r="AH48" s="81">
        <v>296968735.3269729</v>
      </c>
      <c r="AI48" s="80">
        <v>279727090.87207198</v>
      </c>
      <c r="AJ48" s="81">
        <v>21673255000.768139</v>
      </c>
      <c r="AK48" s="80"/>
      <c r="AL48" s="81">
        <v>0</v>
      </c>
    </row>
    <row r="49" spans="1:38" x14ac:dyDescent="0.2">
      <c r="A49" s="91"/>
      <c r="B49" s="3"/>
      <c r="C49" s="86" t="s">
        <v>1280</v>
      </c>
      <c r="D49" s="45" t="s">
        <v>1275</v>
      </c>
      <c r="E49" s="45" t="s">
        <v>1277</v>
      </c>
      <c r="F49" s="45" t="s">
        <v>33</v>
      </c>
      <c r="G49" s="45" t="s">
        <v>26</v>
      </c>
      <c r="H49" s="45" t="s">
        <v>1756</v>
      </c>
      <c r="I49" s="45"/>
      <c r="J49" s="34" t="s">
        <v>470</v>
      </c>
      <c r="K49" s="34" t="s">
        <v>446</v>
      </c>
      <c r="L49" s="34" t="s">
        <v>450</v>
      </c>
      <c r="M49" s="34" t="s">
        <v>803</v>
      </c>
      <c r="N49" s="34" t="s">
        <v>34</v>
      </c>
      <c r="O49" s="111">
        <v>0.25</v>
      </c>
      <c r="P49" s="45">
        <v>80.22</v>
      </c>
      <c r="Q49" s="112">
        <f t="shared" si="19"/>
        <v>6.0290012369702675E-2</v>
      </c>
      <c r="R49" s="112">
        <f t="shared" si="20"/>
        <v>5.7283465462532844E-2</v>
      </c>
      <c r="S49" s="113">
        <f t="shared" si="21"/>
        <v>4.3985297137626334E-2</v>
      </c>
      <c r="T49" s="113">
        <f t="shared" si="22"/>
        <v>4.1747824985482171E-2</v>
      </c>
      <c r="U49" s="114">
        <f t="shared" si="23"/>
        <v>2.8929459332162091E-2</v>
      </c>
      <c r="V49" s="114">
        <f t="shared" si="24"/>
        <v>2.7476868619430054E-2</v>
      </c>
      <c r="W49" s="115">
        <f t="shared" si="25"/>
        <v>2.0215620844064919E-2</v>
      </c>
      <c r="X49" s="115">
        <f t="shared" si="26"/>
        <v>1.9200270108489615E-2</v>
      </c>
      <c r="Y49" s="144"/>
      <c r="Z49" s="144"/>
      <c r="AA49" s="1"/>
      <c r="AB49" s="1">
        <v>1</v>
      </c>
      <c r="AC49" s="80">
        <v>838674.88046550006</v>
      </c>
      <c r="AD49" s="81">
        <v>67278498.91094242</v>
      </c>
      <c r="AE49" s="80">
        <v>326026.21035774099</v>
      </c>
      <c r="AF49" s="81">
        <v>26153822.594897982</v>
      </c>
      <c r="AG49" s="80">
        <v>3677268.8099038</v>
      </c>
      <c r="AH49" s="81">
        <v>294990503.9304828</v>
      </c>
      <c r="AI49" s="80">
        <v>268372980.52828801</v>
      </c>
      <c r="AJ49" s="81">
        <v>21528880497.979263</v>
      </c>
      <c r="AK49" s="80"/>
      <c r="AL49" s="81">
        <v>0</v>
      </c>
    </row>
    <row r="50" spans="1:38" x14ac:dyDescent="0.2">
      <c r="A50" s="91"/>
      <c r="B50" s="3"/>
      <c r="C50" s="86" t="s">
        <v>801</v>
      </c>
      <c r="D50" s="45" t="s">
        <v>480</v>
      </c>
      <c r="E50" s="45" t="s">
        <v>595</v>
      </c>
      <c r="F50" s="45" t="s">
        <v>33</v>
      </c>
      <c r="G50" s="45" t="s">
        <v>26</v>
      </c>
      <c r="H50" s="45" t="s">
        <v>1757</v>
      </c>
      <c r="I50" s="45"/>
      <c r="J50" s="34" t="s">
        <v>470</v>
      </c>
      <c r="K50" s="34" t="s">
        <v>446</v>
      </c>
      <c r="L50" s="34" t="s">
        <v>452</v>
      </c>
      <c r="M50" s="34" t="s">
        <v>792</v>
      </c>
      <c r="N50" s="34" t="s">
        <v>34</v>
      </c>
      <c r="O50" s="111">
        <v>0.06</v>
      </c>
      <c r="P50" s="45">
        <v>84.85</v>
      </c>
      <c r="Q50" s="112">
        <f t="shared" si="19"/>
        <v>3.9701524976932204E-2</v>
      </c>
      <c r="R50" s="112">
        <f t="shared" si="20"/>
        <v>3.7721686319786646E-2</v>
      </c>
      <c r="S50" s="113">
        <f t="shared" si="21"/>
        <v>2.8635576206267766E-2</v>
      </c>
      <c r="T50" s="113">
        <f t="shared" si="22"/>
        <v>2.717892344974205E-2</v>
      </c>
      <c r="U50" s="114">
        <f t="shared" si="23"/>
        <v>1.9050313760130368E-2</v>
      </c>
      <c r="V50" s="114">
        <f t="shared" si="24"/>
        <v>1.8093769480305815E-2</v>
      </c>
      <c r="W50" s="115">
        <f t="shared" si="25"/>
        <v>1.3312171358388336E-2</v>
      </c>
      <c r="X50" s="115">
        <f t="shared" si="26"/>
        <v>1.2643553605557243E-2</v>
      </c>
      <c r="Y50" s="144"/>
      <c r="Z50" s="144"/>
      <c r="AA50" s="1"/>
      <c r="AB50" s="1">
        <v>1</v>
      </c>
      <c r="AC50" s="80">
        <v>522139.15532832203</v>
      </c>
      <c r="AD50" s="81">
        <v>44303507.32960812</v>
      </c>
      <c r="AE50" s="80">
        <v>200669.66384713701</v>
      </c>
      <c r="AF50" s="81">
        <v>17026820.977429572</v>
      </c>
      <c r="AG50" s="80">
        <v>2289380.63490425</v>
      </c>
      <c r="AH50" s="81">
        <v>194253946.8716256</v>
      </c>
      <c r="AI50" s="80">
        <v>167082673.66754499</v>
      </c>
      <c r="AJ50" s="81">
        <v>14176964860.691191</v>
      </c>
      <c r="AK50" s="80"/>
      <c r="AL50" s="81">
        <v>0</v>
      </c>
    </row>
    <row r="51" spans="1:38" x14ac:dyDescent="0.2">
      <c r="A51" s="90"/>
      <c r="B51" s="1"/>
      <c r="C51" s="86" t="s">
        <v>796</v>
      </c>
      <c r="D51" s="45" t="s">
        <v>476</v>
      </c>
      <c r="E51" s="45" t="s">
        <v>591</v>
      </c>
      <c r="F51" s="45" t="s">
        <v>33</v>
      </c>
      <c r="G51" s="45" t="s">
        <v>26</v>
      </c>
      <c r="H51" s="45" t="s">
        <v>1758</v>
      </c>
      <c r="I51" s="45"/>
      <c r="J51" s="34" t="s">
        <v>470</v>
      </c>
      <c r="K51" s="34" t="s">
        <v>446</v>
      </c>
      <c r="L51" s="34" t="s">
        <v>455</v>
      </c>
      <c r="M51" s="34" t="s">
        <v>792</v>
      </c>
      <c r="N51" s="34" t="s">
        <v>34</v>
      </c>
      <c r="O51" s="111">
        <v>0.4</v>
      </c>
      <c r="P51" s="45">
        <v>97.08</v>
      </c>
      <c r="Q51" s="112">
        <f t="shared" si="19"/>
        <v>4.0574437839222474E-2</v>
      </c>
      <c r="R51" s="112">
        <f t="shared" si="20"/>
        <v>3.8551068697288582E-2</v>
      </c>
      <c r="S51" s="113">
        <f t="shared" si="21"/>
        <v>2.9265183325995994E-2</v>
      </c>
      <c r="T51" s="113">
        <f t="shared" si="22"/>
        <v>2.7776503312890066E-2</v>
      </c>
      <c r="U51" s="114">
        <f t="shared" si="23"/>
        <v>1.9469170817171481E-2</v>
      </c>
      <c r="V51" s="114">
        <f t="shared" si="24"/>
        <v>1.8491595108310027E-2</v>
      </c>
      <c r="W51" s="115">
        <f t="shared" si="25"/>
        <v>1.3604864538574804E-2</v>
      </c>
      <c r="X51" s="115">
        <f t="shared" si="26"/>
        <v>1.2921545964131921E-2</v>
      </c>
      <c r="Y51" s="144"/>
      <c r="Z51" s="144"/>
      <c r="AA51" s="1"/>
      <c r="AB51" s="1">
        <v>1</v>
      </c>
      <c r="AC51" s="80">
        <v>466394.76152102801</v>
      </c>
      <c r="AD51" s="81">
        <v>45277603.448461398</v>
      </c>
      <c r="AE51" s="80">
        <v>179245.856318973</v>
      </c>
      <c r="AF51" s="81">
        <v>17401187.731445897</v>
      </c>
      <c r="AG51" s="80">
        <v>2044962.7735265701</v>
      </c>
      <c r="AH51" s="81">
        <v>198524986.05395943</v>
      </c>
      <c r="AI51" s="80">
        <v>149244665.802683</v>
      </c>
      <c r="AJ51" s="81">
        <v>14488672156.124464</v>
      </c>
      <c r="AK51" s="80"/>
      <c r="AL51" s="81">
        <v>0</v>
      </c>
    </row>
    <row r="52" spans="1:38" x14ac:dyDescent="0.2">
      <c r="A52" s="90"/>
      <c r="B52" s="1"/>
      <c r="C52" s="86" t="s">
        <v>1281</v>
      </c>
      <c r="D52" s="45" t="s">
        <v>1276</v>
      </c>
      <c r="E52" s="45" t="s">
        <v>1265</v>
      </c>
      <c r="F52" s="45" t="s">
        <v>33</v>
      </c>
      <c r="G52" s="45" t="s">
        <v>26</v>
      </c>
      <c r="H52" s="45" t="s">
        <v>1759</v>
      </c>
      <c r="I52" s="45"/>
      <c r="J52" s="34" t="s">
        <v>470</v>
      </c>
      <c r="K52" s="34" t="s">
        <v>453</v>
      </c>
      <c r="L52" s="34" t="s">
        <v>1283</v>
      </c>
      <c r="M52" s="34" t="s">
        <v>803</v>
      </c>
      <c r="N52" s="34" t="s">
        <v>34</v>
      </c>
      <c r="O52" s="111">
        <v>0.3</v>
      </c>
      <c r="P52" s="45">
        <v>32.434600000000003</v>
      </c>
      <c r="Q52" s="112">
        <f t="shared" si="19"/>
        <v>4.0809053285367387E-2</v>
      </c>
      <c r="R52" s="112">
        <f t="shared" si="20"/>
        <v>3.8773984322579995E-2</v>
      </c>
      <c r="S52" s="113">
        <f t="shared" si="21"/>
        <v>2.9434404747368536E-2</v>
      </c>
      <c r="T52" s="113">
        <f t="shared" si="22"/>
        <v>2.7937116671057242E-2</v>
      </c>
      <c r="U52" s="114">
        <f t="shared" si="23"/>
        <v>1.9581748302913753E-2</v>
      </c>
      <c r="V52" s="114">
        <f t="shared" si="24"/>
        <v>1.8598519912874464E-2</v>
      </c>
      <c r="W52" s="115">
        <f t="shared" si="25"/>
        <v>1.3683532575236405E-2</v>
      </c>
      <c r="X52" s="115">
        <f t="shared" si="26"/>
        <v>1.2996262816236453E-2</v>
      </c>
      <c r="Y52" s="144"/>
      <c r="Z52" s="144"/>
      <c r="AA52" s="1"/>
      <c r="AB52" s="1">
        <v>1</v>
      </c>
      <c r="AC52" s="80">
        <v>1404038.10209957</v>
      </c>
      <c r="AD52" s="81">
        <v>45539414.226358719</v>
      </c>
      <c r="AE52" s="80">
        <v>539602.99874413805</v>
      </c>
      <c r="AF52" s="81">
        <v>17501807.423066624</v>
      </c>
      <c r="AG52" s="80">
        <v>6156170.4553516498</v>
      </c>
      <c r="AH52" s="81">
        <v>199672926.25114864</v>
      </c>
      <c r="AI52" s="80">
        <v>449287201.76595801</v>
      </c>
      <c r="AJ52" s="81">
        <v>14572450674.398144</v>
      </c>
      <c r="AK52" s="80"/>
      <c r="AL52" s="81">
        <v>0</v>
      </c>
    </row>
    <row r="53" spans="1:38" x14ac:dyDescent="0.2">
      <c r="A53" s="90"/>
      <c r="B53" s="1"/>
      <c r="C53" s="86" t="s">
        <v>793</v>
      </c>
      <c r="D53" s="45" t="s">
        <v>473</v>
      </c>
      <c r="E53" s="45" t="s">
        <v>588</v>
      </c>
      <c r="F53" s="45" t="s">
        <v>33</v>
      </c>
      <c r="G53" s="45" t="s">
        <v>26</v>
      </c>
      <c r="H53" s="45" t="s">
        <v>1760</v>
      </c>
      <c r="I53" s="45"/>
      <c r="J53" s="34" t="s">
        <v>470</v>
      </c>
      <c r="K53" s="34" t="s">
        <v>446</v>
      </c>
      <c r="L53" s="34" t="s">
        <v>449</v>
      </c>
      <c r="M53" s="34" t="s">
        <v>792</v>
      </c>
      <c r="N53" s="34" t="s">
        <v>34</v>
      </c>
      <c r="O53" s="111">
        <v>0.19</v>
      </c>
      <c r="P53" s="45">
        <v>22.59</v>
      </c>
      <c r="Q53" s="112">
        <f t="shared" si="19"/>
        <v>2.3010582365684124E-2</v>
      </c>
      <c r="R53" s="112">
        <f t="shared" si="20"/>
        <v>2.1863088899942356E-2</v>
      </c>
      <c r="S53" s="113">
        <f t="shared" si="21"/>
        <v>1.6482414731928574E-2</v>
      </c>
      <c r="T53" s="113">
        <f t="shared" si="22"/>
        <v>1.5643976745539856E-2</v>
      </c>
      <c r="U53" s="114">
        <f t="shared" si="23"/>
        <v>1.1018593908366587E-2</v>
      </c>
      <c r="V53" s="114">
        <f t="shared" si="24"/>
        <v>1.0465334098188762E-2</v>
      </c>
      <c r="W53" s="115">
        <f t="shared" si="25"/>
        <v>7.7155931840471627E-3</v>
      </c>
      <c r="X53" s="115">
        <f t="shared" si="26"/>
        <v>7.3280694332185023E-3</v>
      </c>
      <c r="Y53" s="144"/>
      <c r="Z53" s="144"/>
      <c r="AA53" s="1"/>
      <c r="AB53" s="1">
        <v>1</v>
      </c>
      <c r="AC53" s="80">
        <v>1136690.68074658</v>
      </c>
      <c r="AD53" s="81">
        <v>25677842.478065241</v>
      </c>
      <c r="AE53" s="80">
        <v>433842.65596140199</v>
      </c>
      <c r="AF53" s="81">
        <v>9800505.5981680714</v>
      </c>
      <c r="AG53" s="80">
        <v>4973677.9984995704</v>
      </c>
      <c r="AH53" s="81">
        <v>112355385.98610529</v>
      </c>
      <c r="AI53" s="80">
        <v>363736977.267483</v>
      </c>
      <c r="AJ53" s="81">
        <v>8216818316.4724407</v>
      </c>
      <c r="AK53" s="80"/>
      <c r="AL53" s="81">
        <v>0</v>
      </c>
    </row>
    <row r="54" spans="1:38" x14ac:dyDescent="0.2">
      <c r="A54" s="90"/>
      <c r="B54" s="1"/>
      <c r="C54" s="86" t="s">
        <v>795</v>
      </c>
      <c r="D54" s="45" t="s">
        <v>475</v>
      </c>
      <c r="E54" s="45" t="s">
        <v>590</v>
      </c>
      <c r="F54" s="45" t="s">
        <v>33</v>
      </c>
      <c r="G54" s="45" t="s">
        <v>26</v>
      </c>
      <c r="H54" s="45" t="s">
        <v>1761</v>
      </c>
      <c r="I54" s="45"/>
      <c r="J54" s="34" t="s">
        <v>447</v>
      </c>
      <c r="K54" s="34" t="s">
        <v>446</v>
      </c>
      <c r="L54" s="34" t="s">
        <v>447</v>
      </c>
      <c r="M54" s="34" t="s">
        <v>792</v>
      </c>
      <c r="N54" s="34" t="s">
        <v>34</v>
      </c>
      <c r="O54" s="111">
        <v>0.56999999999999995</v>
      </c>
      <c r="P54" s="45">
        <v>23.46</v>
      </c>
      <c r="Q54" s="112">
        <f t="shared" si="19"/>
        <v>0</v>
      </c>
      <c r="R54" s="112">
        <f t="shared" si="20"/>
        <v>0</v>
      </c>
      <c r="S54" s="113">
        <f t="shared" si="21"/>
        <v>2.9781747709096383E-2</v>
      </c>
      <c r="T54" s="113">
        <f t="shared" si="22"/>
        <v>2.8266790769444744E-2</v>
      </c>
      <c r="U54" s="114">
        <f t="shared" si="23"/>
        <v>2.9617108389424968E-2</v>
      </c>
      <c r="V54" s="114">
        <f t="shared" si="24"/>
        <v>2.8129989805890709E-2</v>
      </c>
      <c r="W54" s="115">
        <f t="shared" si="25"/>
        <v>2.9522439597308027E-2</v>
      </c>
      <c r="X54" s="115">
        <f t="shared" si="26"/>
        <v>2.8039644139660497E-2</v>
      </c>
      <c r="Y54" s="144"/>
      <c r="Z54" s="144"/>
      <c r="AA54" s="1"/>
      <c r="AB54" s="1">
        <v>1</v>
      </c>
      <c r="AC54" s="80"/>
      <c r="AD54" s="81">
        <v>0</v>
      </c>
      <c r="AE54" s="80">
        <v>754831.15304454404</v>
      </c>
      <c r="AF54" s="81">
        <v>17708338.850425005</v>
      </c>
      <c r="AG54" s="80">
        <v>12873076.959638</v>
      </c>
      <c r="AH54" s="81">
        <v>302002385.47310746</v>
      </c>
      <c r="AI54" s="80">
        <v>1340166008.6275799</v>
      </c>
      <c r="AJ54" s="81">
        <v>31440294562.403027</v>
      </c>
      <c r="AK54" s="80"/>
      <c r="AL54" s="81">
        <v>0</v>
      </c>
    </row>
    <row r="55" spans="1:38" x14ac:dyDescent="0.2">
      <c r="A55" s="90"/>
      <c r="B55" s="1"/>
      <c r="C55" s="116" t="s">
        <v>456</v>
      </c>
      <c r="D55" s="45"/>
      <c r="E55" s="45"/>
      <c r="F55" s="45"/>
      <c r="G55" s="45"/>
      <c r="H55" s="45"/>
      <c r="I55" s="45"/>
      <c r="J55" s="45"/>
      <c r="K55" s="45"/>
      <c r="L55" s="45"/>
      <c r="M55" s="34"/>
      <c r="N55" s="34"/>
      <c r="O55" s="111"/>
      <c r="P55" s="45"/>
      <c r="Q55" s="112"/>
      <c r="R55" s="112"/>
      <c r="S55" s="113"/>
      <c r="T55" s="113"/>
      <c r="U55" s="114"/>
      <c r="V55" s="114"/>
      <c r="W55" s="115"/>
      <c r="X55" s="115"/>
      <c r="Y55" s="144"/>
      <c r="Z55" s="144"/>
      <c r="AA55" s="1"/>
      <c r="AB55" s="1">
        <v>1</v>
      </c>
      <c r="AC55" s="80"/>
      <c r="AD55" s="81"/>
      <c r="AE55" s="80"/>
      <c r="AF55" s="81"/>
      <c r="AG55" s="80"/>
      <c r="AH55" s="81"/>
      <c r="AI55" s="80"/>
      <c r="AJ55" s="81"/>
      <c r="AK55" s="80"/>
      <c r="AL55" s="81"/>
    </row>
    <row r="56" spans="1:38" x14ac:dyDescent="0.2">
      <c r="A56" s="90"/>
      <c r="B56" s="1"/>
      <c r="C56" s="86" t="s">
        <v>802</v>
      </c>
      <c r="D56" s="45" t="s">
        <v>481</v>
      </c>
      <c r="E56" s="45" t="s">
        <v>596</v>
      </c>
      <c r="F56" s="45" t="s">
        <v>33</v>
      </c>
      <c r="G56" s="45" t="s">
        <v>26</v>
      </c>
      <c r="H56" s="45" t="s">
        <v>1762</v>
      </c>
      <c r="I56" s="45"/>
      <c r="J56" s="34" t="s">
        <v>458</v>
      </c>
      <c r="K56" s="34" t="s">
        <v>458</v>
      </c>
      <c r="L56" s="34" t="s">
        <v>464</v>
      </c>
      <c r="M56" s="34" t="s">
        <v>803</v>
      </c>
      <c r="N56" s="34" t="s">
        <v>34</v>
      </c>
      <c r="O56" s="111">
        <v>0.15</v>
      </c>
      <c r="P56" s="45">
        <v>88.79</v>
      </c>
      <c r="Q56" s="112"/>
      <c r="R56" s="112"/>
      <c r="S56" s="113">
        <f>AF56/$AF$64</f>
        <v>1.2434806844805319E-2</v>
      </c>
      <c r="T56" s="113">
        <f t="shared" ref="T56:T62" si="27">S56*(1-$T$80)/(1-$S$63)</f>
        <v>1.180226515830746E-2</v>
      </c>
      <c r="U56" s="114">
        <f>AH56/$AH$64</f>
        <v>2.5041281226542891E-2</v>
      </c>
      <c r="V56" s="114">
        <f t="shared" ref="V56:V62" si="28">U56*(1-$V$80)/(1-$U$63)</f>
        <v>2.3783921656599323E-2</v>
      </c>
      <c r="W56" s="115">
        <f>AJ56/$AJ$64</f>
        <v>3.2357161292554379E-2</v>
      </c>
      <c r="X56" s="115">
        <f t="shared" ref="X56:X62" si="29">W56*(1-$X$80)/(1-$W$63)</f>
        <v>3.0731988967996789E-2</v>
      </c>
      <c r="Y56" s="144">
        <f>AL56/$AL$64</f>
        <v>5.0979379258758437E-2</v>
      </c>
      <c r="Z56" s="144">
        <f>Y56*(1-$Z$80)/(1-$Y$72)</f>
        <v>4.8431851728520443E-2</v>
      </c>
      <c r="AA56" s="1"/>
      <c r="AB56" s="1">
        <v>1</v>
      </c>
      <c r="AC56" s="80"/>
      <c r="AD56" s="81">
        <v>0</v>
      </c>
      <c r="AE56" s="80">
        <v>83272.697066466004</v>
      </c>
      <c r="AF56" s="81">
        <v>7393782.7725315168</v>
      </c>
      <c r="AG56" s="80">
        <v>2875810.1240791199</v>
      </c>
      <c r="AH56" s="81">
        <v>255343180.91698506</v>
      </c>
      <c r="AI56" s="80">
        <v>388097389.347767</v>
      </c>
      <c r="AJ56" s="81">
        <v>34459167200.188232</v>
      </c>
      <c r="AK56" s="80">
        <v>5924303.9272310501</v>
      </c>
      <c r="AL56" s="81">
        <v>526018945.69884497</v>
      </c>
    </row>
    <row r="57" spans="1:38" x14ac:dyDescent="0.2">
      <c r="A57" s="90"/>
      <c r="B57" s="1"/>
      <c r="C57" s="86" t="s">
        <v>1405</v>
      </c>
      <c r="D57" s="145" t="s">
        <v>482</v>
      </c>
      <c r="E57" s="145" t="s">
        <v>597</v>
      </c>
      <c r="F57" s="45" t="s">
        <v>33</v>
      </c>
      <c r="G57" s="45" t="s">
        <v>26</v>
      </c>
      <c r="H57" s="45" t="s">
        <v>1763</v>
      </c>
      <c r="I57" s="145"/>
      <c r="J57" s="34" t="s">
        <v>458</v>
      </c>
      <c r="K57" s="34" t="s">
        <v>458</v>
      </c>
      <c r="L57" s="34" t="s">
        <v>1403</v>
      </c>
      <c r="M57" s="34" t="s">
        <v>792</v>
      </c>
      <c r="N57" s="34" t="s">
        <v>34</v>
      </c>
      <c r="O57" s="111">
        <v>0.14000000000000001</v>
      </c>
      <c r="P57" s="45">
        <v>110.53</v>
      </c>
      <c r="Q57" s="112"/>
      <c r="R57" s="112"/>
      <c r="S57" s="113">
        <f t="shared" ref="S57:S63" si="30">AF57/$AF$64</f>
        <v>5.0040619718933838E-2</v>
      </c>
      <c r="T57" s="113">
        <f t="shared" si="27"/>
        <v>4.7495121555153723E-2</v>
      </c>
      <c r="U57" s="114">
        <f t="shared" ref="U57:U63" si="31">AH57/$AH$64</f>
        <v>9.8512379255089239E-2</v>
      </c>
      <c r="V57" s="114">
        <f t="shared" si="28"/>
        <v>9.3565927765897713E-2</v>
      </c>
      <c r="W57" s="115">
        <f t="shared" ref="W57:W63" si="32">AJ57/$AJ$64</f>
        <v>0.12765673968830477</v>
      </c>
      <c r="X57" s="115">
        <f t="shared" si="29"/>
        <v>0.12124504619922159</v>
      </c>
      <c r="Y57" s="144">
        <f t="shared" ref="Y57:Y63" si="33">AL57/$AL$64</f>
        <v>0.20096634606852376</v>
      </c>
      <c r="Z57" s="144">
        <f t="shared" ref="Z57" si="34">Y57*(1-$Z$80)/(1-$Y$72)</f>
        <v>0.19092371105207362</v>
      </c>
      <c r="AA57" s="1"/>
      <c r="AB57" s="1">
        <v>1</v>
      </c>
      <c r="AC57" s="80"/>
      <c r="AD57" s="81">
        <v>0</v>
      </c>
      <c r="AE57" s="80">
        <v>269196.961054452</v>
      </c>
      <c r="AF57" s="81">
        <v>29754340.10534858</v>
      </c>
      <c r="AG57" s="80">
        <v>9088210.0667120796</v>
      </c>
      <c r="AH57" s="81">
        <v>1004519858.6736861</v>
      </c>
      <c r="AI57" s="80">
        <v>1229979695.1048601</v>
      </c>
      <c r="AJ57" s="81">
        <v>135949655699.94019</v>
      </c>
      <c r="AK57" s="80">
        <v>18760741.943983398</v>
      </c>
      <c r="AL57" s="81">
        <v>2073624807.068485</v>
      </c>
    </row>
    <row r="58" spans="1:38" x14ac:dyDescent="0.2">
      <c r="A58" s="91"/>
      <c r="B58" s="3"/>
      <c r="C58" s="86" t="s">
        <v>1282</v>
      </c>
      <c r="D58" s="145" t="s">
        <v>1278</v>
      </c>
      <c r="E58" s="145" t="s">
        <v>1279</v>
      </c>
      <c r="F58" s="45" t="s">
        <v>33</v>
      </c>
      <c r="G58" s="45" t="s">
        <v>26</v>
      </c>
      <c r="H58" s="45" t="s">
        <v>1764</v>
      </c>
      <c r="I58" s="145"/>
      <c r="J58" s="34" t="s">
        <v>458</v>
      </c>
      <c r="K58" s="34" t="s">
        <v>458</v>
      </c>
      <c r="L58" s="34" t="s">
        <v>1403</v>
      </c>
      <c r="M58" s="34" t="s">
        <v>792</v>
      </c>
      <c r="N58" s="34" t="s">
        <v>34</v>
      </c>
      <c r="O58" s="111">
        <v>0.5</v>
      </c>
      <c r="P58" s="45">
        <v>31.71</v>
      </c>
      <c r="Q58" s="112"/>
      <c r="R58" s="112"/>
      <c r="S58" s="113">
        <f t="shared" si="30"/>
        <v>2.9588002067235344E-2</v>
      </c>
      <c r="T58" s="113">
        <f t="shared" si="27"/>
        <v>2.8082900704480388E-2</v>
      </c>
      <c r="U58" s="114">
        <f t="shared" si="31"/>
        <v>5.9437356298873062E-2</v>
      </c>
      <c r="V58" s="114">
        <f t="shared" si="28"/>
        <v>5.6452919197654848E-2</v>
      </c>
      <c r="W58" s="115">
        <f t="shared" si="32"/>
        <v>7.7041133800633751E-2</v>
      </c>
      <c r="X58" s="115">
        <f t="shared" si="29"/>
        <v>7.317166214416497E-2</v>
      </c>
      <c r="Y58" s="144">
        <f t="shared" si="33"/>
        <v>0.12130288775049516</v>
      </c>
      <c r="Z58" s="144">
        <f>Y58*(1-$Z$80)/(1-$Y$72)</f>
        <v>0.11524117318011495</v>
      </c>
      <c r="AA58" s="1"/>
      <c r="AB58" s="1">
        <v>1</v>
      </c>
      <c r="AC58" s="80"/>
      <c r="AD58" s="81">
        <v>0</v>
      </c>
      <c r="AE58" s="80">
        <v>554813.52776258602</v>
      </c>
      <c r="AF58" s="81">
        <v>17593136.965351604</v>
      </c>
      <c r="AG58" s="80">
        <v>19113092.469625901</v>
      </c>
      <c r="AH58" s="81">
        <v>606076162.21183729</v>
      </c>
      <c r="AI58" s="80">
        <v>2587383397.7824302</v>
      </c>
      <c r="AJ58" s="81">
        <v>82045927543.680862</v>
      </c>
      <c r="AK58" s="80">
        <v>39471328.264788598</v>
      </c>
      <c r="AL58" s="81">
        <v>1251635819.2764466</v>
      </c>
    </row>
    <row r="59" spans="1:38" x14ac:dyDescent="0.2">
      <c r="A59" s="90"/>
      <c r="B59" s="1"/>
      <c r="C59" s="86" t="s">
        <v>804</v>
      </c>
      <c r="D59" s="45" t="s">
        <v>483</v>
      </c>
      <c r="E59" s="45" t="s">
        <v>602</v>
      </c>
      <c r="F59" s="45" t="s">
        <v>33</v>
      </c>
      <c r="G59" s="45" t="s">
        <v>26</v>
      </c>
      <c r="H59" s="45" t="s">
        <v>1765</v>
      </c>
      <c r="I59" s="45"/>
      <c r="J59" s="34" t="s">
        <v>458</v>
      </c>
      <c r="K59" s="34" t="s">
        <v>458</v>
      </c>
      <c r="L59" s="34" t="s">
        <v>1286</v>
      </c>
      <c r="M59" s="34" t="s">
        <v>792</v>
      </c>
      <c r="N59" s="34" t="s">
        <v>34</v>
      </c>
      <c r="O59" s="111">
        <v>0.21</v>
      </c>
      <c r="P59" s="45">
        <v>45.86</v>
      </c>
      <c r="Q59" s="112"/>
      <c r="R59" s="112"/>
      <c r="S59" s="113">
        <f t="shared" si="30"/>
        <v>3.8781491163775779E-2</v>
      </c>
      <c r="T59" s="113">
        <f t="shared" si="27"/>
        <v>3.6808729533313919E-2</v>
      </c>
      <c r="U59" s="114">
        <f t="shared" si="31"/>
        <v>7.6672990467557503E-2</v>
      </c>
      <c r="V59" s="114">
        <f t="shared" si="28"/>
        <v>7.2823126818472778E-2</v>
      </c>
      <c r="W59" s="115">
        <f t="shared" si="32"/>
        <v>9.9295304836409748E-2</v>
      </c>
      <c r="X59" s="115">
        <f t="shared" si="29"/>
        <v>9.4308094125321332E-2</v>
      </c>
      <c r="Y59" s="144">
        <f t="shared" si="33"/>
        <v>0.15564649548201365</v>
      </c>
      <c r="Z59" s="144">
        <f>Y59*(1-$Z$80)/(1-$Y$72)</f>
        <v>0.14786857158433556</v>
      </c>
      <c r="AA59" s="1"/>
      <c r="AB59" s="1">
        <v>1</v>
      </c>
      <c r="AC59" s="80"/>
      <c r="AD59" s="81">
        <v>0</v>
      </c>
      <c r="AE59" s="80">
        <v>502826.42939133302</v>
      </c>
      <c r="AF59" s="81">
        <v>23059620.051886532</v>
      </c>
      <c r="AG59" s="80">
        <v>17048103.392315902</v>
      </c>
      <c r="AH59" s="81">
        <v>781826021.57160723</v>
      </c>
      <c r="AI59" s="80">
        <v>2305839245.3268099</v>
      </c>
      <c r="AJ59" s="81">
        <v>105745787790.6875</v>
      </c>
      <c r="AK59" s="80">
        <v>35019677.2851298</v>
      </c>
      <c r="AL59" s="81">
        <v>1606002400.2960527</v>
      </c>
    </row>
    <row r="60" spans="1:38" x14ac:dyDescent="0.2">
      <c r="A60" s="90"/>
      <c r="B60" s="1"/>
      <c r="C60" s="86" t="s">
        <v>805</v>
      </c>
      <c r="D60" s="45" t="s">
        <v>484</v>
      </c>
      <c r="E60" s="45" t="s">
        <v>598</v>
      </c>
      <c r="F60" s="45" t="s">
        <v>33</v>
      </c>
      <c r="G60" s="45" t="s">
        <v>26</v>
      </c>
      <c r="H60" s="45" t="s">
        <v>1766</v>
      </c>
      <c r="I60" s="45"/>
      <c r="J60" s="34" t="s">
        <v>458</v>
      </c>
      <c r="K60" s="34" t="s">
        <v>458</v>
      </c>
      <c r="L60" s="34" t="s">
        <v>1285</v>
      </c>
      <c r="M60" s="34" t="s">
        <v>799</v>
      </c>
      <c r="N60" s="34" t="s">
        <v>34</v>
      </c>
      <c r="O60" s="111">
        <v>0.5</v>
      </c>
      <c r="P60" s="45">
        <v>45.81</v>
      </c>
      <c r="Q60" s="112"/>
      <c r="R60" s="112"/>
      <c r="S60" s="113">
        <f t="shared" si="30"/>
        <v>2.7376248941155555E-2</v>
      </c>
      <c r="T60" s="113">
        <f t="shared" si="27"/>
        <v>2.5983656447251414E-2</v>
      </c>
      <c r="U60" s="114">
        <f t="shared" si="31"/>
        <v>5.3844817428614876E-2</v>
      </c>
      <c r="V60" s="114">
        <f t="shared" si="28"/>
        <v>5.1141189931553296E-2</v>
      </c>
      <c r="W60" s="115">
        <f t="shared" si="32"/>
        <v>6.9754416497037008E-2</v>
      </c>
      <c r="X60" s="115">
        <f t="shared" si="29"/>
        <v>6.6250927850993957E-2</v>
      </c>
      <c r="Y60" s="144">
        <f t="shared" si="33"/>
        <v>0.10974117442068197</v>
      </c>
      <c r="Z60" s="144">
        <f>Y60*(1-$Z$80)/(1-$Y$72)</f>
        <v>0.10425721861144552</v>
      </c>
      <c r="AA60" s="1"/>
      <c r="AB60" s="1">
        <v>1</v>
      </c>
      <c r="AC60" s="80"/>
      <c r="AD60" s="81">
        <v>0</v>
      </c>
      <c r="AE60" s="80">
        <v>355337.70495346503</v>
      </c>
      <c r="AF60" s="81">
        <v>16278020.263918234</v>
      </c>
      <c r="AG60" s="80">
        <v>11985366.963278599</v>
      </c>
      <c r="AH60" s="81">
        <v>549049660.58779263</v>
      </c>
      <c r="AI60" s="80">
        <v>1621607640.41993</v>
      </c>
      <c r="AJ60" s="81">
        <v>74285846007.636993</v>
      </c>
      <c r="AK60" s="80">
        <v>24718160.919159301</v>
      </c>
      <c r="AL60" s="81">
        <v>1132338951.7066877</v>
      </c>
    </row>
    <row r="61" spans="1:38" x14ac:dyDescent="0.2">
      <c r="A61" s="90"/>
      <c r="B61" s="1"/>
      <c r="C61" s="86" t="s">
        <v>806</v>
      </c>
      <c r="D61" s="45" t="s">
        <v>485</v>
      </c>
      <c r="E61" s="45" t="s">
        <v>599</v>
      </c>
      <c r="F61" s="45" t="s">
        <v>33</v>
      </c>
      <c r="G61" s="45" t="s">
        <v>26</v>
      </c>
      <c r="H61" s="45" t="s">
        <v>1767</v>
      </c>
      <c r="I61" s="45"/>
      <c r="J61" s="34" t="s">
        <v>458</v>
      </c>
      <c r="K61" s="34" t="s">
        <v>458</v>
      </c>
      <c r="L61" s="34" t="s">
        <v>1285</v>
      </c>
      <c r="M61" s="34" t="s">
        <v>792</v>
      </c>
      <c r="N61" s="34" t="s">
        <v>34</v>
      </c>
      <c r="O61" s="111">
        <v>0.3</v>
      </c>
      <c r="P61" s="45">
        <v>41.73</v>
      </c>
      <c r="Q61" s="112"/>
      <c r="R61" s="112"/>
      <c r="S61" s="113">
        <f t="shared" si="30"/>
        <v>2.7020579810981347E-2</v>
      </c>
      <c r="T61" s="113">
        <f t="shared" si="27"/>
        <v>2.5646079721265182E-2</v>
      </c>
      <c r="U61" s="114">
        <f t="shared" si="31"/>
        <v>5.3145271650068097E-2</v>
      </c>
      <c r="V61" s="114">
        <f t="shared" si="28"/>
        <v>5.0476769375686299E-2</v>
      </c>
      <c r="W61" s="115">
        <f t="shared" si="32"/>
        <v>6.8848175006661669E-2</v>
      </c>
      <c r="X61" s="115">
        <f t="shared" si="29"/>
        <v>6.5390203288887061E-2</v>
      </c>
      <c r="Y61" s="144">
        <f t="shared" si="33"/>
        <v>0.10831542949359561</v>
      </c>
      <c r="Z61" s="144">
        <f>Y61*(1-$Z$80)/(1-$Y$72)</f>
        <v>0.10290272061803432</v>
      </c>
      <c r="AA61" s="1"/>
      <c r="AB61" s="1">
        <v>1</v>
      </c>
      <c r="AC61" s="80"/>
      <c r="AD61" s="81">
        <v>0</v>
      </c>
      <c r="AE61" s="80">
        <v>385011.69579640101</v>
      </c>
      <c r="AF61" s="81">
        <v>16066538.065583812</v>
      </c>
      <c r="AG61" s="80">
        <v>12986256.1584292</v>
      </c>
      <c r="AH61" s="81">
        <v>541916469.49125051</v>
      </c>
      <c r="AI61" s="80">
        <v>1757026903.8469701</v>
      </c>
      <c r="AJ61" s="81">
        <v>73320732697.534058</v>
      </c>
      <c r="AK61" s="80">
        <v>26782356.3888334</v>
      </c>
      <c r="AL61" s="81">
        <v>1117627732.1060176</v>
      </c>
    </row>
    <row r="62" spans="1:38" x14ac:dyDescent="0.2">
      <c r="A62" s="90"/>
      <c r="B62" s="1"/>
      <c r="C62" s="86" t="s">
        <v>807</v>
      </c>
      <c r="D62" s="45" t="s">
        <v>486</v>
      </c>
      <c r="E62" s="45" t="s">
        <v>600</v>
      </c>
      <c r="F62" s="45" t="s">
        <v>33</v>
      </c>
      <c r="G62" s="45" t="s">
        <v>26</v>
      </c>
      <c r="H62" s="45" t="s">
        <v>1768</v>
      </c>
      <c r="I62" s="45"/>
      <c r="J62" s="34" t="s">
        <v>458</v>
      </c>
      <c r="K62" s="34" t="s">
        <v>458</v>
      </c>
      <c r="L62" s="34" t="s">
        <v>464</v>
      </c>
      <c r="M62" s="34" t="s">
        <v>803</v>
      </c>
      <c r="N62" s="34" t="s">
        <v>34</v>
      </c>
      <c r="O62" s="111">
        <v>0.15</v>
      </c>
      <c r="P62" s="45">
        <v>96.51</v>
      </c>
      <c r="Q62" s="112"/>
      <c r="R62" s="112"/>
      <c r="S62" s="113">
        <f t="shared" si="30"/>
        <v>6.0702079309658409E-2</v>
      </c>
      <c r="T62" s="113">
        <f t="shared" si="27"/>
        <v>5.7614247218684002E-2</v>
      </c>
      <c r="U62" s="114">
        <f t="shared" si="31"/>
        <v>0.12155154161198989</v>
      </c>
      <c r="V62" s="114">
        <f t="shared" si="28"/>
        <v>0.11544825988672294</v>
      </c>
      <c r="W62" s="115">
        <f t="shared" si="32"/>
        <v>0.15757310842593891</v>
      </c>
      <c r="X62" s="115">
        <f t="shared" si="29"/>
        <v>0.14965883397543961</v>
      </c>
      <c r="Y62" s="144">
        <f t="shared" si="33"/>
        <v>0.24801867425521698</v>
      </c>
      <c r="Z62" s="144">
        <f>Y62*(1-$Z$80)/(1-$Y$72)</f>
        <v>0.23562475322547549</v>
      </c>
      <c r="AA62" s="1"/>
      <c r="AB62" s="1">
        <v>1</v>
      </c>
      <c r="AC62" s="80"/>
      <c r="AD62" s="81">
        <v>0</v>
      </c>
      <c r="AE62" s="80">
        <v>373989.05762802099</v>
      </c>
      <c r="AF62" s="81">
        <v>36093683.95168031</v>
      </c>
      <c r="AG62" s="80">
        <v>12842686.2962004</v>
      </c>
      <c r="AH62" s="81">
        <v>1239447654.4463007</v>
      </c>
      <c r="AI62" s="80">
        <v>1738778054.8225</v>
      </c>
      <c r="AJ62" s="81">
        <v>167809470070.91949</v>
      </c>
      <c r="AK62" s="80">
        <v>26516665.461153898</v>
      </c>
      <c r="AL62" s="81">
        <v>2559123383.6559629</v>
      </c>
    </row>
    <row r="63" spans="1:38" x14ac:dyDescent="0.2">
      <c r="A63" s="91"/>
      <c r="B63" s="3"/>
      <c r="C63" s="86" t="s">
        <v>790</v>
      </c>
      <c r="D63" s="146" t="s">
        <v>34</v>
      </c>
      <c r="E63" s="146"/>
      <c r="F63" s="146"/>
      <c r="G63" s="146"/>
      <c r="H63" s="146"/>
      <c r="I63" s="146"/>
      <c r="J63" s="34" t="s">
        <v>80</v>
      </c>
      <c r="K63" s="34" t="s">
        <v>80</v>
      </c>
      <c r="L63" s="34"/>
      <c r="M63" s="34"/>
      <c r="N63" s="34" t="s">
        <v>34</v>
      </c>
      <c r="O63" s="111"/>
      <c r="P63" s="45">
        <v>1</v>
      </c>
      <c r="Q63" s="112">
        <f t="shared" ref="Q63" si="35">AD63/$AD$64</f>
        <v>5.1381540501230063E-3</v>
      </c>
      <c r="R63" s="112">
        <f>R80</f>
        <v>5.475E-2</v>
      </c>
      <c r="S63" s="113">
        <f t="shared" si="30"/>
        <v>4.0893834876485936E-3</v>
      </c>
      <c r="T63" s="113">
        <f>T80</f>
        <v>5.475E-2</v>
      </c>
      <c r="U63" s="114">
        <f t="shared" si="31"/>
        <v>4.778462477743637E-3</v>
      </c>
      <c r="V63" s="114">
        <f>V80</f>
        <v>5.475E-2</v>
      </c>
      <c r="W63" s="115">
        <f t="shared" si="32"/>
        <v>4.763188492687578E-3</v>
      </c>
      <c r="X63" s="115">
        <f>X80</f>
        <v>5.475E-2</v>
      </c>
      <c r="Y63" s="144">
        <f t="shared" si="33"/>
        <v>5.0296132707143134E-3</v>
      </c>
      <c r="Z63" s="144">
        <f>Z80</f>
        <v>5.475E-2</v>
      </c>
      <c r="AA63" s="1"/>
      <c r="AB63" s="1">
        <v>1</v>
      </c>
      <c r="AC63" s="80">
        <v>5733740.59944914</v>
      </c>
      <c r="AD63" s="81">
        <v>5733740.59944914</v>
      </c>
      <c r="AE63" s="80">
        <v>2431562.7543408298</v>
      </c>
      <c r="AF63" s="81">
        <v>2431562.7543408298</v>
      </c>
      <c r="AG63" s="80">
        <v>48725454.497360297</v>
      </c>
      <c r="AH63" s="81">
        <v>48725454.497360297</v>
      </c>
      <c r="AI63" s="80">
        <v>5072617687.0559597</v>
      </c>
      <c r="AJ63" s="81">
        <v>5072617687.0559597</v>
      </c>
      <c r="AK63" s="80">
        <v>51896902.402543999</v>
      </c>
      <c r="AL63" s="81">
        <v>51896902.402543999</v>
      </c>
    </row>
    <row r="64" spans="1:38" x14ac:dyDescent="0.2">
      <c r="A64" s="90"/>
      <c r="B64" s="1"/>
      <c r="C64" s="86"/>
      <c r="D64" s="146"/>
      <c r="E64" s="146"/>
      <c r="F64" s="146"/>
      <c r="G64" s="146"/>
      <c r="H64" s="146"/>
      <c r="I64" s="146"/>
      <c r="J64" s="34"/>
      <c r="K64" s="34"/>
      <c r="L64" s="34"/>
      <c r="M64" s="34"/>
      <c r="N64" s="34"/>
      <c r="O64" s="111"/>
      <c r="P64" s="45"/>
      <c r="Q64" s="112"/>
      <c r="R64" s="112"/>
      <c r="S64" s="113"/>
      <c r="T64" s="113"/>
      <c r="U64" s="114"/>
      <c r="V64" s="114"/>
      <c r="W64" s="115"/>
      <c r="X64" s="115"/>
      <c r="Y64" s="144"/>
      <c r="Z64" s="144"/>
      <c r="AA64" s="1"/>
      <c r="AB64" s="1"/>
      <c r="AC64" s="40"/>
      <c r="AD64" s="82">
        <v>1115914498.3813546</v>
      </c>
      <c r="AE64" s="40"/>
      <c r="AF64" s="82">
        <v>594603749.36344862</v>
      </c>
      <c r="AG64" s="40"/>
      <c r="AH64" s="82">
        <v>10196889632.241745</v>
      </c>
      <c r="AI64" s="40"/>
      <c r="AJ64" s="82">
        <v>1064962617969.752</v>
      </c>
      <c r="AK64" s="40"/>
      <c r="AL64" s="82">
        <v>10318268942.211042</v>
      </c>
    </row>
    <row r="65" spans="1:38" x14ac:dyDescent="0.2">
      <c r="A65" s="90"/>
      <c r="B65" s="1"/>
      <c r="C65" s="119"/>
      <c r="D65" s="122"/>
      <c r="E65" s="122"/>
      <c r="F65" s="122"/>
      <c r="G65" s="122"/>
      <c r="H65" s="122"/>
      <c r="I65" s="122"/>
      <c r="J65" s="77"/>
      <c r="K65" s="77"/>
      <c r="L65" s="77"/>
      <c r="M65" s="77"/>
      <c r="N65" s="77"/>
      <c r="O65" s="77"/>
      <c r="P65" s="121" t="s">
        <v>81</v>
      </c>
      <c r="Q65" s="107">
        <f>SUM(Q44:Q63)</f>
        <v>1.0000000000000002</v>
      </c>
      <c r="R65" s="107"/>
      <c r="S65" s="108">
        <f>SUM(S44:S63)</f>
        <v>1</v>
      </c>
      <c r="T65" s="108"/>
      <c r="U65" s="109">
        <f>SUM(U44:U63)</f>
        <v>1.0000000000000002</v>
      </c>
      <c r="V65" s="109">
        <f>SUM(V44:V63)</f>
        <v>1.0000000000000002</v>
      </c>
      <c r="W65" s="110">
        <f>SUM(W44:W63)</f>
        <v>0.99999999999999978</v>
      </c>
      <c r="X65" s="110">
        <f>SUM(X44:X63)</f>
        <v>1.0000000000000002</v>
      </c>
      <c r="Y65" s="143">
        <f>SUM(Y44:Y63)</f>
        <v>0.99999999999999989</v>
      </c>
      <c r="Z65" s="143">
        <f>SUM(Z56:Z63)</f>
        <v>0.99999999999999989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</row>
    <row r="66" spans="1:38" x14ac:dyDescent="0.2">
      <c r="A66" s="90"/>
      <c r="B66" s="1"/>
      <c r="C66" s="119"/>
      <c r="D66" s="122"/>
      <c r="E66" s="122"/>
      <c r="F66" s="122"/>
      <c r="G66" s="122"/>
      <c r="H66" s="122"/>
      <c r="I66" s="122"/>
      <c r="J66" s="77"/>
      <c r="K66" s="77"/>
      <c r="L66" s="77"/>
      <c r="M66" s="77"/>
      <c r="N66" s="77"/>
      <c r="O66" s="77"/>
      <c r="P66" s="122" t="s">
        <v>470</v>
      </c>
      <c r="Q66" s="112">
        <f>SUMIF($J$44:$J$63,$P$66,Q$44:Q$63)</f>
        <v>0.99486184594987714</v>
      </c>
      <c r="R66" s="112"/>
      <c r="S66" s="113">
        <f>SUMIF($J$44:$J$63,$P$66,S$44:S$63)</f>
        <v>0.72018504094670932</v>
      </c>
      <c r="T66" s="113"/>
      <c r="U66" s="114">
        <f>SUMIF($J$44:$J$63,$P$66,U$44:U$63)</f>
        <v>0.47739879119409595</v>
      </c>
      <c r="V66" s="114"/>
      <c r="W66" s="115">
        <f>SUMIF($J$44:$J$63,$P$66,W$44:W$63)</f>
        <v>0.3331883323624642</v>
      </c>
      <c r="X66" s="115"/>
      <c r="Y66" s="144">
        <f>SUMIF($J$44:$J$63,$P$66,Y$44:Y$63)</f>
        <v>0</v>
      </c>
      <c r="Z66" s="144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</row>
    <row r="67" spans="1:38" x14ac:dyDescent="0.2">
      <c r="A67" s="90"/>
      <c r="B67" s="1"/>
      <c r="C67" s="119"/>
      <c r="D67" s="122"/>
      <c r="E67" s="122"/>
      <c r="F67" s="122"/>
      <c r="G67" s="122"/>
      <c r="H67" s="122"/>
      <c r="I67" s="122"/>
      <c r="J67" s="77"/>
      <c r="K67" s="77"/>
      <c r="L67" s="77"/>
      <c r="M67" s="77"/>
      <c r="N67" s="77"/>
      <c r="O67" s="77"/>
      <c r="P67" s="123" t="s">
        <v>453</v>
      </c>
      <c r="Q67" s="112">
        <f>SUMIF($K$44:$K$63,$P$67,Q$44:Q$63)</f>
        <v>0.46711167517213908</v>
      </c>
      <c r="R67" s="112"/>
      <c r="S67" s="113">
        <f>SUMIF($K$44:$K$63,$P$67,S$44:S$63)</f>
        <v>0.33814716179287652</v>
      </c>
      <c r="T67" s="113"/>
      <c r="U67" s="114">
        <f>SUMIF($K$44:$K$63,$P$67,U$44:U$63)</f>
        <v>0.22418713124086564</v>
      </c>
      <c r="V67" s="114"/>
      <c r="W67" s="115">
        <f>SUMIF($K$44:$K$63,$P$67,W$44:W$63)</f>
        <v>0.15642994800069918</v>
      </c>
      <c r="X67" s="115"/>
      <c r="Y67" s="144">
        <f>SUMIF($K$44:$K$63,$P$67,Y$44:Y$63)</f>
        <v>0</v>
      </c>
      <c r="Z67" s="144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</row>
    <row r="68" spans="1:38" x14ac:dyDescent="0.2">
      <c r="A68" s="90"/>
      <c r="B68" s="1"/>
      <c r="C68" s="119"/>
      <c r="D68" s="122"/>
      <c r="E68" s="122"/>
      <c r="F68" s="122"/>
      <c r="G68" s="122"/>
      <c r="H68" s="122"/>
      <c r="I68" s="122"/>
      <c r="J68" s="77"/>
      <c r="K68" s="77"/>
      <c r="L68" s="77"/>
      <c r="M68" s="77"/>
      <c r="N68" s="77"/>
      <c r="O68" s="77"/>
      <c r="P68" s="123" t="s">
        <v>443</v>
      </c>
      <c r="Q68" s="112">
        <f>SUMIF($K$44:$K$63,$P$68,Q$44:Q$63)</f>
        <v>0.21646464152336725</v>
      </c>
      <c r="R68" s="112"/>
      <c r="S68" s="113">
        <f>SUMIF($K$44:$K$63,$P$68,S$44:S$63)</f>
        <v>0.15725782505515967</v>
      </c>
      <c r="T68" s="113"/>
      <c r="U68" s="114">
        <f>SUMIF($K$44:$K$63,$P$68,U$44:U$63)</f>
        <v>0.10389289067730501</v>
      </c>
      <c r="V68" s="114"/>
      <c r="W68" s="115">
        <f>SUMIF($K$44:$K$63,$P$68,W$44:W$63)</f>
        <v>7.2482847942532153E-2</v>
      </c>
      <c r="X68" s="115"/>
      <c r="Y68" s="144">
        <f>SUMIF($K$44:$K$63,$P$68,Y$44:Y$63)</f>
        <v>0</v>
      </c>
      <c r="Z68" s="144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</row>
    <row r="69" spans="1:38" x14ac:dyDescent="0.2">
      <c r="A69" s="90"/>
      <c r="B69" s="1"/>
      <c r="C69" s="119"/>
      <c r="D69" s="122"/>
      <c r="E69" s="122"/>
      <c r="F69" s="122"/>
      <c r="G69" s="122"/>
      <c r="H69" s="122"/>
      <c r="I69" s="122"/>
      <c r="J69" s="77"/>
      <c r="K69" s="77"/>
      <c r="L69" s="77"/>
      <c r="M69" s="77"/>
      <c r="N69" s="77"/>
      <c r="O69" s="77"/>
      <c r="P69" s="123" t="s">
        <v>446</v>
      </c>
      <c r="Q69" s="112">
        <f>SUMIF($K$44:$K$63,$P$69,Q$44:Q$63)</f>
        <v>0.3112855292543707</v>
      </c>
      <c r="R69" s="112"/>
      <c r="S69" s="113">
        <f>SUMIF($K$44:$K$63,$P$69,S$44:S$63)</f>
        <v>0.25456180180776944</v>
      </c>
      <c r="T69" s="113"/>
      <c r="U69" s="114">
        <f>SUMIF($K$44:$K$63,$P$69,U$44:U$63)</f>
        <v>0.17893587766535027</v>
      </c>
      <c r="V69" s="114"/>
      <c r="W69" s="115">
        <f>SUMIF($K$44:$K$63,$P$69,W$44:W$63)</f>
        <v>0.13379797601654084</v>
      </c>
      <c r="X69" s="115"/>
      <c r="Y69" s="144">
        <f>SUMIF($K$44:$K$63,$P$69,Y$44:Y$63)</f>
        <v>0</v>
      </c>
      <c r="Z69" s="144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</row>
    <row r="70" spans="1:38" x14ac:dyDescent="0.2">
      <c r="A70" s="90"/>
      <c r="B70" s="1"/>
      <c r="C70" s="119"/>
      <c r="D70" s="122"/>
      <c r="E70" s="122"/>
      <c r="F70" s="122"/>
      <c r="G70" s="122"/>
      <c r="H70" s="122"/>
      <c r="I70" s="122"/>
      <c r="J70" s="77" t="s">
        <v>471</v>
      </c>
      <c r="K70" s="77"/>
      <c r="L70" s="77"/>
      <c r="M70" s="77"/>
      <c r="N70" s="77"/>
      <c r="O70" s="77"/>
      <c r="P70" s="122" t="s">
        <v>458</v>
      </c>
      <c r="Q70" s="112">
        <f>SUMIF($J$44:$J$63,$P$70,Q$44:Q$63)</f>
        <v>0</v>
      </c>
      <c r="R70" s="112"/>
      <c r="S70" s="113">
        <f>SUMIF($J$44:$J$63,$P$70,S$44:S$63)</f>
        <v>0.24594382785654559</v>
      </c>
      <c r="T70" s="113"/>
      <c r="U70" s="114">
        <f>SUMIF($J$44:$J$63,$P$70,U$44:U$63)</f>
        <v>0.48820563793873556</v>
      </c>
      <c r="V70" s="114"/>
      <c r="W70" s="115">
        <f>SUMIF($J$44:$J$63,$P$70,W$44:W$63)</f>
        <v>0.63252603954754028</v>
      </c>
      <c r="X70" s="115"/>
      <c r="Y70" s="144">
        <f>SUMIF($J$44:$J$63,$P$70,Y$44:Y$63)</f>
        <v>0.99497038672928562</v>
      </c>
      <c r="Z70" s="144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</row>
    <row r="71" spans="1:38" x14ac:dyDescent="0.2">
      <c r="A71" s="90"/>
      <c r="B71" s="1"/>
      <c r="C71" s="119"/>
      <c r="D71" s="122"/>
      <c r="E71" s="122"/>
      <c r="F71" s="122"/>
      <c r="G71" s="122"/>
      <c r="H71" s="122"/>
      <c r="I71" s="122"/>
      <c r="J71" s="77"/>
      <c r="K71" s="77"/>
      <c r="L71" s="77"/>
      <c r="M71" s="77"/>
      <c r="N71" s="77"/>
      <c r="O71" s="77"/>
      <c r="P71" s="122" t="s">
        <v>447</v>
      </c>
      <c r="Q71" s="112">
        <f>SUMIF($J$44:$J$63,$P$71,Q$44:Q$63)</f>
        <v>0</v>
      </c>
      <c r="R71" s="112"/>
      <c r="S71" s="113">
        <f>SUMIF($J$44:$J$63,$P$71,S$44:S$63)</f>
        <v>2.9781747709096383E-2</v>
      </c>
      <c r="T71" s="113"/>
      <c r="U71" s="114">
        <f>SUMIF($J$44:$J$63,$P$71,U$44:U$63)</f>
        <v>2.9617108389424968E-2</v>
      </c>
      <c r="V71" s="114"/>
      <c r="W71" s="115">
        <f>SUMIF($J$44:$J$63,$P$71,W$44:W$63)</f>
        <v>2.9522439597308027E-2</v>
      </c>
      <c r="X71" s="115"/>
      <c r="Y71" s="144">
        <f>SUMIF($J$44:$J$63,$P$71,Y$44:Y$63)</f>
        <v>0</v>
      </c>
      <c r="Z71" s="144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</row>
    <row r="72" spans="1:38" x14ac:dyDescent="0.2">
      <c r="A72" s="90"/>
      <c r="B72" s="1"/>
      <c r="C72" s="119"/>
      <c r="D72" s="122"/>
      <c r="E72" s="122"/>
      <c r="F72" s="122"/>
      <c r="G72" s="122"/>
      <c r="H72" s="122"/>
      <c r="I72" s="122"/>
      <c r="J72" s="77"/>
      <c r="K72" s="77"/>
      <c r="L72" s="77"/>
      <c r="M72" s="77"/>
      <c r="N72" s="77"/>
      <c r="O72" s="77"/>
      <c r="P72" s="122" t="s">
        <v>80</v>
      </c>
      <c r="Q72" s="112">
        <f>Q63</f>
        <v>5.1381540501230063E-3</v>
      </c>
      <c r="R72" s="112"/>
      <c r="S72" s="113">
        <f t="shared" ref="S72:Y72" si="36">S63</f>
        <v>4.0893834876485936E-3</v>
      </c>
      <c r="T72" s="113"/>
      <c r="U72" s="114">
        <f t="shared" si="36"/>
        <v>4.778462477743637E-3</v>
      </c>
      <c r="V72" s="114"/>
      <c r="W72" s="115">
        <f t="shared" si="36"/>
        <v>4.763188492687578E-3</v>
      </c>
      <c r="X72" s="115"/>
      <c r="Y72" s="144">
        <f t="shared" si="36"/>
        <v>5.0296132707143134E-3</v>
      </c>
      <c r="Z72" s="144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spans="1:38" x14ac:dyDescent="0.2">
      <c r="A73" s="90"/>
      <c r="B73" s="1"/>
      <c r="C73" s="119"/>
      <c r="D73" s="122"/>
      <c r="E73" s="122"/>
      <c r="F73" s="122"/>
      <c r="G73" s="122"/>
      <c r="H73" s="122"/>
      <c r="I73" s="122"/>
      <c r="J73" s="77"/>
      <c r="K73" s="77"/>
      <c r="L73" s="77"/>
      <c r="M73" s="77"/>
      <c r="N73" s="77"/>
      <c r="O73" s="77"/>
      <c r="P73" s="121"/>
      <c r="Q73" s="107"/>
      <c r="R73" s="107"/>
      <c r="S73" s="108"/>
      <c r="T73" s="108"/>
      <c r="U73" s="109"/>
      <c r="V73" s="109"/>
      <c r="W73" s="110"/>
      <c r="X73" s="110"/>
      <c r="Y73" s="143"/>
      <c r="Z73" s="14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spans="1:38" x14ac:dyDescent="0.2">
      <c r="A74" s="90"/>
      <c r="B74" s="1"/>
      <c r="C74" s="119"/>
      <c r="D74" s="122"/>
      <c r="E74" s="122"/>
      <c r="F74" s="122"/>
      <c r="G74" s="122"/>
      <c r="H74" s="122"/>
      <c r="I74" s="122"/>
      <c r="J74" s="77"/>
      <c r="K74" s="77"/>
      <c r="L74" s="77"/>
      <c r="M74" s="77"/>
      <c r="N74" s="77"/>
      <c r="O74" s="77"/>
      <c r="P74" s="121" t="s">
        <v>437</v>
      </c>
      <c r="Q74" s="125">
        <f>SUMPRODUCT(Q44:Q63,$O44:$O63)/Q65</f>
        <v>0.14134134818299224</v>
      </c>
      <c r="R74" s="125"/>
      <c r="S74" s="126">
        <f>SUMPRODUCT(S44:S63,$O44:$O63)/S65</f>
        <v>0.18200803753320979</v>
      </c>
      <c r="T74" s="126"/>
      <c r="U74" s="127">
        <f>SUMPRODUCT(U44:U63,$O44:$O63)/U65</f>
        <v>0.2091681933613721</v>
      </c>
      <c r="V74" s="127"/>
      <c r="W74" s="128">
        <f>SUMPRODUCT(W44:W63,$O44:$O63)/W65</f>
        <v>0.22544359537029598</v>
      </c>
      <c r="X74" s="128"/>
      <c r="Y74" s="147">
        <f>SUMPRODUCT(Y44:Y63,$O44:$O63)/Y65</f>
        <v>0.25368742046157983</v>
      </c>
      <c r="Z74" s="147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spans="1:38" ht="15" thickBot="1" x14ac:dyDescent="0.25">
      <c r="A75" s="90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87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spans="1:38" x14ac:dyDescent="0.2">
      <c r="A76" s="90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29" t="s">
        <v>86</v>
      </c>
      <c r="R76" s="130">
        <v>100000</v>
      </c>
      <c r="S76" s="129" t="s">
        <v>86</v>
      </c>
      <c r="T76" s="130">
        <v>100000</v>
      </c>
      <c r="U76" s="129" t="s">
        <v>86</v>
      </c>
      <c r="V76" s="130">
        <v>100000</v>
      </c>
      <c r="W76" s="129" t="s">
        <v>86</v>
      </c>
      <c r="X76" s="130">
        <v>100000</v>
      </c>
      <c r="Y76" s="129" t="s">
        <v>86</v>
      </c>
      <c r="Z76" s="130">
        <v>100000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spans="1:38" x14ac:dyDescent="0.2">
      <c r="A77" s="90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32" t="s">
        <v>85</v>
      </c>
      <c r="R77" s="133">
        <v>5000</v>
      </c>
      <c r="S77" s="132" t="s">
        <v>85</v>
      </c>
      <c r="T77" s="133">
        <v>5000</v>
      </c>
      <c r="U77" s="132" t="s">
        <v>85</v>
      </c>
      <c r="V77" s="133">
        <v>5000</v>
      </c>
      <c r="W77" s="132" t="s">
        <v>85</v>
      </c>
      <c r="X77" s="133">
        <v>5000</v>
      </c>
      <c r="Y77" s="132" t="s">
        <v>85</v>
      </c>
      <c r="Z77" s="133">
        <v>5000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spans="1:38" x14ac:dyDescent="0.2">
      <c r="A78" s="90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32" t="s">
        <v>88</v>
      </c>
      <c r="R78" s="134">
        <f>(R76-R77)*0.5%</f>
        <v>475</v>
      </c>
      <c r="S78" s="132" t="s">
        <v>88</v>
      </c>
      <c r="T78" s="134">
        <f>(T76-T77)*0.5%</f>
        <v>475</v>
      </c>
      <c r="U78" s="132" t="s">
        <v>88</v>
      </c>
      <c r="V78" s="134">
        <f>(V76-V77)*0.5%</f>
        <v>475</v>
      </c>
      <c r="W78" s="132" t="s">
        <v>88</v>
      </c>
      <c r="X78" s="134">
        <f>(X76-X77)*0.5%</f>
        <v>475</v>
      </c>
      <c r="Y78" s="132" t="s">
        <v>88</v>
      </c>
      <c r="Z78" s="134">
        <f>(Z76-Z77)*0.5%</f>
        <v>475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spans="1:38" x14ac:dyDescent="0.2">
      <c r="A79" s="90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32" t="s">
        <v>87</v>
      </c>
      <c r="R79" s="134">
        <f>R77+R78</f>
        <v>5475</v>
      </c>
      <c r="S79" s="132" t="s">
        <v>87</v>
      </c>
      <c r="T79" s="134">
        <f>T77+T78</f>
        <v>5475</v>
      </c>
      <c r="U79" s="132" t="s">
        <v>87</v>
      </c>
      <c r="V79" s="134">
        <f>V77+V78</f>
        <v>5475</v>
      </c>
      <c r="W79" s="132" t="s">
        <v>87</v>
      </c>
      <c r="X79" s="134">
        <f>X77+X78</f>
        <v>5475</v>
      </c>
      <c r="Y79" s="132" t="s">
        <v>87</v>
      </c>
      <c r="Z79" s="134">
        <f>Z77+Z78</f>
        <v>5475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spans="1:38" ht="15" thickBot="1" x14ac:dyDescent="0.25">
      <c r="A80" s="90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36" t="s">
        <v>89</v>
      </c>
      <c r="R80" s="137">
        <f>R79/R76</f>
        <v>5.475E-2</v>
      </c>
      <c r="S80" s="136" t="s">
        <v>89</v>
      </c>
      <c r="T80" s="137">
        <f>T79/T76</f>
        <v>5.475E-2</v>
      </c>
      <c r="U80" s="136" t="s">
        <v>89</v>
      </c>
      <c r="V80" s="137">
        <f>V79/V76</f>
        <v>5.475E-2</v>
      </c>
      <c r="W80" s="136" t="s">
        <v>89</v>
      </c>
      <c r="X80" s="137">
        <f>X79/X76</f>
        <v>5.475E-2</v>
      </c>
      <c r="Y80" s="136" t="s">
        <v>89</v>
      </c>
      <c r="Z80" s="137">
        <f>Z79/Z76</f>
        <v>5.475E-2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1:38" x14ac:dyDescent="0.2">
      <c r="A81" s="90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87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1:38" x14ac:dyDescent="0.2">
      <c r="A82" s="93" t="s">
        <v>0</v>
      </c>
      <c r="B82" s="1"/>
      <c r="C82" s="95" t="s">
        <v>487</v>
      </c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6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1:38" x14ac:dyDescent="0.2">
      <c r="A83" s="89">
        <v>45565</v>
      </c>
      <c r="B83" s="1"/>
      <c r="C83" s="97" t="s">
        <v>5</v>
      </c>
      <c r="D83" s="98" t="s">
        <v>91</v>
      </c>
      <c r="E83" s="98" t="s">
        <v>533</v>
      </c>
      <c r="F83" s="98" t="s">
        <v>534</v>
      </c>
      <c r="G83" s="98" t="s">
        <v>535</v>
      </c>
      <c r="H83" s="98" t="s">
        <v>1426</v>
      </c>
      <c r="I83" s="98" t="s">
        <v>556</v>
      </c>
      <c r="J83" s="98" t="s">
        <v>434</v>
      </c>
      <c r="K83" s="98" t="s">
        <v>435</v>
      </c>
      <c r="L83" s="98" t="s">
        <v>436</v>
      </c>
      <c r="M83" s="98" t="s">
        <v>9</v>
      </c>
      <c r="N83" s="98" t="s">
        <v>13</v>
      </c>
      <c r="O83" s="98" t="s">
        <v>437</v>
      </c>
      <c r="P83" s="98" t="s">
        <v>14</v>
      </c>
      <c r="Q83" s="99" t="s">
        <v>438</v>
      </c>
      <c r="R83" s="99" t="s">
        <v>536</v>
      </c>
      <c r="S83" s="100" t="s">
        <v>439</v>
      </c>
      <c r="T83" s="100" t="s">
        <v>537</v>
      </c>
      <c r="U83" s="101" t="s">
        <v>440</v>
      </c>
      <c r="V83" s="101" t="s">
        <v>538</v>
      </c>
      <c r="W83" s="102" t="s">
        <v>441</v>
      </c>
      <c r="X83" s="102" t="s">
        <v>539</v>
      </c>
      <c r="Y83" s="140" t="s">
        <v>442</v>
      </c>
      <c r="Z83" s="140" t="s">
        <v>540</v>
      </c>
      <c r="AA83" s="1"/>
      <c r="AB83" s="1"/>
      <c r="AC83" s="141" t="s">
        <v>438</v>
      </c>
      <c r="AD83" s="141"/>
      <c r="AE83" s="103" t="s">
        <v>439</v>
      </c>
      <c r="AF83" s="103"/>
      <c r="AG83" s="104" t="s">
        <v>440</v>
      </c>
      <c r="AH83" s="104"/>
      <c r="AI83" s="105" t="s">
        <v>441</v>
      </c>
      <c r="AJ83" s="105"/>
      <c r="AK83" s="142" t="s">
        <v>458</v>
      </c>
      <c r="AL83" s="142"/>
    </row>
    <row r="84" spans="1:38" x14ac:dyDescent="0.2">
      <c r="A84" s="90"/>
      <c r="B84" s="1"/>
      <c r="C84" s="106" t="s">
        <v>16</v>
      </c>
      <c r="D84" s="45"/>
      <c r="E84" s="45"/>
      <c r="F84" s="45"/>
      <c r="G84" s="45"/>
      <c r="H84" s="45"/>
      <c r="I84" s="45"/>
      <c r="J84" s="34"/>
      <c r="K84" s="34"/>
      <c r="L84" s="34"/>
      <c r="M84" s="34"/>
      <c r="N84" s="34"/>
      <c r="O84" s="34"/>
      <c r="P84" s="34"/>
      <c r="Q84" s="107"/>
      <c r="R84" s="107"/>
      <c r="S84" s="108"/>
      <c r="T84" s="108"/>
      <c r="U84" s="109"/>
      <c r="V84" s="109"/>
      <c r="W84" s="110"/>
      <c r="X84" s="110"/>
      <c r="Y84" s="143"/>
      <c r="Z84" s="143"/>
      <c r="AA84" s="1"/>
      <c r="AB84" s="13" t="s">
        <v>17</v>
      </c>
      <c r="AC84" s="78" t="s">
        <v>18</v>
      </c>
      <c r="AD84" s="79" t="s">
        <v>19</v>
      </c>
      <c r="AE84" s="78" t="s">
        <v>18</v>
      </c>
      <c r="AF84" s="79" t="s">
        <v>19</v>
      </c>
      <c r="AG84" s="78" t="s">
        <v>18</v>
      </c>
      <c r="AH84" s="79" t="s">
        <v>19</v>
      </c>
      <c r="AI84" s="78" t="s">
        <v>18</v>
      </c>
      <c r="AJ84" s="79" t="s">
        <v>19</v>
      </c>
      <c r="AK84" s="78" t="s">
        <v>18</v>
      </c>
      <c r="AL84" s="79" t="s">
        <v>19</v>
      </c>
    </row>
    <row r="85" spans="1:38" x14ac:dyDescent="0.2">
      <c r="A85" s="91"/>
      <c r="B85" s="1"/>
      <c r="C85" s="86" t="s">
        <v>791</v>
      </c>
      <c r="D85" s="45" t="s">
        <v>472</v>
      </c>
      <c r="E85" s="45" t="s">
        <v>587</v>
      </c>
      <c r="F85" s="45" t="s">
        <v>33</v>
      </c>
      <c r="G85" s="45" t="s">
        <v>26</v>
      </c>
      <c r="H85" s="45" t="s">
        <v>1754</v>
      </c>
      <c r="I85" s="45"/>
      <c r="J85" s="34" t="s">
        <v>470</v>
      </c>
      <c r="K85" s="34" t="s">
        <v>443</v>
      </c>
      <c r="L85" s="34" t="s">
        <v>444</v>
      </c>
      <c r="M85" s="34" t="s">
        <v>792</v>
      </c>
      <c r="N85" s="34" t="s">
        <v>34</v>
      </c>
      <c r="O85" s="111">
        <v>0.15</v>
      </c>
      <c r="P85" s="45">
        <v>114.98</v>
      </c>
      <c r="Q85" s="112">
        <f t="shared" ref="Q85:Q94" si="37">AD85/$AD$104</f>
        <v>0.19748148597524817</v>
      </c>
      <c r="R85" s="112">
        <f t="shared" ref="R85:R94" si="38">Q85*(1-$R$120)/(1-$Q$103)</f>
        <v>0.18763028922167613</v>
      </c>
      <c r="S85" s="113">
        <f t="shared" ref="S85:S94" si="39">AF85/$AF$104</f>
        <v>0.14302480416567503</v>
      </c>
      <c r="T85" s="113">
        <f t="shared" ref="T85:T94" si="40">S85*(1-$T$120)/(1-$S$103)</f>
        <v>0.13585897715604831</v>
      </c>
      <c r="U85" s="114">
        <f t="shared" ref="U85:U94" si="41">AH85/$AH$104</f>
        <v>9.4878685456701903E-2</v>
      </c>
      <c r="V85" s="114">
        <f t="shared" ref="V85:V94" si="42">U85*(1-$V$120)/(1-$U$103)</f>
        <v>9.0086153574803207E-2</v>
      </c>
      <c r="W85" s="115">
        <f t="shared" ref="W85:W94" si="43">AJ85/$AJ$104</f>
        <v>6.619784967026647E-2</v>
      </c>
      <c r="X85" s="115">
        <f t="shared" ref="X85:X94" si="44">W85*(1-$X$120)/(1-$W$103)</f>
        <v>6.2885155234290807E-2</v>
      </c>
      <c r="Y85" s="144"/>
      <c r="Z85" s="144"/>
      <c r="AA85" s="1"/>
      <c r="AB85" s="1">
        <v>1</v>
      </c>
      <c r="AC85" s="80">
        <v>1038024.2623556</v>
      </c>
      <c r="AD85" s="81">
        <v>119352029.68564689</v>
      </c>
      <c r="AE85" s="80">
        <v>738358.03523471195</v>
      </c>
      <c r="AF85" s="81">
        <v>84896406.891287178</v>
      </c>
      <c r="AG85" s="80">
        <v>472001.94261071901</v>
      </c>
      <c r="AH85" s="81">
        <v>54270783.361380473</v>
      </c>
      <c r="AI85" s="80">
        <v>321545.85336524399</v>
      </c>
      <c r="AJ85" s="81">
        <v>36971342.219935752</v>
      </c>
      <c r="AK85" s="80"/>
      <c r="AL85" s="81">
        <v>0</v>
      </c>
    </row>
    <row r="86" spans="1:38" x14ac:dyDescent="0.2">
      <c r="A86" s="91"/>
      <c r="B86" s="1"/>
      <c r="C86" s="86" t="s">
        <v>795</v>
      </c>
      <c r="D86" s="45" t="s">
        <v>475</v>
      </c>
      <c r="E86" s="45" t="s">
        <v>590</v>
      </c>
      <c r="F86" s="45" t="s">
        <v>33</v>
      </c>
      <c r="G86" s="45" t="s">
        <v>26</v>
      </c>
      <c r="H86" s="45" t="s">
        <v>1761</v>
      </c>
      <c r="I86" s="45"/>
      <c r="J86" s="34" t="s">
        <v>447</v>
      </c>
      <c r="K86" s="34" t="s">
        <v>443</v>
      </c>
      <c r="L86" s="34" t="s">
        <v>444</v>
      </c>
      <c r="M86" s="34" t="s">
        <v>792</v>
      </c>
      <c r="N86" s="34" t="s">
        <v>34</v>
      </c>
      <c r="O86" s="111">
        <v>0.56999999999999995</v>
      </c>
      <c r="P86" s="45">
        <v>23.46</v>
      </c>
      <c r="Q86" s="112">
        <f t="shared" si="37"/>
        <v>0</v>
      </c>
      <c r="R86" s="112">
        <f t="shared" si="38"/>
        <v>0</v>
      </c>
      <c r="S86" s="113">
        <f t="shared" si="39"/>
        <v>2.962266698012796E-2</v>
      </c>
      <c r="T86" s="113">
        <f t="shared" si="40"/>
        <v>2.8138512477126568E-2</v>
      </c>
      <c r="U86" s="114">
        <f t="shared" si="41"/>
        <v>2.9476282654516354E-2</v>
      </c>
      <c r="V86" s="114">
        <f t="shared" si="42"/>
        <v>2.7987370537936766E-2</v>
      </c>
      <c r="W86" s="115">
        <f t="shared" si="43"/>
        <v>2.9388747853724275E-2</v>
      </c>
      <c r="X86" s="115">
        <f t="shared" si="44"/>
        <v>2.7918066525248243E-2</v>
      </c>
      <c r="Y86" s="144"/>
      <c r="Z86" s="144"/>
      <c r="AA86" s="1"/>
      <c r="AB86" s="1">
        <v>1</v>
      </c>
      <c r="AC86" s="80"/>
      <c r="AD86" s="81">
        <v>0</v>
      </c>
      <c r="AE86" s="80">
        <v>749504.24419429305</v>
      </c>
      <c r="AF86" s="81">
        <v>17583369.568798117</v>
      </c>
      <c r="AG86" s="80">
        <v>718690.88377069298</v>
      </c>
      <c r="AH86" s="81">
        <v>16860488.133260459</v>
      </c>
      <c r="AI86" s="80">
        <v>699639.64429494797</v>
      </c>
      <c r="AJ86" s="81">
        <v>16413546.055159479</v>
      </c>
      <c r="AK86" s="80"/>
      <c r="AL86" s="81">
        <v>0</v>
      </c>
    </row>
    <row r="87" spans="1:38" x14ac:dyDescent="0.2">
      <c r="A87" s="91"/>
      <c r="B87" s="1"/>
      <c r="C87" s="86" t="s">
        <v>794</v>
      </c>
      <c r="D87" s="45" t="s">
        <v>474</v>
      </c>
      <c r="E87" s="45" t="s">
        <v>589</v>
      </c>
      <c r="F87" s="45" t="s">
        <v>33</v>
      </c>
      <c r="G87" s="45" t="s">
        <v>26</v>
      </c>
      <c r="H87" s="45" t="s">
        <v>1753</v>
      </c>
      <c r="I87" s="45"/>
      <c r="J87" s="34" t="s">
        <v>470</v>
      </c>
      <c r="K87" s="34" t="s">
        <v>443</v>
      </c>
      <c r="L87" s="34" t="s">
        <v>444</v>
      </c>
      <c r="M87" s="34" t="s">
        <v>792</v>
      </c>
      <c r="N87" s="34" t="s">
        <v>34</v>
      </c>
      <c r="O87" s="111">
        <v>0.09</v>
      </c>
      <c r="P87" s="45">
        <v>131.27000000000001</v>
      </c>
      <c r="Q87" s="112">
        <f t="shared" si="37"/>
        <v>0.21094937634660907</v>
      </c>
      <c r="R87" s="112">
        <f t="shared" si="38"/>
        <v>0.20042634528285547</v>
      </c>
      <c r="S87" s="113">
        <f t="shared" si="39"/>
        <v>0.15276346358050796</v>
      </c>
      <c r="T87" s="113">
        <f t="shared" si="40"/>
        <v>0.14510971037458642</v>
      </c>
      <c r="U87" s="114">
        <f t="shared" si="41"/>
        <v>0.10137220249904667</v>
      </c>
      <c r="V87" s="114">
        <f t="shared" si="42"/>
        <v>9.6251668734519749E-2</v>
      </c>
      <c r="W87" s="115">
        <f t="shared" si="43"/>
        <v>7.072005644871257E-2</v>
      </c>
      <c r="X87" s="115">
        <f t="shared" si="44"/>
        <v>6.7181060262636122E-2</v>
      </c>
      <c r="Y87" s="144"/>
      <c r="Z87" s="144"/>
      <c r="AA87" s="1"/>
      <c r="AB87" s="1">
        <v>1</v>
      </c>
      <c r="AC87" s="80">
        <v>971216.79294885404</v>
      </c>
      <c r="AD87" s="81">
        <v>127491628.41039608</v>
      </c>
      <c r="AE87" s="80">
        <v>690767.600294395</v>
      </c>
      <c r="AF87" s="81">
        <v>90677062.890645236</v>
      </c>
      <c r="AG87" s="80">
        <v>441723.82955596503</v>
      </c>
      <c r="AH87" s="81">
        <v>57985087.105811536</v>
      </c>
      <c r="AI87" s="80">
        <v>300883.55292689003</v>
      </c>
      <c r="AJ87" s="81">
        <v>39496983.992712855</v>
      </c>
      <c r="AK87" s="80"/>
      <c r="AL87" s="81">
        <v>0</v>
      </c>
    </row>
    <row r="88" spans="1:38" x14ac:dyDescent="0.2">
      <c r="A88" s="92"/>
      <c r="B88" s="1"/>
      <c r="C88" s="86" t="s">
        <v>796</v>
      </c>
      <c r="D88" s="45" t="s">
        <v>476</v>
      </c>
      <c r="E88" s="45" t="s">
        <v>591</v>
      </c>
      <c r="F88" s="45" t="s">
        <v>33</v>
      </c>
      <c r="G88" s="45" t="s">
        <v>26</v>
      </c>
      <c r="H88" s="45" t="s">
        <v>1758</v>
      </c>
      <c r="I88" s="45"/>
      <c r="J88" s="34" t="s">
        <v>470</v>
      </c>
      <c r="K88" s="34" t="s">
        <v>447</v>
      </c>
      <c r="L88" s="34" t="s">
        <v>447</v>
      </c>
      <c r="M88" s="34" t="s">
        <v>792</v>
      </c>
      <c r="N88" s="34" t="s">
        <v>34</v>
      </c>
      <c r="O88" s="111">
        <v>0.4</v>
      </c>
      <c r="P88" s="45">
        <v>97.08</v>
      </c>
      <c r="Q88" s="112">
        <f t="shared" si="37"/>
        <v>3.0315711487283431E-2</v>
      </c>
      <c r="R88" s="112">
        <f t="shared" si="38"/>
        <v>2.8803437882945732E-2</v>
      </c>
      <c r="S88" s="113">
        <f t="shared" si="39"/>
        <v>2.192502995402177E-2</v>
      </c>
      <c r="T88" s="113">
        <f t="shared" si="40"/>
        <v>2.082654236826418E-2</v>
      </c>
      <c r="U88" s="114">
        <f t="shared" si="41"/>
        <v>1.4611174036036643E-2</v>
      </c>
      <c r="V88" s="114">
        <f t="shared" si="42"/>
        <v>1.3873131375953291E-2</v>
      </c>
      <c r="W88" s="115">
        <f t="shared" si="43"/>
        <v>1.0177492712458752E-2</v>
      </c>
      <c r="X88" s="115">
        <f t="shared" si="44"/>
        <v>9.6681872947045489E-3</v>
      </c>
      <c r="Y88" s="144"/>
      <c r="Z88" s="144"/>
      <c r="AA88" s="1"/>
      <c r="AB88" s="1">
        <v>1</v>
      </c>
      <c r="AC88" s="80">
        <v>188730.20867625499</v>
      </c>
      <c r="AD88" s="81">
        <v>18321928.658290833</v>
      </c>
      <c r="AE88" s="80">
        <v>134056.65410488099</v>
      </c>
      <c r="AF88" s="81">
        <v>13014219.980501845</v>
      </c>
      <c r="AG88" s="80">
        <v>86090.0138184018</v>
      </c>
      <c r="AH88" s="81">
        <v>8357618.5414904468</v>
      </c>
      <c r="AI88" s="80">
        <v>58550.737223984099</v>
      </c>
      <c r="AJ88" s="81">
        <v>5684105.5697043762</v>
      </c>
      <c r="AK88" s="80"/>
      <c r="AL88" s="81">
        <v>0</v>
      </c>
    </row>
    <row r="89" spans="1:38" x14ac:dyDescent="0.2">
      <c r="A89" s="90"/>
      <c r="B89" s="1"/>
      <c r="C89" s="86" t="s">
        <v>797</v>
      </c>
      <c r="D89" s="45" t="s">
        <v>477</v>
      </c>
      <c r="E89" s="45" t="s">
        <v>592</v>
      </c>
      <c r="F89" s="45" t="s">
        <v>33</v>
      </c>
      <c r="G89" s="45" t="s">
        <v>26</v>
      </c>
      <c r="H89" s="45" t="s">
        <v>1755</v>
      </c>
      <c r="I89" s="45"/>
      <c r="J89" s="34" t="s">
        <v>470</v>
      </c>
      <c r="K89" s="34" t="s">
        <v>446</v>
      </c>
      <c r="L89" s="34" t="s">
        <v>449</v>
      </c>
      <c r="M89" s="34" t="s">
        <v>792</v>
      </c>
      <c r="N89" s="34" t="s">
        <v>34</v>
      </c>
      <c r="O89" s="111">
        <v>0.24</v>
      </c>
      <c r="P89" s="45">
        <v>77.48</v>
      </c>
      <c r="Q89" s="112">
        <f t="shared" si="37"/>
        <v>5.4993044371606875E-2</v>
      </c>
      <c r="R89" s="112">
        <f t="shared" si="38"/>
        <v>5.2249762906474907E-2</v>
      </c>
      <c r="S89" s="113">
        <f t="shared" si="39"/>
        <v>3.9805424119576445E-2</v>
      </c>
      <c r="T89" s="113">
        <f t="shared" si="40"/>
        <v>3.7811093241449198E-2</v>
      </c>
      <c r="U89" s="114">
        <f t="shared" si="41"/>
        <v>2.6438820835753774E-2</v>
      </c>
      <c r="V89" s="114">
        <f t="shared" si="42"/>
        <v>2.510333762195038E-2</v>
      </c>
      <c r="W89" s="115">
        <f t="shared" si="43"/>
        <v>1.8462087177558904E-2</v>
      </c>
      <c r="X89" s="115">
        <f t="shared" si="44"/>
        <v>1.7538201375010432E-2</v>
      </c>
      <c r="Y89" s="144"/>
      <c r="Z89" s="144"/>
      <c r="AA89" s="1"/>
      <c r="AB89" s="1">
        <v>1</v>
      </c>
      <c r="AC89" s="80">
        <v>428964.71771697502</v>
      </c>
      <c r="AD89" s="81">
        <v>33236186.328711227</v>
      </c>
      <c r="AE89" s="80">
        <v>304951.371960619</v>
      </c>
      <c r="AF89" s="81">
        <v>23627632.299508762</v>
      </c>
      <c r="AG89" s="80">
        <v>195186.55603356799</v>
      </c>
      <c r="AH89" s="81">
        <v>15123054.361480849</v>
      </c>
      <c r="AI89" s="80">
        <v>133079.91678476401</v>
      </c>
      <c r="AJ89" s="81">
        <v>10311031.952483516</v>
      </c>
      <c r="AK89" s="80"/>
      <c r="AL89" s="81">
        <v>0</v>
      </c>
    </row>
    <row r="90" spans="1:38" x14ac:dyDescent="0.2">
      <c r="A90" s="91"/>
      <c r="B90" s="3"/>
      <c r="C90" s="86" t="s">
        <v>798</v>
      </c>
      <c r="D90" s="45" t="s">
        <v>478</v>
      </c>
      <c r="E90" s="45" t="s">
        <v>593</v>
      </c>
      <c r="F90" s="45" t="s">
        <v>33</v>
      </c>
      <c r="G90" s="45" t="s">
        <v>26</v>
      </c>
      <c r="H90" s="45" t="s">
        <v>1752</v>
      </c>
      <c r="I90" s="45"/>
      <c r="J90" s="34" t="s">
        <v>470</v>
      </c>
      <c r="K90" s="34" t="s">
        <v>446</v>
      </c>
      <c r="L90" s="34" t="s">
        <v>450</v>
      </c>
      <c r="M90" s="34" t="s">
        <v>799</v>
      </c>
      <c r="N90" s="34" t="s">
        <v>34</v>
      </c>
      <c r="O90" s="111">
        <v>0.1</v>
      </c>
      <c r="P90" s="45">
        <v>74.13</v>
      </c>
      <c r="Q90" s="112">
        <f t="shared" si="37"/>
        <v>0.10384930631131098</v>
      </c>
      <c r="R90" s="112">
        <f t="shared" si="38"/>
        <v>9.8668871577682726E-2</v>
      </c>
      <c r="S90" s="113">
        <f t="shared" si="39"/>
        <v>7.5204677052385954E-2</v>
      </c>
      <c r="T90" s="113">
        <f t="shared" si="40"/>
        <v>7.1436773231675271E-2</v>
      </c>
      <c r="U90" s="114">
        <f t="shared" si="41"/>
        <v>4.985604579493845E-2</v>
      </c>
      <c r="V90" s="114">
        <f t="shared" si="42"/>
        <v>4.7337706846337785E-2</v>
      </c>
      <c r="W90" s="115">
        <f t="shared" si="43"/>
        <v>3.4766295451326028E-2</v>
      </c>
      <c r="X90" s="115">
        <f t="shared" si="44"/>
        <v>3.3026509127831234E-2</v>
      </c>
      <c r="Y90" s="144"/>
      <c r="Z90" s="144"/>
      <c r="AA90" s="1"/>
      <c r="AB90" s="1">
        <v>1</v>
      </c>
      <c r="AC90" s="80">
        <v>846667.759125988</v>
      </c>
      <c r="AD90" s="81">
        <v>62763480.984009489</v>
      </c>
      <c r="AE90" s="80">
        <v>602183.42646479595</v>
      </c>
      <c r="AF90" s="81">
        <v>44639857.403835319</v>
      </c>
      <c r="AG90" s="80">
        <v>384699.181160498</v>
      </c>
      <c r="AH90" s="81">
        <v>28517750.299427714</v>
      </c>
      <c r="AI90" s="80">
        <v>261930.30688190801</v>
      </c>
      <c r="AJ90" s="81">
        <v>19416893.64915584</v>
      </c>
      <c r="AK90" s="80"/>
      <c r="AL90" s="81">
        <v>0</v>
      </c>
    </row>
    <row r="91" spans="1:38" x14ac:dyDescent="0.2">
      <c r="A91" s="90"/>
      <c r="B91" s="1"/>
      <c r="C91" s="86" t="s">
        <v>800</v>
      </c>
      <c r="D91" s="45" t="s">
        <v>479</v>
      </c>
      <c r="E91" s="45" t="s">
        <v>594</v>
      </c>
      <c r="F91" s="45" t="s">
        <v>33</v>
      </c>
      <c r="G91" s="45" t="s">
        <v>26</v>
      </c>
      <c r="H91" s="45" t="s">
        <v>1751</v>
      </c>
      <c r="I91" s="45"/>
      <c r="J91" s="34" t="s">
        <v>470</v>
      </c>
      <c r="K91" s="34" t="s">
        <v>446</v>
      </c>
      <c r="L91" s="34" t="s">
        <v>452</v>
      </c>
      <c r="M91" s="34" t="s">
        <v>799</v>
      </c>
      <c r="N91" s="34" t="s">
        <v>34</v>
      </c>
      <c r="O91" s="111">
        <v>0.09</v>
      </c>
      <c r="P91" s="45">
        <v>118.43</v>
      </c>
      <c r="Q91" s="112">
        <f t="shared" si="37"/>
        <v>0.30762521000915982</v>
      </c>
      <c r="R91" s="112">
        <f t="shared" si="38"/>
        <v>0.2922795868222906</v>
      </c>
      <c r="S91" s="113">
        <f t="shared" si="39"/>
        <v>0.22271217887416855</v>
      </c>
      <c r="T91" s="113">
        <f t="shared" si="40"/>
        <v>0.21155385598004536</v>
      </c>
      <c r="U91" s="114">
        <f t="shared" si="41"/>
        <v>0.14780659523788803</v>
      </c>
      <c r="V91" s="114">
        <f t="shared" si="42"/>
        <v>0.1403405577751774</v>
      </c>
      <c r="W91" s="115">
        <f t="shared" si="43"/>
        <v>0.10307897395654035</v>
      </c>
      <c r="X91" s="115">
        <f t="shared" si="44"/>
        <v>9.7920662241087655E-2</v>
      </c>
      <c r="Y91" s="144"/>
      <c r="Z91" s="144"/>
      <c r="AA91" s="1"/>
      <c r="AB91" s="1">
        <v>1</v>
      </c>
      <c r="AC91" s="80">
        <v>1569869.7331643901</v>
      </c>
      <c r="AD91" s="81">
        <v>185919672.49865872</v>
      </c>
      <c r="AE91" s="80">
        <v>1116246.69369928</v>
      </c>
      <c r="AF91" s="81">
        <v>132197095.93480574</v>
      </c>
      <c r="AG91" s="80">
        <v>713887.06861390104</v>
      </c>
      <c r="AH91" s="81">
        <v>84545645.535944298</v>
      </c>
      <c r="AI91" s="80">
        <v>486104.55765800801</v>
      </c>
      <c r="AJ91" s="81">
        <v>57569362.76343789</v>
      </c>
      <c r="AK91" s="80"/>
      <c r="AL91" s="81">
        <v>0</v>
      </c>
    </row>
    <row r="92" spans="1:38" x14ac:dyDescent="0.2">
      <c r="A92" s="90"/>
      <c r="B92" s="1"/>
      <c r="C92" s="86" t="s">
        <v>801</v>
      </c>
      <c r="D92" s="45" t="s">
        <v>480</v>
      </c>
      <c r="E92" s="45" t="s">
        <v>595</v>
      </c>
      <c r="F92" s="45" t="s">
        <v>33</v>
      </c>
      <c r="G92" s="45" t="s">
        <v>26</v>
      </c>
      <c r="H92" s="45" t="s">
        <v>1757</v>
      </c>
      <c r="I92" s="45"/>
      <c r="J92" s="34" t="s">
        <v>470</v>
      </c>
      <c r="K92" s="34" t="s">
        <v>453</v>
      </c>
      <c r="L92" s="34" t="s">
        <v>444</v>
      </c>
      <c r="M92" s="34" t="s">
        <v>792</v>
      </c>
      <c r="N92" s="34" t="s">
        <v>34</v>
      </c>
      <c r="O92" s="111">
        <v>0.06</v>
      </c>
      <c r="P92" s="45">
        <v>84.85</v>
      </c>
      <c r="Q92" s="112">
        <f t="shared" si="37"/>
        <v>2.9520647725412411E-2</v>
      </c>
      <c r="R92" s="112">
        <f t="shared" si="38"/>
        <v>2.804803520378911E-2</v>
      </c>
      <c r="S92" s="113">
        <f t="shared" si="39"/>
        <v>2.1350021288904692E-2</v>
      </c>
      <c r="T92" s="113">
        <f t="shared" si="40"/>
        <v>2.0280342780336906E-2</v>
      </c>
      <c r="U92" s="114">
        <f t="shared" si="41"/>
        <v>1.4227979500117026E-2</v>
      </c>
      <c r="V92" s="114">
        <f t="shared" si="42"/>
        <v>1.350929284208539E-2</v>
      </c>
      <c r="W92" s="115">
        <f t="shared" si="43"/>
        <v>9.9105764751216893E-3</v>
      </c>
      <c r="X92" s="115">
        <f t="shared" si="44"/>
        <v>9.4146281669821082E-3</v>
      </c>
      <c r="Y92" s="144"/>
      <c r="Z92" s="144"/>
      <c r="AA92" s="1"/>
      <c r="AB92" s="1">
        <v>1</v>
      </c>
      <c r="AC92" s="80">
        <v>210270.06944908801</v>
      </c>
      <c r="AD92" s="81">
        <v>17841415.392755117</v>
      </c>
      <c r="AE92" s="80">
        <v>149356.59832337301</v>
      </c>
      <c r="AF92" s="81">
        <v>12672907.367738198</v>
      </c>
      <c r="AG92" s="80">
        <v>95915.504525936805</v>
      </c>
      <c r="AH92" s="81">
        <v>8138430.5590257375</v>
      </c>
      <c r="AI92" s="80">
        <v>65233.158320199698</v>
      </c>
      <c r="AJ92" s="81">
        <v>5535033.4834689442</v>
      </c>
      <c r="AK92" s="80"/>
      <c r="AL92" s="81">
        <v>0</v>
      </c>
    </row>
    <row r="93" spans="1:38" x14ac:dyDescent="0.2">
      <c r="A93" s="90"/>
      <c r="B93" s="1"/>
      <c r="C93" s="86" t="s">
        <v>1281</v>
      </c>
      <c r="D93" s="45" t="s">
        <v>1276</v>
      </c>
      <c r="E93" s="45" t="s">
        <v>1265</v>
      </c>
      <c r="F93" s="45" t="s">
        <v>33</v>
      </c>
      <c r="G93" s="45" t="s">
        <v>26</v>
      </c>
      <c r="H93" s="45" t="s">
        <v>1759</v>
      </c>
      <c r="I93" s="45"/>
      <c r="J93" s="34" t="s">
        <v>470</v>
      </c>
      <c r="K93" s="34" t="s">
        <v>453</v>
      </c>
      <c r="L93" s="34" t="s">
        <v>444</v>
      </c>
      <c r="M93" s="34" t="s">
        <v>803</v>
      </c>
      <c r="N93" s="34" t="s">
        <v>34</v>
      </c>
      <c r="O93" s="111">
        <v>0.3</v>
      </c>
      <c r="P93" s="45">
        <v>32.434600000000003</v>
      </c>
      <c r="Q93" s="112">
        <f t="shared" si="37"/>
        <v>3.0515475599163306E-2</v>
      </c>
      <c r="R93" s="112">
        <f t="shared" si="38"/>
        <v>2.89932369312111E-2</v>
      </c>
      <c r="S93" s="113">
        <f t="shared" si="39"/>
        <v>2.2069504021158409E-2</v>
      </c>
      <c r="T93" s="113">
        <f t="shared" si="40"/>
        <v>2.0963777997435339E-2</v>
      </c>
      <c r="U93" s="114">
        <f t="shared" si="41"/>
        <v>1.4707453755747554E-2</v>
      </c>
      <c r="V93" s="114">
        <f t="shared" si="42"/>
        <v>1.3964547794448825E-2</v>
      </c>
      <c r="W93" s="115">
        <f t="shared" si="43"/>
        <v>1.0244556874674519E-2</v>
      </c>
      <c r="X93" s="115">
        <f t="shared" si="44"/>
        <v>9.731895410188705E-3</v>
      </c>
      <c r="Y93" s="144"/>
      <c r="Z93" s="144"/>
      <c r="AA93" s="1"/>
      <c r="AB93" s="1">
        <v>1</v>
      </c>
      <c r="AC93" s="80">
        <v>568610.68859363103</v>
      </c>
      <c r="AD93" s="81">
        <v>18442660.240258988</v>
      </c>
      <c r="AE93" s="80">
        <v>403888.95310285001</v>
      </c>
      <c r="AF93" s="81">
        <v>13099976.6383097</v>
      </c>
      <c r="AG93" s="80">
        <v>259373.96234371699</v>
      </c>
      <c r="AH93" s="81">
        <v>8412690.7190335244</v>
      </c>
      <c r="AI93" s="80">
        <v>176403.00005021499</v>
      </c>
      <c r="AJ93" s="81">
        <v>5721560.7454287037</v>
      </c>
      <c r="AK93" s="80"/>
      <c r="AL93" s="81">
        <v>0</v>
      </c>
    </row>
    <row r="94" spans="1:38" x14ac:dyDescent="0.2">
      <c r="A94" s="90"/>
      <c r="B94" s="1"/>
      <c r="C94" s="86" t="s">
        <v>808</v>
      </c>
      <c r="D94" s="45" t="s">
        <v>488</v>
      </c>
      <c r="E94" s="45" t="s">
        <v>601</v>
      </c>
      <c r="F94" s="45" t="s">
        <v>33</v>
      </c>
      <c r="G94" s="45" t="s">
        <v>26</v>
      </c>
      <c r="H94" s="45" t="s">
        <v>1769</v>
      </c>
      <c r="I94" s="45"/>
      <c r="J94" s="34" t="s">
        <v>470</v>
      </c>
      <c r="K94" s="34" t="s">
        <v>446</v>
      </c>
      <c r="L94" s="34" t="s">
        <v>455</v>
      </c>
      <c r="M94" s="34" t="s">
        <v>792</v>
      </c>
      <c r="N94" s="34" t="s">
        <v>34</v>
      </c>
      <c r="O94" s="111">
        <v>0.32</v>
      </c>
      <c r="P94" s="45">
        <v>40.96</v>
      </c>
      <c r="Q94" s="112">
        <f t="shared" si="37"/>
        <v>2.9628422969514453E-2</v>
      </c>
      <c r="R94" s="112">
        <f t="shared" si="38"/>
        <v>2.8150434171074264E-2</v>
      </c>
      <c r="S94" s="113">
        <f t="shared" si="39"/>
        <v>2.1427966860336593E-2</v>
      </c>
      <c r="T94" s="113">
        <f t="shared" si="40"/>
        <v>2.0354383123691023E-2</v>
      </c>
      <c r="U94" s="114">
        <f t="shared" si="41"/>
        <v>1.427992361658652E-2</v>
      </c>
      <c r="V94" s="114">
        <f t="shared" si="42"/>
        <v>1.355861314654633E-2</v>
      </c>
      <c r="W94" s="115">
        <f t="shared" si="43"/>
        <v>9.9467584318569495E-3</v>
      </c>
      <c r="X94" s="115">
        <f t="shared" si="44"/>
        <v>9.4489994944090654E-3</v>
      </c>
      <c r="Y94" s="144"/>
      <c r="Z94" s="144"/>
      <c r="AA94" s="1"/>
      <c r="AB94" s="1">
        <v>1</v>
      </c>
      <c r="AC94" s="80">
        <v>437171.669815053</v>
      </c>
      <c r="AD94" s="81">
        <v>17906551.59562457</v>
      </c>
      <c r="AE94" s="80">
        <v>310526.71289831301</v>
      </c>
      <c r="AF94" s="81">
        <v>12719174.160314901</v>
      </c>
      <c r="AG94" s="80">
        <v>199417.54613302101</v>
      </c>
      <c r="AH94" s="81">
        <v>8168142.6896085404</v>
      </c>
      <c r="AI94" s="80">
        <v>135626.00147928501</v>
      </c>
      <c r="AJ94" s="81">
        <v>5555241.0205915142</v>
      </c>
      <c r="AK94" s="80"/>
      <c r="AL94" s="81">
        <v>0</v>
      </c>
    </row>
    <row r="95" spans="1:38" x14ac:dyDescent="0.2">
      <c r="A95" s="90"/>
      <c r="B95" s="1"/>
      <c r="C95" s="116" t="s">
        <v>456</v>
      </c>
      <c r="D95" s="45"/>
      <c r="E95" s="45"/>
      <c r="F95" s="45"/>
      <c r="G95" s="45"/>
      <c r="H95" s="45"/>
      <c r="I95" s="45"/>
      <c r="J95" s="45"/>
      <c r="K95" s="45"/>
      <c r="L95" s="45"/>
      <c r="M95" s="34"/>
      <c r="N95" s="34"/>
      <c r="O95" s="111"/>
      <c r="P95" s="45"/>
      <c r="Q95" s="112"/>
      <c r="R95" s="112"/>
      <c r="S95" s="113"/>
      <c r="T95" s="113"/>
      <c r="U95" s="114"/>
      <c r="V95" s="114"/>
      <c r="W95" s="115"/>
      <c r="X95" s="115"/>
      <c r="Y95" s="144"/>
      <c r="Z95" s="144"/>
      <c r="AA95" s="1"/>
      <c r="AB95" s="1">
        <v>1</v>
      </c>
      <c r="AC95" s="80"/>
      <c r="AD95" s="81"/>
      <c r="AE95" s="80"/>
      <c r="AF95" s="81"/>
      <c r="AG95" s="80"/>
      <c r="AH95" s="81"/>
      <c r="AI95" s="80"/>
      <c r="AJ95" s="81"/>
      <c r="AK95" s="80"/>
      <c r="AL95" s="81"/>
    </row>
    <row r="96" spans="1:38" x14ac:dyDescent="0.2">
      <c r="A96" s="90"/>
      <c r="B96" s="1"/>
      <c r="C96" s="86" t="s">
        <v>1405</v>
      </c>
      <c r="D96" s="45" t="s">
        <v>482</v>
      </c>
      <c r="E96" s="45" t="s">
        <v>597</v>
      </c>
      <c r="F96" s="45" t="s">
        <v>33</v>
      </c>
      <c r="G96" s="45" t="s">
        <v>26</v>
      </c>
      <c r="H96" s="45" t="s">
        <v>1763</v>
      </c>
      <c r="I96" s="45"/>
      <c r="J96" s="34" t="s">
        <v>458</v>
      </c>
      <c r="K96" s="34" t="s">
        <v>458</v>
      </c>
      <c r="L96" s="34" t="s">
        <v>459</v>
      </c>
      <c r="M96" s="34" t="s">
        <v>792</v>
      </c>
      <c r="N96" s="34" t="s">
        <v>34</v>
      </c>
      <c r="O96" s="111">
        <v>0.14000000000000001</v>
      </c>
      <c r="P96" s="45">
        <v>110.53</v>
      </c>
      <c r="Q96" s="112">
        <f t="shared" ref="Q96:Q103" si="45">AD96/$AD$104</f>
        <v>0</v>
      </c>
      <c r="R96" s="112"/>
      <c r="S96" s="113">
        <f t="shared" ref="S96:S103" si="46">AF96/$AF$104</f>
        <v>5.9249274487737348E-2</v>
      </c>
      <c r="T96" s="113">
        <f t="shared" ref="T96:T102" si="47">S96*(1-$T$120)/(1-$S$103)</f>
        <v>5.6280768053474317E-2</v>
      </c>
      <c r="U96" s="114">
        <f t="shared" ref="U96:U103" si="48">AH96/$AH$104</f>
        <v>0.11791297272775335</v>
      </c>
      <c r="V96" s="114">
        <f t="shared" ref="V96:V102" si="49">U96*(1-$V$120)/(1-$U$103)</f>
        <v>0.11195692813916032</v>
      </c>
      <c r="W96" s="115">
        <f t="shared" ref="W96:W103" si="50">AJ96/$AJ$104</f>
        <v>0.15281145351137701</v>
      </c>
      <c r="X96" s="115">
        <f t="shared" ref="X96:X102" si="51">W96*(1-$X$120)/(1-$W$103)</f>
        <v>0.14516441279446582</v>
      </c>
      <c r="Y96" s="144">
        <f t="shared" ref="Y96:Y103" si="52">AL96/$AL$104</f>
        <v>0.24053377631557021</v>
      </c>
      <c r="Z96" s="144">
        <f t="shared" ref="Z96:Z102" si="53">Y96*(1-$Z$120)/(1-$Y$103)</f>
        <v>0.22851120320919283</v>
      </c>
      <c r="AA96" s="1"/>
      <c r="AB96" s="1">
        <v>1</v>
      </c>
      <c r="AC96" s="80"/>
      <c r="AD96" s="81">
        <v>0</v>
      </c>
      <c r="AE96" s="80">
        <v>318185.81515276799</v>
      </c>
      <c r="AF96" s="81">
        <v>35169078.148835443</v>
      </c>
      <c r="AG96" s="80">
        <v>610209.33895115298</v>
      </c>
      <c r="AH96" s="81">
        <v>67446438.234270945</v>
      </c>
      <c r="AI96" s="80">
        <v>772141.81471022102</v>
      </c>
      <c r="AJ96" s="81">
        <v>85344834.779920727</v>
      </c>
      <c r="AK96" s="80">
        <v>1144536.8947374199</v>
      </c>
      <c r="AL96" s="81">
        <v>126505662.97532703</v>
      </c>
    </row>
    <row r="97" spans="1:38" x14ac:dyDescent="0.2">
      <c r="A97" s="90"/>
      <c r="B97" s="1"/>
      <c r="C97" s="86" t="s">
        <v>805</v>
      </c>
      <c r="D97" s="145" t="s">
        <v>484</v>
      </c>
      <c r="E97" s="145" t="s">
        <v>598</v>
      </c>
      <c r="F97" s="45" t="s">
        <v>33</v>
      </c>
      <c r="G97" s="45" t="s">
        <v>26</v>
      </c>
      <c r="H97" s="45" t="s">
        <v>1766</v>
      </c>
      <c r="I97" s="145"/>
      <c r="J97" s="34" t="s">
        <v>458</v>
      </c>
      <c r="K97" s="34" t="s">
        <v>458</v>
      </c>
      <c r="L97" s="34" t="s">
        <v>450</v>
      </c>
      <c r="M97" s="34" t="s">
        <v>799</v>
      </c>
      <c r="N97" s="34" t="s">
        <v>34</v>
      </c>
      <c r="O97" s="111">
        <v>0.5</v>
      </c>
      <c r="P97" s="45">
        <v>45.81</v>
      </c>
      <c r="Q97" s="112">
        <f t="shared" si="45"/>
        <v>0</v>
      </c>
      <c r="R97" s="112"/>
      <c r="S97" s="113">
        <f t="shared" si="46"/>
        <v>2.4597166049951703E-2</v>
      </c>
      <c r="T97" s="113">
        <f t="shared" si="47"/>
        <v>2.3364799133812841E-2</v>
      </c>
      <c r="U97" s="114">
        <f t="shared" si="48"/>
        <v>4.885050910413969E-2</v>
      </c>
      <c r="V97" s="114">
        <f t="shared" si="49"/>
        <v>4.6382962033882147E-2</v>
      </c>
      <c r="W97" s="115">
        <f t="shared" si="50"/>
        <v>6.336728283756142E-2</v>
      </c>
      <c r="X97" s="115">
        <f t="shared" si="51"/>
        <v>6.0196236552455692E-2</v>
      </c>
      <c r="Y97" s="144">
        <f t="shared" si="52"/>
        <v>9.9651439175285433E-2</v>
      </c>
      <c r="Z97" s="144">
        <f t="shared" si="53"/>
        <v>9.4670572325763327E-2</v>
      </c>
      <c r="AA97" s="1"/>
      <c r="AB97" s="1">
        <v>1</v>
      </c>
      <c r="AC97" s="80"/>
      <c r="AD97" s="81">
        <v>0</v>
      </c>
      <c r="AE97" s="80">
        <v>318715.16556741</v>
      </c>
      <c r="AF97" s="81">
        <v>14600341.734643053</v>
      </c>
      <c r="AG97" s="80">
        <v>609966.85122569196</v>
      </c>
      <c r="AH97" s="81">
        <v>27942581.454648949</v>
      </c>
      <c r="AI97" s="80">
        <v>772549.16719943099</v>
      </c>
      <c r="AJ97" s="81">
        <v>35390477.349405937</v>
      </c>
      <c r="AK97" s="80">
        <v>1144082.0735300099</v>
      </c>
      <c r="AL97" s="81">
        <v>52410399.788409755</v>
      </c>
    </row>
    <row r="98" spans="1:38" x14ac:dyDescent="0.2">
      <c r="A98" s="91"/>
      <c r="B98" s="3"/>
      <c r="C98" s="86" t="s">
        <v>806</v>
      </c>
      <c r="D98" s="145" t="s">
        <v>485</v>
      </c>
      <c r="E98" s="145" t="s">
        <v>599</v>
      </c>
      <c r="F98" s="45" t="s">
        <v>33</v>
      </c>
      <c r="G98" s="45" t="s">
        <v>26</v>
      </c>
      <c r="H98" s="45" t="s">
        <v>1767</v>
      </c>
      <c r="I98" s="145"/>
      <c r="J98" s="34" t="s">
        <v>458</v>
      </c>
      <c r="K98" s="34" t="s">
        <v>458</v>
      </c>
      <c r="L98" s="34" t="s">
        <v>464</v>
      </c>
      <c r="M98" s="34" t="s">
        <v>792</v>
      </c>
      <c r="N98" s="34" t="s">
        <v>34</v>
      </c>
      <c r="O98" s="111">
        <v>0.3</v>
      </c>
      <c r="P98" s="45">
        <v>41.73</v>
      </c>
      <c r="Q98" s="112">
        <f t="shared" si="45"/>
        <v>0</v>
      </c>
      <c r="R98" s="112"/>
      <c r="S98" s="113">
        <f t="shared" si="46"/>
        <v>1.4565757558674558E-2</v>
      </c>
      <c r="T98" s="113">
        <f t="shared" si="47"/>
        <v>1.3835984149520159E-2</v>
      </c>
      <c r="U98" s="114">
        <f t="shared" si="48"/>
        <v>2.8888285425102429E-2</v>
      </c>
      <c r="V98" s="114">
        <f t="shared" si="49"/>
        <v>2.7429074346799979E-2</v>
      </c>
      <c r="W98" s="115">
        <f t="shared" si="50"/>
        <v>3.7413552520187153E-2</v>
      </c>
      <c r="X98" s="115">
        <f t="shared" si="51"/>
        <v>3.5541291292956141E-2</v>
      </c>
      <c r="Y98" s="144">
        <f t="shared" si="52"/>
        <v>5.8929973724141459E-2</v>
      </c>
      <c r="Z98" s="144">
        <f t="shared" si="53"/>
        <v>5.5984483373023863E-2</v>
      </c>
      <c r="AA98" s="1"/>
      <c r="AB98" s="1">
        <v>1</v>
      </c>
      <c r="AC98" s="80"/>
      <c r="AD98" s="81">
        <v>0</v>
      </c>
      <c r="AE98" s="80">
        <v>207187.06597719801</v>
      </c>
      <c r="AF98" s="81">
        <v>8645916.2632284723</v>
      </c>
      <c r="AG98" s="80">
        <v>395977.77694133198</v>
      </c>
      <c r="AH98" s="81">
        <v>16524152.631761782</v>
      </c>
      <c r="AI98" s="80">
        <v>500728.02422321303</v>
      </c>
      <c r="AJ98" s="81">
        <v>20895380.450834677</v>
      </c>
      <c r="AK98" s="80">
        <v>742714.25603621698</v>
      </c>
      <c r="AL98" s="81">
        <v>30993465.904391333</v>
      </c>
    </row>
    <row r="99" spans="1:38" x14ac:dyDescent="0.2">
      <c r="A99" s="91"/>
      <c r="B99" s="3"/>
      <c r="C99" s="86"/>
      <c r="D99" s="145" t="s">
        <v>1278</v>
      </c>
      <c r="E99" s="145" t="s">
        <v>1279</v>
      </c>
      <c r="F99" s="45" t="s">
        <v>33</v>
      </c>
      <c r="G99" s="45" t="s">
        <v>26</v>
      </c>
      <c r="H99" s="45" t="s">
        <v>1764</v>
      </c>
      <c r="I99" s="145"/>
      <c r="J99" s="34" t="s">
        <v>458</v>
      </c>
      <c r="K99" s="34" t="s">
        <v>458</v>
      </c>
      <c r="L99" s="34" t="s">
        <v>464</v>
      </c>
      <c r="M99" s="34" t="s">
        <v>792</v>
      </c>
      <c r="N99" s="34" t="s">
        <v>34</v>
      </c>
      <c r="O99" s="111">
        <v>0.5</v>
      </c>
      <c r="P99" s="45">
        <v>31.71</v>
      </c>
      <c r="Q99" s="112">
        <f t="shared" si="45"/>
        <v>0</v>
      </c>
      <c r="R99" s="112"/>
      <c r="S99" s="113">
        <f t="shared" si="46"/>
        <v>1.9009237158163893E-2</v>
      </c>
      <c r="T99" s="113">
        <f t="shared" si="47"/>
        <v>1.8056836587822391E-2</v>
      </c>
      <c r="U99" s="114">
        <f t="shared" si="48"/>
        <v>3.7830600998665011E-2</v>
      </c>
      <c r="V99" s="114">
        <f t="shared" si="49"/>
        <v>3.5919693817302034E-2</v>
      </c>
      <c r="W99" s="115">
        <f t="shared" si="50"/>
        <v>4.8994848829065747E-2</v>
      </c>
      <c r="X99" s="115">
        <f t="shared" si="51"/>
        <v>4.6543032585547851E-2</v>
      </c>
      <c r="Y99" s="144">
        <f t="shared" si="52"/>
        <v>7.7171638607621079E-2</v>
      </c>
      <c r="Z99" s="144">
        <f t="shared" si="53"/>
        <v>7.3314377140600226E-2</v>
      </c>
      <c r="AA99" s="1"/>
      <c r="AB99" s="1">
        <v>1</v>
      </c>
      <c r="AC99" s="80"/>
      <c r="AD99" s="81">
        <v>0</v>
      </c>
      <c r="AE99" s="80">
        <v>355833.141569247</v>
      </c>
      <c r="AF99" s="81">
        <v>11283468.919160822</v>
      </c>
      <c r="AG99" s="80">
        <v>682408.50394173595</v>
      </c>
      <c r="AH99" s="81">
        <v>21639173.659992449</v>
      </c>
      <c r="AI99" s="80">
        <v>862929.89604436897</v>
      </c>
      <c r="AJ99" s="81">
        <v>27363507.003566939</v>
      </c>
      <c r="AK99" s="80">
        <v>1279956.99211415</v>
      </c>
      <c r="AL99" s="81">
        <v>40587436.219939694</v>
      </c>
    </row>
    <row r="100" spans="1:38" x14ac:dyDescent="0.2">
      <c r="A100" s="90"/>
      <c r="B100" s="1"/>
      <c r="C100" s="86" t="s">
        <v>804</v>
      </c>
      <c r="D100" s="45" t="s">
        <v>483</v>
      </c>
      <c r="E100" s="45" t="s">
        <v>602</v>
      </c>
      <c r="F100" s="45" t="s">
        <v>33</v>
      </c>
      <c r="G100" s="45" t="s">
        <v>26</v>
      </c>
      <c r="H100" s="45" t="s">
        <v>1765</v>
      </c>
      <c r="I100" s="45"/>
      <c r="J100" s="34" t="s">
        <v>458</v>
      </c>
      <c r="K100" s="34" t="s">
        <v>458</v>
      </c>
      <c r="L100" s="34" t="s">
        <v>464</v>
      </c>
      <c r="M100" s="34" t="s">
        <v>792</v>
      </c>
      <c r="N100" s="34" t="s">
        <v>34</v>
      </c>
      <c r="O100" s="111">
        <v>0.21</v>
      </c>
      <c r="P100" s="45">
        <v>45.86</v>
      </c>
      <c r="Q100" s="112">
        <f t="shared" si="45"/>
        <v>0</v>
      </c>
      <c r="R100" s="112"/>
      <c r="S100" s="113">
        <f t="shared" si="46"/>
        <v>3.8213172621794342E-2</v>
      </c>
      <c r="T100" s="113">
        <f t="shared" si="47"/>
        <v>3.6298616708964081E-2</v>
      </c>
      <c r="U100" s="114">
        <f t="shared" si="48"/>
        <v>7.6048674353423829E-2</v>
      </c>
      <c r="V100" s="114">
        <f t="shared" si="49"/>
        <v>7.2207287906504311E-2</v>
      </c>
      <c r="W100" s="115">
        <f t="shared" si="50"/>
        <v>9.8509188515572943E-2</v>
      </c>
      <c r="X100" s="115">
        <f t="shared" si="51"/>
        <v>9.3579559497206324E-2</v>
      </c>
      <c r="Y100" s="144">
        <f t="shared" si="52"/>
        <v>0.15508211857109486</v>
      </c>
      <c r="Z100" s="144">
        <f t="shared" si="53"/>
        <v>0.14733066621137825</v>
      </c>
      <c r="AA100" s="1"/>
      <c r="AB100" s="1">
        <v>1</v>
      </c>
      <c r="AC100" s="80"/>
      <c r="AD100" s="81">
        <v>0</v>
      </c>
      <c r="AE100" s="80">
        <v>494603.28193398903</v>
      </c>
      <c r="AF100" s="81">
        <v>22682506.509492736</v>
      </c>
      <c r="AG100" s="80">
        <v>948538.64421047003</v>
      </c>
      <c r="AH100" s="81">
        <v>43499982.223492153</v>
      </c>
      <c r="AI100" s="80">
        <v>1199676.1539545399</v>
      </c>
      <c r="AJ100" s="81">
        <v>55017148.420355201</v>
      </c>
      <c r="AK100" s="80">
        <v>1778531.5438386099</v>
      </c>
      <c r="AL100" s="81">
        <v>81563456.600438654</v>
      </c>
    </row>
    <row r="101" spans="1:38" x14ac:dyDescent="0.2">
      <c r="A101" s="90"/>
      <c r="B101" s="1"/>
      <c r="C101" s="86" t="s">
        <v>802</v>
      </c>
      <c r="D101" s="45" t="s">
        <v>481</v>
      </c>
      <c r="E101" s="45" t="s">
        <v>596</v>
      </c>
      <c r="F101" s="45" t="s">
        <v>33</v>
      </c>
      <c r="G101" s="45" t="s">
        <v>26</v>
      </c>
      <c r="H101" s="45" t="s">
        <v>1762</v>
      </c>
      <c r="I101" s="45"/>
      <c r="J101" s="34" t="s">
        <v>458</v>
      </c>
      <c r="K101" s="34" t="s">
        <v>458</v>
      </c>
      <c r="L101" s="34" t="s">
        <v>467</v>
      </c>
      <c r="M101" s="34" t="s">
        <v>803</v>
      </c>
      <c r="N101" s="34" t="s">
        <v>34</v>
      </c>
      <c r="O101" s="111">
        <v>0.15</v>
      </c>
      <c r="P101" s="45">
        <v>88.79</v>
      </c>
      <c r="Q101" s="112">
        <f t="shared" si="45"/>
        <v>0</v>
      </c>
      <c r="R101" s="112"/>
      <c r="S101" s="113">
        <f t="shared" si="46"/>
        <v>1.2499573942498166E-2</v>
      </c>
      <c r="T101" s="113">
        <f t="shared" si="47"/>
        <v>1.1873320439908328E-2</v>
      </c>
      <c r="U101" s="114">
        <f t="shared" si="48"/>
        <v>2.4978403072509561E-2</v>
      </c>
      <c r="V101" s="114">
        <f t="shared" si="49"/>
        <v>2.3716688784335235E-2</v>
      </c>
      <c r="W101" s="115">
        <f t="shared" si="50"/>
        <v>3.2283255258289741E-2</v>
      </c>
      <c r="X101" s="115">
        <f t="shared" si="51"/>
        <v>3.066772604394195E-2</v>
      </c>
      <c r="Y101" s="144">
        <f t="shared" si="52"/>
        <v>5.084925798142962E-2</v>
      </c>
      <c r="Z101" s="144">
        <f t="shared" si="53"/>
        <v>4.8307665150472148E-2</v>
      </c>
      <c r="AA101" s="1"/>
      <c r="AB101" s="1">
        <v>1</v>
      </c>
      <c r="AC101" s="80"/>
      <c r="AD101" s="81">
        <v>0</v>
      </c>
      <c r="AE101" s="80">
        <v>83562.053112709298</v>
      </c>
      <c r="AF101" s="81">
        <v>7419474.6958774589</v>
      </c>
      <c r="AG101" s="80">
        <v>160915.56146987199</v>
      </c>
      <c r="AH101" s="81">
        <v>14287692.702909935</v>
      </c>
      <c r="AI101" s="80">
        <v>203064.77738033401</v>
      </c>
      <c r="AJ101" s="81">
        <v>18030121.583599858</v>
      </c>
      <c r="AK101" s="80">
        <v>301199.648837635</v>
      </c>
      <c r="AL101" s="81">
        <v>26743516.820293613</v>
      </c>
    </row>
    <row r="102" spans="1:38" x14ac:dyDescent="0.2">
      <c r="A102" s="90"/>
      <c r="B102" s="1"/>
      <c r="C102" s="86" t="s">
        <v>807</v>
      </c>
      <c r="D102" s="45" t="s">
        <v>486</v>
      </c>
      <c r="E102" s="45" t="s">
        <v>600</v>
      </c>
      <c r="F102" s="45" t="s">
        <v>33</v>
      </c>
      <c r="G102" s="45" t="s">
        <v>26</v>
      </c>
      <c r="H102" s="45" t="s">
        <v>1768</v>
      </c>
      <c r="I102" s="45"/>
      <c r="J102" s="34" t="s">
        <v>458</v>
      </c>
      <c r="K102" s="34" t="s">
        <v>458</v>
      </c>
      <c r="L102" s="34" t="s">
        <v>468</v>
      </c>
      <c r="M102" s="34" t="s">
        <v>803</v>
      </c>
      <c r="N102" s="34" t="s">
        <v>34</v>
      </c>
      <c r="O102" s="111">
        <v>0.15</v>
      </c>
      <c r="P102" s="45">
        <v>96.51</v>
      </c>
      <c r="Q102" s="112">
        <f t="shared" si="45"/>
        <v>0</v>
      </c>
      <c r="R102" s="112"/>
      <c r="S102" s="113">
        <f t="shared" si="46"/>
        <v>7.706691167300439E-2</v>
      </c>
      <c r="T102" s="113">
        <f t="shared" si="47"/>
        <v>7.3205706195839562E-2</v>
      </c>
      <c r="U102" s="114">
        <f t="shared" si="48"/>
        <v>0.15337215067826487</v>
      </c>
      <c r="V102" s="114">
        <f t="shared" si="49"/>
        <v>0.14562498472225685</v>
      </c>
      <c r="W102" s="115">
        <f t="shared" si="50"/>
        <v>0.1987713573521131</v>
      </c>
      <c r="X102" s="115">
        <f t="shared" si="51"/>
        <v>0.18882437610103728</v>
      </c>
      <c r="Y102" s="144">
        <f t="shared" si="52"/>
        <v>0.31276387470546002</v>
      </c>
      <c r="Z102" s="144">
        <f t="shared" si="53"/>
        <v>0.29713103258956941</v>
      </c>
      <c r="AA102" s="1"/>
      <c r="AB102" s="1">
        <v>1</v>
      </c>
      <c r="AC102" s="80"/>
      <c r="AD102" s="81">
        <v>0</v>
      </c>
      <c r="AE102" s="80">
        <v>473994.81185340602</v>
      </c>
      <c r="AF102" s="81">
        <v>45745239.29197222</v>
      </c>
      <c r="AG102" s="80">
        <v>909016.20070170006</v>
      </c>
      <c r="AH102" s="81">
        <v>87729153.529721081</v>
      </c>
      <c r="AI102" s="80">
        <v>1150278.02504619</v>
      </c>
      <c r="AJ102" s="81">
        <v>111013332.19720781</v>
      </c>
      <c r="AK102" s="80">
        <v>1704426.06284534</v>
      </c>
      <c r="AL102" s="81">
        <v>164494159.32520378</v>
      </c>
    </row>
    <row r="103" spans="1:38" x14ac:dyDescent="0.2">
      <c r="A103" s="91"/>
      <c r="B103" s="3"/>
      <c r="C103" s="86" t="s">
        <v>790</v>
      </c>
      <c r="D103" s="146" t="s">
        <v>34</v>
      </c>
      <c r="E103" s="146"/>
      <c r="F103" s="146"/>
      <c r="G103" s="146"/>
      <c r="H103" s="146"/>
      <c r="I103" s="146"/>
      <c r="J103" s="34" t="s">
        <v>80</v>
      </c>
      <c r="K103" s="34" t="s">
        <v>80</v>
      </c>
      <c r="L103" s="34"/>
      <c r="M103" s="34"/>
      <c r="N103" s="34" t="s">
        <v>34</v>
      </c>
      <c r="O103" s="111"/>
      <c r="P103" s="45">
        <v>1</v>
      </c>
      <c r="Q103" s="112">
        <f t="shared" si="45"/>
        <v>5.1213192046914548E-3</v>
      </c>
      <c r="R103" s="112">
        <f>R120</f>
        <v>5.475E-2</v>
      </c>
      <c r="S103" s="113">
        <f t="shared" si="46"/>
        <v>4.893169611312519E-3</v>
      </c>
      <c r="T103" s="113">
        <f>$T$120</f>
        <v>5.475E-2</v>
      </c>
      <c r="U103" s="114">
        <f t="shared" si="48"/>
        <v>4.463240252808324E-3</v>
      </c>
      <c r="V103" s="114">
        <f>$V$120</f>
        <v>5.475E-2</v>
      </c>
      <c r="W103" s="115">
        <f t="shared" si="50"/>
        <v>4.9556661235923387E-3</v>
      </c>
      <c r="X103" s="115">
        <f>X120</f>
        <v>5.475E-2</v>
      </c>
      <c r="Y103" s="144">
        <f t="shared" si="52"/>
        <v>5.0179209193973043E-3</v>
      </c>
      <c r="Z103" s="144">
        <f>$Z$120</f>
        <v>5.475E-2</v>
      </c>
      <c r="AA103" s="1"/>
      <c r="AB103" s="1">
        <v>1</v>
      </c>
      <c r="AC103" s="80">
        <v>3095175.4222905701</v>
      </c>
      <c r="AD103" s="81">
        <v>3095175.4222905701</v>
      </c>
      <c r="AE103" s="80">
        <v>2904478.84710172</v>
      </c>
      <c r="AF103" s="81">
        <v>2904478.84710172</v>
      </c>
      <c r="AG103" s="80">
        <v>2552981.6700558402</v>
      </c>
      <c r="AH103" s="81">
        <v>2552981.6700558402</v>
      </c>
      <c r="AI103" s="80">
        <v>2767727.7901878599</v>
      </c>
      <c r="AJ103" s="81">
        <v>2767727.7901878599</v>
      </c>
      <c r="AK103" s="80">
        <v>2639111.32311536</v>
      </c>
      <c r="AL103" s="81">
        <v>2639111.32311536</v>
      </c>
    </row>
    <row r="104" spans="1:38" x14ac:dyDescent="0.2">
      <c r="A104" s="90"/>
      <c r="B104" s="1"/>
      <c r="C104" s="86"/>
      <c r="D104" s="146"/>
      <c r="E104" s="146"/>
      <c r="F104" s="146"/>
      <c r="G104" s="146"/>
      <c r="H104" s="146"/>
      <c r="I104" s="146"/>
      <c r="J104" s="34"/>
      <c r="K104" s="34"/>
      <c r="L104" s="34"/>
      <c r="M104" s="34"/>
      <c r="N104" s="34"/>
      <c r="O104" s="111"/>
      <c r="P104" s="45"/>
      <c r="Q104" s="112"/>
      <c r="R104" s="112"/>
      <c r="S104" s="113"/>
      <c r="T104" s="113"/>
      <c r="U104" s="114"/>
      <c r="V104" s="114"/>
      <c r="W104" s="115"/>
      <c r="X104" s="115"/>
      <c r="Y104" s="144"/>
      <c r="Z104" s="144"/>
      <c r="AA104" s="1"/>
      <c r="AB104" s="1"/>
      <c r="AC104" s="40"/>
      <c r="AD104" s="82">
        <v>604370729.2166425</v>
      </c>
      <c r="AE104" s="40"/>
      <c r="AF104" s="82">
        <v>593578207.54605675</v>
      </c>
      <c r="AG104" s="40"/>
      <c r="AH104" s="82">
        <v>572001847.41331673</v>
      </c>
      <c r="AI104" s="40"/>
      <c r="AJ104" s="82">
        <v>558497631.0271579</v>
      </c>
      <c r="AK104" s="40"/>
      <c r="AL104" s="82">
        <v>525937208.95711923</v>
      </c>
    </row>
    <row r="105" spans="1:38" x14ac:dyDescent="0.2">
      <c r="A105" s="90"/>
      <c r="B105" s="1"/>
      <c r="C105" s="119"/>
      <c r="D105" s="122"/>
      <c r="E105" s="122"/>
      <c r="F105" s="122"/>
      <c r="G105" s="122"/>
      <c r="H105" s="122"/>
      <c r="I105" s="122"/>
      <c r="J105" s="77"/>
      <c r="K105" s="77"/>
      <c r="L105" s="77"/>
      <c r="M105" s="77"/>
      <c r="N105" s="77"/>
      <c r="O105" s="77"/>
      <c r="P105" s="121" t="s">
        <v>81</v>
      </c>
      <c r="Q105" s="107">
        <f>SUM(Q85:Q103)</f>
        <v>1</v>
      </c>
      <c r="R105" s="107"/>
      <c r="S105" s="108">
        <f t="shared" ref="S105:Y105" si="54">SUM(S85:S103)</f>
        <v>1.0000000000000002</v>
      </c>
      <c r="T105" s="108">
        <f t="shared" si="54"/>
        <v>1</v>
      </c>
      <c r="U105" s="109">
        <f t="shared" si="54"/>
        <v>0.99999999999999989</v>
      </c>
      <c r="V105" s="109">
        <f t="shared" si="54"/>
        <v>0.99999999999999989</v>
      </c>
      <c r="W105" s="110">
        <f t="shared" si="54"/>
        <v>1.0000000000000002</v>
      </c>
      <c r="X105" s="110">
        <f t="shared" si="54"/>
        <v>1</v>
      </c>
      <c r="Y105" s="143">
        <f t="shared" si="54"/>
        <v>1</v>
      </c>
      <c r="Z105" s="143">
        <f>SUM(Z96:Z103)</f>
        <v>1</v>
      </c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1:38" x14ac:dyDescent="0.2">
      <c r="A106" s="90"/>
      <c r="B106" s="1"/>
      <c r="C106" s="119"/>
      <c r="D106" s="122"/>
      <c r="E106" s="122"/>
      <c r="F106" s="122"/>
      <c r="G106" s="122"/>
      <c r="H106" s="122"/>
      <c r="I106" s="122"/>
      <c r="J106" s="77"/>
      <c r="K106" s="77"/>
      <c r="L106" s="77"/>
      <c r="M106" s="77"/>
      <c r="N106" s="77"/>
      <c r="O106" s="77"/>
      <c r="P106" s="122" t="s">
        <v>470</v>
      </c>
      <c r="Q106" s="112">
        <f>SUMIF($J$85:$J$103,$P$106,Q$85:Q$103)</f>
        <v>0.9948786807953085</v>
      </c>
      <c r="R106" s="112"/>
      <c r="S106" s="113">
        <f>SUMIF($J$85:$J$103,$P$106,S$85:S$103)</f>
        <v>0.7202830699167353</v>
      </c>
      <c r="T106" s="113"/>
      <c r="U106" s="114">
        <f>SUMIF($J$85:$J$103,$P$106,U$85:U$103)</f>
        <v>0.47817888073281656</v>
      </c>
      <c r="V106" s="114"/>
      <c r="W106" s="115">
        <f>SUMIF($J$85:$J$103,$P$106,W$85:W$103)</f>
        <v>0.33350464719851619</v>
      </c>
      <c r="X106" s="115"/>
      <c r="Y106" s="144">
        <f>SUMIF($J$85:$J$103,$P$106,Y$85:Y$103)</f>
        <v>0</v>
      </c>
      <c r="Z106" s="144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1:38" x14ac:dyDescent="0.2">
      <c r="A107" s="90"/>
      <c r="B107" s="1"/>
      <c r="C107" s="119"/>
      <c r="D107" s="122"/>
      <c r="E107" s="122"/>
      <c r="F107" s="122"/>
      <c r="G107" s="122"/>
      <c r="H107" s="122"/>
      <c r="I107" s="122"/>
      <c r="J107" s="77"/>
      <c r="K107" s="77"/>
      <c r="L107" s="77"/>
      <c r="M107" s="77"/>
      <c r="N107" s="77"/>
      <c r="O107" s="77"/>
      <c r="P107" s="123" t="s">
        <v>453</v>
      </c>
      <c r="Q107" s="112">
        <f>SUMIF($K$85:$K$103,$P$107,Q$85:Q$103)</f>
        <v>6.0036123324575717E-2</v>
      </c>
      <c r="R107" s="112"/>
      <c r="S107" s="113">
        <f>SUMIF($K$85:$K$103,$P$107,S$85:S$103)</f>
        <v>4.3419525310063101E-2</v>
      </c>
      <c r="T107" s="113"/>
      <c r="U107" s="114">
        <f>SUMIF($K$85:$K$103,$P$107,U$85:U$103)</f>
        <v>2.893543325586458E-2</v>
      </c>
      <c r="V107" s="114"/>
      <c r="W107" s="115">
        <f>SUMIF($K$85:$K$103,$P$107,W$85:W$103)</f>
        <v>2.0155133349796208E-2</v>
      </c>
      <c r="X107" s="115"/>
      <c r="Y107" s="144">
        <f>SUMIF($K$85:$K$103,$P$107,Y$85:Y$103)</f>
        <v>0</v>
      </c>
      <c r="Z107" s="144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1:38" x14ac:dyDescent="0.2">
      <c r="A108" s="90"/>
      <c r="B108" s="1"/>
      <c r="C108" s="119"/>
      <c r="D108" s="122"/>
      <c r="E108" s="122"/>
      <c r="F108" s="122"/>
      <c r="G108" s="122"/>
      <c r="H108" s="122"/>
      <c r="I108" s="122"/>
      <c r="J108" s="77"/>
      <c r="K108" s="77"/>
      <c r="L108" s="77"/>
      <c r="M108" s="77"/>
      <c r="N108" s="77"/>
      <c r="O108" s="77"/>
      <c r="P108" s="123" t="s">
        <v>443</v>
      </c>
      <c r="Q108" s="112">
        <f>SUMIF($K$85:$K$103,$P$108,Q$85:Q$103)</f>
        <v>0.40843086232185721</v>
      </c>
      <c r="R108" s="112"/>
      <c r="S108" s="113">
        <f>SUMIF($K$85:$K$103,$P$108,S$85:S$103)</f>
        <v>0.325410934726311</v>
      </c>
      <c r="T108" s="113"/>
      <c r="U108" s="114">
        <f>SUMIF($K$85:$K$103,$P$108,U$85:U$103)</f>
        <v>0.22572717061026493</v>
      </c>
      <c r="V108" s="114"/>
      <c r="W108" s="115">
        <f>SUMIF($K$85:$K$103,$P$108,W$85:W$103)</f>
        <v>0.16630665397270333</v>
      </c>
      <c r="X108" s="115"/>
      <c r="Y108" s="144">
        <f>SUMIF($K$85:$K$103,$P$108,Y$85:Y$103)</f>
        <v>0</v>
      </c>
      <c r="Z108" s="144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1:38" x14ac:dyDescent="0.2">
      <c r="A109" s="90"/>
      <c r="B109" s="1"/>
      <c r="C109" s="119"/>
      <c r="D109" s="122"/>
      <c r="E109" s="122"/>
      <c r="F109" s="122"/>
      <c r="G109" s="122"/>
      <c r="H109" s="122"/>
      <c r="I109" s="122"/>
      <c r="J109" s="77"/>
      <c r="K109" s="77"/>
      <c r="L109" s="77"/>
      <c r="M109" s="77"/>
      <c r="N109" s="77"/>
      <c r="O109" s="77"/>
      <c r="P109" s="123" t="s">
        <v>446</v>
      </c>
      <c r="Q109" s="112">
        <f>SUMIF($K$85:$K$103,$P$109,Q$85:Q$103)</f>
        <v>0.49609598366159213</v>
      </c>
      <c r="R109" s="112"/>
      <c r="S109" s="113">
        <f>SUMIF($K$85:$K$103,$P$109,S$85:S$103)</f>
        <v>0.35915024690646752</v>
      </c>
      <c r="T109" s="113"/>
      <c r="U109" s="114">
        <f>SUMIF($K$85:$K$103,$P$109,U$85:U$103)</f>
        <v>0.2383813854851668</v>
      </c>
      <c r="V109" s="114"/>
      <c r="W109" s="115">
        <f>SUMIF($K$85:$K$103,$P$109,W$85:W$103)</f>
        <v>0.16625411501728221</v>
      </c>
      <c r="X109" s="115"/>
      <c r="Y109" s="144">
        <f>SUMIF($K$85:$K$103,$P$109,Y$85:Y$103)</f>
        <v>0</v>
      </c>
      <c r="Z109" s="144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1:38" x14ac:dyDescent="0.2">
      <c r="A110" s="90"/>
      <c r="B110" s="1"/>
      <c r="C110" s="119"/>
      <c r="D110" s="122"/>
      <c r="E110" s="122"/>
      <c r="F110" s="122"/>
      <c r="G110" s="122"/>
      <c r="H110" s="122"/>
      <c r="I110" s="122"/>
      <c r="J110" s="77" t="s">
        <v>471</v>
      </c>
      <c r="K110" s="77"/>
      <c r="L110" s="77"/>
      <c r="M110" s="77"/>
      <c r="N110" s="77"/>
      <c r="O110" s="77"/>
      <c r="P110" s="122" t="s">
        <v>458</v>
      </c>
      <c r="Q110" s="112">
        <f>SUMIF($K$85:$K$103,$P$110,Q$85:Q$103)</f>
        <v>0</v>
      </c>
      <c r="R110" s="112"/>
      <c r="S110" s="113">
        <f>SUMIF($K$85:$K$103,$P$110,S$85:S$103)</f>
        <v>0.24520109349182442</v>
      </c>
      <c r="T110" s="113"/>
      <c r="U110" s="114">
        <f>SUMIF($K$85:$K$103,$P$110,U$85:U$103)</f>
        <v>0.48788159635985873</v>
      </c>
      <c r="V110" s="114"/>
      <c r="W110" s="115">
        <f>SUMIF($K$85:$K$103,$P$110,W$85:W$103)</f>
        <v>0.63215093882416706</v>
      </c>
      <c r="X110" s="115"/>
      <c r="Y110" s="144">
        <f>SUMIF($K$85:$K$103,$P$110,Y$85:Y$103)</f>
        <v>0.99498207908060277</v>
      </c>
      <c r="Z110" s="144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1:38" x14ac:dyDescent="0.2">
      <c r="A111" s="90"/>
      <c r="B111" s="1"/>
      <c r="C111" s="119"/>
      <c r="D111" s="122"/>
      <c r="E111" s="122"/>
      <c r="F111" s="122"/>
      <c r="G111" s="122"/>
      <c r="H111" s="122"/>
      <c r="I111" s="122"/>
      <c r="J111" s="77"/>
      <c r="K111" s="77"/>
      <c r="L111" s="77"/>
      <c r="M111" s="77"/>
      <c r="N111" s="77"/>
      <c r="O111" s="77"/>
      <c r="P111" s="122" t="s">
        <v>447</v>
      </c>
      <c r="Q111" s="112">
        <f>SUMIF($K$85:$K$103,$P$111,Q$85:Q$103)</f>
        <v>3.0315711487283431E-2</v>
      </c>
      <c r="R111" s="112"/>
      <c r="S111" s="113">
        <f>SUMIF($K$85:$K$103,$P$111,S$85:S$103)</f>
        <v>2.192502995402177E-2</v>
      </c>
      <c r="T111" s="113"/>
      <c r="U111" s="114">
        <f>SUMIF($K$85:$K$103,$P$111,U$85:U$103)</f>
        <v>1.4611174036036643E-2</v>
      </c>
      <c r="V111" s="114"/>
      <c r="W111" s="115">
        <f>SUMIF($K$85:$K$103,$P$111,W$85:W$103)</f>
        <v>1.0177492712458752E-2</v>
      </c>
      <c r="X111" s="115"/>
      <c r="Y111" s="144">
        <f>SUMIF($K$85:$K$103,$P$111,Y$85:Y$103)</f>
        <v>0</v>
      </c>
      <c r="Z111" s="144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1:38" x14ac:dyDescent="0.2">
      <c r="A112" s="90"/>
      <c r="B112" s="1"/>
      <c r="C112" s="119"/>
      <c r="D112" s="122"/>
      <c r="E112" s="122"/>
      <c r="F112" s="122"/>
      <c r="G112" s="122"/>
      <c r="H112" s="122"/>
      <c r="I112" s="122"/>
      <c r="J112" s="77"/>
      <c r="K112" s="77"/>
      <c r="L112" s="77"/>
      <c r="M112" s="77"/>
      <c r="N112" s="77"/>
      <c r="O112" s="77"/>
      <c r="P112" s="122" t="s">
        <v>80</v>
      </c>
      <c r="Q112" s="112">
        <f>Q103</f>
        <v>5.1213192046914548E-3</v>
      </c>
      <c r="R112" s="112"/>
      <c r="S112" s="113">
        <f t="shared" ref="S112:Y112" si="55">S103</f>
        <v>4.893169611312519E-3</v>
      </c>
      <c r="T112" s="113"/>
      <c r="U112" s="114">
        <f t="shared" si="55"/>
        <v>4.463240252808324E-3</v>
      </c>
      <c r="V112" s="114"/>
      <c r="W112" s="115">
        <f t="shared" si="55"/>
        <v>4.9556661235923387E-3</v>
      </c>
      <c r="X112" s="115"/>
      <c r="Y112" s="144">
        <f t="shared" si="55"/>
        <v>5.0179209193973043E-3</v>
      </c>
      <c r="Z112" s="144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1:38" x14ac:dyDescent="0.2">
      <c r="A113" s="90"/>
      <c r="B113" s="1"/>
      <c r="C113" s="119"/>
      <c r="D113" s="122"/>
      <c r="E113" s="122"/>
      <c r="F113" s="122"/>
      <c r="G113" s="122"/>
      <c r="H113" s="122"/>
      <c r="I113" s="122"/>
      <c r="J113" s="77"/>
      <c r="K113" s="77"/>
      <c r="L113" s="77"/>
      <c r="M113" s="77"/>
      <c r="N113" s="77"/>
      <c r="O113" s="77"/>
      <c r="P113" s="121"/>
      <c r="Q113" s="107"/>
      <c r="R113" s="107"/>
      <c r="S113" s="108"/>
      <c r="T113" s="108"/>
      <c r="U113" s="109"/>
      <c r="V113" s="109"/>
      <c r="W113" s="110"/>
      <c r="X113" s="110"/>
      <c r="Y113" s="143"/>
      <c r="Z113" s="14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1:38" x14ac:dyDescent="0.2">
      <c r="A114" s="90"/>
      <c r="B114" s="1"/>
      <c r="C114" s="119"/>
      <c r="D114" s="122"/>
      <c r="E114" s="122"/>
      <c r="F114" s="122"/>
      <c r="G114" s="122"/>
      <c r="H114" s="122"/>
      <c r="I114" s="122"/>
      <c r="J114" s="77"/>
      <c r="K114" s="77"/>
      <c r="L114" s="77"/>
      <c r="M114" s="77"/>
      <c r="N114" s="77"/>
      <c r="O114" s="77"/>
      <c r="P114" s="121" t="s">
        <v>437</v>
      </c>
      <c r="Q114" s="125">
        <f>SUMPRODUCT(Q85:Q103,$O85:$O103)/Q105</f>
        <v>0.13241045843705493</v>
      </c>
      <c r="R114" s="125"/>
      <c r="S114" s="126">
        <f>SUMPRODUCT(S85:S103,$O85:$O103)/S105</f>
        <v>0.16866159837182582</v>
      </c>
      <c r="T114" s="126"/>
      <c r="U114" s="127">
        <f>SUMPRODUCT(U85:U103,$O85:$O103)/U105</f>
        <v>0.1917079189140859</v>
      </c>
      <c r="V114" s="127"/>
      <c r="W114" s="128">
        <f>SUMPRODUCT(W85:W103,$O85:$O103)/W105</f>
        <v>0.20529652492626285</v>
      </c>
      <c r="X114" s="128"/>
      <c r="Y114" s="147">
        <f>SUMPRODUCT(Y85:Y103,$O85:$O103)/Y105</f>
        <v>0.22687447449583886</v>
      </c>
      <c r="Z114" s="147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1:38" ht="15" thickBot="1" x14ac:dyDescent="0.25">
      <c r="A115" s="90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1:38" x14ac:dyDescent="0.2">
      <c r="A116" s="93" t="s">
        <v>0</v>
      </c>
      <c r="B116" s="1"/>
      <c r="C116" s="1"/>
      <c r="D116" s="83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29" t="s">
        <v>86</v>
      </c>
      <c r="R116" s="130">
        <v>100000</v>
      </c>
      <c r="S116" s="129" t="s">
        <v>86</v>
      </c>
      <c r="T116" s="130">
        <v>100000</v>
      </c>
      <c r="U116" s="129" t="s">
        <v>86</v>
      </c>
      <c r="V116" s="130">
        <v>100000</v>
      </c>
      <c r="W116" s="129" t="s">
        <v>86</v>
      </c>
      <c r="X116" s="130">
        <v>100000</v>
      </c>
      <c r="Y116" s="129" t="s">
        <v>86</v>
      </c>
      <c r="Z116" s="130">
        <v>100000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1:38" x14ac:dyDescent="0.2">
      <c r="A117" s="93"/>
      <c r="B117" s="1"/>
      <c r="C117" s="1"/>
      <c r="D117" s="83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32" t="s">
        <v>85</v>
      </c>
      <c r="R117" s="133">
        <v>5000</v>
      </c>
      <c r="S117" s="132" t="s">
        <v>85</v>
      </c>
      <c r="T117" s="133">
        <v>5000</v>
      </c>
      <c r="U117" s="132" t="s">
        <v>85</v>
      </c>
      <c r="V117" s="133">
        <v>5000</v>
      </c>
      <c r="W117" s="132" t="s">
        <v>85</v>
      </c>
      <c r="X117" s="133">
        <v>5000</v>
      </c>
      <c r="Y117" s="132" t="s">
        <v>85</v>
      </c>
      <c r="Z117" s="133">
        <v>5000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1:38" x14ac:dyDescent="0.2">
      <c r="A118" s="93"/>
      <c r="B118" s="1"/>
      <c r="C118" s="1"/>
      <c r="D118" s="83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32" t="s">
        <v>88</v>
      </c>
      <c r="R118" s="134">
        <f>(R116-R117)*0.5%</f>
        <v>475</v>
      </c>
      <c r="S118" s="132" t="s">
        <v>88</v>
      </c>
      <c r="T118" s="134">
        <f>(T116-T117)*0.5%</f>
        <v>475</v>
      </c>
      <c r="U118" s="132" t="s">
        <v>88</v>
      </c>
      <c r="V118" s="134">
        <f>(V116-V117)*0.5%</f>
        <v>475</v>
      </c>
      <c r="W118" s="132" t="s">
        <v>88</v>
      </c>
      <c r="X118" s="134">
        <f>(X116-X117)*0.5%</f>
        <v>475</v>
      </c>
      <c r="Y118" s="132" t="s">
        <v>88</v>
      </c>
      <c r="Z118" s="134">
        <f>(Z116-Z117)*0.5%</f>
        <v>475</v>
      </c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1:38" x14ac:dyDescent="0.2">
      <c r="A119" s="93"/>
      <c r="B119" s="1"/>
      <c r="C119" s="1"/>
      <c r="D119" s="83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32" t="s">
        <v>87</v>
      </c>
      <c r="R119" s="134">
        <f>R117+R118</f>
        <v>5475</v>
      </c>
      <c r="S119" s="132" t="s">
        <v>87</v>
      </c>
      <c r="T119" s="134">
        <f>T117+T118</f>
        <v>5475</v>
      </c>
      <c r="U119" s="132" t="s">
        <v>87</v>
      </c>
      <c r="V119" s="134">
        <f>V117+V118</f>
        <v>5475</v>
      </c>
      <c r="W119" s="132" t="s">
        <v>87</v>
      </c>
      <c r="X119" s="134">
        <f>X117+X118</f>
        <v>5475</v>
      </c>
      <c r="Y119" s="132" t="s">
        <v>87</v>
      </c>
      <c r="Z119" s="134">
        <f>Z117+Z118</f>
        <v>5475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1:38" ht="15" thickBot="1" x14ac:dyDescent="0.25">
      <c r="A120" s="93"/>
      <c r="B120" s="1"/>
      <c r="C120" s="1"/>
      <c r="D120" s="83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36" t="s">
        <v>89</v>
      </c>
      <c r="R120" s="137">
        <f>R119/R116</f>
        <v>5.475E-2</v>
      </c>
      <c r="S120" s="136" t="s">
        <v>89</v>
      </c>
      <c r="T120" s="137">
        <f>T119/T116</f>
        <v>5.475E-2</v>
      </c>
      <c r="U120" s="136" t="s">
        <v>89</v>
      </c>
      <c r="V120" s="137">
        <f>V119/V116</f>
        <v>5.475E-2</v>
      </c>
      <c r="W120" s="136" t="s">
        <v>89</v>
      </c>
      <c r="X120" s="137">
        <f>X119/X116</f>
        <v>5.475E-2</v>
      </c>
      <c r="Y120" s="136" t="s">
        <v>89</v>
      </c>
      <c r="Z120" s="137">
        <f>Z119/Z116</f>
        <v>5.475E-2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1:38" x14ac:dyDescent="0.2">
      <c r="A121" s="93"/>
      <c r="B121" s="1"/>
      <c r="C121" s="1"/>
      <c r="D121" s="83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1:38" x14ac:dyDescent="0.2">
      <c r="A122" s="94">
        <v>44785</v>
      </c>
      <c r="B122" s="1"/>
      <c r="C122" s="95" t="s">
        <v>489</v>
      </c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1:38" x14ac:dyDescent="0.2">
      <c r="A123" s="90"/>
      <c r="B123" s="1"/>
      <c r="C123" s="97" t="s">
        <v>5</v>
      </c>
      <c r="D123" s="98" t="s">
        <v>91</v>
      </c>
      <c r="E123" s="98" t="s">
        <v>533</v>
      </c>
      <c r="F123" s="98" t="s">
        <v>534</v>
      </c>
      <c r="G123" s="98" t="s">
        <v>535</v>
      </c>
      <c r="H123" s="98" t="s">
        <v>1426</v>
      </c>
      <c r="I123" s="98" t="s">
        <v>556</v>
      </c>
      <c r="J123" s="98" t="s">
        <v>434</v>
      </c>
      <c r="K123" s="98" t="s">
        <v>435</v>
      </c>
      <c r="L123" s="98"/>
      <c r="M123" s="98" t="s">
        <v>9</v>
      </c>
      <c r="N123" s="98" t="s">
        <v>13</v>
      </c>
      <c r="O123" s="98" t="s">
        <v>437</v>
      </c>
      <c r="P123" s="98" t="s">
        <v>14</v>
      </c>
      <c r="Q123" s="99" t="s">
        <v>15</v>
      </c>
      <c r="R123" s="99" t="s">
        <v>553</v>
      </c>
      <c r="S123" s="150"/>
      <c r="T123" s="150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1:38" x14ac:dyDescent="0.2">
      <c r="A124" s="90"/>
      <c r="B124" s="1"/>
      <c r="C124" s="106" t="s">
        <v>16</v>
      </c>
      <c r="D124" s="45"/>
      <c r="E124" s="45"/>
      <c r="F124" s="45"/>
      <c r="G124" s="45"/>
      <c r="H124" s="45"/>
      <c r="I124" s="45"/>
      <c r="J124" s="34"/>
      <c r="K124" s="34"/>
      <c r="L124" s="34"/>
      <c r="M124" s="34"/>
      <c r="N124" s="34"/>
      <c r="O124" s="34"/>
      <c r="P124" s="34"/>
      <c r="Q124" s="151"/>
      <c r="R124" s="151"/>
      <c r="S124" s="1"/>
      <c r="T124" s="1"/>
      <c r="U124" s="1"/>
      <c r="V124" s="1"/>
      <c r="W124" s="1"/>
      <c r="X124" s="1"/>
      <c r="Y124" s="1"/>
      <c r="Z124" s="1"/>
      <c r="AA124" s="1"/>
      <c r="AB124" s="13" t="s">
        <v>17</v>
      </c>
      <c r="AC124" s="78" t="s">
        <v>18</v>
      </c>
      <c r="AD124" s="79" t="s">
        <v>19</v>
      </c>
      <c r="AE124" s="1"/>
      <c r="AF124" s="1"/>
      <c r="AG124" s="1"/>
      <c r="AH124" s="1"/>
      <c r="AI124" s="1"/>
      <c r="AJ124" s="1"/>
      <c r="AK124" s="1"/>
      <c r="AL124" s="1"/>
    </row>
    <row r="125" spans="1:38" x14ac:dyDescent="0.2">
      <c r="A125" s="90"/>
      <c r="B125" s="1"/>
      <c r="C125" s="86" t="s">
        <v>809</v>
      </c>
      <c r="D125" s="145" t="s">
        <v>494</v>
      </c>
      <c r="E125" s="145" t="s">
        <v>575</v>
      </c>
      <c r="F125" s="34" t="s">
        <v>129</v>
      </c>
      <c r="G125" s="145" t="s">
        <v>26</v>
      </c>
      <c r="H125" s="45" t="s">
        <v>1770</v>
      </c>
      <c r="I125" s="145"/>
      <c r="J125" s="34" t="s">
        <v>447</v>
      </c>
      <c r="K125" s="34"/>
      <c r="L125" s="34"/>
      <c r="M125" s="34" t="s">
        <v>777</v>
      </c>
      <c r="N125" s="34" t="s">
        <v>34</v>
      </c>
      <c r="O125" s="111">
        <v>0.49</v>
      </c>
      <c r="P125" s="45">
        <v>4.1924999999999999</v>
      </c>
      <c r="Q125" s="112">
        <f t="shared" ref="Q125:Q133" si="56">AD125/$AD$135</f>
        <v>4.391982684604491E-2</v>
      </c>
      <c r="R125" s="112">
        <f t="shared" ref="R125:R133" si="57">Q125*(1-$R$141)/(1-$Q$134)</f>
        <v>4.1689781540976703E-2</v>
      </c>
      <c r="S125" s="152"/>
      <c r="T125" s="152"/>
      <c r="U125" s="1"/>
      <c r="V125" s="1"/>
      <c r="W125" s="1"/>
      <c r="X125" s="1"/>
      <c r="Y125" s="1"/>
      <c r="Z125" s="1"/>
      <c r="AA125" s="1"/>
      <c r="AB125" s="1">
        <v>1</v>
      </c>
      <c r="AC125" s="80">
        <v>2232792.8480912601</v>
      </c>
      <c r="AD125" s="81">
        <v>9360984.0156226084</v>
      </c>
      <c r="AE125" s="1"/>
      <c r="AF125" s="1"/>
      <c r="AG125" s="1"/>
      <c r="AH125" s="1"/>
      <c r="AI125" s="1"/>
      <c r="AJ125" s="1"/>
      <c r="AK125" s="1"/>
      <c r="AL125" s="1"/>
    </row>
    <row r="126" spans="1:38" x14ac:dyDescent="0.2">
      <c r="A126" s="90"/>
      <c r="B126" s="1"/>
      <c r="C126" s="86" t="s">
        <v>810</v>
      </c>
      <c r="D126" s="145" t="s">
        <v>492</v>
      </c>
      <c r="E126" s="145" t="s">
        <v>578</v>
      </c>
      <c r="F126" s="1" t="s">
        <v>129</v>
      </c>
      <c r="G126" s="145" t="s">
        <v>26</v>
      </c>
      <c r="H126" s="45" t="s">
        <v>1771</v>
      </c>
      <c r="I126" s="145"/>
      <c r="J126" s="34" t="s">
        <v>447</v>
      </c>
      <c r="K126" s="34"/>
      <c r="L126" s="34"/>
      <c r="M126" s="34" t="s">
        <v>777</v>
      </c>
      <c r="N126" s="34" t="s">
        <v>34</v>
      </c>
      <c r="O126" s="111">
        <v>0.49</v>
      </c>
      <c r="P126" s="45">
        <v>18.475000000000001</v>
      </c>
      <c r="Q126" s="112">
        <f t="shared" si="56"/>
        <v>0.12117089468873708</v>
      </c>
      <c r="R126" s="112">
        <f t="shared" si="57"/>
        <v>0.11501839810083521</v>
      </c>
      <c r="S126" s="152"/>
      <c r="T126" s="152"/>
      <c r="U126" s="1"/>
      <c r="V126" s="1"/>
      <c r="W126" s="1"/>
      <c r="X126" s="1"/>
      <c r="Y126" s="1"/>
      <c r="Z126" s="1"/>
      <c r="AA126" s="1"/>
      <c r="AB126" s="1">
        <v>1</v>
      </c>
      <c r="AC126" s="80">
        <v>1397895.6452192999</v>
      </c>
      <c r="AD126" s="81">
        <v>25826122.04542657</v>
      </c>
      <c r="AE126" s="1"/>
      <c r="AF126" s="1"/>
      <c r="AG126" s="1"/>
      <c r="AH126" s="1"/>
      <c r="AI126" s="1"/>
      <c r="AJ126" s="1"/>
      <c r="AK126" s="1"/>
      <c r="AL126" s="1"/>
    </row>
    <row r="127" spans="1:38" x14ac:dyDescent="0.2">
      <c r="A127" s="90"/>
      <c r="B127" s="1"/>
      <c r="C127" s="86" t="s">
        <v>811</v>
      </c>
      <c r="D127" s="145" t="s">
        <v>763</v>
      </c>
      <c r="E127" s="145" t="s">
        <v>577</v>
      </c>
      <c r="F127" s="145" t="s">
        <v>551</v>
      </c>
      <c r="G127" s="145" t="s">
        <v>26</v>
      </c>
      <c r="H127" s="45" t="s">
        <v>1772</v>
      </c>
      <c r="I127" s="145"/>
      <c r="J127" s="34" t="s">
        <v>812</v>
      </c>
      <c r="K127" s="34"/>
      <c r="L127" s="34"/>
      <c r="M127" s="34" t="s">
        <v>430</v>
      </c>
      <c r="N127" s="34" t="s">
        <v>34</v>
      </c>
      <c r="O127" s="111">
        <v>0.15</v>
      </c>
      <c r="P127" s="45">
        <v>16.925999999999998</v>
      </c>
      <c r="Q127" s="112">
        <f t="shared" si="56"/>
        <v>5.1000188793826888E-2</v>
      </c>
      <c r="R127" s="112">
        <f t="shared" si="57"/>
        <v>4.841063551585198E-2</v>
      </c>
      <c r="S127" s="152"/>
      <c r="T127" s="152"/>
      <c r="U127" s="1"/>
      <c r="V127" s="1"/>
      <c r="W127" s="1"/>
      <c r="X127" s="1"/>
      <c r="Y127" s="1"/>
      <c r="Z127" s="1"/>
      <c r="AA127" s="1"/>
      <c r="AB127" s="1">
        <v>1</v>
      </c>
      <c r="AC127" s="80">
        <v>642211.87487957894</v>
      </c>
      <c r="AD127" s="81">
        <v>10870078.194211753</v>
      </c>
      <c r="AE127" s="1"/>
      <c r="AF127" s="1"/>
      <c r="AG127" s="1"/>
      <c r="AH127" s="1"/>
      <c r="AI127" s="1"/>
      <c r="AJ127" s="1"/>
      <c r="AK127" s="1"/>
      <c r="AL127" s="1"/>
    </row>
    <row r="128" spans="1:38" x14ac:dyDescent="0.2">
      <c r="A128" s="90"/>
      <c r="B128" s="1"/>
      <c r="C128" s="86" t="s">
        <v>813</v>
      </c>
      <c r="D128" s="45" t="s">
        <v>532</v>
      </c>
      <c r="E128" s="45" t="s">
        <v>766</v>
      </c>
      <c r="F128" s="145" t="s">
        <v>551</v>
      </c>
      <c r="G128" s="145" t="s">
        <v>26</v>
      </c>
      <c r="H128" s="45" t="s">
        <v>1773</v>
      </c>
      <c r="I128" s="45"/>
      <c r="J128" s="34" t="s">
        <v>812</v>
      </c>
      <c r="K128" s="34"/>
      <c r="L128" s="34"/>
      <c r="M128" s="34" t="s">
        <v>430</v>
      </c>
      <c r="N128" s="34" t="s">
        <v>814</v>
      </c>
      <c r="O128" s="111">
        <v>0.35</v>
      </c>
      <c r="P128" s="45">
        <v>16.25</v>
      </c>
      <c r="Q128" s="112">
        <f t="shared" si="56"/>
        <v>4.647097071917055E-2</v>
      </c>
      <c r="R128" s="112">
        <f t="shared" si="57"/>
        <v>4.4111390148930188E-2</v>
      </c>
      <c r="S128" s="152"/>
      <c r="T128" s="152"/>
      <c r="U128" s="1"/>
      <c r="V128" s="1"/>
      <c r="W128" s="1"/>
      <c r="X128" s="1"/>
      <c r="Y128" s="1"/>
      <c r="Z128" s="1"/>
      <c r="AA128" s="1"/>
      <c r="AB128" s="1">
        <v>1.2806</v>
      </c>
      <c r="AC128" s="80">
        <v>475965.81968574901</v>
      </c>
      <c r="AD128" s="81">
        <v>9904729.716205515</v>
      </c>
      <c r="AE128" s="1"/>
      <c r="AF128" s="1"/>
      <c r="AG128" s="1"/>
      <c r="AH128" s="1"/>
      <c r="AI128" s="1"/>
      <c r="AJ128" s="1"/>
      <c r="AK128" s="1"/>
      <c r="AL128" s="1"/>
    </row>
    <row r="129" spans="1:38" x14ac:dyDescent="0.2">
      <c r="A129" s="90"/>
      <c r="B129" s="1"/>
      <c r="C129" s="86" t="s">
        <v>815</v>
      </c>
      <c r="D129" s="45" t="s">
        <v>764</v>
      </c>
      <c r="E129" s="45" t="s">
        <v>767</v>
      </c>
      <c r="F129" s="45" t="s">
        <v>552</v>
      </c>
      <c r="G129" s="145" t="s">
        <v>26</v>
      </c>
      <c r="H129" s="45" t="s">
        <v>1774</v>
      </c>
      <c r="I129" s="45"/>
      <c r="J129" s="34" t="s">
        <v>447</v>
      </c>
      <c r="K129" s="34"/>
      <c r="L129" s="34"/>
      <c r="M129" s="34" t="s">
        <v>430</v>
      </c>
      <c r="N129" s="34" t="s">
        <v>34</v>
      </c>
      <c r="O129" s="111">
        <v>0.2</v>
      </c>
      <c r="P129" s="45">
        <v>46.63</v>
      </c>
      <c r="Q129" s="112">
        <f t="shared" si="56"/>
        <v>4.173081224201413E-2</v>
      </c>
      <c r="R129" s="112">
        <f t="shared" si="57"/>
        <v>3.9611914955756569E-2</v>
      </c>
      <c r="S129" s="3"/>
      <c r="T129" s="3"/>
      <c r="U129" s="1"/>
      <c r="V129" s="1"/>
      <c r="W129" s="1"/>
      <c r="X129" s="1"/>
      <c r="Y129" s="1"/>
      <c r="Z129" s="1"/>
      <c r="AA129" s="1"/>
      <c r="AB129" s="1">
        <v>1</v>
      </c>
      <c r="AC129" s="80">
        <v>190744.62412346201</v>
      </c>
      <c r="AD129" s="81">
        <v>8894421.8228770345</v>
      </c>
      <c r="AE129" s="1"/>
      <c r="AF129" s="1"/>
      <c r="AG129" s="1"/>
      <c r="AH129" s="1"/>
      <c r="AI129" s="1"/>
      <c r="AJ129" s="1"/>
      <c r="AK129" s="1"/>
      <c r="AL129" s="1"/>
    </row>
    <row r="130" spans="1:38" x14ac:dyDescent="0.2">
      <c r="A130" s="90"/>
      <c r="B130" s="1"/>
      <c r="C130" s="86" t="s">
        <v>816</v>
      </c>
      <c r="D130" s="45" t="s">
        <v>491</v>
      </c>
      <c r="E130" s="45" t="s">
        <v>579</v>
      </c>
      <c r="F130" s="45" t="s">
        <v>552</v>
      </c>
      <c r="G130" s="145" t="s">
        <v>26</v>
      </c>
      <c r="H130" s="45" t="s">
        <v>1775</v>
      </c>
      <c r="I130" s="45"/>
      <c r="J130" s="34" t="s">
        <v>447</v>
      </c>
      <c r="K130" s="34"/>
      <c r="L130" s="34"/>
      <c r="M130" s="34" t="s">
        <v>777</v>
      </c>
      <c r="N130" s="34" t="s">
        <v>34</v>
      </c>
      <c r="O130" s="111">
        <v>0.2</v>
      </c>
      <c r="P130" s="45">
        <v>77.717500000000001</v>
      </c>
      <c r="Q130" s="112">
        <f t="shared" si="56"/>
        <v>0.17250308685630095</v>
      </c>
      <c r="R130" s="112">
        <f t="shared" si="57"/>
        <v>0.16374417939744085</v>
      </c>
      <c r="S130" s="152"/>
      <c r="T130" s="152"/>
      <c r="U130" s="1"/>
      <c r="V130" s="1"/>
      <c r="W130" s="1"/>
      <c r="X130" s="1"/>
      <c r="Y130" s="1"/>
      <c r="Z130" s="1"/>
      <c r="AA130" s="1"/>
      <c r="AB130" s="1">
        <v>1</v>
      </c>
      <c r="AC130" s="80">
        <v>473084.73348238698</v>
      </c>
      <c r="AD130" s="81">
        <v>36766962.774417408</v>
      </c>
      <c r="AE130" s="1"/>
      <c r="AF130" s="1"/>
      <c r="AG130" s="1"/>
      <c r="AH130" s="1"/>
      <c r="AI130" s="1"/>
      <c r="AJ130" s="1"/>
      <c r="AK130" s="1"/>
      <c r="AL130" s="1"/>
    </row>
    <row r="131" spans="1:38" x14ac:dyDescent="0.2">
      <c r="A131" s="90"/>
      <c r="B131" s="1"/>
      <c r="C131" s="86" t="s">
        <v>817</v>
      </c>
      <c r="D131" s="45" t="s">
        <v>765</v>
      </c>
      <c r="E131" s="45" t="s">
        <v>768</v>
      </c>
      <c r="F131" s="45" t="s">
        <v>552</v>
      </c>
      <c r="G131" s="145" t="s">
        <v>26</v>
      </c>
      <c r="H131" s="45" t="s">
        <v>1776</v>
      </c>
      <c r="I131" s="45"/>
      <c r="J131" s="34" t="s">
        <v>470</v>
      </c>
      <c r="K131" s="34"/>
      <c r="L131" s="34"/>
      <c r="M131" s="34" t="s">
        <v>777</v>
      </c>
      <c r="N131" s="34" t="s">
        <v>34</v>
      </c>
      <c r="O131" s="111">
        <v>0.59</v>
      </c>
      <c r="P131" s="45">
        <v>18.417999999999999</v>
      </c>
      <c r="Q131" s="112">
        <f t="shared" si="56"/>
        <v>4.9058923537371936E-2</v>
      </c>
      <c r="R131" s="112">
        <f t="shared" si="57"/>
        <v>4.6567938714282442E-2</v>
      </c>
      <c r="S131" s="152"/>
      <c r="T131" s="152"/>
      <c r="U131" s="1"/>
      <c r="V131" s="1"/>
      <c r="W131" s="1"/>
      <c r="X131" s="1"/>
      <c r="Y131" s="1"/>
      <c r="Z131" s="1"/>
      <c r="AA131" s="1"/>
      <c r="AB131" s="1">
        <v>1</v>
      </c>
      <c r="AC131" s="80">
        <v>567722.92331911996</v>
      </c>
      <c r="AD131" s="81">
        <v>10456320.801691551</v>
      </c>
      <c r="AE131" s="1"/>
      <c r="AF131" s="1"/>
      <c r="AG131" s="1"/>
      <c r="AH131" s="1"/>
      <c r="AI131" s="1"/>
      <c r="AJ131" s="1"/>
      <c r="AK131" s="1"/>
      <c r="AL131" s="1"/>
    </row>
    <row r="132" spans="1:38" x14ac:dyDescent="0.2">
      <c r="A132" s="90"/>
      <c r="B132" s="1"/>
      <c r="C132" s="86" t="s">
        <v>818</v>
      </c>
      <c r="D132" s="45" t="s">
        <v>493</v>
      </c>
      <c r="E132" s="45" t="s">
        <v>576</v>
      </c>
      <c r="F132" s="45" t="s">
        <v>552</v>
      </c>
      <c r="G132" s="145" t="s">
        <v>26</v>
      </c>
      <c r="H132" s="45" t="s">
        <v>1777</v>
      </c>
      <c r="I132" s="45"/>
      <c r="J132" s="34" t="s">
        <v>447</v>
      </c>
      <c r="K132" s="34"/>
      <c r="L132" s="34"/>
      <c r="M132" s="34" t="s">
        <v>777</v>
      </c>
      <c r="N132" s="34" t="s">
        <v>34</v>
      </c>
      <c r="O132" s="111">
        <v>0.28000000000000003</v>
      </c>
      <c r="P132" s="45">
        <v>9.9649999999999999</v>
      </c>
      <c r="Q132" s="112">
        <f t="shared" si="56"/>
        <v>0.29409196855627029</v>
      </c>
      <c r="R132" s="112">
        <f t="shared" si="57"/>
        <v>0.27915934106581747</v>
      </c>
      <c r="S132" s="152"/>
      <c r="T132" s="152"/>
      <c r="U132" s="1"/>
      <c r="V132" s="1"/>
      <c r="W132" s="1"/>
      <c r="X132" s="1"/>
      <c r="Y132" s="1"/>
      <c r="Z132" s="1"/>
      <c r="AA132" s="1"/>
      <c r="AB132" s="1">
        <v>1</v>
      </c>
      <c r="AC132" s="80">
        <v>6290233.1896714298</v>
      </c>
      <c r="AD132" s="81">
        <v>62682173.735075794</v>
      </c>
      <c r="AE132" s="1"/>
      <c r="AF132" s="1"/>
      <c r="AG132" s="1"/>
      <c r="AH132" s="1"/>
      <c r="AI132" s="1"/>
      <c r="AJ132" s="1"/>
      <c r="AK132" s="1"/>
      <c r="AL132" s="1"/>
    </row>
    <row r="133" spans="1:38" x14ac:dyDescent="0.2">
      <c r="A133" s="90"/>
      <c r="B133" s="1"/>
      <c r="C133" s="86" t="s">
        <v>819</v>
      </c>
      <c r="D133" s="45" t="s">
        <v>490</v>
      </c>
      <c r="E133" s="45" t="s">
        <v>580</v>
      </c>
      <c r="F133" s="45" t="s">
        <v>552</v>
      </c>
      <c r="G133" s="145" t="s">
        <v>26</v>
      </c>
      <c r="H133" s="45" t="s">
        <v>1778</v>
      </c>
      <c r="I133" s="45"/>
      <c r="J133" s="34" t="s">
        <v>447</v>
      </c>
      <c r="K133" s="34"/>
      <c r="L133" s="34"/>
      <c r="M133" s="34" t="s">
        <v>777</v>
      </c>
      <c r="N133" s="34" t="s">
        <v>34</v>
      </c>
      <c r="O133" s="111">
        <v>0.12</v>
      </c>
      <c r="P133" s="45">
        <v>487.23</v>
      </c>
      <c r="Q133" s="112">
        <f t="shared" si="56"/>
        <v>0.17586608550807803</v>
      </c>
      <c r="R133" s="112">
        <f t="shared" si="57"/>
        <v>0.16693642056010863</v>
      </c>
      <c r="S133" s="152"/>
      <c r="T133" s="152"/>
      <c r="U133" s="1"/>
      <c r="V133" s="1"/>
      <c r="W133" s="1"/>
      <c r="X133" s="1"/>
      <c r="Y133" s="1"/>
      <c r="Z133" s="1"/>
      <c r="AA133" s="1"/>
      <c r="AB133" s="1">
        <v>1</v>
      </c>
      <c r="AC133" s="80">
        <v>76932.343201562602</v>
      </c>
      <c r="AD133" s="81">
        <v>37483745.578097351</v>
      </c>
      <c r="AE133" s="1"/>
      <c r="AF133" s="1"/>
      <c r="AG133" s="1"/>
      <c r="AH133" s="1"/>
      <c r="AI133" s="1"/>
      <c r="AJ133" s="1"/>
      <c r="AK133" s="1"/>
      <c r="AL133" s="1"/>
    </row>
    <row r="134" spans="1:38" x14ac:dyDescent="0.2">
      <c r="A134" s="90"/>
      <c r="B134" s="1"/>
      <c r="C134" s="86" t="s">
        <v>790</v>
      </c>
      <c r="D134" s="45" t="s">
        <v>34</v>
      </c>
      <c r="E134" s="45"/>
      <c r="F134" s="45"/>
      <c r="G134" s="45"/>
      <c r="H134" s="45"/>
      <c r="I134" s="45"/>
      <c r="J134" s="34"/>
      <c r="K134" s="84"/>
      <c r="L134" s="84"/>
      <c r="M134" s="34"/>
      <c r="N134" s="34" t="s">
        <v>34</v>
      </c>
      <c r="O134" s="111"/>
      <c r="P134" s="45">
        <v>1</v>
      </c>
      <c r="Q134" s="112">
        <f>AD134/$AD$135</f>
        <v>4.1872422521852882E-3</v>
      </c>
      <c r="R134" s="112">
        <f>R141</f>
        <v>5.475E-2</v>
      </c>
      <c r="S134" s="152"/>
      <c r="T134" s="152"/>
      <c r="U134" s="1"/>
      <c r="V134" s="1"/>
      <c r="W134" s="1"/>
      <c r="X134" s="1"/>
      <c r="Y134" s="1"/>
      <c r="Z134" s="1"/>
      <c r="AA134" s="1"/>
      <c r="AB134" s="1">
        <v>1</v>
      </c>
      <c r="AC134" s="80">
        <v>892460.43545765604</v>
      </c>
      <c r="AD134" s="81">
        <v>892460.43545765604</v>
      </c>
      <c r="AE134" s="1"/>
      <c r="AF134" s="1"/>
      <c r="AG134" s="1"/>
      <c r="AH134" s="1"/>
      <c r="AI134" s="1"/>
      <c r="AJ134" s="1"/>
      <c r="AK134" s="1"/>
      <c r="AL134" s="1"/>
    </row>
    <row r="135" spans="1:38" x14ac:dyDescent="0.2">
      <c r="A135" s="90"/>
      <c r="B135" s="1"/>
      <c r="C135" s="119" t="s">
        <v>81</v>
      </c>
      <c r="D135" s="122"/>
      <c r="E135" s="122"/>
      <c r="F135" s="122"/>
      <c r="G135" s="122"/>
      <c r="H135" s="122"/>
      <c r="I135" s="122"/>
      <c r="J135" s="77"/>
      <c r="K135" s="77"/>
      <c r="L135" s="77"/>
      <c r="M135" s="77"/>
      <c r="N135" s="77"/>
      <c r="O135" s="77"/>
      <c r="P135" s="121" t="s">
        <v>81</v>
      </c>
      <c r="Q135" s="107">
        <f>SUM(Q125:Q134)</f>
        <v>1</v>
      </c>
      <c r="R135" s="107">
        <f>SUM(R125:R134)</f>
        <v>1</v>
      </c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40"/>
      <c r="AD135" s="82">
        <v>213137999.11908323</v>
      </c>
      <c r="AE135" s="1"/>
      <c r="AF135" s="1"/>
      <c r="AG135" s="1"/>
      <c r="AH135" s="1"/>
      <c r="AI135" s="1"/>
      <c r="AJ135" s="1"/>
      <c r="AK135" s="1"/>
      <c r="AL135" s="1"/>
    </row>
    <row r="136" spans="1:38" ht="15" thickBot="1" x14ac:dyDescent="0.25">
      <c r="A136" s="90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1:38" x14ac:dyDescent="0.2">
      <c r="A137" s="90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29" t="s">
        <v>86</v>
      </c>
      <c r="R137" s="130">
        <v>100000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1:38" x14ac:dyDescent="0.2">
      <c r="A138" s="90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32" t="s">
        <v>85</v>
      </c>
      <c r="R138" s="133">
        <v>5000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1:38" x14ac:dyDescent="0.2">
      <c r="A139" s="90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32" t="s">
        <v>88</v>
      </c>
      <c r="R139" s="134">
        <f>(R137-R138)*0.5%</f>
        <v>475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1:38" x14ac:dyDescent="0.2">
      <c r="A140" s="90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32" t="s">
        <v>87</v>
      </c>
      <c r="R140" s="134">
        <f>R138+R139</f>
        <v>5475</v>
      </c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1:38" ht="15" thickBot="1" x14ac:dyDescent="0.25">
      <c r="A141" s="90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36" t="s">
        <v>89</v>
      </c>
      <c r="R141" s="137">
        <f>R140/R137</f>
        <v>5.475E-2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1:38" x14ac:dyDescent="0.2">
      <c r="A142" s="93" t="s">
        <v>0</v>
      </c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1:38" x14ac:dyDescent="0.2">
      <c r="A143" s="94">
        <v>44788</v>
      </c>
      <c r="B143" s="1"/>
      <c r="C143" s="95" t="s">
        <v>495</v>
      </c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1:38" x14ac:dyDescent="0.2">
      <c r="A144" s="90"/>
      <c r="B144" s="1"/>
      <c r="C144" s="97" t="s">
        <v>5</v>
      </c>
      <c r="D144" s="98" t="s">
        <v>91</v>
      </c>
      <c r="E144" s="98" t="s">
        <v>533</v>
      </c>
      <c r="F144" s="98" t="s">
        <v>534</v>
      </c>
      <c r="G144" s="98" t="s">
        <v>535</v>
      </c>
      <c r="H144" s="98" t="s">
        <v>1426</v>
      </c>
      <c r="I144" s="98" t="s">
        <v>556</v>
      </c>
      <c r="J144" s="98" t="s">
        <v>434</v>
      </c>
      <c r="K144" s="98" t="s">
        <v>435</v>
      </c>
      <c r="L144" s="98"/>
      <c r="M144" s="98" t="s">
        <v>9</v>
      </c>
      <c r="N144" s="98" t="s">
        <v>13</v>
      </c>
      <c r="O144" s="98" t="s">
        <v>437</v>
      </c>
      <c r="P144" s="98" t="s">
        <v>14</v>
      </c>
      <c r="Q144" s="99" t="s">
        <v>15</v>
      </c>
      <c r="R144" s="99" t="s">
        <v>553</v>
      </c>
      <c r="S144" s="150"/>
      <c r="T144" s="150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1:38" x14ac:dyDescent="0.2">
      <c r="A145" s="90"/>
      <c r="B145" s="1"/>
      <c r="C145" s="106" t="s">
        <v>16</v>
      </c>
      <c r="D145" s="45"/>
      <c r="E145" s="45"/>
      <c r="F145" s="45"/>
      <c r="G145" s="45"/>
      <c r="H145" s="45"/>
      <c r="I145" s="45"/>
      <c r="J145" s="34"/>
      <c r="K145" s="34"/>
      <c r="L145" s="34"/>
      <c r="M145" s="34"/>
      <c r="N145" s="34"/>
      <c r="O145" s="34"/>
      <c r="P145" s="34"/>
      <c r="Q145" s="151"/>
      <c r="R145" s="151"/>
      <c r="S145" s="1"/>
      <c r="T145" s="1"/>
      <c r="U145" s="1"/>
      <c r="V145" s="1"/>
      <c r="W145" s="1"/>
      <c r="X145" s="1"/>
      <c r="Y145" s="1"/>
      <c r="Z145" s="1"/>
      <c r="AA145" s="1"/>
      <c r="AB145" s="13" t="s">
        <v>17</v>
      </c>
      <c r="AC145" s="78" t="s">
        <v>18</v>
      </c>
      <c r="AD145" s="79" t="s">
        <v>19</v>
      </c>
      <c r="AE145" s="1"/>
      <c r="AF145" s="1"/>
      <c r="AG145" s="1"/>
      <c r="AH145" s="1"/>
      <c r="AI145" s="1"/>
      <c r="AJ145" s="1"/>
      <c r="AK145" s="1"/>
      <c r="AL145" s="1"/>
    </row>
    <row r="146" spans="1:38" x14ac:dyDescent="0.2">
      <c r="A146" s="90"/>
      <c r="B146" s="1"/>
      <c r="C146" s="86" t="s">
        <v>823</v>
      </c>
      <c r="D146" s="145" t="s">
        <v>773</v>
      </c>
      <c r="E146" s="145" t="s">
        <v>776</v>
      </c>
      <c r="F146" s="145" t="s">
        <v>33</v>
      </c>
      <c r="G146" s="145" t="s">
        <v>26</v>
      </c>
      <c r="H146" s="45" t="s">
        <v>1779</v>
      </c>
      <c r="I146" s="145"/>
      <c r="J146" s="34" t="s">
        <v>447</v>
      </c>
      <c r="K146" s="34"/>
      <c r="L146" s="34"/>
      <c r="M146" s="34" t="s">
        <v>792</v>
      </c>
      <c r="N146" s="34" t="s">
        <v>34</v>
      </c>
      <c r="O146" s="111">
        <v>0.6</v>
      </c>
      <c r="P146" s="45">
        <v>147.79</v>
      </c>
      <c r="Q146" s="112">
        <f t="shared" ref="Q146:Q154" si="58">AD146/$AD$156</f>
        <v>4.2769796333436139E-2</v>
      </c>
      <c r="R146" s="112">
        <f t="shared" ref="R146:R154" si="59">Q146*(1-$R$162)/(1-$Q$155)</f>
        <v>4.0611564394912557E-2</v>
      </c>
      <c r="S146" s="152"/>
      <c r="T146" s="152"/>
      <c r="U146" s="1"/>
      <c r="V146" s="1"/>
      <c r="W146" s="1"/>
      <c r="X146" s="1"/>
      <c r="Y146" s="1"/>
      <c r="Z146" s="1"/>
      <c r="AA146" s="1"/>
      <c r="AB146" s="1">
        <v>1</v>
      </c>
      <c r="AC146" s="80">
        <v>55068.8883519011</v>
      </c>
      <c r="AD146" s="81">
        <v>8138631.0095274635</v>
      </c>
      <c r="AE146" s="1"/>
      <c r="AF146" s="1"/>
      <c r="AG146" s="1"/>
      <c r="AH146" s="1"/>
      <c r="AI146" s="1"/>
      <c r="AJ146" s="1"/>
      <c r="AK146" s="1"/>
      <c r="AL146" s="1"/>
    </row>
    <row r="147" spans="1:38" x14ac:dyDescent="0.2">
      <c r="A147" s="90"/>
      <c r="B147" s="1"/>
      <c r="C147" s="86" t="s">
        <v>825</v>
      </c>
      <c r="D147" s="145" t="s">
        <v>775</v>
      </c>
      <c r="E147" s="145" t="s">
        <v>582</v>
      </c>
      <c r="F147" s="145" t="s">
        <v>33</v>
      </c>
      <c r="G147" s="145" t="s">
        <v>26</v>
      </c>
      <c r="H147" s="45" t="s">
        <v>1780</v>
      </c>
      <c r="I147" s="145"/>
      <c r="J147" s="34" t="s">
        <v>447</v>
      </c>
      <c r="K147" s="34"/>
      <c r="L147" s="34"/>
      <c r="M147" s="34" t="s">
        <v>792</v>
      </c>
      <c r="N147" s="34" t="s">
        <v>34</v>
      </c>
      <c r="O147" s="111">
        <v>0.3</v>
      </c>
      <c r="P147" s="45">
        <v>78</v>
      </c>
      <c r="Q147" s="112">
        <f t="shared" si="58"/>
        <v>0.17619114621810136</v>
      </c>
      <c r="R147" s="112">
        <f t="shared" si="59"/>
        <v>0.16730026078838262</v>
      </c>
      <c r="S147" s="152"/>
      <c r="T147" s="152"/>
      <c r="U147" s="1"/>
      <c r="V147" s="1"/>
      <c r="W147" s="1"/>
      <c r="X147" s="1"/>
      <c r="Y147" s="1"/>
      <c r="Z147" s="1"/>
      <c r="AA147" s="1"/>
      <c r="AB147" s="1">
        <v>1</v>
      </c>
      <c r="AC147" s="80">
        <v>429836.85982858099</v>
      </c>
      <c r="AD147" s="81">
        <v>33527275.066629317</v>
      </c>
      <c r="AE147" s="1"/>
      <c r="AF147" s="1"/>
      <c r="AG147" s="1"/>
      <c r="AH147" s="1"/>
      <c r="AI147" s="1"/>
      <c r="AJ147" s="1"/>
      <c r="AK147" s="1"/>
      <c r="AL147" s="1"/>
    </row>
    <row r="148" spans="1:38" x14ac:dyDescent="0.2">
      <c r="A148" s="90"/>
      <c r="B148" s="1"/>
      <c r="C148" s="86" t="s">
        <v>821</v>
      </c>
      <c r="D148" s="145" t="s">
        <v>771</v>
      </c>
      <c r="E148" s="145" t="s">
        <v>585</v>
      </c>
      <c r="F148" s="145" t="s">
        <v>33</v>
      </c>
      <c r="G148" s="145" t="s">
        <v>26</v>
      </c>
      <c r="H148" s="45" t="s">
        <v>1781</v>
      </c>
      <c r="I148" s="145"/>
      <c r="J148" s="34" t="s">
        <v>812</v>
      </c>
      <c r="K148" s="34"/>
      <c r="L148" s="34"/>
      <c r="M148" s="34" t="s">
        <v>799</v>
      </c>
      <c r="N148" s="34" t="s">
        <v>34</v>
      </c>
      <c r="O148" s="111">
        <v>0.25</v>
      </c>
      <c r="P148" s="45">
        <v>62.05</v>
      </c>
      <c r="Q148" s="112">
        <f t="shared" si="58"/>
        <v>5.2619808347896875E-2</v>
      </c>
      <c r="R148" s="112">
        <f t="shared" si="59"/>
        <v>4.9964529138941685E-2</v>
      </c>
      <c r="S148" s="152"/>
      <c r="T148" s="152"/>
      <c r="U148" s="1"/>
      <c r="V148" s="1"/>
      <c r="W148" s="1"/>
      <c r="X148" s="1"/>
      <c r="Y148" s="1"/>
      <c r="Z148" s="1"/>
      <c r="AA148" s="1"/>
      <c r="AB148" s="1">
        <v>1</v>
      </c>
      <c r="AC148" s="80">
        <v>161369.57409513599</v>
      </c>
      <c r="AD148" s="81">
        <v>10012982.072603188</v>
      </c>
      <c r="AE148" s="1"/>
      <c r="AF148" s="1"/>
      <c r="AG148" s="1"/>
      <c r="AH148" s="1"/>
      <c r="AI148" s="1"/>
      <c r="AJ148" s="1"/>
      <c r="AK148" s="1"/>
      <c r="AL148" s="1"/>
    </row>
    <row r="149" spans="1:38" x14ac:dyDescent="0.2">
      <c r="A149" s="90"/>
      <c r="B149" s="1"/>
      <c r="C149" s="86" t="s">
        <v>1136</v>
      </c>
      <c r="D149" s="45" t="s">
        <v>770</v>
      </c>
      <c r="E149" s="45" t="s">
        <v>583</v>
      </c>
      <c r="F149" s="145" t="s">
        <v>33</v>
      </c>
      <c r="G149" s="145" t="s">
        <v>26</v>
      </c>
      <c r="H149" s="45" t="s">
        <v>1782</v>
      </c>
      <c r="I149" s="45"/>
      <c r="J149" s="34" t="s">
        <v>812</v>
      </c>
      <c r="K149" s="34"/>
      <c r="L149" s="34"/>
      <c r="M149" s="34" t="s">
        <v>792</v>
      </c>
      <c r="N149" s="34" t="s">
        <v>34</v>
      </c>
      <c r="O149" s="111">
        <v>2.5</v>
      </c>
      <c r="P149" s="45">
        <v>17.04</v>
      </c>
      <c r="Q149" s="112">
        <f t="shared" si="58"/>
        <v>4.7758619367553941E-2</v>
      </c>
      <c r="R149" s="112">
        <f t="shared" si="59"/>
        <v>4.5348643485151489E-2</v>
      </c>
      <c r="S149" s="152"/>
      <c r="T149" s="152"/>
      <c r="U149" s="1"/>
      <c r="V149" s="1"/>
      <c r="W149" s="1"/>
      <c r="X149" s="1"/>
      <c r="Y149" s="1"/>
      <c r="Z149" s="1"/>
      <c r="AA149" s="1"/>
      <c r="AB149" s="1">
        <v>1</v>
      </c>
      <c r="AC149" s="80">
        <v>533330.41273910506</v>
      </c>
      <c r="AD149" s="81">
        <v>9087950.2330743503</v>
      </c>
      <c r="AE149" s="1"/>
      <c r="AF149" s="1"/>
      <c r="AG149" s="1"/>
      <c r="AH149" s="1"/>
      <c r="AI149" s="1"/>
      <c r="AJ149" s="1"/>
      <c r="AK149" s="1"/>
      <c r="AL149" s="1"/>
    </row>
    <row r="150" spans="1:38" x14ac:dyDescent="0.2">
      <c r="A150" s="90"/>
      <c r="B150" s="1"/>
      <c r="C150" s="86" t="s">
        <v>1135</v>
      </c>
      <c r="D150" s="45" t="s">
        <v>1133</v>
      </c>
      <c r="E150" s="45" t="s">
        <v>1134</v>
      </c>
      <c r="F150" s="145" t="s">
        <v>33</v>
      </c>
      <c r="G150" s="145" t="s">
        <v>26</v>
      </c>
      <c r="H150" s="45" t="s">
        <v>1783</v>
      </c>
      <c r="I150" s="45"/>
      <c r="J150" s="34" t="s">
        <v>447</v>
      </c>
      <c r="K150" s="34"/>
      <c r="L150" s="34"/>
      <c r="M150" s="34" t="s">
        <v>792</v>
      </c>
      <c r="N150" s="34" t="s">
        <v>34</v>
      </c>
      <c r="O150" s="111">
        <v>0.77</v>
      </c>
      <c r="P150" s="45">
        <v>23.9</v>
      </c>
      <c r="Q150" s="112">
        <f t="shared" si="58"/>
        <v>0.11067040655545264</v>
      </c>
      <c r="R150" s="112">
        <f t="shared" si="59"/>
        <v>0.10508580184479985</v>
      </c>
      <c r="S150" s="152"/>
      <c r="T150" s="152"/>
      <c r="U150" s="1"/>
      <c r="V150" s="1"/>
      <c r="W150" s="1"/>
      <c r="X150" s="1"/>
      <c r="Y150" s="1"/>
      <c r="Z150" s="1"/>
      <c r="AA150" s="1"/>
      <c r="AB150" s="1">
        <v>1</v>
      </c>
      <c r="AC150" s="80">
        <v>881145.81127405795</v>
      </c>
      <c r="AD150" s="81">
        <v>21059384.889449984</v>
      </c>
      <c r="AE150" s="1"/>
      <c r="AF150" s="1"/>
      <c r="AG150" s="1"/>
      <c r="AH150" s="1"/>
      <c r="AI150" s="1"/>
      <c r="AJ150" s="1"/>
      <c r="AK150" s="1"/>
      <c r="AL150" s="1"/>
    </row>
    <row r="151" spans="1:38" x14ac:dyDescent="0.2">
      <c r="A151" s="90"/>
      <c r="B151" s="1"/>
      <c r="C151" s="86" t="s">
        <v>820</v>
      </c>
      <c r="D151" s="45" t="s">
        <v>769</v>
      </c>
      <c r="E151" s="45" t="s">
        <v>586</v>
      </c>
      <c r="F151" s="145" t="s">
        <v>33</v>
      </c>
      <c r="G151" s="145" t="s">
        <v>26</v>
      </c>
      <c r="H151" s="45" t="s">
        <v>1784</v>
      </c>
      <c r="I151" s="45"/>
      <c r="J151" s="34" t="s">
        <v>447</v>
      </c>
      <c r="K151" s="34"/>
      <c r="L151" s="34"/>
      <c r="M151" s="34" t="s">
        <v>792</v>
      </c>
      <c r="N151" s="34" t="s">
        <v>34</v>
      </c>
      <c r="O151" s="111">
        <v>0.77</v>
      </c>
      <c r="P151" s="45">
        <v>24.004999999999999</v>
      </c>
      <c r="Q151" s="112">
        <f t="shared" si="58"/>
        <v>4.514586840590689E-2</v>
      </c>
      <c r="R151" s="112">
        <f t="shared" si="59"/>
        <v>4.2867736092009494E-2</v>
      </c>
      <c r="S151" s="152"/>
      <c r="T151" s="152"/>
      <c r="U151" s="1"/>
      <c r="V151" s="1"/>
      <c r="W151" s="1"/>
      <c r="X151" s="1"/>
      <c r="Y151" s="1"/>
      <c r="Z151" s="1"/>
      <c r="AA151" s="1"/>
      <c r="AB151" s="1">
        <v>1</v>
      </c>
      <c r="AC151" s="80">
        <v>357874.27207570599</v>
      </c>
      <c r="AD151" s="81">
        <v>8590771.9011773225</v>
      </c>
      <c r="AE151" s="1"/>
      <c r="AF151" s="1"/>
      <c r="AG151" s="1"/>
      <c r="AH151" s="1"/>
      <c r="AI151" s="1"/>
      <c r="AJ151" s="1"/>
      <c r="AK151" s="1"/>
      <c r="AL151" s="1"/>
    </row>
    <row r="152" spans="1:38" x14ac:dyDescent="0.2">
      <c r="A152" s="90"/>
      <c r="B152" s="1"/>
      <c r="C152" s="86" t="s">
        <v>1785</v>
      </c>
      <c r="D152" s="45" t="s">
        <v>496</v>
      </c>
      <c r="E152" s="45" t="s">
        <v>584</v>
      </c>
      <c r="F152" s="145" t="s">
        <v>33</v>
      </c>
      <c r="G152" s="145" t="s">
        <v>26</v>
      </c>
      <c r="H152" s="45" t="s">
        <v>1786</v>
      </c>
      <c r="I152" s="45"/>
      <c r="J152" s="34" t="s">
        <v>447</v>
      </c>
      <c r="K152" s="34"/>
      <c r="L152" s="34"/>
      <c r="M152" s="34" t="s">
        <v>792</v>
      </c>
      <c r="N152" s="34" t="s">
        <v>34</v>
      </c>
      <c r="O152" s="111">
        <v>0.28000000000000003</v>
      </c>
      <c r="P152" s="45">
        <v>33.17</v>
      </c>
      <c r="Q152" s="112">
        <f t="shared" si="58"/>
        <v>0.29332611464052261</v>
      </c>
      <c r="R152" s="112">
        <f t="shared" si="59"/>
        <v>0.2785244124279429</v>
      </c>
      <c r="S152" s="152"/>
      <c r="T152" s="152"/>
      <c r="U152" s="1"/>
      <c r="V152" s="1"/>
      <c r="W152" s="1"/>
      <c r="X152" s="1"/>
      <c r="Y152" s="1"/>
      <c r="Z152" s="1"/>
      <c r="AA152" s="1"/>
      <c r="AB152" s="1">
        <v>1</v>
      </c>
      <c r="AC152" s="80">
        <v>1682749.36282901</v>
      </c>
      <c r="AD152" s="81">
        <v>55816796.365038268</v>
      </c>
      <c r="AE152" s="1"/>
      <c r="AF152" s="1"/>
      <c r="AG152" s="1"/>
      <c r="AH152" s="1"/>
      <c r="AI152" s="1"/>
      <c r="AJ152" s="1"/>
      <c r="AK152" s="1"/>
      <c r="AL152" s="1"/>
    </row>
    <row r="153" spans="1:38" x14ac:dyDescent="0.2">
      <c r="A153" s="90"/>
      <c r="B153" s="1"/>
      <c r="C153" s="86" t="s">
        <v>822</v>
      </c>
      <c r="D153" s="45" t="s">
        <v>772</v>
      </c>
      <c r="E153" s="45" t="s">
        <v>581</v>
      </c>
      <c r="F153" s="145" t="s">
        <v>33</v>
      </c>
      <c r="G153" s="145" t="s">
        <v>26</v>
      </c>
      <c r="H153" s="45" t="s">
        <v>1787</v>
      </c>
      <c r="I153" s="45"/>
      <c r="J153" s="34" t="s">
        <v>447</v>
      </c>
      <c r="K153" s="34"/>
      <c r="L153" s="34"/>
      <c r="M153" s="34" t="s">
        <v>792</v>
      </c>
      <c r="N153" s="34" t="s">
        <v>34</v>
      </c>
      <c r="O153" s="111">
        <v>0.1</v>
      </c>
      <c r="P153" s="45">
        <v>100.38</v>
      </c>
      <c r="Q153" s="112">
        <f t="shared" si="58"/>
        <v>0.17732788756799192</v>
      </c>
      <c r="R153" s="112">
        <f t="shared" si="59"/>
        <v>0.16837964036203165</v>
      </c>
      <c r="S153" s="152"/>
      <c r="T153" s="152"/>
      <c r="U153" s="1"/>
      <c r="V153" s="1"/>
      <c r="W153" s="1"/>
      <c r="X153" s="1"/>
      <c r="Y153" s="1"/>
      <c r="Z153" s="1"/>
      <c r="AA153" s="1"/>
      <c r="AB153" s="1">
        <v>1</v>
      </c>
      <c r="AC153" s="80">
        <v>336158.44477792998</v>
      </c>
      <c r="AD153" s="81">
        <v>33743584.686808608</v>
      </c>
      <c r="AE153" s="1"/>
      <c r="AF153" s="1"/>
      <c r="AG153" s="1"/>
      <c r="AH153" s="1"/>
      <c r="AI153" s="1"/>
      <c r="AJ153" s="1"/>
      <c r="AK153" s="1"/>
      <c r="AL153" s="1"/>
    </row>
    <row r="154" spans="1:38" x14ac:dyDescent="0.2">
      <c r="A154" s="90"/>
      <c r="B154" s="1"/>
      <c r="C154" s="86" t="s">
        <v>824</v>
      </c>
      <c r="D154" s="45" t="s">
        <v>774</v>
      </c>
      <c r="E154" s="45" t="s">
        <v>768</v>
      </c>
      <c r="F154" s="145" t="s">
        <v>33</v>
      </c>
      <c r="G154" s="145" t="s">
        <v>26</v>
      </c>
      <c r="H154" s="45" t="s">
        <v>1788</v>
      </c>
      <c r="I154" s="45"/>
      <c r="J154" s="34" t="s">
        <v>470</v>
      </c>
      <c r="K154" s="34"/>
      <c r="L154" s="34"/>
      <c r="M154" s="34" t="s">
        <v>792</v>
      </c>
      <c r="N154" s="34" t="s">
        <v>34</v>
      </c>
      <c r="O154" s="111">
        <v>0.57999999999999996</v>
      </c>
      <c r="P154" s="45">
        <v>93.4</v>
      </c>
      <c r="Q154" s="112">
        <f t="shared" si="58"/>
        <v>4.9674042653268004E-2</v>
      </c>
      <c r="R154" s="112">
        <f t="shared" si="59"/>
        <v>4.7167411465827584E-2</v>
      </c>
      <c r="S154" s="152"/>
      <c r="T154" s="152"/>
      <c r="U154" s="1"/>
      <c r="V154" s="1"/>
      <c r="W154" s="1"/>
      <c r="X154" s="1"/>
      <c r="Y154" s="1"/>
      <c r="Z154" s="1"/>
      <c r="AA154" s="1"/>
      <c r="AB154" s="1">
        <v>1</v>
      </c>
      <c r="AC154" s="80">
        <v>101203.796876615</v>
      </c>
      <c r="AD154" s="81">
        <v>9452434.6282758415</v>
      </c>
      <c r="AE154" s="1"/>
      <c r="AF154" s="1"/>
      <c r="AG154" s="1"/>
      <c r="AH154" s="1"/>
      <c r="AI154" s="1"/>
      <c r="AJ154" s="1"/>
      <c r="AK154" s="1"/>
      <c r="AL154" s="1"/>
    </row>
    <row r="155" spans="1:38" x14ac:dyDescent="0.2">
      <c r="A155" s="90"/>
      <c r="B155" s="1"/>
      <c r="C155" s="86" t="s">
        <v>790</v>
      </c>
      <c r="D155" s="45" t="s">
        <v>34</v>
      </c>
      <c r="E155" s="45"/>
      <c r="F155" s="45"/>
      <c r="G155" s="45"/>
      <c r="H155" s="45"/>
      <c r="I155" s="45"/>
      <c r="J155" s="34"/>
      <c r="K155" s="84"/>
      <c r="L155" s="84"/>
      <c r="M155" s="34"/>
      <c r="N155" s="34" t="s">
        <v>34</v>
      </c>
      <c r="O155" s="111"/>
      <c r="P155" s="45">
        <v>1</v>
      </c>
      <c r="Q155" s="112">
        <f>AD155/$AD$156</f>
        <v>4.5163099098694363E-3</v>
      </c>
      <c r="R155" s="112">
        <f>R162</f>
        <v>5.475E-2</v>
      </c>
      <c r="S155" s="152"/>
      <c r="T155" s="152"/>
      <c r="U155" s="1"/>
      <c r="V155" s="1"/>
      <c r="W155" s="1"/>
      <c r="X155" s="1"/>
      <c r="Y155" s="1"/>
      <c r="Z155" s="1"/>
      <c r="AA155" s="1"/>
      <c r="AB155" s="1">
        <v>1</v>
      </c>
      <c r="AC155" s="80">
        <v>859405.07161976804</v>
      </c>
      <c r="AD155" s="81">
        <v>859405.07161976804</v>
      </c>
      <c r="AE155" s="1"/>
      <c r="AF155" s="1"/>
      <c r="AG155" s="1"/>
      <c r="AH155" s="1"/>
      <c r="AI155" s="1"/>
      <c r="AJ155" s="1"/>
      <c r="AK155" s="1"/>
      <c r="AL155" s="1"/>
    </row>
    <row r="156" spans="1:38" x14ac:dyDescent="0.2">
      <c r="A156" s="90"/>
      <c r="B156" s="1"/>
      <c r="C156" s="119" t="s">
        <v>81</v>
      </c>
      <c r="D156" s="122"/>
      <c r="E156" s="122"/>
      <c r="F156" s="122"/>
      <c r="G156" s="122"/>
      <c r="H156" s="122"/>
      <c r="I156" s="122"/>
      <c r="J156" s="77"/>
      <c r="K156" s="77"/>
      <c r="L156" s="77"/>
      <c r="M156" s="77"/>
      <c r="N156" s="77"/>
      <c r="O156" s="77"/>
      <c r="P156" s="121" t="s">
        <v>81</v>
      </c>
      <c r="Q156" s="107">
        <f>SUM(Q146:Q155)</f>
        <v>0.99999999999999978</v>
      </c>
      <c r="R156" s="107">
        <f>SUM(R146:R155)</f>
        <v>0.99999999999999989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40"/>
      <c r="AD156" s="82">
        <v>190289215.92420414</v>
      </c>
      <c r="AE156" s="1"/>
      <c r="AF156" s="1"/>
      <c r="AG156" s="1"/>
      <c r="AH156" s="1"/>
      <c r="AI156" s="1"/>
      <c r="AJ156" s="1"/>
      <c r="AK156" s="1"/>
      <c r="AL156" s="1"/>
    </row>
    <row r="157" spans="1:38" ht="15" thickBot="1" x14ac:dyDescent="0.25">
      <c r="A157" s="90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1:38" x14ac:dyDescent="0.2">
      <c r="A158" s="90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29" t="s">
        <v>86</v>
      </c>
      <c r="R158" s="130">
        <v>100000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1:38" x14ac:dyDescent="0.2">
      <c r="A159" s="90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32" t="s">
        <v>85</v>
      </c>
      <c r="R159" s="133">
        <v>5000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1:38" x14ac:dyDescent="0.2">
      <c r="A160" s="90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32" t="s">
        <v>88</v>
      </c>
      <c r="R160" s="134">
        <f>(R158-R159)*0.5%</f>
        <v>475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1:38" x14ac:dyDescent="0.2">
      <c r="A161" s="90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32" t="s">
        <v>87</v>
      </c>
      <c r="R161" s="134">
        <f>R159+R160</f>
        <v>5475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1:38" ht="15" thickBot="1" x14ac:dyDescent="0.25">
      <c r="A162" s="9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36" t="s">
        <v>89</v>
      </c>
      <c r="R162" s="137">
        <f>R161/R158</f>
        <v>5.475E-2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1:38" x14ac:dyDescent="0.2">
      <c r="A163" s="93" t="s">
        <v>0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34"/>
      <c r="R163" s="153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1:38" x14ac:dyDescent="0.2">
      <c r="A164" s="94">
        <v>44785</v>
      </c>
      <c r="B164" s="1"/>
      <c r="C164" s="95" t="s">
        <v>497</v>
      </c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1:38" x14ac:dyDescent="0.2">
      <c r="A165" s="90"/>
      <c r="B165" s="1"/>
      <c r="C165" s="97" t="s">
        <v>5</v>
      </c>
      <c r="D165" s="98" t="s">
        <v>91</v>
      </c>
      <c r="E165" s="98" t="s">
        <v>533</v>
      </c>
      <c r="F165" s="98" t="s">
        <v>534</v>
      </c>
      <c r="G165" s="98" t="s">
        <v>535</v>
      </c>
      <c r="H165" s="98" t="s">
        <v>1426</v>
      </c>
      <c r="I165" s="98"/>
      <c r="J165" s="98" t="s">
        <v>434</v>
      </c>
      <c r="K165" s="98" t="s">
        <v>435</v>
      </c>
      <c r="L165" s="98"/>
      <c r="M165" s="98" t="s">
        <v>9</v>
      </c>
      <c r="N165" s="98" t="s">
        <v>13</v>
      </c>
      <c r="O165" s="98" t="s">
        <v>437</v>
      </c>
      <c r="P165" s="98" t="s">
        <v>14</v>
      </c>
      <c r="Q165" s="99" t="s">
        <v>15</v>
      </c>
      <c r="R165" s="99" t="s">
        <v>553</v>
      </c>
      <c r="S165" s="150"/>
      <c r="T165" s="150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spans="1:38" x14ac:dyDescent="0.2">
      <c r="A166" s="90"/>
      <c r="B166" s="1"/>
      <c r="C166" s="106" t="s">
        <v>16</v>
      </c>
      <c r="D166" s="45"/>
      <c r="E166" s="45"/>
      <c r="F166" s="45"/>
      <c r="G166" s="45"/>
      <c r="H166" s="45"/>
      <c r="I166" s="45"/>
      <c r="J166" s="34"/>
      <c r="K166" s="34"/>
      <c r="L166" s="34"/>
      <c r="M166" s="34"/>
      <c r="N166" s="34"/>
      <c r="O166" s="34"/>
      <c r="P166" s="34"/>
      <c r="Q166" s="151"/>
      <c r="R166" s="151"/>
      <c r="S166" s="1"/>
      <c r="T166" s="1"/>
      <c r="U166" s="1"/>
      <c r="V166" s="1"/>
      <c r="W166" s="1"/>
      <c r="X166" s="1"/>
      <c r="Y166" s="1"/>
      <c r="Z166" s="1"/>
      <c r="AA166" s="1"/>
      <c r="AB166" s="13" t="s">
        <v>17</v>
      </c>
      <c r="AC166" s="78" t="s">
        <v>18</v>
      </c>
      <c r="AD166" s="79" t="s">
        <v>19</v>
      </c>
      <c r="AE166" s="1"/>
      <c r="AF166" s="1"/>
      <c r="AG166" s="1"/>
      <c r="AH166" s="1"/>
      <c r="AI166" s="1"/>
      <c r="AJ166" s="1"/>
      <c r="AK166" s="1"/>
      <c r="AL166" s="1"/>
    </row>
    <row r="167" spans="1:38" x14ac:dyDescent="0.2">
      <c r="A167" s="90"/>
      <c r="B167" s="1"/>
      <c r="C167" s="86" t="s">
        <v>809</v>
      </c>
      <c r="D167" s="145" t="s">
        <v>494</v>
      </c>
      <c r="E167" s="145" t="s">
        <v>575</v>
      </c>
      <c r="F167" s="145" t="s">
        <v>129</v>
      </c>
      <c r="G167" s="145" t="s">
        <v>26</v>
      </c>
      <c r="H167" s="45" t="s">
        <v>1770</v>
      </c>
      <c r="I167" s="145"/>
      <c r="J167" s="34" t="s">
        <v>447</v>
      </c>
      <c r="K167" s="34"/>
      <c r="L167" s="34"/>
      <c r="M167" s="34" t="s">
        <v>777</v>
      </c>
      <c r="N167" s="34" t="s">
        <v>34</v>
      </c>
      <c r="O167" s="111">
        <v>0.49</v>
      </c>
      <c r="P167" s="45">
        <v>4.1924999999999999</v>
      </c>
      <c r="Q167" s="112">
        <f>AD167/$AD$175</f>
        <v>4.8656280439198195E-2</v>
      </c>
      <c r="R167" s="112">
        <f>Q167*(1-$R$181)/(1-$Q$174)</f>
        <v>4.6174414181076262E-2</v>
      </c>
      <c r="S167" s="152"/>
      <c r="T167" s="152"/>
      <c r="U167" s="1"/>
      <c r="V167" s="1"/>
      <c r="W167" s="1"/>
      <c r="X167" s="1"/>
      <c r="Y167" s="1"/>
      <c r="Z167" s="1"/>
      <c r="AA167" s="1"/>
      <c r="AB167" s="1">
        <v>1</v>
      </c>
      <c r="AC167" s="80">
        <v>2211505.6967418301</v>
      </c>
      <c r="AD167" s="81">
        <v>9271737.6335901227</v>
      </c>
      <c r="AE167" s="1"/>
      <c r="AF167" s="1"/>
      <c r="AG167" s="1"/>
      <c r="AH167" s="1"/>
      <c r="AI167" s="1"/>
      <c r="AJ167" s="1"/>
      <c r="AK167" s="1"/>
      <c r="AL167" s="1"/>
    </row>
    <row r="168" spans="1:38" x14ac:dyDescent="0.2">
      <c r="A168" s="90"/>
      <c r="B168" s="1"/>
      <c r="C168" s="86" t="s">
        <v>810</v>
      </c>
      <c r="D168" s="145" t="s">
        <v>492</v>
      </c>
      <c r="E168" s="83" t="s">
        <v>578</v>
      </c>
      <c r="F168" s="145" t="s">
        <v>129</v>
      </c>
      <c r="G168" s="145" t="s">
        <v>26</v>
      </c>
      <c r="H168" s="45" t="s">
        <v>1771</v>
      </c>
      <c r="I168" s="145"/>
      <c r="J168" s="34" t="s">
        <v>447</v>
      </c>
      <c r="K168" s="34"/>
      <c r="L168" s="34"/>
      <c r="M168" s="34" t="s">
        <v>777</v>
      </c>
      <c r="N168" s="34" t="s">
        <v>34</v>
      </c>
      <c r="O168" s="111">
        <v>0.49</v>
      </c>
      <c r="P168" s="45">
        <v>18.475000000000001</v>
      </c>
      <c r="Q168" s="112">
        <f>AD168/$AD$175</f>
        <v>0.1342383487464652</v>
      </c>
      <c r="R168" s="112">
        <f>Q168*(1-$R$181)/(1-$Q$174)</f>
        <v>0.12739110055378466</v>
      </c>
      <c r="S168" s="152"/>
      <c r="T168" s="152"/>
      <c r="U168" s="1"/>
      <c r="V168" s="1"/>
      <c r="W168" s="1"/>
      <c r="X168" s="1"/>
      <c r="Y168" s="1"/>
      <c r="Z168" s="1"/>
      <c r="AA168" s="1"/>
      <c r="AB168" s="1">
        <v>1</v>
      </c>
      <c r="AC168" s="80">
        <v>1384568.29324577</v>
      </c>
      <c r="AD168" s="81">
        <v>25579899.217715602</v>
      </c>
      <c r="AE168" s="1"/>
      <c r="AF168" s="1"/>
      <c r="AG168" s="1"/>
      <c r="AH168" s="1"/>
      <c r="AI168" s="1"/>
      <c r="AJ168" s="1"/>
      <c r="AK168" s="1"/>
      <c r="AL168" s="1"/>
    </row>
    <row r="169" spans="1:38" x14ac:dyDescent="0.2">
      <c r="A169" s="90"/>
      <c r="B169" s="1"/>
      <c r="C169" s="86" t="s">
        <v>815</v>
      </c>
      <c r="D169" s="145" t="s">
        <v>764</v>
      </c>
      <c r="E169" s="145" t="s">
        <v>767</v>
      </c>
      <c r="F169" s="145" t="s">
        <v>552</v>
      </c>
      <c r="G169" s="145" t="s">
        <v>26</v>
      </c>
      <c r="H169" s="45" t="s">
        <v>1774</v>
      </c>
      <c r="I169" s="145"/>
      <c r="J169" s="34" t="s">
        <v>447</v>
      </c>
      <c r="K169" s="34"/>
      <c r="L169" s="34"/>
      <c r="M169" s="34" t="s">
        <v>777</v>
      </c>
      <c r="N169" s="34" t="s">
        <v>34</v>
      </c>
      <c r="O169" s="111">
        <v>0.2</v>
      </c>
      <c r="P169" s="45">
        <v>46.63</v>
      </c>
      <c r="Q169" s="112">
        <f>AD169/$AD$175</f>
        <v>4.6231195549119163E-2</v>
      </c>
      <c r="R169" s="112">
        <f>Q169*(1-$R$181)/(1-$Q$174)</f>
        <v>4.3873028355279169E-2</v>
      </c>
      <c r="S169" s="152"/>
      <c r="T169" s="152"/>
      <c r="U169" s="1"/>
      <c r="V169" s="1"/>
      <c r="W169" s="1"/>
      <c r="X169" s="1"/>
      <c r="Y169" s="1"/>
      <c r="Z169" s="1"/>
      <c r="AA169" s="1"/>
      <c r="AB169" s="1">
        <v>1</v>
      </c>
      <c r="AC169" s="80">
        <v>188926.090135287</v>
      </c>
      <c r="AD169" s="81">
        <v>8809623.5830084328</v>
      </c>
      <c r="AE169" s="1"/>
      <c r="AF169" s="1"/>
      <c r="AG169" s="1"/>
      <c r="AH169" s="1"/>
      <c r="AI169" s="1"/>
      <c r="AJ169" s="1"/>
      <c r="AK169" s="1"/>
      <c r="AL169" s="1"/>
    </row>
    <row r="170" spans="1:38" x14ac:dyDescent="0.2">
      <c r="A170" s="90"/>
      <c r="B170" s="1"/>
      <c r="C170" s="86" t="s">
        <v>816</v>
      </c>
      <c r="D170" s="45" t="s">
        <v>491</v>
      </c>
      <c r="E170" s="45" t="s">
        <v>579</v>
      </c>
      <c r="F170" s="45" t="s">
        <v>552</v>
      </c>
      <c r="G170" s="145" t="s">
        <v>26</v>
      </c>
      <c r="H170" s="45" t="s">
        <v>1775</v>
      </c>
      <c r="I170" s="45"/>
      <c r="J170" s="34" t="s">
        <v>447</v>
      </c>
      <c r="K170" s="34"/>
      <c r="L170" s="34"/>
      <c r="M170" s="34" t="s">
        <v>777</v>
      </c>
      <c r="N170" s="34" t="s">
        <v>34</v>
      </c>
      <c r="O170" s="111">
        <v>0.2</v>
      </c>
      <c r="P170" s="45">
        <v>77.717500000000001</v>
      </c>
      <c r="Q170" s="112">
        <f>AD170/$AD$175</f>
        <v>0.19110636752119534</v>
      </c>
      <c r="R170" s="112">
        <f>Q170*(1-$R$181)/(1-$Q$174)</f>
        <v>0.18135838758968784</v>
      </c>
      <c r="S170" s="152"/>
      <c r="T170" s="152"/>
      <c r="U170" s="1"/>
      <c r="V170" s="1"/>
      <c r="W170" s="1"/>
      <c r="X170" s="1"/>
      <c r="Y170" s="1"/>
      <c r="Z170" s="1"/>
      <c r="AA170" s="1"/>
      <c r="AB170" s="1">
        <v>1</v>
      </c>
      <c r="AC170" s="80">
        <v>468574.406278788</v>
      </c>
      <c r="AD170" s="81">
        <v>36416431.419971704</v>
      </c>
      <c r="AE170" s="1"/>
      <c r="AF170" s="1"/>
      <c r="AG170" s="1"/>
      <c r="AH170" s="1"/>
      <c r="AI170" s="1"/>
      <c r="AJ170" s="1"/>
      <c r="AK170" s="1"/>
      <c r="AL170" s="1"/>
    </row>
    <row r="171" spans="1:38" x14ac:dyDescent="0.2">
      <c r="A171" s="90"/>
      <c r="B171" s="1"/>
      <c r="C171" s="86" t="s">
        <v>817</v>
      </c>
      <c r="D171" s="45" t="s">
        <v>765</v>
      </c>
      <c r="E171" s="45" t="s">
        <v>768</v>
      </c>
      <c r="F171" s="45" t="s">
        <v>552</v>
      </c>
      <c r="G171" s="145" t="s">
        <v>26</v>
      </c>
      <c r="H171" s="45" t="s">
        <v>1776</v>
      </c>
      <c r="I171" s="45"/>
      <c r="J171" s="34" t="s">
        <v>470</v>
      </c>
      <c r="K171" s="34"/>
      <c r="L171" s="34"/>
      <c r="M171" s="34" t="s">
        <v>777</v>
      </c>
      <c r="N171" s="34" t="s">
        <v>34</v>
      </c>
      <c r="O171" s="111">
        <v>0.59</v>
      </c>
      <c r="P171" s="45">
        <v>18.417999999999999</v>
      </c>
      <c r="Q171" s="112">
        <f>AD171/$AD$175</f>
        <v>5.4349593636763088E-2</v>
      </c>
      <c r="R171" s="112">
        <f>Q171*(1-$R$181)/(1-$Q$174)</f>
        <v>5.1577322074445868E-2</v>
      </c>
      <c r="S171" s="152"/>
      <c r="T171" s="152"/>
      <c r="U171" s="1"/>
      <c r="V171" s="1"/>
      <c r="W171" s="1"/>
      <c r="X171" s="1"/>
      <c r="Y171" s="1"/>
      <c r="Z171" s="1"/>
      <c r="AA171" s="1"/>
      <c r="AB171" s="1">
        <v>1</v>
      </c>
      <c r="AC171" s="80">
        <v>562310.32814551401</v>
      </c>
      <c r="AD171" s="81">
        <v>10356631.623784076</v>
      </c>
      <c r="AE171" s="1"/>
      <c r="AF171" s="1"/>
      <c r="AG171" s="1"/>
      <c r="AH171" s="1"/>
      <c r="AI171" s="1"/>
      <c r="AJ171" s="1"/>
      <c r="AK171" s="1"/>
      <c r="AL171" s="1"/>
    </row>
    <row r="172" spans="1:38" x14ac:dyDescent="0.2">
      <c r="A172" s="90"/>
      <c r="B172" s="1"/>
      <c r="C172" s="86" t="s">
        <v>818</v>
      </c>
      <c r="D172" s="45" t="s">
        <v>493</v>
      </c>
      <c r="E172" s="45" t="s">
        <v>576</v>
      </c>
      <c r="F172" s="45" t="s">
        <v>552</v>
      </c>
      <c r="G172" s="145" t="s">
        <v>26</v>
      </c>
      <c r="H172" s="45" t="s">
        <v>1777</v>
      </c>
      <c r="I172" s="45"/>
      <c r="J172" s="34" t="s">
        <v>447</v>
      </c>
      <c r="K172" s="34"/>
      <c r="L172" s="34"/>
      <c r="M172" s="34" t="s">
        <v>777</v>
      </c>
      <c r="N172" s="34" t="s">
        <v>34</v>
      </c>
      <c r="O172" s="111">
        <v>0.28000000000000003</v>
      </c>
      <c r="P172" s="45">
        <v>9.9649999999999999</v>
      </c>
      <c r="Q172" s="112">
        <f t="shared" ref="Q172:Q173" si="60">AD172/$AD$175</f>
        <v>0.32664318489042571</v>
      </c>
      <c r="R172" s="112">
        <f t="shared" ref="R172:R173" si="61">Q172*(1-$R$181)/(1-$Q$174)</f>
        <v>0.30998172429978155</v>
      </c>
      <c r="S172" s="152"/>
      <c r="T172" s="152"/>
      <c r="U172" s="1"/>
      <c r="V172" s="1"/>
      <c r="W172" s="1"/>
      <c r="X172" s="1"/>
      <c r="Y172" s="1"/>
      <c r="Z172" s="1"/>
      <c r="AA172" s="1"/>
      <c r="AB172" s="1">
        <v>1</v>
      </c>
      <c r="AC172" s="80">
        <v>6246237.9725655997</v>
      </c>
      <c r="AD172" s="81">
        <v>62243761.396616198</v>
      </c>
      <c r="AE172" s="1"/>
      <c r="AF172" s="1"/>
      <c r="AG172" s="1"/>
      <c r="AH172" s="1"/>
      <c r="AI172" s="1"/>
      <c r="AJ172" s="1"/>
      <c r="AK172" s="1"/>
      <c r="AL172" s="1"/>
    </row>
    <row r="173" spans="1:38" x14ac:dyDescent="0.2">
      <c r="A173" s="90"/>
      <c r="B173" s="1"/>
      <c r="C173" s="86" t="s">
        <v>819</v>
      </c>
      <c r="D173" s="45" t="s">
        <v>490</v>
      </c>
      <c r="E173" s="45" t="s">
        <v>580</v>
      </c>
      <c r="F173" s="45" t="s">
        <v>552</v>
      </c>
      <c r="G173" s="145" t="s">
        <v>26</v>
      </c>
      <c r="H173" s="45" t="s">
        <v>1778</v>
      </c>
      <c r="I173" s="45"/>
      <c r="J173" s="34" t="s">
        <v>447</v>
      </c>
      <c r="K173" s="34"/>
      <c r="L173" s="34"/>
      <c r="M173" s="34" t="s">
        <v>777</v>
      </c>
      <c r="N173" s="34" t="s">
        <v>34</v>
      </c>
      <c r="O173" s="111">
        <v>0.12</v>
      </c>
      <c r="P173" s="45">
        <v>487.23</v>
      </c>
      <c r="Q173" s="112">
        <f t="shared" si="60"/>
        <v>0.19483204262667991</v>
      </c>
      <c r="R173" s="112">
        <f t="shared" si="61"/>
        <v>0.18489402294594454</v>
      </c>
      <c r="S173" s="152"/>
      <c r="T173" s="152"/>
      <c r="U173" s="1"/>
      <c r="V173" s="1"/>
      <c r="W173" s="1"/>
      <c r="X173" s="1"/>
      <c r="Y173" s="1"/>
      <c r="Z173" s="1"/>
      <c r="AA173" s="1"/>
      <c r="AB173" s="1">
        <v>1</v>
      </c>
      <c r="AC173" s="80">
        <v>76198.880428785196</v>
      </c>
      <c r="AD173" s="81">
        <v>37126380.511317015</v>
      </c>
      <c r="AE173" s="1"/>
      <c r="AF173" s="1"/>
      <c r="AG173" s="1"/>
      <c r="AH173" s="1"/>
      <c r="AI173" s="1"/>
      <c r="AJ173" s="1"/>
      <c r="AK173" s="1"/>
      <c r="AL173" s="1"/>
    </row>
    <row r="174" spans="1:38" x14ac:dyDescent="0.2">
      <c r="A174" s="90"/>
      <c r="B174" s="1"/>
      <c r="C174" s="86" t="s">
        <v>790</v>
      </c>
      <c r="D174" s="45" t="s">
        <v>34</v>
      </c>
      <c r="E174" s="45"/>
      <c r="F174" s="45"/>
      <c r="G174" s="45"/>
      <c r="H174" s="45"/>
      <c r="I174" s="45"/>
      <c r="J174" s="34"/>
      <c r="K174" s="84"/>
      <c r="L174" s="84"/>
      <c r="M174" s="34"/>
      <c r="N174" s="34" t="s">
        <v>34</v>
      </c>
      <c r="O174" s="111"/>
      <c r="P174" s="45">
        <v>1</v>
      </c>
      <c r="Q174" s="112">
        <f>AD174/$AD$175</f>
        <v>3.9429865901532664E-3</v>
      </c>
      <c r="R174" s="112">
        <f>R181</f>
        <v>5.475E-2</v>
      </c>
      <c r="S174" s="152"/>
      <c r="T174" s="152"/>
      <c r="U174" s="1"/>
      <c r="V174" s="1"/>
      <c r="W174" s="1"/>
      <c r="X174" s="1"/>
      <c r="Y174" s="1"/>
      <c r="Z174" s="1"/>
      <c r="AA174" s="1"/>
      <c r="AB174" s="1">
        <v>1</v>
      </c>
      <c r="AC174" s="80">
        <v>751359.06046803598</v>
      </c>
      <c r="AD174" s="81">
        <v>751359.06046803598</v>
      </c>
      <c r="AE174" s="1"/>
      <c r="AF174" s="1"/>
      <c r="AG174" s="1"/>
      <c r="AH174" s="1"/>
      <c r="AI174" s="1"/>
      <c r="AJ174" s="1"/>
      <c r="AK174" s="1"/>
      <c r="AL174" s="1"/>
    </row>
    <row r="175" spans="1:38" x14ac:dyDescent="0.2">
      <c r="A175" s="90"/>
      <c r="B175" s="1"/>
      <c r="C175" s="119" t="s">
        <v>81</v>
      </c>
      <c r="D175" s="122"/>
      <c r="E175" s="122"/>
      <c r="F175" s="122"/>
      <c r="G175" s="122"/>
      <c r="H175" s="122"/>
      <c r="I175" s="122"/>
      <c r="J175" s="77"/>
      <c r="K175" s="77"/>
      <c r="L175" s="77"/>
      <c r="M175" s="77"/>
      <c r="N175" s="77"/>
      <c r="O175" s="77"/>
      <c r="P175" s="121" t="s">
        <v>81</v>
      </c>
      <c r="Q175" s="107">
        <f>SUM(Q167:Q174)</f>
        <v>0.99999999999999978</v>
      </c>
      <c r="R175" s="107">
        <f>SUM(R167:R174)</f>
        <v>0.99999999999999989</v>
      </c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40"/>
      <c r="AD175" s="82">
        <v>190555824.44647121</v>
      </c>
      <c r="AE175" s="1"/>
      <c r="AF175" s="1"/>
      <c r="AG175" s="1"/>
      <c r="AH175" s="1"/>
      <c r="AI175" s="1"/>
      <c r="AJ175" s="1"/>
      <c r="AK175" s="1"/>
      <c r="AL175" s="1"/>
    </row>
    <row r="176" spans="1:38" ht="15" thickBot="1" x14ac:dyDescent="0.25">
      <c r="A176" s="90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1:38" x14ac:dyDescent="0.2">
      <c r="A177" s="90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29" t="s">
        <v>86</v>
      </c>
      <c r="R177" s="130">
        <v>100000</v>
      </c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1:38" x14ac:dyDescent="0.2">
      <c r="A178" s="90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32" t="s">
        <v>85</v>
      </c>
      <c r="R178" s="133">
        <v>5000</v>
      </c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1:38" x14ac:dyDescent="0.2">
      <c r="A179" s="90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32" t="s">
        <v>88</v>
      </c>
      <c r="R179" s="134">
        <f>(R177-R178)*0.5%</f>
        <v>475</v>
      </c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1:38" x14ac:dyDescent="0.2">
      <c r="A180" s="90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32" t="s">
        <v>87</v>
      </c>
      <c r="R180" s="134">
        <f>R178+R179</f>
        <v>5475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1:38" ht="15" thickBot="1" x14ac:dyDescent="0.25">
      <c r="A181" s="90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36" t="s">
        <v>89</v>
      </c>
      <c r="R181" s="137">
        <f>R180/R177</f>
        <v>5.475E-2</v>
      </c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spans="1:38" x14ac:dyDescent="0.2">
      <c r="A182" s="93" t="s">
        <v>0</v>
      </c>
      <c r="B182" s="1"/>
      <c r="C182" s="1"/>
      <c r="D182" s="83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spans="1:38" x14ac:dyDescent="0.2">
      <c r="A183" s="88">
        <v>44788</v>
      </c>
      <c r="B183" s="1"/>
      <c r="C183" s="95" t="s">
        <v>498</v>
      </c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spans="1:38" x14ac:dyDescent="0.2">
      <c r="A184" s="1"/>
      <c r="B184" s="1"/>
      <c r="C184" s="97" t="s">
        <v>5</v>
      </c>
      <c r="D184" s="98" t="s">
        <v>91</v>
      </c>
      <c r="E184" s="98" t="s">
        <v>533</v>
      </c>
      <c r="F184" s="98" t="s">
        <v>534</v>
      </c>
      <c r="G184" s="98" t="s">
        <v>535</v>
      </c>
      <c r="H184" s="98" t="s">
        <v>1426</v>
      </c>
      <c r="I184" s="98"/>
      <c r="J184" s="98" t="s">
        <v>434</v>
      </c>
      <c r="K184" s="98" t="s">
        <v>435</v>
      </c>
      <c r="L184" s="98"/>
      <c r="M184" s="98" t="s">
        <v>9</v>
      </c>
      <c r="N184" s="98" t="s">
        <v>13</v>
      </c>
      <c r="O184" s="98" t="s">
        <v>437</v>
      </c>
      <c r="P184" s="98" t="s">
        <v>14</v>
      </c>
      <c r="Q184" s="99" t="s">
        <v>15</v>
      </c>
      <c r="R184" s="99" t="s">
        <v>553</v>
      </c>
      <c r="S184" s="150"/>
      <c r="T184" s="150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spans="1:38" x14ac:dyDescent="0.2">
      <c r="A185" s="1"/>
      <c r="B185" s="1"/>
      <c r="C185" s="106" t="s">
        <v>16</v>
      </c>
      <c r="D185" s="45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151"/>
      <c r="R185" s="151"/>
      <c r="S185" s="1"/>
      <c r="T185" s="1"/>
      <c r="U185" s="1"/>
      <c r="V185" s="1"/>
      <c r="W185" s="1"/>
      <c r="X185" s="1"/>
      <c r="Y185" s="1"/>
      <c r="Z185" s="1"/>
      <c r="AA185" s="1"/>
      <c r="AB185" s="13" t="s">
        <v>17</v>
      </c>
      <c r="AC185" s="78" t="s">
        <v>18</v>
      </c>
      <c r="AD185" s="79" t="s">
        <v>19</v>
      </c>
      <c r="AE185" s="1"/>
      <c r="AF185" s="1"/>
      <c r="AG185" s="1"/>
      <c r="AH185" s="1"/>
      <c r="AI185" s="1"/>
      <c r="AJ185" s="1"/>
      <c r="AK185" s="1"/>
      <c r="AL185" s="1"/>
    </row>
    <row r="186" spans="1:38" x14ac:dyDescent="0.2">
      <c r="A186" s="1"/>
      <c r="B186" s="1"/>
      <c r="C186" s="86" t="s">
        <v>823</v>
      </c>
      <c r="D186" s="145" t="s">
        <v>773</v>
      </c>
      <c r="E186" s="145" t="s">
        <v>776</v>
      </c>
      <c r="F186" s="145" t="s">
        <v>33</v>
      </c>
      <c r="G186" s="145" t="s">
        <v>26</v>
      </c>
      <c r="H186" s="45" t="s">
        <v>1779</v>
      </c>
      <c r="I186" s="145"/>
      <c r="J186" s="34" t="s">
        <v>447</v>
      </c>
      <c r="K186" s="34"/>
      <c r="L186" s="34"/>
      <c r="M186" s="34" t="s">
        <v>792</v>
      </c>
      <c r="N186" s="34" t="s">
        <v>34</v>
      </c>
      <c r="O186" s="111">
        <v>0.6</v>
      </c>
      <c r="P186" s="45">
        <v>147.79</v>
      </c>
      <c r="Q186" s="112">
        <f>AD186/$AD$194</f>
        <v>4.6961583011580176E-2</v>
      </c>
      <c r="R186" s="112">
        <f>Q186*(1-$R$200)/(1-$Q$193)</f>
        <v>4.458101807577565E-2</v>
      </c>
      <c r="S186" s="152"/>
      <c r="T186" s="152"/>
      <c r="U186" s="1"/>
      <c r="V186" s="1"/>
      <c r="W186" s="1"/>
      <c r="X186" s="1"/>
      <c r="Y186" s="1"/>
      <c r="Z186" s="1"/>
      <c r="AA186" s="1"/>
      <c r="AB186" s="1">
        <v>1</v>
      </c>
      <c r="AC186" s="80">
        <v>55032.8786413583</v>
      </c>
      <c r="AD186" s="81">
        <v>8133309.1344063431</v>
      </c>
      <c r="AE186" s="1"/>
      <c r="AF186" s="1"/>
      <c r="AG186" s="1"/>
      <c r="AH186" s="1"/>
      <c r="AI186" s="1"/>
      <c r="AJ186" s="1"/>
      <c r="AK186" s="1"/>
      <c r="AL186" s="1"/>
    </row>
    <row r="187" spans="1:38" x14ac:dyDescent="0.2">
      <c r="A187" s="1"/>
      <c r="B187" s="1"/>
      <c r="C187" s="86" t="s">
        <v>825</v>
      </c>
      <c r="D187" s="45" t="s">
        <v>775</v>
      </c>
      <c r="E187" s="45" t="s">
        <v>582</v>
      </c>
      <c r="F187" s="145" t="s">
        <v>33</v>
      </c>
      <c r="G187" s="145" t="s">
        <v>26</v>
      </c>
      <c r="H187" s="45" t="s">
        <v>1780</v>
      </c>
      <c r="I187" s="45"/>
      <c r="J187" s="34" t="s">
        <v>447</v>
      </c>
      <c r="K187" s="34"/>
      <c r="L187" s="34"/>
      <c r="M187" s="34" t="s">
        <v>792</v>
      </c>
      <c r="N187" s="34" t="s">
        <v>34</v>
      </c>
      <c r="O187" s="111">
        <v>0.3</v>
      </c>
      <c r="P187" s="45">
        <v>78</v>
      </c>
      <c r="Q187" s="112">
        <f>AD187/$AD$194</f>
        <v>0.1959609354921143</v>
      </c>
      <c r="R187" s="112">
        <f>Q187*(1-$R$200)/(1-$Q$193)</f>
        <v>0.18602733228063512</v>
      </c>
      <c r="S187" s="152"/>
      <c r="T187" s="152"/>
      <c r="U187" s="1"/>
      <c r="V187" s="1"/>
      <c r="W187" s="1"/>
      <c r="X187" s="1"/>
      <c r="Y187" s="1"/>
      <c r="Z187" s="1"/>
      <c r="AA187" s="1"/>
      <c r="AB187" s="1">
        <v>1</v>
      </c>
      <c r="AC187" s="80">
        <v>435110.38893210999</v>
      </c>
      <c r="AD187" s="81">
        <v>33938610.336704582</v>
      </c>
      <c r="AE187" s="1"/>
      <c r="AF187" s="1"/>
      <c r="AG187" s="1"/>
      <c r="AH187" s="1"/>
      <c r="AI187" s="1"/>
      <c r="AJ187" s="1"/>
      <c r="AK187" s="1"/>
      <c r="AL187" s="1"/>
    </row>
    <row r="188" spans="1:38" x14ac:dyDescent="0.2">
      <c r="A188" s="1"/>
      <c r="B188" s="1"/>
      <c r="C188" s="86" t="s">
        <v>1135</v>
      </c>
      <c r="D188" s="45" t="s">
        <v>1133</v>
      </c>
      <c r="E188" s="45" t="s">
        <v>1134</v>
      </c>
      <c r="F188" s="145" t="s">
        <v>33</v>
      </c>
      <c r="G188" s="145" t="s">
        <v>26</v>
      </c>
      <c r="H188" s="45" t="s">
        <v>1783</v>
      </c>
      <c r="I188" s="45"/>
      <c r="J188" s="34" t="s">
        <v>447</v>
      </c>
      <c r="K188" s="34"/>
      <c r="L188" s="34"/>
      <c r="M188" s="34" t="s">
        <v>792</v>
      </c>
      <c r="N188" s="34" t="s">
        <v>34</v>
      </c>
      <c r="O188" s="111">
        <v>0.77</v>
      </c>
      <c r="P188" s="45">
        <v>23.9</v>
      </c>
      <c r="Q188" s="112">
        <f>AD188/$AD$194</f>
        <v>0.12236988436340471</v>
      </c>
      <c r="R188" s="112">
        <f>Q188*(1-$R$200)/(1-$Q$193)</f>
        <v>0.11616674049063232</v>
      </c>
      <c r="S188" s="152"/>
      <c r="T188" s="152"/>
      <c r="U188" s="1"/>
      <c r="V188" s="1"/>
      <c r="W188" s="1"/>
      <c r="X188" s="1"/>
      <c r="Y188" s="1"/>
      <c r="Z188" s="1"/>
      <c r="AA188" s="1"/>
      <c r="AB188" s="1">
        <v>1</v>
      </c>
      <c r="AC188" s="80">
        <v>886750.00622803206</v>
      </c>
      <c r="AD188" s="81">
        <v>21193325.148849964</v>
      </c>
      <c r="AE188" s="1"/>
      <c r="AF188" s="1"/>
      <c r="AG188" s="1"/>
      <c r="AH188" s="1"/>
      <c r="AI188" s="1"/>
      <c r="AJ188" s="1"/>
      <c r="AK188" s="1"/>
      <c r="AL188" s="1"/>
    </row>
    <row r="189" spans="1:38" x14ac:dyDescent="0.2">
      <c r="A189" s="1"/>
      <c r="B189" s="1"/>
      <c r="C189" s="86" t="s">
        <v>820</v>
      </c>
      <c r="D189" s="45" t="s">
        <v>769</v>
      </c>
      <c r="E189" s="45" t="s">
        <v>586</v>
      </c>
      <c r="F189" s="145" t="s">
        <v>33</v>
      </c>
      <c r="G189" s="145" t="s">
        <v>26</v>
      </c>
      <c r="H189" s="45" t="s">
        <v>1784</v>
      </c>
      <c r="I189" s="45"/>
      <c r="J189" s="34" t="s">
        <v>447</v>
      </c>
      <c r="K189" s="34"/>
      <c r="L189" s="34"/>
      <c r="M189" s="34" t="s">
        <v>792</v>
      </c>
      <c r="N189" s="34" t="s">
        <v>34</v>
      </c>
      <c r="O189" s="111">
        <v>0.77</v>
      </c>
      <c r="P189" s="45">
        <v>24.004999999999999</v>
      </c>
      <c r="Q189" s="112">
        <f>AD189/$AD$194</f>
        <v>5.1042451254701103E-2</v>
      </c>
      <c r="R189" s="112">
        <f>Q189*(1-$R$200)/(1-$Q$193)</f>
        <v>4.8455019956559174E-2</v>
      </c>
      <c r="S189" s="152"/>
      <c r="T189" s="152"/>
      <c r="U189" s="1"/>
      <c r="V189" s="1"/>
      <c r="W189" s="1"/>
      <c r="X189" s="1"/>
      <c r="Y189" s="1"/>
      <c r="Z189" s="1"/>
      <c r="AA189" s="1"/>
      <c r="AB189" s="1">
        <v>1</v>
      </c>
      <c r="AC189" s="80">
        <v>368259.84319639002</v>
      </c>
      <c r="AD189" s="81">
        <v>8840077.5359293427</v>
      </c>
      <c r="AE189" s="1"/>
      <c r="AF189" s="1"/>
      <c r="AG189" s="1"/>
      <c r="AH189" s="1"/>
      <c r="AI189" s="1"/>
      <c r="AJ189" s="1"/>
      <c r="AK189" s="1"/>
      <c r="AL189" s="1"/>
    </row>
    <row r="190" spans="1:38" x14ac:dyDescent="0.2">
      <c r="A190" s="1"/>
      <c r="B190" s="1"/>
      <c r="C190" s="86" t="s">
        <v>1785</v>
      </c>
      <c r="D190" s="45" t="s">
        <v>496</v>
      </c>
      <c r="E190" s="45" t="s">
        <v>584</v>
      </c>
      <c r="F190" s="145" t="s">
        <v>33</v>
      </c>
      <c r="G190" s="145" t="s">
        <v>26</v>
      </c>
      <c r="H190" s="45" t="s">
        <v>1786</v>
      </c>
      <c r="I190" s="45"/>
      <c r="J190" s="34" t="s">
        <v>447</v>
      </c>
      <c r="K190" s="34"/>
      <c r="L190" s="34"/>
      <c r="M190" s="34" t="s">
        <v>792</v>
      </c>
      <c r="N190" s="34" t="s">
        <v>34</v>
      </c>
      <c r="O190" s="111">
        <v>0.28000000000000003</v>
      </c>
      <c r="P190" s="45">
        <v>33.17</v>
      </c>
      <c r="Q190" s="112">
        <f>AD190/$AD$194</f>
        <v>0.32559002447337992</v>
      </c>
      <c r="R190" s="112">
        <f>Q190*(1-$R$200)/(1-$Q$193)</f>
        <v>0.30908529558640996</v>
      </c>
      <c r="S190" s="152"/>
      <c r="T190" s="152"/>
      <c r="U190" s="1"/>
      <c r="V190" s="1"/>
      <c r="W190" s="1"/>
      <c r="X190" s="1"/>
      <c r="Y190" s="1"/>
      <c r="Z190" s="1"/>
      <c r="AA190" s="1"/>
      <c r="AB190" s="1">
        <v>1</v>
      </c>
      <c r="AC190" s="80">
        <v>1700004.8890056701</v>
      </c>
      <c r="AD190" s="81">
        <v>56389162.168318078</v>
      </c>
      <c r="AE190" s="1"/>
      <c r="AF190" s="1"/>
      <c r="AG190" s="1"/>
      <c r="AH190" s="1"/>
      <c r="AI190" s="1"/>
      <c r="AJ190" s="1"/>
      <c r="AK190" s="1"/>
      <c r="AL190" s="1"/>
    </row>
    <row r="191" spans="1:38" x14ac:dyDescent="0.2">
      <c r="A191" s="1"/>
      <c r="B191" s="1"/>
      <c r="C191" s="86" t="s">
        <v>822</v>
      </c>
      <c r="D191" s="45" t="s">
        <v>772</v>
      </c>
      <c r="E191" s="45" t="s">
        <v>581</v>
      </c>
      <c r="F191" s="145" t="s">
        <v>33</v>
      </c>
      <c r="G191" s="145" t="s">
        <v>26</v>
      </c>
      <c r="H191" s="45" t="s">
        <v>1787</v>
      </c>
      <c r="I191" s="45"/>
      <c r="J191" s="34" t="s">
        <v>447</v>
      </c>
      <c r="K191" s="34"/>
      <c r="L191" s="34"/>
      <c r="M191" s="34" t="s">
        <v>792</v>
      </c>
      <c r="N191" s="34" t="s">
        <v>34</v>
      </c>
      <c r="O191" s="111">
        <v>0.1</v>
      </c>
      <c r="P191" s="45">
        <v>100.38</v>
      </c>
      <c r="Q191" s="112">
        <f t="shared" ref="Q191:Q192" si="62">AD191/$AD$194</f>
        <v>0.19782469536751501</v>
      </c>
      <c r="R191" s="112">
        <f t="shared" ref="R191:R192" si="63">Q191*(1-$R$200)/(1-$Q$193)</f>
        <v>0.18779661490199939</v>
      </c>
      <c r="S191" s="152"/>
      <c r="T191" s="152"/>
      <c r="U191" s="1"/>
      <c r="V191" s="1"/>
      <c r="W191" s="1"/>
      <c r="X191" s="1"/>
      <c r="Y191" s="1"/>
      <c r="Z191" s="1"/>
      <c r="AA191" s="1"/>
      <c r="AB191" s="1">
        <v>1</v>
      </c>
      <c r="AC191" s="80">
        <v>341316.95758350397</v>
      </c>
      <c r="AD191" s="81">
        <v>34261396.20223213</v>
      </c>
      <c r="AE191" s="1"/>
      <c r="AF191" s="1"/>
      <c r="AG191" s="1"/>
      <c r="AH191" s="1"/>
      <c r="AI191" s="1"/>
      <c r="AJ191" s="1"/>
      <c r="AK191" s="1"/>
      <c r="AL191" s="1"/>
    </row>
    <row r="192" spans="1:38" x14ac:dyDescent="0.2">
      <c r="A192" s="1"/>
      <c r="B192" s="1"/>
      <c r="C192" s="86" t="s">
        <v>824</v>
      </c>
      <c r="D192" s="45" t="s">
        <v>774</v>
      </c>
      <c r="E192" s="45" t="s">
        <v>768</v>
      </c>
      <c r="F192" s="145" t="s">
        <v>33</v>
      </c>
      <c r="G192" s="145" t="s">
        <v>26</v>
      </c>
      <c r="H192" s="45" t="s">
        <v>1788</v>
      </c>
      <c r="I192" s="45"/>
      <c r="J192" s="34" t="s">
        <v>470</v>
      </c>
      <c r="K192" s="34"/>
      <c r="L192" s="34"/>
      <c r="M192" s="34" t="s">
        <v>792</v>
      </c>
      <c r="N192" s="34" t="s">
        <v>34</v>
      </c>
      <c r="O192" s="111">
        <v>0.57999999999999996</v>
      </c>
      <c r="P192" s="45">
        <v>93.4</v>
      </c>
      <c r="Q192" s="112">
        <f t="shared" si="62"/>
        <v>5.5975473550675739E-2</v>
      </c>
      <c r="R192" s="112">
        <f t="shared" si="63"/>
        <v>5.3137978707988399E-2</v>
      </c>
      <c r="S192" s="152"/>
      <c r="T192" s="152"/>
      <c r="U192" s="1"/>
      <c r="V192" s="1"/>
      <c r="W192" s="1"/>
      <c r="X192" s="1"/>
      <c r="Y192" s="1"/>
      <c r="Z192" s="1"/>
      <c r="AA192" s="1"/>
      <c r="AB192" s="1">
        <v>1</v>
      </c>
      <c r="AC192" s="80">
        <v>103794.765406012</v>
      </c>
      <c r="AD192" s="81">
        <v>9694431.0889215209</v>
      </c>
      <c r="AE192" s="1"/>
      <c r="AF192" s="1"/>
      <c r="AG192" s="1"/>
      <c r="AH192" s="1"/>
      <c r="AI192" s="1"/>
      <c r="AJ192" s="1"/>
      <c r="AK192" s="1"/>
      <c r="AL192" s="1"/>
    </row>
    <row r="193" spans="1:38" x14ac:dyDescent="0.2">
      <c r="A193" s="1"/>
      <c r="B193" s="1"/>
      <c r="C193" s="86" t="s">
        <v>790</v>
      </c>
      <c r="D193" s="45" t="s">
        <v>34</v>
      </c>
      <c r="E193" s="45"/>
      <c r="F193" s="45"/>
      <c r="G193" s="45"/>
      <c r="H193" s="45"/>
      <c r="I193" s="45"/>
      <c r="J193" s="34"/>
      <c r="K193" s="84"/>
      <c r="L193" s="84"/>
      <c r="M193" s="34"/>
      <c r="N193" s="34" t="s">
        <v>34</v>
      </c>
      <c r="O193" s="111"/>
      <c r="P193" s="45">
        <v>1</v>
      </c>
      <c r="Q193" s="112">
        <f>AD193/$AD$194</f>
        <v>4.274952486628983E-3</v>
      </c>
      <c r="R193" s="112">
        <f>R200</f>
        <v>5.475E-2</v>
      </c>
      <c r="S193" s="152"/>
      <c r="T193" s="152"/>
      <c r="U193" s="1"/>
      <c r="V193" s="1"/>
      <c r="W193" s="1"/>
      <c r="X193" s="1"/>
      <c r="Y193" s="1"/>
      <c r="Z193" s="1"/>
      <c r="AA193" s="1"/>
      <c r="AB193" s="1">
        <v>1</v>
      </c>
      <c r="AC193" s="80">
        <v>740381.98627330898</v>
      </c>
      <c r="AD193" s="81">
        <v>740381.98627330898</v>
      </c>
      <c r="AE193" s="1"/>
      <c r="AF193" s="1"/>
      <c r="AG193" s="1"/>
      <c r="AH193" s="1"/>
      <c r="AI193" s="1"/>
      <c r="AJ193" s="1"/>
      <c r="AK193" s="1"/>
      <c r="AL193" s="1"/>
    </row>
    <row r="194" spans="1:38" x14ac:dyDescent="0.2">
      <c r="A194" s="1"/>
      <c r="B194" s="1"/>
      <c r="C194" s="119" t="s">
        <v>81</v>
      </c>
      <c r="D194" s="122"/>
      <c r="E194" s="122"/>
      <c r="F194" s="122"/>
      <c r="G194" s="122"/>
      <c r="H194" s="122"/>
      <c r="I194" s="122"/>
      <c r="J194" s="77"/>
      <c r="K194" s="77"/>
      <c r="L194" s="77"/>
      <c r="M194" s="77"/>
      <c r="N194" s="77"/>
      <c r="O194" s="77"/>
      <c r="P194" s="121" t="s">
        <v>81</v>
      </c>
      <c r="Q194" s="107">
        <f>SUM(Q186:Q193)</f>
        <v>1</v>
      </c>
      <c r="R194" s="107">
        <f>SUM(R186:R193)</f>
        <v>0.99999999999999989</v>
      </c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40"/>
      <c r="AD194" s="82">
        <v>173190693.60163528</v>
      </c>
      <c r="AE194" s="1"/>
      <c r="AF194" s="1"/>
      <c r="AG194" s="1"/>
      <c r="AH194" s="1"/>
      <c r="AI194" s="1"/>
      <c r="AJ194" s="1"/>
      <c r="AK194" s="1"/>
      <c r="AL194" s="1"/>
    </row>
    <row r="195" spans="1:38" ht="15" thickBo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spans="1:38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29" t="s">
        <v>86</v>
      </c>
      <c r="R196" s="130">
        <v>100000</v>
      </c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spans="1:38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32" t="s">
        <v>85</v>
      </c>
      <c r="R197" s="133">
        <v>5000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spans="1:38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32" t="s">
        <v>88</v>
      </c>
      <c r="R198" s="134">
        <f>(R196-R197)*0.5%</f>
        <v>475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spans="1:38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32" t="s">
        <v>87</v>
      </c>
      <c r="R199" s="134">
        <f>R197+R198</f>
        <v>5475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spans="1:38" ht="15" thickBo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36" t="s">
        <v>89</v>
      </c>
      <c r="R200" s="137">
        <f>R199/R196</f>
        <v>5.475E-2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spans="1:38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spans="1:38" x14ac:dyDescent="0.2">
      <c r="A202" s="76" t="s">
        <v>0</v>
      </c>
      <c r="B202" s="1"/>
      <c r="C202" s="95" t="s">
        <v>647</v>
      </c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1"/>
      <c r="V202" s="1"/>
      <c r="W202" s="40"/>
      <c r="X202" s="81"/>
      <c r="Y202" s="40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spans="1:38" x14ac:dyDescent="0.2">
      <c r="A203" s="154">
        <v>45071</v>
      </c>
      <c r="B203" s="1"/>
      <c r="C203" s="97" t="s">
        <v>5</v>
      </c>
      <c r="D203" s="98" t="s">
        <v>91</v>
      </c>
      <c r="E203" s="98" t="s">
        <v>533</v>
      </c>
      <c r="F203" s="98" t="s">
        <v>534</v>
      </c>
      <c r="G203" s="98" t="s">
        <v>535</v>
      </c>
      <c r="H203" s="98" t="s">
        <v>1426</v>
      </c>
      <c r="I203" s="98"/>
      <c r="J203" s="98" t="s">
        <v>434</v>
      </c>
      <c r="K203" s="98" t="s">
        <v>435</v>
      </c>
      <c r="L203" s="98"/>
      <c r="M203" s="98" t="s">
        <v>9</v>
      </c>
      <c r="N203" s="98" t="s">
        <v>13</v>
      </c>
      <c r="O203" s="98" t="s">
        <v>437</v>
      </c>
      <c r="P203" s="98" t="s">
        <v>14</v>
      </c>
      <c r="Q203" s="99" t="s">
        <v>438</v>
      </c>
      <c r="R203" s="99" t="s">
        <v>536</v>
      </c>
      <c r="S203" s="101" t="s">
        <v>440</v>
      </c>
      <c r="T203" s="101" t="s">
        <v>440</v>
      </c>
      <c r="U203" s="1"/>
      <c r="V203" s="1"/>
      <c r="W203" s="1"/>
      <c r="X203" s="1"/>
      <c r="Y203" s="1"/>
      <c r="Z203" s="1"/>
      <c r="AA203" s="1"/>
      <c r="AB203" s="1"/>
      <c r="AC203" s="185" t="s">
        <v>438</v>
      </c>
      <c r="AD203" s="185"/>
      <c r="AE203" s="186" t="s">
        <v>440</v>
      </c>
      <c r="AF203" s="186"/>
      <c r="AG203" s="1"/>
      <c r="AH203" s="1"/>
      <c r="AI203" s="1"/>
      <c r="AJ203" s="1"/>
      <c r="AK203" s="1"/>
      <c r="AL203" s="1"/>
    </row>
    <row r="204" spans="1:38" x14ac:dyDescent="0.2">
      <c r="A204" s="1"/>
      <c r="B204" s="1"/>
      <c r="C204" s="106" t="s">
        <v>16</v>
      </c>
      <c r="D204" s="45"/>
      <c r="E204" s="34"/>
      <c r="F204" s="34"/>
      <c r="G204" s="34"/>
      <c r="H204" s="45"/>
      <c r="I204" s="34"/>
      <c r="J204" s="34"/>
      <c r="K204" s="34"/>
      <c r="L204" s="155"/>
      <c r="M204" s="34"/>
      <c r="N204" s="34"/>
      <c r="O204" s="34"/>
      <c r="P204" s="34"/>
      <c r="Q204" s="107"/>
      <c r="R204" s="107"/>
      <c r="S204" s="109"/>
      <c r="T204" s="109"/>
      <c r="U204" s="1"/>
      <c r="V204" s="1"/>
      <c r="W204" s="1"/>
      <c r="X204" s="1"/>
      <c r="Y204" s="1"/>
      <c r="Z204" s="1"/>
      <c r="AA204" s="1"/>
      <c r="AB204" s="13" t="s">
        <v>17</v>
      </c>
      <c r="AC204" s="78" t="s">
        <v>18</v>
      </c>
      <c r="AD204" s="79" t="s">
        <v>19</v>
      </c>
      <c r="AE204" s="78" t="s">
        <v>18</v>
      </c>
      <c r="AF204" s="79" t="s">
        <v>19</v>
      </c>
      <c r="AG204" s="1"/>
      <c r="AH204" s="1"/>
      <c r="AI204" s="1"/>
      <c r="AJ204" s="1"/>
      <c r="AK204" s="1"/>
      <c r="AL204" s="1"/>
    </row>
    <row r="205" spans="1:38" x14ac:dyDescent="0.2">
      <c r="A205" s="3"/>
      <c r="B205" s="1"/>
      <c r="C205" s="86" t="s">
        <v>798</v>
      </c>
      <c r="D205" s="45" t="s">
        <v>648</v>
      </c>
      <c r="E205" s="34"/>
      <c r="F205" s="34"/>
      <c r="G205" s="34"/>
      <c r="H205" s="45" t="s">
        <v>1752</v>
      </c>
      <c r="I205" s="34"/>
      <c r="J205" s="34" t="s">
        <v>470</v>
      </c>
      <c r="K205" s="111"/>
      <c r="L205" s="111"/>
      <c r="M205" s="34" t="s">
        <v>799</v>
      </c>
      <c r="N205" s="45" t="s">
        <v>34</v>
      </c>
      <c r="O205" s="111">
        <v>0.1</v>
      </c>
      <c r="P205" s="45">
        <v>74.13</v>
      </c>
      <c r="Q205" s="112">
        <f>AD205/$AD$212</f>
        <v>0.23153054644093407</v>
      </c>
      <c r="R205" s="112">
        <f>Q205*(1-$R$222)/(1-$Q$211)</f>
        <v>0.21955369668434493</v>
      </c>
      <c r="S205" s="114">
        <f>AF205/$AF$212</f>
        <v>0.13969977911410295</v>
      </c>
      <c r="T205" s="114">
        <f>S205*(1-$T$222)/(1-$S$211)</f>
        <v>0.13256083698296303</v>
      </c>
      <c r="U205" s="1"/>
      <c r="V205" s="1"/>
      <c r="W205" s="1"/>
      <c r="X205" s="1"/>
      <c r="Y205" s="1"/>
      <c r="Z205" s="1"/>
      <c r="AA205" s="1"/>
      <c r="AB205" s="1">
        <v>1</v>
      </c>
      <c r="AC205" s="80">
        <v>490196.078431373</v>
      </c>
      <c r="AD205" s="81">
        <v>36338235.294117682</v>
      </c>
      <c r="AE205" s="80">
        <v>245098.039215686</v>
      </c>
      <c r="AF205" s="81">
        <v>18169117.647058804</v>
      </c>
      <c r="AG205" s="1"/>
      <c r="AH205" s="1"/>
      <c r="AI205" s="1"/>
      <c r="AJ205" s="1"/>
      <c r="AK205" s="1"/>
      <c r="AL205" s="1"/>
    </row>
    <row r="206" spans="1:38" x14ac:dyDescent="0.2">
      <c r="A206" s="3"/>
      <c r="B206" s="1"/>
      <c r="C206" s="86" t="s">
        <v>800</v>
      </c>
      <c r="D206" s="45" t="s">
        <v>649</v>
      </c>
      <c r="E206" s="34"/>
      <c r="F206" s="34"/>
      <c r="G206" s="34"/>
      <c r="H206" s="45" t="s">
        <v>1751</v>
      </c>
      <c r="I206" s="34"/>
      <c r="J206" s="34" t="s">
        <v>470</v>
      </c>
      <c r="K206" s="111"/>
      <c r="L206" s="111"/>
      <c r="M206" s="34" t="s">
        <v>799</v>
      </c>
      <c r="N206" s="45" t="s">
        <v>34</v>
      </c>
      <c r="O206" s="111">
        <v>0.09</v>
      </c>
      <c r="P206" s="45">
        <v>118.43</v>
      </c>
      <c r="Q206" s="112">
        <f t="shared" ref="Q206:Q211" si="64">AD206/$AD$212</f>
        <v>0.36228196058475537</v>
      </c>
      <c r="R206" s="112">
        <f t="shared" ref="R206:R210" si="65">Q206*(1-$R$222)/(1-$Q$211)</f>
        <v>0.34354146746993824</v>
      </c>
      <c r="S206" s="114">
        <f t="shared" ref="S206:S211" si="66">AF206/$AF$212</f>
        <v>0.21859193375862357</v>
      </c>
      <c r="T206" s="114">
        <f t="shared" ref="T206:T210" si="67">S206*(1-$T$222)/(1-$S$211)</f>
        <v>0.20742144247128805</v>
      </c>
      <c r="U206" s="1"/>
      <c r="V206" s="1"/>
      <c r="W206" s="1"/>
      <c r="X206" s="1"/>
      <c r="Y206" s="1"/>
      <c r="Z206" s="1"/>
      <c r="AA206" s="1"/>
      <c r="AB206" s="1">
        <v>1</v>
      </c>
      <c r="AC206" s="80">
        <v>480109.73936899798</v>
      </c>
      <c r="AD206" s="81">
        <v>56859396.433470435</v>
      </c>
      <c r="AE206" s="80">
        <v>240054.86968449899</v>
      </c>
      <c r="AF206" s="81">
        <v>28429698.216735218</v>
      </c>
      <c r="AG206" s="1"/>
      <c r="AH206" s="1"/>
      <c r="AI206" s="1"/>
      <c r="AJ206" s="1"/>
      <c r="AK206" s="1"/>
      <c r="AL206" s="1"/>
    </row>
    <row r="207" spans="1:38" x14ac:dyDescent="0.2">
      <c r="A207" s="3"/>
      <c r="B207" s="1"/>
      <c r="C207" s="86" t="s">
        <v>794</v>
      </c>
      <c r="D207" s="45" t="s">
        <v>650</v>
      </c>
      <c r="E207" s="34"/>
      <c r="F207" s="34"/>
      <c r="G207" s="34"/>
      <c r="H207" s="45" t="s">
        <v>1753</v>
      </c>
      <c r="I207" s="34"/>
      <c r="J207" s="34" t="s">
        <v>470</v>
      </c>
      <c r="K207" s="111"/>
      <c r="L207" s="111"/>
      <c r="M207" s="34" t="s">
        <v>792</v>
      </c>
      <c r="N207" s="45" t="s">
        <v>34</v>
      </c>
      <c r="O207" s="111">
        <v>0.09</v>
      </c>
      <c r="P207" s="45">
        <v>131.27000000000001</v>
      </c>
      <c r="Q207" s="112">
        <f t="shared" si="64"/>
        <v>0.19434329087930671</v>
      </c>
      <c r="R207" s="112">
        <f t="shared" si="65"/>
        <v>0.18429010164858739</v>
      </c>
      <c r="S207" s="114">
        <f t="shared" si="66"/>
        <v>0.11726191306283315</v>
      </c>
      <c r="T207" s="114">
        <f t="shared" si="67"/>
        <v>0.11126959140813257</v>
      </c>
      <c r="U207" s="1"/>
      <c r="V207" s="1"/>
      <c r="W207" s="1"/>
      <c r="X207" s="1"/>
      <c r="Y207" s="1"/>
      <c r="Z207" s="1"/>
      <c r="AA207" s="1"/>
      <c r="AB207" s="1">
        <v>1</v>
      </c>
      <c r="AC207" s="80">
        <v>232359.05588846799</v>
      </c>
      <c r="AD207" s="81">
        <v>30501773.266479194</v>
      </c>
      <c r="AE207" s="80">
        <v>116179.527944234</v>
      </c>
      <c r="AF207" s="81">
        <v>15250886.633239597</v>
      </c>
      <c r="AG207" s="1"/>
      <c r="AH207" s="1"/>
      <c r="AI207" s="1"/>
      <c r="AJ207" s="1"/>
      <c r="AK207" s="1"/>
      <c r="AL207" s="1"/>
    </row>
    <row r="208" spans="1:38" x14ac:dyDescent="0.2">
      <c r="A208" s="3"/>
      <c r="B208" s="1"/>
      <c r="C208" s="86" t="s">
        <v>791</v>
      </c>
      <c r="D208" s="45" t="s">
        <v>651</v>
      </c>
      <c r="E208" s="34"/>
      <c r="F208" s="34"/>
      <c r="G208" s="34"/>
      <c r="H208" s="45" t="s">
        <v>1754</v>
      </c>
      <c r="I208" s="34"/>
      <c r="J208" s="34" t="s">
        <v>470</v>
      </c>
      <c r="K208" s="111"/>
      <c r="L208" s="111"/>
      <c r="M208" s="34" t="s">
        <v>792</v>
      </c>
      <c r="N208" s="45" t="s">
        <v>34</v>
      </c>
      <c r="O208" s="111">
        <v>0.15</v>
      </c>
      <c r="P208" s="45">
        <v>114.98</v>
      </c>
      <c r="Q208" s="112">
        <f t="shared" si="64"/>
        <v>0.20865843172713996</v>
      </c>
      <c r="R208" s="112">
        <f t="shared" si="65"/>
        <v>0.19786473419712955</v>
      </c>
      <c r="S208" s="114">
        <f t="shared" si="66"/>
        <v>0.12589931337640153</v>
      </c>
      <c r="T208" s="114">
        <f t="shared" si="67"/>
        <v>0.11946560304239823</v>
      </c>
      <c r="U208" s="1"/>
      <c r="V208" s="1"/>
      <c r="W208" s="1"/>
      <c r="X208" s="1"/>
      <c r="Y208" s="1"/>
      <c r="Z208" s="1"/>
      <c r="AA208" s="1"/>
      <c r="AB208" s="1">
        <v>1</v>
      </c>
      <c r="AC208" s="80">
        <v>284819.13984619803</v>
      </c>
      <c r="AD208" s="81">
        <v>32748504.699515849</v>
      </c>
      <c r="AE208" s="80">
        <v>142409.56992309901</v>
      </c>
      <c r="AF208" s="81">
        <v>16374252.349757925</v>
      </c>
      <c r="AG208" s="1"/>
      <c r="AH208" s="1"/>
      <c r="AI208" s="1"/>
      <c r="AJ208" s="1"/>
      <c r="AK208" s="1"/>
      <c r="AL208" s="1"/>
    </row>
    <row r="209" spans="1:38" x14ac:dyDescent="0.2">
      <c r="A209" s="1"/>
      <c r="B209" s="1"/>
      <c r="C209" s="116" t="s">
        <v>456</v>
      </c>
      <c r="D209" s="45"/>
      <c r="E209" s="34"/>
      <c r="F209" s="45"/>
      <c r="G209" s="45"/>
      <c r="H209" s="45"/>
      <c r="I209" s="34"/>
      <c r="J209" s="111"/>
      <c r="K209" s="111"/>
      <c r="L209" s="111"/>
      <c r="M209" s="34"/>
      <c r="N209" s="45"/>
      <c r="O209" s="34"/>
      <c r="P209" s="34"/>
      <c r="Q209" s="112"/>
      <c r="R209" s="112"/>
      <c r="S209" s="114"/>
      <c r="T209" s="114"/>
      <c r="U209" s="1"/>
      <c r="V209" s="1"/>
      <c r="W209" s="1"/>
      <c r="X209" s="1"/>
      <c r="Y209" s="1"/>
      <c r="Z209" s="1"/>
      <c r="AA209" s="1"/>
      <c r="AB209" s="1"/>
      <c r="AC209" s="80"/>
      <c r="AD209" s="81">
        <v>0</v>
      </c>
      <c r="AE209" s="80"/>
      <c r="AF209" s="81"/>
      <c r="AG209" s="1"/>
      <c r="AH209" s="1"/>
      <c r="AI209" s="1"/>
      <c r="AJ209" s="1"/>
      <c r="AK209" s="1"/>
      <c r="AL209" s="1"/>
    </row>
    <row r="210" spans="1:38" x14ac:dyDescent="0.2">
      <c r="A210" s="1"/>
      <c r="B210" s="1"/>
      <c r="C210" s="86" t="s">
        <v>826</v>
      </c>
      <c r="D210" s="45" t="s">
        <v>652</v>
      </c>
      <c r="E210" s="34"/>
      <c r="F210" s="34"/>
      <c r="G210" s="34"/>
      <c r="H210" s="45" t="s">
        <v>1789</v>
      </c>
      <c r="I210" s="34"/>
      <c r="J210" s="34" t="s">
        <v>458</v>
      </c>
      <c r="K210" s="111"/>
      <c r="L210" s="111"/>
      <c r="M210" s="34" t="s">
        <v>803</v>
      </c>
      <c r="N210" s="45" t="s">
        <v>34</v>
      </c>
      <c r="O210" s="111">
        <v>0.03</v>
      </c>
      <c r="P210" s="45">
        <v>74.34</v>
      </c>
      <c r="Q210" s="112">
        <f t="shared" si="64"/>
        <v>0</v>
      </c>
      <c r="R210" s="112">
        <f t="shared" si="65"/>
        <v>0</v>
      </c>
      <c r="S210" s="114">
        <f t="shared" si="66"/>
        <v>0.39470263131541283</v>
      </c>
      <c r="T210" s="114">
        <f t="shared" si="67"/>
        <v>0.37453252609521831</v>
      </c>
      <c r="U210" s="1"/>
      <c r="V210" s="1"/>
      <c r="W210" s="1"/>
      <c r="X210" s="1"/>
      <c r="Y210" s="1"/>
      <c r="Z210" s="1"/>
      <c r="AA210" s="1"/>
      <c r="AB210" s="1">
        <v>1</v>
      </c>
      <c r="AC210" s="80"/>
      <c r="AD210" s="81">
        <v>0</v>
      </c>
      <c r="AE210" s="80">
        <v>690534.81980095699</v>
      </c>
      <c r="AF210" s="81">
        <v>51334358.504003145</v>
      </c>
      <c r="AG210" s="1"/>
      <c r="AH210" s="1"/>
      <c r="AI210" s="1"/>
      <c r="AJ210" s="1"/>
      <c r="AK210" s="1"/>
      <c r="AL210" s="1"/>
    </row>
    <row r="211" spans="1:38" x14ac:dyDescent="0.2">
      <c r="A211" s="3"/>
      <c r="B211" s="3"/>
      <c r="C211" s="86" t="s">
        <v>790</v>
      </c>
      <c r="D211" s="156" t="s">
        <v>34</v>
      </c>
      <c r="E211" s="34"/>
      <c r="F211" s="34"/>
      <c r="G211" s="34"/>
      <c r="H211" s="45"/>
      <c r="I211" s="34"/>
      <c r="J211" s="157" t="s">
        <v>80</v>
      </c>
      <c r="K211" s="111"/>
      <c r="L211" s="111"/>
      <c r="M211" s="34"/>
      <c r="N211" s="45" t="s">
        <v>34</v>
      </c>
      <c r="O211" s="34"/>
      <c r="P211" s="34">
        <v>1</v>
      </c>
      <c r="Q211" s="112">
        <f t="shared" si="64"/>
        <v>3.1857703678639217E-3</v>
      </c>
      <c r="R211" s="112">
        <f>R222</f>
        <v>5.475E-2</v>
      </c>
      <c r="S211" s="114">
        <f t="shared" si="66"/>
        <v>3.8444293726260671E-3</v>
      </c>
      <c r="T211" s="114">
        <f>T222</f>
        <v>5.475E-2</v>
      </c>
      <c r="U211" s="1"/>
      <c r="V211" s="1"/>
      <c r="W211" s="1"/>
      <c r="X211" s="1"/>
      <c r="Y211" s="1"/>
      <c r="Z211" s="1"/>
      <c r="AA211" s="1"/>
      <c r="AB211" s="1">
        <v>1</v>
      </c>
      <c r="AC211" s="80">
        <v>500000</v>
      </c>
      <c r="AD211" s="81">
        <v>500000</v>
      </c>
      <c r="AE211" s="80">
        <v>500000</v>
      </c>
      <c r="AF211" s="81">
        <v>500000</v>
      </c>
      <c r="AG211" s="1"/>
      <c r="AH211" s="1"/>
      <c r="AI211" s="1"/>
      <c r="AJ211" s="1"/>
      <c r="AK211" s="1"/>
      <c r="AL211" s="1"/>
    </row>
    <row r="212" spans="1:38" x14ac:dyDescent="0.2">
      <c r="A212" s="1"/>
      <c r="B212" s="1"/>
      <c r="C212" s="86"/>
      <c r="D212" s="156"/>
      <c r="E212" s="34"/>
      <c r="F212" s="34"/>
      <c r="G212" s="34"/>
      <c r="H212" s="34"/>
      <c r="I212" s="34"/>
      <c r="J212" s="111"/>
      <c r="K212" s="111"/>
      <c r="L212" s="111"/>
      <c r="M212" s="34"/>
      <c r="N212" s="45"/>
      <c r="O212" s="34"/>
      <c r="P212" s="34"/>
      <c r="Q212" s="112"/>
      <c r="R212" s="112"/>
      <c r="S212" s="114"/>
      <c r="T212" s="114"/>
      <c r="U212" s="1"/>
      <c r="V212" s="1"/>
      <c r="W212" s="1"/>
      <c r="X212" s="1"/>
      <c r="Y212" s="1"/>
      <c r="Z212" s="1"/>
      <c r="AA212" s="1"/>
      <c r="AB212" s="1"/>
      <c r="AC212" s="40"/>
      <c r="AD212" s="82">
        <v>156947909.69358316</v>
      </c>
      <c r="AE212" s="40"/>
      <c r="AF212" s="82">
        <v>130058313.35079467</v>
      </c>
      <c r="AG212" s="1"/>
      <c r="AH212" s="1"/>
      <c r="AI212" s="1"/>
      <c r="AJ212" s="1"/>
      <c r="AK212" s="1"/>
      <c r="AL212" s="1"/>
    </row>
    <row r="213" spans="1:38" x14ac:dyDescent="0.2">
      <c r="A213" s="1"/>
      <c r="B213" s="1"/>
      <c r="C213" s="119"/>
      <c r="D213" s="122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121" t="s">
        <v>81</v>
      </c>
      <c r="Q213" s="107">
        <f>SUM(Q205:Q211)</f>
        <v>1</v>
      </c>
      <c r="R213" s="107"/>
      <c r="S213" s="109">
        <f t="shared" ref="S213" si="68">SUM(S205:S211)</f>
        <v>1</v>
      </c>
      <c r="T213" s="109"/>
      <c r="U213" s="1"/>
      <c r="V213" s="40"/>
      <c r="W213" s="81"/>
      <c r="X213" s="40"/>
      <c r="Y213" s="8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</row>
    <row r="214" spans="1:38" x14ac:dyDescent="0.2">
      <c r="A214" s="1"/>
      <c r="B214" s="1"/>
      <c r="C214" s="119"/>
      <c r="D214" s="122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122" t="s">
        <v>470</v>
      </c>
      <c r="Q214" s="112">
        <f>SUMIF($J$205:$J$211,P214,$Q$205:$Q$211)</f>
        <v>0.99681422963213606</v>
      </c>
      <c r="R214" s="112"/>
      <c r="S214" s="114">
        <f>SUMIF($J$205:$J$211,P214,$S$205:$S$211)</f>
        <v>0.6014529393119612</v>
      </c>
      <c r="T214" s="114"/>
      <c r="U214" s="1"/>
      <c r="V214" s="40"/>
      <c r="W214" s="81"/>
      <c r="X214" s="40"/>
      <c r="Y214" s="8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</row>
    <row r="215" spans="1:38" x14ac:dyDescent="0.2">
      <c r="A215" s="1"/>
      <c r="B215" s="1"/>
      <c r="C215" s="119"/>
      <c r="D215" s="122"/>
      <c r="E215" s="77" t="s">
        <v>471</v>
      </c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122" t="s">
        <v>458</v>
      </c>
      <c r="Q215" s="112">
        <f t="shared" ref="Q215:Q216" si="69">SUMIF($J$205:$J$211,P215,$Q$205:$Q$211)</f>
        <v>0</v>
      </c>
      <c r="R215" s="112"/>
      <c r="S215" s="114">
        <f t="shared" ref="S215:S216" si="70">SUMIF($J$205:$J$211,P215,$S$205:$S$211)</f>
        <v>0.39470263131541283</v>
      </c>
      <c r="T215" s="114"/>
      <c r="U215" s="1"/>
      <c r="V215" s="40"/>
      <c r="W215" s="81"/>
      <c r="X215" s="40"/>
      <c r="Y215" s="8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</row>
    <row r="216" spans="1:38" x14ac:dyDescent="0.2">
      <c r="A216" s="1"/>
      <c r="B216" s="1"/>
      <c r="C216" s="119"/>
      <c r="D216" s="122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122" t="s">
        <v>80</v>
      </c>
      <c r="Q216" s="112">
        <f t="shared" si="69"/>
        <v>3.1857703678639217E-3</v>
      </c>
      <c r="R216" s="112"/>
      <c r="S216" s="114">
        <f t="shared" si="70"/>
        <v>3.8444293726260671E-3</v>
      </c>
      <c r="T216" s="114"/>
      <c r="U216" s="1"/>
      <c r="V216" s="40"/>
      <c r="W216" s="81"/>
      <c r="X216" s="40"/>
      <c r="Y216" s="8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</row>
    <row r="217" spans="1:38" ht="15" thickBot="1" x14ac:dyDescent="0.25">
      <c r="A217" s="1"/>
      <c r="B217" s="1"/>
      <c r="C217" s="3"/>
      <c r="D217" s="83"/>
      <c r="E217" s="1"/>
      <c r="F217" s="1"/>
      <c r="G217" s="1"/>
      <c r="H217" s="1"/>
      <c r="I217" s="1"/>
      <c r="J217" s="1"/>
      <c r="K217" s="1"/>
      <c r="L217" s="1"/>
      <c r="M217" s="1"/>
      <c r="N217" s="148"/>
      <c r="O217" s="148"/>
      <c r="P217" s="148"/>
      <c r="Q217" s="162"/>
      <c r="R217" s="162"/>
      <c r="S217" s="162"/>
      <c r="T217" s="162"/>
      <c r="U217" s="1"/>
      <c r="V217" s="40"/>
      <c r="W217" s="81"/>
      <c r="X217" s="40"/>
      <c r="Y217" s="8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</row>
    <row r="218" spans="1:38" x14ac:dyDescent="0.2">
      <c r="A218" s="1"/>
      <c r="B218" s="1"/>
      <c r="C218" s="3"/>
      <c r="D218" s="83"/>
      <c r="E218" s="1"/>
      <c r="F218" s="1"/>
      <c r="G218" s="1"/>
      <c r="H218" s="1"/>
      <c r="I218" s="1"/>
      <c r="J218" s="1"/>
      <c r="K218" s="1"/>
      <c r="L218" s="1"/>
      <c r="M218" s="1"/>
      <c r="N218" s="148"/>
      <c r="O218" s="148"/>
      <c r="P218" s="148"/>
      <c r="Q218" s="129" t="s">
        <v>86</v>
      </c>
      <c r="R218" s="130">
        <v>100000</v>
      </c>
      <c r="S218" s="129" t="s">
        <v>86</v>
      </c>
      <c r="T218" s="130">
        <v>100000</v>
      </c>
      <c r="U218" s="1"/>
      <c r="V218" s="40"/>
      <c r="W218" s="81"/>
      <c r="X218" s="40"/>
      <c r="Y218" s="8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</row>
    <row r="219" spans="1:38" x14ac:dyDescent="0.2">
      <c r="A219" s="1"/>
      <c r="B219" s="1"/>
      <c r="C219" s="3"/>
      <c r="D219" s="83"/>
      <c r="E219" s="1"/>
      <c r="F219" s="1"/>
      <c r="G219" s="1"/>
      <c r="H219" s="1"/>
      <c r="I219" s="1"/>
      <c r="J219" s="1"/>
      <c r="K219" s="1"/>
      <c r="L219" s="1"/>
      <c r="M219" s="1"/>
      <c r="N219" s="148"/>
      <c r="O219" s="148"/>
      <c r="P219" s="148"/>
      <c r="Q219" s="132" t="s">
        <v>85</v>
      </c>
      <c r="R219" s="133">
        <v>5000</v>
      </c>
      <c r="S219" s="132" t="s">
        <v>85</v>
      </c>
      <c r="T219" s="133">
        <v>5000</v>
      </c>
      <c r="U219" s="1"/>
      <c r="V219" s="40"/>
      <c r="W219" s="81"/>
      <c r="X219" s="40"/>
      <c r="Y219" s="8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</row>
    <row r="220" spans="1:38" x14ac:dyDescent="0.2">
      <c r="A220" s="1"/>
      <c r="B220" s="1"/>
      <c r="C220" s="3"/>
      <c r="D220" s="83"/>
      <c r="E220" s="1"/>
      <c r="F220" s="1"/>
      <c r="G220" s="1"/>
      <c r="H220" s="1"/>
      <c r="I220" s="1"/>
      <c r="J220" s="1"/>
      <c r="K220" s="1"/>
      <c r="L220" s="1"/>
      <c r="M220" s="1"/>
      <c r="N220" s="148"/>
      <c r="O220" s="148"/>
      <c r="P220" s="148"/>
      <c r="Q220" s="132" t="s">
        <v>88</v>
      </c>
      <c r="R220" s="134">
        <f>(R218-R219)*0.5%</f>
        <v>475</v>
      </c>
      <c r="S220" s="132" t="s">
        <v>88</v>
      </c>
      <c r="T220" s="134">
        <f>(T218-T219)*0.5%</f>
        <v>475</v>
      </c>
      <c r="U220" s="1"/>
      <c r="V220" s="40"/>
      <c r="W220" s="81"/>
      <c r="X220" s="40"/>
      <c r="Y220" s="8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</row>
    <row r="221" spans="1:38" x14ac:dyDescent="0.2">
      <c r="A221" s="1"/>
      <c r="B221" s="1"/>
      <c r="C221" s="3"/>
      <c r="D221" s="83"/>
      <c r="E221" s="1"/>
      <c r="F221" s="1"/>
      <c r="G221" s="1"/>
      <c r="H221" s="1"/>
      <c r="I221" s="1"/>
      <c r="J221" s="1"/>
      <c r="K221" s="1"/>
      <c r="L221" s="1"/>
      <c r="M221" s="1"/>
      <c r="N221" s="148"/>
      <c r="O221" s="148"/>
      <c r="P221" s="148"/>
      <c r="Q221" s="132" t="s">
        <v>87</v>
      </c>
      <c r="R221" s="134">
        <f>R219+R220</f>
        <v>5475</v>
      </c>
      <c r="S221" s="132" t="s">
        <v>87</v>
      </c>
      <c r="T221" s="134">
        <f>T219+T220</f>
        <v>5475</v>
      </c>
      <c r="U221" s="1"/>
      <c r="V221" s="40"/>
      <c r="W221" s="81"/>
      <c r="X221" s="40"/>
      <c r="Y221" s="8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</row>
    <row r="222" spans="1:38" ht="15" thickBot="1" x14ac:dyDescent="0.25">
      <c r="A222" s="1"/>
      <c r="B222" s="1"/>
      <c r="C222" s="3"/>
      <c r="D222" s="83"/>
      <c r="E222" s="1"/>
      <c r="F222" s="1"/>
      <c r="G222" s="1"/>
      <c r="H222" s="1"/>
      <c r="I222" s="1"/>
      <c r="J222" s="1"/>
      <c r="K222" s="1"/>
      <c r="L222" s="1"/>
      <c r="M222" s="1"/>
      <c r="N222" s="148"/>
      <c r="O222" s="148"/>
      <c r="P222" s="148"/>
      <c r="Q222" s="136" t="s">
        <v>89</v>
      </c>
      <c r="R222" s="137">
        <f>R221/R218</f>
        <v>5.475E-2</v>
      </c>
      <c r="S222" s="136" t="s">
        <v>89</v>
      </c>
      <c r="T222" s="137">
        <f>T221/T218</f>
        <v>5.475E-2</v>
      </c>
      <c r="U222" s="1"/>
      <c r="V222" s="40"/>
      <c r="W222" s="81"/>
      <c r="X222" s="40"/>
      <c r="Y222" s="8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</row>
    <row r="223" spans="1:38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</row>
    <row r="224" spans="1:38" x14ac:dyDescent="0.2">
      <c r="A224" s="76" t="s">
        <v>0</v>
      </c>
      <c r="B224" s="1"/>
      <c r="C224" s="95" t="s">
        <v>653</v>
      </c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1"/>
      <c r="V224" s="1"/>
      <c r="W224" s="40"/>
      <c r="X224" s="81"/>
      <c r="Y224" s="40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</row>
    <row r="225" spans="1:38" x14ac:dyDescent="0.2">
      <c r="A225" s="154">
        <v>45071</v>
      </c>
      <c r="B225" s="1"/>
      <c r="C225" s="97" t="s">
        <v>5</v>
      </c>
      <c r="D225" s="98" t="s">
        <v>91</v>
      </c>
      <c r="E225" s="98" t="s">
        <v>533</v>
      </c>
      <c r="F225" s="98" t="s">
        <v>534</v>
      </c>
      <c r="G225" s="98" t="s">
        <v>535</v>
      </c>
      <c r="H225" s="98" t="s">
        <v>1426</v>
      </c>
      <c r="I225" s="98"/>
      <c r="J225" s="98" t="s">
        <v>434</v>
      </c>
      <c r="K225" s="98" t="s">
        <v>435</v>
      </c>
      <c r="L225" s="98"/>
      <c r="M225" s="98" t="s">
        <v>9</v>
      </c>
      <c r="N225" s="98" t="s">
        <v>13</v>
      </c>
      <c r="O225" s="98" t="s">
        <v>437</v>
      </c>
      <c r="P225" s="98" t="s">
        <v>14</v>
      </c>
      <c r="Q225" s="99" t="s">
        <v>438</v>
      </c>
      <c r="R225" s="99" t="s">
        <v>536</v>
      </c>
      <c r="S225" s="101" t="s">
        <v>439</v>
      </c>
      <c r="T225" s="101" t="s">
        <v>537</v>
      </c>
      <c r="U225" s="158" t="s">
        <v>440</v>
      </c>
      <c r="V225" s="158" t="s">
        <v>538</v>
      </c>
      <c r="W225" s="161" t="s">
        <v>441</v>
      </c>
      <c r="X225" s="161" t="s">
        <v>539</v>
      </c>
      <c r="Y225" s="1"/>
      <c r="Z225" s="1"/>
      <c r="AA225" s="1"/>
      <c r="AB225" s="1"/>
      <c r="AC225" s="185" t="s">
        <v>438</v>
      </c>
      <c r="AD225" s="185"/>
      <c r="AE225" s="187" t="s">
        <v>439</v>
      </c>
      <c r="AF225" s="187"/>
      <c r="AG225" s="186" t="s">
        <v>440</v>
      </c>
      <c r="AH225" s="186"/>
      <c r="AI225" s="189" t="s">
        <v>441</v>
      </c>
      <c r="AJ225" s="189"/>
      <c r="AK225" s="1"/>
      <c r="AL225" s="1"/>
    </row>
    <row r="226" spans="1:38" x14ac:dyDescent="0.2">
      <c r="A226" s="1"/>
      <c r="B226" s="1"/>
      <c r="C226" s="106" t="s">
        <v>16</v>
      </c>
      <c r="D226" s="45"/>
      <c r="E226" s="34"/>
      <c r="F226" s="34"/>
      <c r="G226" s="34"/>
      <c r="H226" s="34"/>
      <c r="I226" s="34"/>
      <c r="J226" s="34"/>
      <c r="K226" s="34"/>
      <c r="L226" s="155"/>
      <c r="M226" s="34"/>
      <c r="N226" s="34"/>
      <c r="O226" s="34"/>
      <c r="P226" s="34"/>
      <c r="Q226" s="107"/>
      <c r="R226" s="107"/>
      <c r="S226" s="109"/>
      <c r="T226" s="109"/>
      <c r="U226" s="159"/>
      <c r="V226" s="159"/>
      <c r="W226" s="110"/>
      <c r="X226" s="110"/>
      <c r="Y226" s="1"/>
      <c r="Z226" s="1"/>
      <c r="AA226" s="1"/>
      <c r="AB226" s="13" t="s">
        <v>17</v>
      </c>
      <c r="AC226" s="78" t="s">
        <v>18</v>
      </c>
      <c r="AD226" s="79" t="s">
        <v>19</v>
      </c>
      <c r="AE226" s="78" t="s">
        <v>18</v>
      </c>
      <c r="AF226" s="79" t="s">
        <v>19</v>
      </c>
      <c r="AG226" s="78" t="s">
        <v>18</v>
      </c>
      <c r="AH226" s="79" t="s">
        <v>19</v>
      </c>
      <c r="AI226" s="78" t="s">
        <v>18</v>
      </c>
      <c r="AJ226" s="79" t="s">
        <v>19</v>
      </c>
      <c r="AK226" s="1"/>
      <c r="AL226" s="1"/>
    </row>
    <row r="227" spans="1:38" x14ac:dyDescent="0.2">
      <c r="A227" s="3"/>
      <c r="B227" s="1"/>
      <c r="C227" s="86" t="s">
        <v>798</v>
      </c>
      <c r="D227" s="45" t="s">
        <v>648</v>
      </c>
      <c r="E227" s="34"/>
      <c r="F227" s="34"/>
      <c r="G227" s="34"/>
      <c r="H227" s="45" t="s">
        <v>1752</v>
      </c>
      <c r="I227" s="34"/>
      <c r="J227" s="34" t="s">
        <v>470</v>
      </c>
      <c r="K227" s="111"/>
      <c r="L227" s="111"/>
      <c r="M227" s="34" t="s">
        <v>799</v>
      </c>
      <c r="N227" s="45" t="s">
        <v>34</v>
      </c>
      <c r="O227" s="111">
        <v>0.1</v>
      </c>
      <c r="P227" s="45">
        <v>74.13</v>
      </c>
      <c r="Q227" s="112">
        <f>AD227/$AD$234</f>
        <v>0.4140804725776181</v>
      </c>
      <c r="R227" s="112">
        <f>Q227*(1-$R$245)/(1-$Q$233)</f>
        <v>0.39269166929981136</v>
      </c>
      <c r="S227" s="114">
        <f>AF227/$AF$234</f>
        <v>0.3368090098634543</v>
      </c>
      <c r="T227" s="114">
        <f>S227*(1-$T$245)/(1-$S$233)</f>
        <v>0.31950257853686775</v>
      </c>
      <c r="U227" s="160">
        <f>AH227/$AH$234</f>
        <v>0.24740823454319366</v>
      </c>
      <c r="V227" s="160">
        <f>U227*(1-$V$245)/(1-$U$233)</f>
        <v>0.2347786201171598</v>
      </c>
      <c r="W227" s="115">
        <f>AJ227/$AJ$234</f>
        <v>0.18401055903400329</v>
      </c>
      <c r="X227" s="115">
        <f>W227*(1-$X$245)/(1-$W$233)</f>
        <v>0.17465977419223855</v>
      </c>
      <c r="Y227" s="1"/>
      <c r="Z227" s="1"/>
      <c r="AA227" s="1"/>
      <c r="AB227" s="1">
        <v>1</v>
      </c>
      <c r="AC227" s="80">
        <v>954329.77204593504</v>
      </c>
      <c r="AD227" s="81">
        <v>70744466.001765162</v>
      </c>
      <c r="AE227" s="80">
        <v>677457.33021675597</v>
      </c>
      <c r="AF227" s="81">
        <v>50219911.888968118</v>
      </c>
      <c r="AG227" s="80">
        <v>427122.84051004698</v>
      </c>
      <c r="AH227" s="81">
        <v>31662616.167009782</v>
      </c>
      <c r="AI227" s="80">
        <v>288355.63875508402</v>
      </c>
      <c r="AJ227" s="81">
        <v>21375803.500914376</v>
      </c>
      <c r="AK227" s="1"/>
      <c r="AL227" s="1"/>
    </row>
    <row r="228" spans="1:38" x14ac:dyDescent="0.2">
      <c r="A228" s="3"/>
      <c r="B228" s="1"/>
      <c r="C228" s="86" t="s">
        <v>800</v>
      </c>
      <c r="D228" s="45" t="s">
        <v>649</v>
      </c>
      <c r="E228" s="34"/>
      <c r="F228" s="34"/>
      <c r="G228" s="34"/>
      <c r="H228" s="45" t="s">
        <v>1751</v>
      </c>
      <c r="I228" s="34"/>
      <c r="J228" s="34" t="s">
        <v>470</v>
      </c>
      <c r="K228" s="111"/>
      <c r="L228" s="111"/>
      <c r="M228" s="34" t="s">
        <v>799</v>
      </c>
      <c r="N228" s="45" t="s">
        <v>34</v>
      </c>
      <c r="O228" s="111">
        <v>0.09</v>
      </c>
      <c r="P228" s="45">
        <v>118.43</v>
      </c>
      <c r="Q228" s="112">
        <f t="shared" ref="Q228:Q233" si="71">AD228/$AD$234</f>
        <v>0.28641717190155669</v>
      </c>
      <c r="R228" s="112">
        <f t="shared" ref="R228:R232" si="72">Q228*(1-$R$245)/(1-$Q$233)</f>
        <v>0.27162265501199284</v>
      </c>
      <c r="S228" s="114">
        <f t="shared" ref="S228:S233" si="73">AF228/$AF$234</f>
        <v>0.23637627090585106</v>
      </c>
      <c r="T228" s="114">
        <f>S228*(1-$T$245)/(1-$S$233)</f>
        <v>0.22423042688188868</v>
      </c>
      <c r="U228" s="160">
        <f t="shared" ref="U228:U233" si="74">AH228/$AH$234</f>
        <v>0.17113090699957076</v>
      </c>
      <c r="V228" s="160">
        <f t="shared" ref="V228:V232" si="75">U228*(1-$V$245)/(1-$U$233)</f>
        <v>0.16239507257687005</v>
      </c>
      <c r="W228" s="115">
        <f t="shared" ref="W228:W233" si="76">AJ228/$AJ$234</f>
        <v>0.12723823866317541</v>
      </c>
      <c r="X228" s="115">
        <f t="shared" ref="X228:X232" si="77">W228*(1-$X$245)/(1-$W$233)</f>
        <v>0.12077242822473962</v>
      </c>
      <c r="Y228" s="1"/>
      <c r="Z228" s="1"/>
      <c r="AA228" s="1"/>
      <c r="AB228" s="1">
        <v>1</v>
      </c>
      <c r="AC228" s="80">
        <v>413185.47433898901</v>
      </c>
      <c r="AD228" s="81">
        <v>48933555.725966468</v>
      </c>
      <c r="AE228" s="80">
        <v>297601.00492115598</v>
      </c>
      <c r="AF228" s="81">
        <v>35244887.012812503</v>
      </c>
      <c r="AG228" s="80">
        <v>184926.593119706</v>
      </c>
      <c r="AH228" s="81">
        <v>21900856.423166782</v>
      </c>
      <c r="AI228" s="80">
        <v>124806.045614363</v>
      </c>
      <c r="AJ228" s="81">
        <v>14780779.98210901</v>
      </c>
      <c r="AK228" s="1"/>
      <c r="AL228" s="1"/>
    </row>
    <row r="229" spans="1:38" x14ac:dyDescent="0.2">
      <c r="A229" s="3"/>
      <c r="B229" s="1"/>
      <c r="C229" s="86" t="s">
        <v>794</v>
      </c>
      <c r="D229" s="45" t="s">
        <v>650</v>
      </c>
      <c r="E229" s="34"/>
      <c r="F229" s="34"/>
      <c r="G229" s="34"/>
      <c r="H229" s="45" t="s">
        <v>1753</v>
      </c>
      <c r="I229" s="34"/>
      <c r="J229" s="34" t="s">
        <v>470</v>
      </c>
      <c r="K229" s="111"/>
      <c r="L229" s="111"/>
      <c r="M229" s="34" t="s">
        <v>792</v>
      </c>
      <c r="N229" s="45" t="s">
        <v>34</v>
      </c>
      <c r="O229" s="111">
        <v>0.09</v>
      </c>
      <c r="P229" s="45">
        <v>131.27000000000001</v>
      </c>
      <c r="Q229" s="112">
        <f t="shared" si="71"/>
        <v>0.15724028908801641</v>
      </c>
      <c r="R229" s="112">
        <f t="shared" si="72"/>
        <v>0.1491182407583439</v>
      </c>
      <c r="S229" s="114">
        <f t="shared" si="73"/>
        <v>0.12761605791152247</v>
      </c>
      <c r="T229" s="114">
        <f>S229*(1-$T$245)/(1-$S$233)</f>
        <v>0.12105869609002359</v>
      </c>
      <c r="U229" s="160">
        <f t="shared" si="74"/>
        <v>9.3949231848974454E-2</v>
      </c>
      <c r="V229" s="160">
        <f t="shared" si="75"/>
        <v>8.9153342269691044E-2</v>
      </c>
      <c r="W229" s="115">
        <f t="shared" si="76"/>
        <v>6.985257656731686E-2</v>
      </c>
      <c r="X229" s="115">
        <f t="shared" si="77"/>
        <v>6.6302908452873621E-2</v>
      </c>
      <c r="Y229" s="1"/>
      <c r="Z229" s="1"/>
      <c r="AA229" s="1"/>
      <c r="AB229" s="1">
        <v>1</v>
      </c>
      <c r="AC229" s="80">
        <v>204647.32433323999</v>
      </c>
      <c r="AD229" s="81">
        <v>26864054.265224416</v>
      </c>
      <c r="AE229" s="80">
        <v>144954.627940968</v>
      </c>
      <c r="AF229" s="81">
        <v>19028194.009810872</v>
      </c>
      <c r="AG229" s="80">
        <v>91592.601459558195</v>
      </c>
      <c r="AH229" s="81">
        <v>12023360.793596204</v>
      </c>
      <c r="AI229" s="80">
        <v>61815.394978374999</v>
      </c>
      <c r="AJ229" s="81">
        <v>8114506.8988112872</v>
      </c>
      <c r="AK229" s="1"/>
      <c r="AL229" s="1"/>
    </row>
    <row r="230" spans="1:38" x14ac:dyDescent="0.2">
      <c r="A230" s="3"/>
      <c r="B230" s="1"/>
      <c r="C230" s="86" t="s">
        <v>791</v>
      </c>
      <c r="D230" s="45" t="s">
        <v>651</v>
      </c>
      <c r="E230" s="34"/>
      <c r="F230" s="34"/>
      <c r="G230" s="34"/>
      <c r="H230" s="45" t="s">
        <v>1754</v>
      </c>
      <c r="I230" s="34"/>
      <c r="J230" s="34" t="s">
        <v>470</v>
      </c>
      <c r="K230" s="111"/>
      <c r="L230" s="111"/>
      <c r="M230" s="34" t="s">
        <v>792</v>
      </c>
      <c r="N230" s="45" t="s">
        <v>34</v>
      </c>
      <c r="O230" s="111">
        <v>0.15</v>
      </c>
      <c r="P230" s="45">
        <v>114.98</v>
      </c>
      <c r="Q230" s="112">
        <f t="shared" si="71"/>
        <v>0.13899715735515022</v>
      </c>
      <c r="R230" s="112">
        <f t="shared" si="72"/>
        <v>0.1318174349298519</v>
      </c>
      <c r="S230" s="114">
        <f t="shared" si="73"/>
        <v>0.11621904276416872</v>
      </c>
      <c r="T230" s="114">
        <f>S230*(1-$T$245)/(1-$S$233)</f>
        <v>0.11024729965891412</v>
      </c>
      <c r="U230" s="160">
        <f t="shared" si="74"/>
        <v>8.3049174218941563E-2</v>
      </c>
      <c r="V230" s="160">
        <f t="shared" si="75"/>
        <v>7.8809707207173105E-2</v>
      </c>
      <c r="W230" s="115">
        <f t="shared" si="76"/>
        <v>6.1612519864041239E-2</v>
      </c>
      <c r="X230" s="115">
        <f t="shared" si="77"/>
        <v>5.8481583140452771E-2</v>
      </c>
      <c r="Y230" s="1"/>
      <c r="Z230" s="1"/>
      <c r="AA230" s="1"/>
      <c r="AB230" s="1">
        <v>1</v>
      </c>
      <c r="AC230" s="80">
        <v>206533.89560379501</v>
      </c>
      <c r="AD230" s="81">
        <v>23747267.316524353</v>
      </c>
      <c r="AE230" s="80">
        <v>150711.79261521099</v>
      </c>
      <c r="AF230" s="81">
        <v>17328841.914896961</v>
      </c>
      <c r="AG230" s="80">
        <v>92436.961243259298</v>
      </c>
      <c r="AH230" s="81">
        <v>10628401.803749954</v>
      </c>
      <c r="AI230" s="80">
        <v>62248.138794029597</v>
      </c>
      <c r="AJ230" s="81">
        <v>7157290.9985375237</v>
      </c>
      <c r="AK230" s="1"/>
      <c r="AL230" s="1"/>
    </row>
    <row r="231" spans="1:38" x14ac:dyDescent="0.2">
      <c r="A231" s="1"/>
      <c r="B231" s="1"/>
      <c r="C231" s="116" t="s">
        <v>456</v>
      </c>
      <c r="D231" s="45"/>
      <c r="E231" s="34"/>
      <c r="F231" s="45"/>
      <c r="G231" s="45"/>
      <c r="H231" s="45"/>
      <c r="I231" s="34"/>
      <c r="J231" s="111"/>
      <c r="K231" s="111"/>
      <c r="L231" s="111"/>
      <c r="M231" s="34"/>
      <c r="N231" s="45"/>
      <c r="O231" s="34"/>
      <c r="P231" s="34"/>
      <c r="Q231" s="112"/>
      <c r="R231" s="112"/>
      <c r="S231" s="114"/>
      <c r="T231" s="114"/>
      <c r="U231" s="160"/>
      <c r="V231" s="160"/>
      <c r="W231" s="115"/>
      <c r="X231" s="115"/>
      <c r="Y231" s="1"/>
      <c r="Z231" s="1"/>
      <c r="AA231" s="1"/>
      <c r="AB231" s="1"/>
      <c r="AC231" s="80"/>
      <c r="AD231" s="81"/>
      <c r="AE231" s="80"/>
      <c r="AF231" s="81"/>
      <c r="AG231" s="80"/>
      <c r="AH231" s="81"/>
      <c r="AI231" s="80"/>
      <c r="AJ231" s="81"/>
      <c r="AK231" s="1"/>
      <c r="AL231" s="1"/>
    </row>
    <row r="232" spans="1:38" x14ac:dyDescent="0.2">
      <c r="A232" s="1"/>
      <c r="B232" s="1"/>
      <c r="C232" s="86" t="s">
        <v>826</v>
      </c>
      <c r="D232" s="45" t="s">
        <v>652</v>
      </c>
      <c r="E232" s="34"/>
      <c r="F232" s="34"/>
      <c r="G232" s="34"/>
      <c r="H232" s="45" t="s">
        <v>1789</v>
      </c>
      <c r="I232" s="34"/>
      <c r="J232" s="34" t="s">
        <v>458</v>
      </c>
      <c r="K232" s="111"/>
      <c r="L232" s="111"/>
      <c r="M232" s="34" t="s">
        <v>803</v>
      </c>
      <c r="N232" s="45" t="s">
        <v>34</v>
      </c>
      <c r="O232" s="111">
        <v>0.03</v>
      </c>
      <c r="P232" s="45">
        <v>74.34</v>
      </c>
      <c r="Q232" s="112">
        <f t="shared" si="71"/>
        <v>0</v>
      </c>
      <c r="R232" s="112">
        <f t="shared" si="72"/>
        <v>0</v>
      </c>
      <c r="S232" s="114">
        <f t="shared" si="73"/>
        <v>0.1794307834606827</v>
      </c>
      <c r="T232" s="114">
        <f>S232*(1-$T$245)/(1-$S$233)</f>
        <v>0.17021099883230578</v>
      </c>
      <c r="U232" s="160">
        <f t="shared" si="74"/>
        <v>0.40056096248896628</v>
      </c>
      <c r="V232" s="160">
        <f t="shared" si="75"/>
        <v>0.38011325782910604</v>
      </c>
      <c r="W232" s="115">
        <f t="shared" si="76"/>
        <v>0.55314208777288076</v>
      </c>
      <c r="X232" s="115">
        <f t="shared" si="77"/>
        <v>0.52503330598969533</v>
      </c>
      <c r="Y232" s="1"/>
      <c r="Z232" s="1"/>
      <c r="AA232" s="1"/>
      <c r="AB232" s="1">
        <v>1</v>
      </c>
      <c r="AC232" s="80"/>
      <c r="AD232" s="81">
        <v>0</v>
      </c>
      <c r="AE232" s="80">
        <v>359887.40047064598</v>
      </c>
      <c r="AF232" s="81">
        <v>26754029.350987822</v>
      </c>
      <c r="AG232" s="80">
        <v>689570.55894413195</v>
      </c>
      <c r="AH232" s="81">
        <v>51262675.351906769</v>
      </c>
      <c r="AI232" s="80">
        <v>864358.389390253</v>
      </c>
      <c r="AJ232" s="81">
        <v>64256402.667271413</v>
      </c>
      <c r="AK232" s="1"/>
      <c r="AL232" s="1"/>
    </row>
    <row r="233" spans="1:38" x14ac:dyDescent="0.2">
      <c r="A233" s="3"/>
      <c r="B233" s="3"/>
      <c r="C233" s="86" t="s">
        <v>790</v>
      </c>
      <c r="D233" s="156" t="s">
        <v>34</v>
      </c>
      <c r="E233" s="34"/>
      <c r="F233" s="34"/>
      <c r="G233" s="34"/>
      <c r="H233" s="34"/>
      <c r="I233" s="34"/>
      <c r="J233" s="157" t="s">
        <v>80</v>
      </c>
      <c r="K233" s="111"/>
      <c r="L233" s="111"/>
      <c r="M233" s="34"/>
      <c r="N233" s="45" t="s">
        <v>34</v>
      </c>
      <c r="O233" s="34"/>
      <c r="P233" s="34">
        <v>1</v>
      </c>
      <c r="Q233" s="112">
        <f t="shared" si="71"/>
        <v>3.2649090776585444E-3</v>
      </c>
      <c r="R233" s="112">
        <f>R245</f>
        <v>5.475E-2</v>
      </c>
      <c r="S233" s="114">
        <f t="shared" si="73"/>
        <v>3.5488350943207276E-3</v>
      </c>
      <c r="T233" s="114">
        <f>T245</f>
        <v>5.475E-2</v>
      </c>
      <c r="U233" s="160">
        <f t="shared" si="74"/>
        <v>3.9014899003532886E-3</v>
      </c>
      <c r="V233" s="160">
        <f>V245</f>
        <v>5.475E-2</v>
      </c>
      <c r="W233" s="115">
        <f t="shared" si="76"/>
        <v>4.1440180985823387E-3</v>
      </c>
      <c r="X233" s="115">
        <f>X245</f>
        <v>5.475E-2</v>
      </c>
      <c r="Y233" s="1"/>
      <c r="Z233" s="1"/>
      <c r="AA233" s="1"/>
      <c r="AB233" s="1">
        <v>1</v>
      </c>
      <c r="AC233" s="80">
        <v>557800.39035763498</v>
      </c>
      <c r="AD233" s="81">
        <v>557800.39035763498</v>
      </c>
      <c r="AE233" s="80">
        <v>529149.10387200699</v>
      </c>
      <c r="AF233" s="81">
        <v>529149.10387200699</v>
      </c>
      <c r="AG233" s="80">
        <v>499301.801423205</v>
      </c>
      <c r="AH233" s="81">
        <v>499301.801423205</v>
      </c>
      <c r="AI233" s="80">
        <v>481394.74736968701</v>
      </c>
      <c r="AJ233" s="81">
        <v>481394.74736968701</v>
      </c>
      <c r="AK233" s="1"/>
      <c r="AL233" s="1"/>
    </row>
    <row r="234" spans="1:38" x14ac:dyDescent="0.2">
      <c r="A234" s="1"/>
      <c r="B234" s="1"/>
      <c r="C234" s="86"/>
      <c r="D234" s="156"/>
      <c r="E234" s="34"/>
      <c r="F234" s="34"/>
      <c r="G234" s="34"/>
      <c r="H234" s="34"/>
      <c r="I234" s="34"/>
      <c r="J234" s="111"/>
      <c r="K234" s="111"/>
      <c r="L234" s="111"/>
      <c r="M234" s="34"/>
      <c r="N234" s="45"/>
      <c r="O234" s="34"/>
      <c r="P234" s="34"/>
      <c r="Q234" s="112"/>
      <c r="R234" s="112"/>
      <c r="S234" s="114"/>
      <c r="T234" s="114"/>
      <c r="U234" s="160"/>
      <c r="V234" s="160"/>
      <c r="W234" s="115"/>
      <c r="X234" s="115"/>
      <c r="Y234" s="1"/>
      <c r="Z234" s="1"/>
      <c r="AA234" s="1"/>
      <c r="AB234" s="1"/>
      <c r="AC234" s="40"/>
      <c r="AD234" s="82">
        <v>170847143.69983804</v>
      </c>
      <c r="AE234" s="40"/>
      <c r="AF234" s="82">
        <v>149105013.28134829</v>
      </c>
      <c r="AG234" s="40"/>
      <c r="AH234" s="82">
        <v>127977212.34085269</v>
      </c>
      <c r="AI234" s="40"/>
      <c r="AJ234" s="82">
        <v>116166178.79501331</v>
      </c>
      <c r="AK234" s="1"/>
      <c r="AL234" s="1"/>
    </row>
    <row r="235" spans="1:38" x14ac:dyDescent="0.2">
      <c r="A235" s="1"/>
      <c r="B235" s="1"/>
      <c r="C235" s="119"/>
      <c r="D235" s="122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121" t="s">
        <v>81</v>
      </c>
      <c r="Q235" s="107">
        <f>SUM(Q227:Q233)</f>
        <v>1.0000000000000002</v>
      </c>
      <c r="R235" s="107"/>
      <c r="S235" s="109">
        <f t="shared" ref="S235:W235" si="78">SUM(S227:S233)</f>
        <v>1</v>
      </c>
      <c r="T235" s="109"/>
      <c r="U235" s="159">
        <f t="shared" si="78"/>
        <v>1</v>
      </c>
      <c r="V235" s="159"/>
      <c r="W235" s="110">
        <f t="shared" si="78"/>
        <v>1</v>
      </c>
      <c r="X235" s="110"/>
      <c r="Y235" s="8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</row>
    <row r="236" spans="1:38" x14ac:dyDescent="0.2">
      <c r="A236" s="1"/>
      <c r="B236" s="1"/>
      <c r="C236" s="119"/>
      <c r="D236" s="122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122" t="s">
        <v>470</v>
      </c>
      <c r="Q236" s="112">
        <f>SUMIF($J$227:$J$233,P236,$Q$227:$Q$233)</f>
        <v>0.99673509092234158</v>
      </c>
      <c r="R236" s="112"/>
      <c r="S236" s="114">
        <f>SUMIF($J$227:$J$233,P236,$S$227:$S$233)</f>
        <v>0.81702038144499656</v>
      </c>
      <c r="T236" s="114"/>
      <c r="U236" s="160">
        <f>SUMIF($J$227:$J$233,P236,$U$227:$U$233)</f>
        <v>0.59553754761068034</v>
      </c>
      <c r="V236" s="160"/>
      <c r="W236" s="115">
        <f>SUMIF($J$227:$J$233,P236,$W$227:$W$233)</f>
        <v>0.44271389412853684</v>
      </c>
      <c r="X236" s="115"/>
      <c r="Y236" s="8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</row>
    <row r="237" spans="1:38" x14ac:dyDescent="0.2">
      <c r="A237" s="1"/>
      <c r="B237" s="1"/>
      <c r="C237" s="119"/>
      <c r="D237" s="122"/>
      <c r="E237" s="77" t="s">
        <v>471</v>
      </c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122" t="s">
        <v>458</v>
      </c>
      <c r="Q237" s="112">
        <f>SUMIF($J$227:$J$233,P237,$Q$227:$Q$233)</f>
        <v>0</v>
      </c>
      <c r="R237" s="112"/>
      <c r="S237" s="114">
        <f t="shared" ref="S237:S238" si="79">SUMIF($J$227:$J$233,P237,$S$227:$S$233)</f>
        <v>0.1794307834606827</v>
      </c>
      <c r="T237" s="114"/>
      <c r="U237" s="160">
        <f t="shared" ref="U237:U238" si="80">SUMIF($J$227:$J$233,P237,$U$227:$U$233)</f>
        <v>0.40056096248896628</v>
      </c>
      <c r="V237" s="160"/>
      <c r="W237" s="115">
        <f t="shared" ref="W237:W238" si="81">SUMIF($J$227:$J$233,P237,$W$227:$W$233)</f>
        <v>0.55314208777288076</v>
      </c>
      <c r="X237" s="115"/>
      <c r="Y237" s="8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</row>
    <row r="238" spans="1:38" x14ac:dyDescent="0.2">
      <c r="A238" s="1"/>
      <c r="B238" s="1"/>
      <c r="C238" s="119"/>
      <c r="D238" s="122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122" t="s">
        <v>80</v>
      </c>
      <c r="Q238" s="112">
        <f>SUMIF($J$227:$J$233,P238,$Q$227:$Q$233)</f>
        <v>3.2649090776585444E-3</v>
      </c>
      <c r="R238" s="112"/>
      <c r="S238" s="114">
        <f t="shared" si="79"/>
        <v>3.5488350943207276E-3</v>
      </c>
      <c r="T238" s="114"/>
      <c r="U238" s="160">
        <f t="shared" si="80"/>
        <v>3.9014899003532886E-3</v>
      </c>
      <c r="V238" s="160"/>
      <c r="W238" s="115">
        <f t="shared" si="81"/>
        <v>4.1440180985823387E-3</v>
      </c>
      <c r="X238" s="115"/>
      <c r="Y238" s="8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</row>
    <row r="239" spans="1:38" x14ac:dyDescent="0.2">
      <c r="A239" s="1"/>
      <c r="B239" s="1"/>
      <c r="C239" s="119"/>
      <c r="D239" s="122"/>
      <c r="E239" s="77"/>
      <c r="F239" s="77"/>
      <c r="G239" s="77"/>
      <c r="H239" s="77"/>
      <c r="I239" s="77"/>
      <c r="J239" s="77"/>
      <c r="K239" s="77"/>
      <c r="L239" s="77"/>
      <c r="M239" s="77"/>
      <c r="N239" s="121"/>
      <c r="O239" s="121"/>
      <c r="P239" s="121"/>
      <c r="Q239" s="107"/>
      <c r="R239" s="107"/>
      <c r="S239" s="109"/>
      <c r="T239" s="109"/>
      <c r="U239" s="159"/>
      <c r="V239" s="159"/>
      <c r="W239" s="110"/>
      <c r="X239" s="110"/>
      <c r="Y239" s="8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</row>
    <row r="240" spans="1:38" ht="15" thickBo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</row>
    <row r="241" spans="1:38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29" t="s">
        <v>86</v>
      </c>
      <c r="R241" s="130">
        <v>100000</v>
      </c>
      <c r="S241" s="129" t="s">
        <v>86</v>
      </c>
      <c r="T241" s="130">
        <v>100000</v>
      </c>
      <c r="U241" s="129" t="s">
        <v>86</v>
      </c>
      <c r="V241" s="130">
        <v>100000</v>
      </c>
      <c r="W241" s="129" t="s">
        <v>86</v>
      </c>
      <c r="X241" s="130">
        <v>100000</v>
      </c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</row>
    <row r="242" spans="1:38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32" t="s">
        <v>85</v>
      </c>
      <c r="R242" s="133">
        <v>5000</v>
      </c>
      <c r="S242" s="132" t="s">
        <v>85</v>
      </c>
      <c r="T242" s="133">
        <v>5000</v>
      </c>
      <c r="U242" s="132" t="s">
        <v>85</v>
      </c>
      <c r="V242" s="133">
        <v>5000</v>
      </c>
      <c r="W242" s="132" t="s">
        <v>85</v>
      </c>
      <c r="X242" s="133">
        <v>5000</v>
      </c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</row>
    <row r="243" spans="1:38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32" t="s">
        <v>88</v>
      </c>
      <c r="R243" s="134">
        <f>(R241-R242)*0.5%</f>
        <v>475</v>
      </c>
      <c r="S243" s="132" t="s">
        <v>88</v>
      </c>
      <c r="T243" s="134">
        <f>(T241-T242)*0.5%</f>
        <v>475</v>
      </c>
      <c r="U243" s="132" t="s">
        <v>88</v>
      </c>
      <c r="V243" s="134">
        <f>(V241-V242)*0.5%</f>
        <v>475</v>
      </c>
      <c r="W243" s="132" t="s">
        <v>88</v>
      </c>
      <c r="X243" s="134">
        <f>(X241-X242)*0.5%</f>
        <v>475</v>
      </c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</row>
    <row r="244" spans="1:38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32" t="s">
        <v>87</v>
      </c>
      <c r="R244" s="134">
        <f>R242+R243</f>
        <v>5475</v>
      </c>
      <c r="S244" s="132" t="s">
        <v>87</v>
      </c>
      <c r="T244" s="134">
        <f>T242+T243</f>
        <v>5475</v>
      </c>
      <c r="U244" s="132" t="s">
        <v>87</v>
      </c>
      <c r="V244" s="134">
        <f>V242+V243</f>
        <v>5475</v>
      </c>
      <c r="W244" s="132" t="s">
        <v>87</v>
      </c>
      <c r="X244" s="134">
        <f>X242+X243</f>
        <v>5475</v>
      </c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</row>
    <row r="245" spans="1:38" ht="15" thickBo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36" t="s">
        <v>89</v>
      </c>
      <c r="R245" s="137">
        <f>R244/R241</f>
        <v>5.475E-2</v>
      </c>
      <c r="S245" s="136" t="s">
        <v>89</v>
      </c>
      <c r="T245" s="137">
        <f>T244/T241</f>
        <v>5.475E-2</v>
      </c>
      <c r="U245" s="136" t="s">
        <v>89</v>
      </c>
      <c r="V245" s="137">
        <f>V244/V241</f>
        <v>5.475E-2</v>
      </c>
      <c r="W245" s="136" t="s">
        <v>89</v>
      </c>
      <c r="X245" s="137">
        <f>X244/X241</f>
        <v>5.475E-2</v>
      </c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</row>
    <row r="246" spans="1:38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</row>
    <row r="247" spans="1:38" x14ac:dyDescent="0.2">
      <c r="A247" s="76" t="s">
        <v>0</v>
      </c>
      <c r="B247" s="1"/>
      <c r="C247" s="95" t="s">
        <v>1137</v>
      </c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176"/>
      <c r="T247" s="176"/>
      <c r="U247" s="1"/>
      <c r="V247" s="1"/>
      <c r="W247" s="177"/>
      <c r="X247" s="178"/>
      <c r="Y247" s="40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</row>
    <row r="248" spans="1:38" x14ac:dyDescent="0.2">
      <c r="A248" s="154">
        <v>46000</v>
      </c>
      <c r="B248" s="1"/>
      <c r="C248" s="97" t="s">
        <v>5</v>
      </c>
      <c r="D248" s="98" t="s">
        <v>91</v>
      </c>
      <c r="E248" s="98" t="s">
        <v>533</v>
      </c>
      <c r="F248" s="98" t="s">
        <v>534</v>
      </c>
      <c r="G248" s="98" t="s">
        <v>535</v>
      </c>
      <c r="H248" s="98" t="s">
        <v>1426</v>
      </c>
      <c r="I248" s="98"/>
      <c r="J248" s="98" t="s">
        <v>434</v>
      </c>
      <c r="K248" s="98" t="s">
        <v>435</v>
      </c>
      <c r="L248" s="98"/>
      <c r="M248" s="98" t="s">
        <v>9</v>
      </c>
      <c r="N248" s="98" t="s">
        <v>13</v>
      </c>
      <c r="O248" s="98" t="s">
        <v>437</v>
      </c>
      <c r="P248" s="98" t="s">
        <v>14</v>
      </c>
      <c r="Q248" s="99" t="s">
        <v>438</v>
      </c>
      <c r="R248" s="99" t="s">
        <v>536</v>
      </c>
      <c r="S248" s="179"/>
      <c r="T248" s="179"/>
      <c r="U248" s="179"/>
      <c r="V248" s="179"/>
      <c r="W248" s="179"/>
      <c r="X248" s="179"/>
      <c r="Y248" s="1"/>
      <c r="Z248" s="1"/>
      <c r="AA248" s="1"/>
      <c r="AB248" s="1"/>
      <c r="AC248" s="185" t="s">
        <v>438</v>
      </c>
      <c r="AD248" s="185"/>
      <c r="AE248" s="182"/>
      <c r="AF248" s="182"/>
      <c r="AG248" s="188"/>
      <c r="AH248" s="188"/>
      <c r="AI248" s="188"/>
      <c r="AJ248" s="188"/>
      <c r="AK248" s="1"/>
      <c r="AL248" s="1"/>
    </row>
    <row r="249" spans="1:38" x14ac:dyDescent="0.2">
      <c r="A249" s="1"/>
      <c r="B249" s="1"/>
      <c r="C249" s="106" t="s">
        <v>16</v>
      </c>
      <c r="D249" s="45"/>
      <c r="E249" s="34"/>
      <c r="F249" s="34"/>
      <c r="G249" s="34"/>
      <c r="H249" s="34"/>
      <c r="I249" s="34"/>
      <c r="J249" s="34"/>
      <c r="K249" s="34"/>
      <c r="L249" s="155"/>
      <c r="M249" s="34"/>
      <c r="N249" s="34"/>
      <c r="O249" s="34"/>
      <c r="P249" s="34"/>
      <c r="Q249" s="107"/>
      <c r="R249" s="107"/>
      <c r="S249" s="162"/>
      <c r="T249" s="162"/>
      <c r="U249" s="162"/>
      <c r="V249" s="162"/>
      <c r="W249" s="162"/>
      <c r="X249" s="162"/>
      <c r="Y249" s="1"/>
      <c r="Z249" s="1"/>
      <c r="AA249" s="1"/>
      <c r="AB249" s="13" t="s">
        <v>17</v>
      </c>
      <c r="AC249" s="78" t="s">
        <v>18</v>
      </c>
      <c r="AD249" s="79" t="s">
        <v>19</v>
      </c>
      <c r="AE249" s="177"/>
      <c r="AF249" s="178"/>
      <c r="AG249" s="177"/>
      <c r="AH249" s="178"/>
      <c r="AI249" s="177"/>
      <c r="AJ249" s="178"/>
      <c r="AK249" s="1"/>
      <c r="AL249" s="1"/>
    </row>
    <row r="250" spans="1:38" x14ac:dyDescent="0.2">
      <c r="A250" s="3"/>
      <c r="B250" s="1"/>
      <c r="C250" s="86" t="s">
        <v>811</v>
      </c>
      <c r="D250" s="183" t="s">
        <v>763</v>
      </c>
      <c r="E250" s="34"/>
      <c r="F250" s="34"/>
      <c r="G250" s="34"/>
      <c r="H250" s="45" t="s">
        <v>1772</v>
      </c>
      <c r="I250" s="34"/>
      <c r="J250" s="34" t="s">
        <v>812</v>
      </c>
      <c r="K250" s="111"/>
      <c r="L250" s="111"/>
      <c r="M250" s="34" t="s">
        <v>430</v>
      </c>
      <c r="N250" s="45" t="s">
        <v>34</v>
      </c>
      <c r="O250" s="111">
        <v>0.15</v>
      </c>
      <c r="P250" s="45">
        <v>16.925999999999998</v>
      </c>
      <c r="Q250" s="112">
        <f>AD250/$AD$256</f>
        <v>0.52974155337535034</v>
      </c>
      <c r="R250" s="112">
        <f>Q250*(1-$R$263)/(1-$Q$255)</f>
        <v>0.50509175718305466</v>
      </c>
      <c r="S250" s="180"/>
      <c r="T250" s="180"/>
      <c r="U250" s="180"/>
      <c r="V250" s="180"/>
      <c r="W250" s="180"/>
      <c r="X250" s="180"/>
      <c r="Y250" s="1"/>
      <c r="Z250" s="1"/>
      <c r="AA250" s="1"/>
      <c r="AB250" s="1">
        <v>1</v>
      </c>
      <c r="AC250" s="80">
        <v>1871055.92015839</v>
      </c>
      <c r="AD250" s="81">
        <v>31669492.504600905</v>
      </c>
      <c r="AE250" s="177"/>
      <c r="AF250" s="178"/>
      <c r="AG250" s="177"/>
      <c r="AH250" s="178"/>
      <c r="AI250" s="177"/>
      <c r="AJ250" s="178"/>
      <c r="AK250" s="1"/>
      <c r="AL250" s="1"/>
    </row>
    <row r="251" spans="1:38" x14ac:dyDescent="0.2">
      <c r="A251" s="3"/>
      <c r="B251" s="1"/>
      <c r="C251" s="86" t="s">
        <v>1204</v>
      </c>
      <c r="D251" s="183" t="s">
        <v>1138</v>
      </c>
      <c r="E251" s="34"/>
      <c r="F251" s="34"/>
      <c r="G251" s="34"/>
      <c r="H251" s="45" t="s">
        <v>1790</v>
      </c>
      <c r="I251" s="34"/>
      <c r="J251" s="34" t="s">
        <v>470</v>
      </c>
      <c r="K251" s="111"/>
      <c r="L251" s="111"/>
      <c r="M251" s="34" t="s">
        <v>803</v>
      </c>
      <c r="N251" s="45" t="s">
        <v>34</v>
      </c>
      <c r="O251" s="111">
        <v>0.52</v>
      </c>
      <c r="P251" s="45">
        <v>16.61</v>
      </c>
      <c r="Q251" s="112">
        <f t="shared" ref="Q251:Q255" si="82">AD251/$AD$256</f>
        <v>0.20266325639193153</v>
      </c>
      <c r="R251" s="112">
        <f t="shared" ref="R251:R254" si="83">Q251*(1-$R$263)/(1-$Q$255)</f>
        <v>0.19323298245193643</v>
      </c>
      <c r="S251" s="180"/>
      <c r="T251" s="180"/>
      <c r="U251" s="180"/>
      <c r="V251" s="180"/>
      <c r="W251" s="180"/>
      <c r="X251" s="180"/>
      <c r="Y251" s="1"/>
      <c r="Z251" s="1"/>
      <c r="AA251" s="1"/>
      <c r="AB251" s="1">
        <v>1</v>
      </c>
      <c r="AC251" s="80">
        <v>729428.02889410604</v>
      </c>
      <c r="AD251" s="81">
        <v>12115799.559931101</v>
      </c>
      <c r="AE251" s="177"/>
      <c r="AF251" s="178"/>
      <c r="AG251" s="177"/>
      <c r="AH251" s="178"/>
      <c r="AI251" s="177"/>
      <c r="AJ251" s="178"/>
      <c r="AK251" s="1"/>
      <c r="AL251" s="1"/>
    </row>
    <row r="252" spans="1:38" x14ac:dyDescent="0.2">
      <c r="A252" s="3"/>
      <c r="B252" s="1"/>
      <c r="C252" s="86" t="s">
        <v>1205</v>
      </c>
      <c r="D252" s="183" t="s">
        <v>1139</v>
      </c>
      <c r="E252" s="34"/>
      <c r="F252" s="34"/>
      <c r="G252" s="34"/>
      <c r="H252" s="45" t="s">
        <v>1791</v>
      </c>
      <c r="I252" s="34"/>
      <c r="J252" s="34" t="s">
        <v>812</v>
      </c>
      <c r="K252" s="111"/>
      <c r="L252" s="111"/>
      <c r="M252" s="34" t="s">
        <v>803</v>
      </c>
      <c r="N252" s="45" t="s">
        <v>34</v>
      </c>
      <c r="O252" s="111">
        <v>0.25</v>
      </c>
      <c r="P252" s="45">
        <v>15.8</v>
      </c>
      <c r="Q252" s="112">
        <f t="shared" si="82"/>
        <v>0.10783915955770854</v>
      </c>
      <c r="R252" s="112">
        <f t="shared" si="83"/>
        <v>0.10282121583079366</v>
      </c>
      <c r="S252" s="180"/>
      <c r="T252" s="180"/>
      <c r="U252" s="180"/>
      <c r="V252" s="180"/>
      <c r="W252" s="180"/>
      <c r="X252" s="180"/>
      <c r="Y252" s="1"/>
      <c r="Z252" s="1"/>
      <c r="AA252" s="1"/>
      <c r="AB252" s="1">
        <v>1</v>
      </c>
      <c r="AC252" s="80">
        <v>408034.110929897</v>
      </c>
      <c r="AD252" s="81">
        <v>6446938.9526923727</v>
      </c>
      <c r="AE252" s="177"/>
      <c r="AF252" s="178"/>
      <c r="AG252" s="177"/>
      <c r="AH252" s="178"/>
      <c r="AI252" s="177"/>
      <c r="AJ252" s="178"/>
      <c r="AK252" s="1"/>
      <c r="AL252" s="1"/>
    </row>
    <row r="253" spans="1:38" x14ac:dyDescent="0.2">
      <c r="A253" s="3"/>
      <c r="B253" s="1"/>
      <c r="C253" s="86" t="s">
        <v>1206</v>
      </c>
      <c r="D253" s="183" t="s">
        <v>1140</v>
      </c>
      <c r="E253" s="34"/>
      <c r="F253" s="34"/>
      <c r="G253" s="34"/>
      <c r="H253" s="45" t="s">
        <v>1792</v>
      </c>
      <c r="I253" s="34"/>
      <c r="J253" s="34" t="s">
        <v>812</v>
      </c>
      <c r="K253" s="111"/>
      <c r="L253" s="111"/>
      <c r="M253" s="34" t="s">
        <v>430</v>
      </c>
      <c r="N253" s="45" t="s">
        <v>34</v>
      </c>
      <c r="O253" s="111">
        <v>0.5</v>
      </c>
      <c r="P253" s="45">
        <v>12.362</v>
      </c>
      <c r="Q253" s="112">
        <f t="shared" si="82"/>
        <v>9.1461107086708113E-2</v>
      </c>
      <c r="R253" s="112">
        <f t="shared" si="83"/>
        <v>8.7205262637949796E-2</v>
      </c>
      <c r="S253" s="180"/>
      <c r="T253" s="180"/>
      <c r="U253" s="180"/>
      <c r="V253" s="180"/>
      <c r="W253" s="180"/>
      <c r="X253" s="180"/>
      <c r="Y253" s="1"/>
      <c r="Z253" s="1"/>
      <c r="AA253" s="1"/>
      <c r="AB253" s="1">
        <v>1</v>
      </c>
      <c r="AC253" s="80">
        <v>442307.98318594199</v>
      </c>
      <c r="AD253" s="81">
        <v>5467811.2881446145</v>
      </c>
      <c r="AE253" s="177"/>
      <c r="AF253" s="178"/>
      <c r="AG253" s="177"/>
      <c r="AH253" s="178"/>
      <c r="AI253" s="177"/>
      <c r="AJ253" s="178"/>
      <c r="AK253" s="1"/>
      <c r="AL253" s="1"/>
    </row>
    <row r="254" spans="1:38" x14ac:dyDescent="0.2">
      <c r="A254" s="1"/>
      <c r="B254" s="1"/>
      <c r="C254" s="86" t="s">
        <v>1207</v>
      </c>
      <c r="D254" s="183" t="s">
        <v>1141</v>
      </c>
      <c r="E254" s="34"/>
      <c r="F254" s="34"/>
      <c r="G254" s="34"/>
      <c r="H254" s="45" t="s">
        <v>1793</v>
      </c>
      <c r="I254" s="34"/>
      <c r="J254" s="34" t="s">
        <v>812</v>
      </c>
      <c r="K254" s="111"/>
      <c r="L254" s="111"/>
      <c r="M254" s="34" t="s">
        <v>430</v>
      </c>
      <c r="N254" s="45" t="s">
        <v>34</v>
      </c>
      <c r="O254" s="111">
        <v>0.5</v>
      </c>
      <c r="P254" s="45">
        <v>55.84</v>
      </c>
      <c r="Q254" s="112">
        <f t="shared" si="82"/>
        <v>5.9675590975778223E-2</v>
      </c>
      <c r="R254" s="112">
        <f t="shared" si="83"/>
        <v>5.689878189626571E-2</v>
      </c>
      <c r="S254" s="180"/>
      <c r="T254" s="180"/>
      <c r="U254" s="180"/>
      <c r="V254" s="180"/>
      <c r="W254" s="180"/>
      <c r="X254" s="180"/>
      <c r="Y254" s="1"/>
      <c r="Z254" s="1"/>
      <c r="AA254" s="1"/>
      <c r="AB254" s="1">
        <v>1</v>
      </c>
      <c r="AC254" s="80">
        <v>63889.337131545202</v>
      </c>
      <c r="AD254" s="81">
        <v>3567580.5854254845</v>
      </c>
      <c r="AE254" s="177"/>
      <c r="AF254" s="178"/>
      <c r="AG254" s="177"/>
      <c r="AH254" s="178"/>
      <c r="AI254" s="177"/>
      <c r="AJ254" s="178"/>
      <c r="AK254" s="1"/>
      <c r="AL254" s="1"/>
    </row>
    <row r="255" spans="1:38" x14ac:dyDescent="0.2">
      <c r="A255" s="3"/>
      <c r="B255" s="3"/>
      <c r="C255" s="86" t="s">
        <v>790</v>
      </c>
      <c r="D255" s="183" t="s">
        <v>34</v>
      </c>
      <c r="E255" s="34"/>
      <c r="F255" s="34"/>
      <c r="G255" s="34"/>
      <c r="H255" s="34"/>
      <c r="I255" s="34"/>
      <c r="J255" s="157" t="s">
        <v>80</v>
      </c>
      <c r="K255" s="111"/>
      <c r="L255" s="111"/>
      <c r="M255" s="34"/>
      <c r="N255" s="45" t="s">
        <v>34</v>
      </c>
      <c r="O255" s="34"/>
      <c r="P255" s="45">
        <v>1</v>
      </c>
      <c r="Q255" s="112">
        <f t="shared" si="82"/>
        <v>8.619332612523449E-3</v>
      </c>
      <c r="R255" s="112">
        <f>R263</f>
        <v>5.475E-2</v>
      </c>
      <c r="S255" s="180"/>
      <c r="T255" s="180"/>
      <c r="U255" s="180"/>
      <c r="V255" s="180"/>
      <c r="W255" s="180"/>
      <c r="X255" s="180"/>
      <c r="Y255" s="1"/>
      <c r="Z255" s="1"/>
      <c r="AA255" s="1"/>
      <c r="AB255" s="1">
        <v>1</v>
      </c>
      <c r="AC255" s="80">
        <v>515288.80041162198</v>
      </c>
      <c r="AD255" s="81">
        <v>515288.80041162198</v>
      </c>
      <c r="AE255" s="177"/>
      <c r="AF255" s="178"/>
      <c r="AG255" s="177"/>
      <c r="AH255" s="178"/>
      <c r="AI255" s="177"/>
      <c r="AJ255" s="178"/>
      <c r="AK255" s="1"/>
      <c r="AL255" s="1"/>
    </row>
    <row r="256" spans="1:38" x14ac:dyDescent="0.2">
      <c r="A256" s="1"/>
      <c r="B256" s="1"/>
      <c r="C256" s="86"/>
      <c r="D256" s="156"/>
      <c r="E256" s="34"/>
      <c r="F256" s="34"/>
      <c r="G256" s="34"/>
      <c r="H256" s="34"/>
      <c r="I256" s="34"/>
      <c r="J256" s="111"/>
      <c r="K256" s="111"/>
      <c r="L256" s="111"/>
      <c r="M256" s="34"/>
      <c r="N256" s="45"/>
      <c r="O256" s="34"/>
      <c r="P256" s="34"/>
      <c r="Q256" s="112"/>
      <c r="R256" s="112"/>
      <c r="S256" s="180"/>
      <c r="T256" s="180"/>
      <c r="U256" s="180"/>
      <c r="V256" s="180"/>
      <c r="W256" s="180"/>
      <c r="X256" s="180"/>
      <c r="Y256" s="1"/>
      <c r="Z256" s="1"/>
      <c r="AA256" s="1"/>
      <c r="AB256" s="1"/>
      <c r="AC256" s="40"/>
      <c r="AD256" s="82">
        <v>59782911.69120609</v>
      </c>
      <c r="AE256" s="177"/>
      <c r="AF256" s="181"/>
      <c r="AG256" s="177"/>
      <c r="AH256" s="181"/>
      <c r="AI256" s="177"/>
      <c r="AJ256" s="181"/>
      <c r="AK256" s="1"/>
      <c r="AL256" s="1"/>
    </row>
    <row r="257" spans="1:38" x14ac:dyDescent="0.2">
      <c r="A257" s="1"/>
      <c r="B257" s="1"/>
      <c r="C257" s="119"/>
      <c r="D257" s="122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121" t="s">
        <v>81</v>
      </c>
      <c r="Q257" s="107">
        <f>SUM(Q250:Q255)</f>
        <v>1</v>
      </c>
      <c r="R257" s="107"/>
      <c r="S257" s="162"/>
      <c r="T257" s="162"/>
      <c r="U257" s="162"/>
      <c r="V257" s="162"/>
      <c r="W257" s="162"/>
      <c r="X257" s="162"/>
      <c r="Y257" s="8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</row>
    <row r="258" spans="1:38" ht="15" thickBo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</row>
    <row r="259" spans="1:38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29" t="s">
        <v>86</v>
      </c>
      <c r="R259" s="130">
        <v>100000</v>
      </c>
      <c r="S259" s="1"/>
      <c r="T259" s="131"/>
      <c r="U259" s="1"/>
      <c r="V259" s="131"/>
      <c r="W259" s="1"/>
      <c r="X259" s="13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</row>
    <row r="260" spans="1:38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32" t="s">
        <v>85</v>
      </c>
      <c r="R260" s="133">
        <v>5000</v>
      </c>
      <c r="S260" s="1"/>
      <c r="T260" s="131"/>
      <c r="U260" s="1"/>
      <c r="V260" s="131"/>
      <c r="W260" s="1"/>
      <c r="X260" s="13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</row>
    <row r="261" spans="1:38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32" t="s">
        <v>88</v>
      </c>
      <c r="R261" s="134">
        <f>(R259-R260)*0.5%</f>
        <v>475</v>
      </c>
      <c r="S261" s="1"/>
      <c r="T261" s="135"/>
      <c r="U261" s="1"/>
      <c r="V261" s="135"/>
      <c r="W261" s="1"/>
      <c r="X261" s="135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</row>
    <row r="262" spans="1:38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32" t="s">
        <v>87</v>
      </c>
      <c r="R262" s="134">
        <f>R260+R261</f>
        <v>5475</v>
      </c>
      <c r="S262" s="1"/>
      <c r="T262" s="135"/>
      <c r="U262" s="1"/>
      <c r="V262" s="135"/>
      <c r="W262" s="1"/>
      <c r="X262" s="135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</row>
    <row r="263" spans="1:38" ht="15" thickBo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36" t="s">
        <v>89</v>
      </c>
      <c r="R263" s="137">
        <f>R262/R259</f>
        <v>5.475E-2</v>
      </c>
      <c r="S263" s="1"/>
      <c r="T263" s="138"/>
      <c r="U263" s="1"/>
      <c r="V263" s="138"/>
      <c r="W263" s="1"/>
      <c r="X263" s="138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</row>
    <row r="264" spans="1:38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</row>
    <row r="265" spans="1:38" x14ac:dyDescent="0.2">
      <c r="A265" s="76" t="s">
        <v>0</v>
      </c>
      <c r="B265" s="1"/>
      <c r="C265" s="95" t="s">
        <v>1142</v>
      </c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176"/>
      <c r="T265" s="176"/>
      <c r="U265" s="1"/>
      <c r="V265" s="1"/>
      <c r="W265" s="177"/>
      <c r="X265" s="178"/>
      <c r="Y265" s="40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</row>
    <row r="266" spans="1:38" x14ac:dyDescent="0.2">
      <c r="A266" s="154">
        <v>45434</v>
      </c>
      <c r="B266" s="1"/>
      <c r="C266" s="97" t="s">
        <v>5</v>
      </c>
      <c r="D266" s="98" t="s">
        <v>91</v>
      </c>
      <c r="E266" s="98" t="s">
        <v>533</v>
      </c>
      <c r="F266" s="98" t="s">
        <v>534</v>
      </c>
      <c r="G266" s="98" t="s">
        <v>535</v>
      </c>
      <c r="H266" s="98" t="s">
        <v>1426</v>
      </c>
      <c r="I266" s="98"/>
      <c r="J266" s="98" t="s">
        <v>434</v>
      </c>
      <c r="K266" s="98" t="s">
        <v>435</v>
      </c>
      <c r="L266" s="98"/>
      <c r="M266" s="98" t="s">
        <v>9</v>
      </c>
      <c r="N266" s="98" t="s">
        <v>13</v>
      </c>
      <c r="O266" s="98" t="s">
        <v>437</v>
      </c>
      <c r="P266" s="98" t="s">
        <v>14</v>
      </c>
      <c r="Q266" s="99" t="s">
        <v>438</v>
      </c>
      <c r="R266" s="99" t="s">
        <v>536</v>
      </c>
      <c r="S266" s="179"/>
      <c r="T266" s="179"/>
      <c r="U266" s="179"/>
      <c r="V266" s="179"/>
      <c r="W266" s="179"/>
      <c r="X266" s="179"/>
      <c r="Y266" s="1"/>
      <c r="Z266" s="1"/>
      <c r="AA266" s="1"/>
      <c r="AB266" s="1"/>
      <c r="AC266" s="185" t="s">
        <v>438</v>
      </c>
      <c r="AD266" s="185"/>
      <c r="AE266" s="1"/>
      <c r="AF266" s="1"/>
      <c r="AG266" s="1"/>
      <c r="AH266" s="1"/>
      <c r="AI266" s="1"/>
      <c r="AJ266" s="1"/>
      <c r="AK266" s="1"/>
      <c r="AL266" s="1"/>
    </row>
    <row r="267" spans="1:38" x14ac:dyDescent="0.2">
      <c r="A267" s="1"/>
      <c r="B267" s="1"/>
      <c r="C267" s="106" t="s">
        <v>16</v>
      </c>
      <c r="D267" s="45"/>
      <c r="E267" s="34"/>
      <c r="F267" s="34"/>
      <c r="G267" s="34"/>
      <c r="H267" s="34"/>
      <c r="I267" s="34"/>
      <c r="J267" s="34"/>
      <c r="K267" s="34"/>
      <c r="L267" s="155"/>
      <c r="M267" s="34"/>
      <c r="N267" s="34"/>
      <c r="O267" s="34"/>
      <c r="P267" s="34"/>
      <c r="Q267" s="107"/>
      <c r="R267" s="107"/>
      <c r="S267" s="162"/>
      <c r="T267" s="162"/>
      <c r="U267" s="162"/>
      <c r="V267" s="162"/>
      <c r="W267" s="162"/>
      <c r="X267" s="162"/>
      <c r="Y267" s="1"/>
      <c r="Z267" s="1"/>
      <c r="AA267" s="1"/>
      <c r="AB267" s="13" t="s">
        <v>17</v>
      </c>
      <c r="AC267" s="78" t="s">
        <v>18</v>
      </c>
      <c r="AD267" s="79" t="s">
        <v>19</v>
      </c>
      <c r="AE267" s="1"/>
      <c r="AF267" s="1"/>
      <c r="AG267" s="1"/>
      <c r="AH267" s="1"/>
      <c r="AI267" s="1"/>
      <c r="AJ267" s="1"/>
      <c r="AK267" s="1"/>
      <c r="AL267" s="1"/>
    </row>
    <row r="268" spans="1:38" x14ac:dyDescent="0.2">
      <c r="A268" s="3"/>
      <c r="B268" s="1"/>
      <c r="C268" s="86" t="s">
        <v>1208</v>
      </c>
      <c r="D268" s="183" t="s">
        <v>1144</v>
      </c>
      <c r="E268" s="34"/>
      <c r="F268" s="34"/>
      <c r="G268" s="34"/>
      <c r="H268" s="45" t="s">
        <v>1794</v>
      </c>
      <c r="I268" s="34"/>
      <c r="J268" s="34" t="s">
        <v>470</v>
      </c>
      <c r="K268" s="111"/>
      <c r="L268" s="111"/>
      <c r="M268" s="34" t="s">
        <v>902</v>
      </c>
      <c r="N268" s="45" t="s">
        <v>94</v>
      </c>
      <c r="O268" s="111">
        <v>4.9500000000000002E-2</v>
      </c>
      <c r="P268" s="45">
        <v>381.3</v>
      </c>
      <c r="Q268" s="112">
        <f>AD268/$AD$277</f>
        <v>0.33316353849677244</v>
      </c>
      <c r="R268" s="112">
        <f>Q268*(1-$R$284)/(1-$Q$276)</f>
        <v>0.31604051145502016</v>
      </c>
      <c r="S268" s="180"/>
      <c r="T268" s="180"/>
      <c r="U268" s="180"/>
      <c r="V268" s="180"/>
      <c r="W268" s="180"/>
      <c r="X268" s="180"/>
      <c r="Y268" s="1"/>
      <c r="Z268" s="1"/>
      <c r="AA268" s="1"/>
      <c r="AB268" s="1">
        <v>6.3369999999999998E-3</v>
      </c>
      <c r="AC268" s="80">
        <v>26445590.6949935</v>
      </c>
      <c r="AD268" s="81">
        <v>63900430.549690478</v>
      </c>
      <c r="AE268" s="1"/>
      <c r="AF268" s="1"/>
      <c r="AG268" s="1"/>
      <c r="AH268" s="1"/>
      <c r="AI268" s="1"/>
      <c r="AJ268" s="1"/>
      <c r="AK268" s="1"/>
      <c r="AL268" s="1"/>
    </row>
    <row r="269" spans="1:38" x14ac:dyDescent="0.2">
      <c r="A269" s="3"/>
      <c r="B269" s="1"/>
      <c r="C269" s="86" t="s">
        <v>1209</v>
      </c>
      <c r="D269" s="183" t="s">
        <v>1145</v>
      </c>
      <c r="E269" s="34"/>
      <c r="F269" s="34"/>
      <c r="G269" s="34"/>
      <c r="H269" s="45" t="s">
        <v>1795</v>
      </c>
      <c r="I269" s="34"/>
      <c r="J269" s="34" t="s">
        <v>470</v>
      </c>
      <c r="K269" s="111"/>
      <c r="L269" s="111"/>
      <c r="M269" s="34" t="s">
        <v>862</v>
      </c>
      <c r="N269" s="45" t="s">
        <v>82</v>
      </c>
      <c r="O269" s="111">
        <v>0.09</v>
      </c>
      <c r="P269" s="45">
        <v>93.76</v>
      </c>
      <c r="Q269" s="112">
        <f t="shared" ref="Q269:Q276" si="84">AD269/$AD$277</f>
        <v>0.14833106458435905</v>
      </c>
      <c r="R269" s="112">
        <f t="shared" ref="R269:R275" si="85">Q269*(1-$R$284)/(1-$Q$276)</f>
        <v>0.14070755079449546</v>
      </c>
      <c r="S269" s="180"/>
      <c r="T269" s="180"/>
      <c r="U269" s="180"/>
      <c r="V269" s="180"/>
      <c r="W269" s="180"/>
      <c r="X269" s="180"/>
      <c r="Y269" s="1"/>
      <c r="Z269" s="1"/>
      <c r="AA269" s="1"/>
      <c r="AB269" s="1">
        <v>0.12784999999999999</v>
      </c>
      <c r="AC269" s="80">
        <v>2373340.7768501798</v>
      </c>
      <c r="AD269" s="81">
        <v>28449748.533710904</v>
      </c>
      <c r="AE269" s="1"/>
      <c r="AF269" s="1"/>
      <c r="AG269" s="1"/>
      <c r="AH269" s="1"/>
      <c r="AI269" s="1"/>
      <c r="AJ269" s="1"/>
      <c r="AK269" s="1"/>
      <c r="AL269" s="1"/>
    </row>
    <row r="270" spans="1:38" x14ac:dyDescent="0.2">
      <c r="A270" s="3"/>
      <c r="B270" s="1"/>
      <c r="C270" s="86" t="s">
        <v>779</v>
      </c>
      <c r="D270" s="183" t="s">
        <v>448</v>
      </c>
      <c r="E270" s="34"/>
      <c r="F270" s="34"/>
      <c r="G270" s="34"/>
      <c r="H270" s="45" t="s">
        <v>1796</v>
      </c>
      <c r="I270" s="34"/>
      <c r="J270" s="34" t="s">
        <v>470</v>
      </c>
      <c r="K270" s="111"/>
      <c r="L270" s="111"/>
      <c r="M270" s="34" t="s">
        <v>777</v>
      </c>
      <c r="N270" s="45" t="s">
        <v>34</v>
      </c>
      <c r="O270" s="111">
        <v>0.28000000000000003</v>
      </c>
      <c r="P270" s="45">
        <v>9.3979999999999997</v>
      </c>
      <c r="Q270" s="112">
        <f t="shared" si="84"/>
        <v>0.12281090003581031</v>
      </c>
      <c r="R270" s="112">
        <f t="shared" si="85"/>
        <v>0.11649900176559942</v>
      </c>
      <c r="S270" s="180"/>
      <c r="T270" s="180"/>
      <c r="U270" s="180"/>
      <c r="V270" s="180"/>
      <c r="W270" s="180"/>
      <c r="X270" s="180"/>
      <c r="Y270" s="1"/>
      <c r="Z270" s="1"/>
      <c r="AA270" s="1"/>
      <c r="AB270" s="1">
        <v>1</v>
      </c>
      <c r="AC270" s="80">
        <v>2506385.0522450502</v>
      </c>
      <c r="AD270" s="81">
        <v>23555006.72099898</v>
      </c>
      <c r="AE270" s="1"/>
      <c r="AF270" s="1"/>
      <c r="AG270" s="1"/>
      <c r="AH270" s="1"/>
      <c r="AI270" s="1"/>
      <c r="AJ270" s="1"/>
      <c r="AK270" s="1"/>
      <c r="AL270" s="1"/>
    </row>
    <row r="271" spans="1:38" x14ac:dyDescent="0.2">
      <c r="A271" s="3"/>
      <c r="B271" s="1"/>
      <c r="C271" s="86" t="s">
        <v>1210</v>
      </c>
      <c r="D271" s="183" t="s">
        <v>1146</v>
      </c>
      <c r="E271" s="34"/>
      <c r="F271" s="34"/>
      <c r="G271" s="34"/>
      <c r="H271" s="45" t="s">
        <v>1797</v>
      </c>
      <c r="I271" s="34"/>
      <c r="J271" s="34" t="s">
        <v>470</v>
      </c>
      <c r="K271" s="111"/>
      <c r="L271" s="111"/>
      <c r="M271" s="34" t="s">
        <v>430</v>
      </c>
      <c r="N271" s="45" t="s">
        <v>34</v>
      </c>
      <c r="O271" s="111">
        <v>0.65</v>
      </c>
      <c r="P271" s="45">
        <v>91.3</v>
      </c>
      <c r="Q271" s="112">
        <f t="shared" si="84"/>
        <v>0.1149166318806434</v>
      </c>
      <c r="R271" s="112">
        <f t="shared" si="85"/>
        <v>0.10901046158326431</v>
      </c>
      <c r="S271" s="180"/>
      <c r="T271" s="180"/>
      <c r="U271" s="180"/>
      <c r="V271" s="180"/>
      <c r="W271" s="180"/>
      <c r="X271" s="180"/>
      <c r="Y271" s="1"/>
      <c r="Z271" s="1"/>
      <c r="AA271" s="1"/>
      <c r="AB271" s="1">
        <v>1</v>
      </c>
      <c r="AC271" s="80">
        <v>241411.76400318299</v>
      </c>
      <c r="AD271" s="81">
        <v>22040894.053490605</v>
      </c>
      <c r="AE271" s="1"/>
      <c r="AF271" s="1"/>
      <c r="AG271" s="1"/>
      <c r="AH271" s="1"/>
      <c r="AI271" s="1"/>
      <c r="AJ271" s="1"/>
      <c r="AK271" s="1"/>
      <c r="AL271" s="1"/>
    </row>
    <row r="272" spans="1:38" x14ac:dyDescent="0.2">
      <c r="A272" s="3"/>
      <c r="B272" s="1"/>
      <c r="C272" s="86" t="s">
        <v>1211</v>
      </c>
      <c r="D272" s="183" t="s">
        <v>1147</v>
      </c>
      <c r="E272" s="34"/>
      <c r="F272" s="34"/>
      <c r="G272" s="34"/>
      <c r="H272" s="45" t="s">
        <v>1798</v>
      </c>
      <c r="I272" s="34"/>
      <c r="J272" s="34" t="s">
        <v>470</v>
      </c>
      <c r="K272" s="111"/>
      <c r="L272" s="111"/>
      <c r="M272" s="34" t="s">
        <v>777</v>
      </c>
      <c r="N272" s="45" t="s">
        <v>34</v>
      </c>
      <c r="O272" s="111">
        <v>0.74</v>
      </c>
      <c r="P272" s="45">
        <v>133.47</v>
      </c>
      <c r="Q272" s="112">
        <f t="shared" si="84"/>
        <v>9.0125765336847422E-2</v>
      </c>
      <c r="R272" s="112">
        <f t="shared" si="85"/>
        <v>8.5493728097765176E-2</v>
      </c>
      <c r="S272" s="180"/>
      <c r="T272" s="180"/>
      <c r="U272" s="180"/>
      <c r="V272" s="180"/>
      <c r="W272" s="180"/>
      <c r="X272" s="180"/>
      <c r="Y272" s="1"/>
      <c r="Z272" s="1"/>
      <c r="AA272" s="1"/>
      <c r="AB272" s="1">
        <v>1</v>
      </c>
      <c r="AC272" s="80">
        <v>129512.481173971</v>
      </c>
      <c r="AD272" s="81">
        <v>17286030.862289909</v>
      </c>
      <c r="AE272" s="1"/>
      <c r="AF272" s="1"/>
      <c r="AG272" s="1"/>
      <c r="AH272" s="1"/>
      <c r="AI272" s="1"/>
      <c r="AJ272" s="1"/>
      <c r="AK272" s="1"/>
      <c r="AL272" s="1"/>
    </row>
    <row r="273" spans="1:38" x14ac:dyDescent="0.2">
      <c r="A273" s="3"/>
      <c r="B273" s="1"/>
      <c r="C273" s="86" t="s">
        <v>1799</v>
      </c>
      <c r="D273" s="183" t="s">
        <v>1148</v>
      </c>
      <c r="E273" s="34"/>
      <c r="F273" s="34"/>
      <c r="G273" s="34"/>
      <c r="H273" s="45" t="s">
        <v>1800</v>
      </c>
      <c r="I273" s="34"/>
      <c r="J273" s="34" t="s">
        <v>470</v>
      </c>
      <c r="K273" s="111"/>
      <c r="L273" s="111"/>
      <c r="M273" s="34" t="s">
        <v>932</v>
      </c>
      <c r="N273" s="45" t="s">
        <v>933</v>
      </c>
      <c r="O273" s="111">
        <v>0.28000000000000003</v>
      </c>
      <c r="P273" s="45">
        <v>4.8630000000000004</v>
      </c>
      <c r="Q273" s="112">
        <f t="shared" si="84"/>
        <v>6.5852022564406698E-2</v>
      </c>
      <c r="R273" s="112">
        <f t="shared" si="85"/>
        <v>6.2467540672384345E-2</v>
      </c>
      <c r="S273" s="180"/>
      <c r="T273" s="180"/>
      <c r="U273" s="180"/>
      <c r="V273" s="180"/>
      <c r="W273" s="180"/>
      <c r="X273" s="180"/>
      <c r="Y273" s="1"/>
      <c r="Z273" s="1"/>
      <c r="AA273" s="1"/>
      <c r="AB273" s="1">
        <v>0.7823</v>
      </c>
      <c r="AC273" s="80">
        <v>3319998.1128585399</v>
      </c>
      <c r="AD273" s="81">
        <v>12630351.488700755</v>
      </c>
      <c r="AE273" s="1"/>
      <c r="AF273" s="1"/>
      <c r="AG273" s="1"/>
      <c r="AH273" s="1"/>
      <c r="AI273" s="1"/>
      <c r="AJ273" s="1"/>
      <c r="AK273" s="1"/>
      <c r="AL273" s="1"/>
    </row>
    <row r="274" spans="1:38" x14ac:dyDescent="0.2">
      <c r="A274" s="3"/>
      <c r="B274" s="1"/>
      <c r="C274" s="86" t="s">
        <v>1212</v>
      </c>
      <c r="D274" s="183" t="s">
        <v>1149</v>
      </c>
      <c r="E274" s="34"/>
      <c r="F274" s="34"/>
      <c r="G274" s="34"/>
      <c r="H274" s="45" t="s">
        <v>1801</v>
      </c>
      <c r="I274" s="34"/>
      <c r="J274" s="34" t="s">
        <v>470</v>
      </c>
      <c r="K274" s="111"/>
      <c r="L274" s="111"/>
      <c r="M274" s="34" t="s">
        <v>838</v>
      </c>
      <c r="N274" s="45" t="s">
        <v>431</v>
      </c>
      <c r="O274" s="111">
        <v>7.0000000000000007E-2</v>
      </c>
      <c r="P274" s="45">
        <v>110.44</v>
      </c>
      <c r="Q274" s="112">
        <f t="shared" si="84"/>
        <v>6.7280297648763726E-2</v>
      </c>
      <c r="R274" s="112">
        <f t="shared" si="85"/>
        <v>6.3822409185893755E-2</v>
      </c>
      <c r="S274" s="180"/>
      <c r="T274" s="180"/>
      <c r="U274" s="180"/>
      <c r="V274" s="180"/>
      <c r="W274" s="180"/>
      <c r="X274" s="180"/>
      <c r="Y274" s="1"/>
      <c r="Z274" s="1"/>
      <c r="AA274" s="1"/>
      <c r="AB274" s="1">
        <v>0.70340000000000003</v>
      </c>
      <c r="AC274" s="80">
        <v>166113.70333887899</v>
      </c>
      <c r="AD274" s="81">
        <v>12904293.208870992</v>
      </c>
      <c r="AE274" s="1"/>
      <c r="AF274" s="1"/>
      <c r="AG274" s="1"/>
      <c r="AH274" s="1"/>
      <c r="AI274" s="1"/>
      <c r="AJ274" s="1"/>
      <c r="AK274" s="1"/>
      <c r="AL274" s="1"/>
    </row>
    <row r="275" spans="1:38" x14ac:dyDescent="0.2">
      <c r="A275" s="1"/>
      <c r="B275" s="1"/>
      <c r="C275" s="86" t="s">
        <v>1213</v>
      </c>
      <c r="D275" s="183" t="s">
        <v>1150</v>
      </c>
      <c r="E275" s="34"/>
      <c r="F275" s="34"/>
      <c r="G275" s="34"/>
      <c r="H275" s="45" t="s">
        <v>1802</v>
      </c>
      <c r="I275" s="34"/>
      <c r="J275" s="34" t="s">
        <v>470</v>
      </c>
      <c r="K275" s="111"/>
      <c r="L275" s="111"/>
      <c r="M275" s="34" t="s">
        <v>777</v>
      </c>
      <c r="N275" s="45" t="s">
        <v>34</v>
      </c>
      <c r="O275" s="111">
        <v>0.19</v>
      </c>
      <c r="P275" s="45">
        <v>41.607999999999997</v>
      </c>
      <c r="Q275" s="112">
        <f t="shared" si="84"/>
        <v>5.3983281280690069E-2</v>
      </c>
      <c r="R275" s="112">
        <f t="shared" si="85"/>
        <v>5.1208796445577388E-2</v>
      </c>
      <c r="S275" s="180"/>
      <c r="T275" s="180"/>
      <c r="U275" s="180"/>
      <c r="V275" s="180"/>
      <c r="W275" s="180"/>
      <c r="X275" s="180"/>
      <c r="Y275" s="1"/>
      <c r="Z275" s="1"/>
      <c r="AA275" s="1"/>
      <c r="AB275" s="1">
        <v>1</v>
      </c>
      <c r="AC275" s="80">
        <v>248844.90686996901</v>
      </c>
      <c r="AD275" s="81">
        <v>10353938.88504567</v>
      </c>
      <c r="AE275" s="1"/>
      <c r="AF275" s="1"/>
      <c r="AG275" s="1"/>
      <c r="AH275" s="1"/>
      <c r="AI275" s="1"/>
      <c r="AJ275" s="1"/>
      <c r="AK275" s="1"/>
      <c r="AL275" s="1"/>
    </row>
    <row r="276" spans="1:38" x14ac:dyDescent="0.2">
      <c r="A276" s="3"/>
      <c r="B276" s="3"/>
      <c r="C276" s="86" t="s">
        <v>790</v>
      </c>
      <c r="D276" s="183" t="s">
        <v>34</v>
      </c>
      <c r="E276" s="34"/>
      <c r="F276" s="34"/>
      <c r="G276" s="34"/>
      <c r="H276" s="34"/>
      <c r="I276" s="34"/>
      <c r="J276" s="157" t="s">
        <v>80</v>
      </c>
      <c r="K276" s="111"/>
      <c r="L276" s="111"/>
      <c r="M276" s="34"/>
      <c r="N276" s="45" t="s">
        <v>34</v>
      </c>
      <c r="O276" s="34"/>
      <c r="P276" s="45">
        <v>1</v>
      </c>
      <c r="Q276" s="112">
        <f t="shared" si="84"/>
        <v>3.536498171706909E-3</v>
      </c>
      <c r="R276" s="112">
        <f>R284</f>
        <v>5.475E-2</v>
      </c>
      <c r="S276" s="180"/>
      <c r="T276" s="180"/>
      <c r="U276" s="180"/>
      <c r="V276" s="180"/>
      <c r="W276" s="180"/>
      <c r="X276" s="180"/>
      <c r="Y276" s="1"/>
      <c r="Z276" s="1"/>
      <c r="AA276" s="1"/>
      <c r="AB276" s="1">
        <v>1</v>
      </c>
      <c r="AC276" s="80">
        <v>678296.78130415804</v>
      </c>
      <c r="AD276" s="81">
        <v>678296.78130415804</v>
      </c>
      <c r="AE276" s="1"/>
      <c r="AF276" s="1"/>
      <c r="AG276" s="1"/>
      <c r="AH276" s="1"/>
      <c r="AI276" s="1"/>
      <c r="AJ276" s="1"/>
      <c r="AK276" s="1"/>
      <c r="AL276" s="1"/>
    </row>
    <row r="277" spans="1:38" x14ac:dyDescent="0.2">
      <c r="A277" s="1"/>
      <c r="B277" s="1"/>
      <c r="C277" s="86"/>
      <c r="D277" s="156"/>
      <c r="E277" s="34"/>
      <c r="F277" s="34"/>
      <c r="G277" s="34"/>
      <c r="H277" s="34"/>
      <c r="I277" s="34"/>
      <c r="J277" s="111"/>
      <c r="K277" s="111"/>
      <c r="L277" s="111"/>
      <c r="M277" s="34"/>
      <c r="N277" s="45"/>
      <c r="O277" s="34"/>
      <c r="P277" s="34"/>
      <c r="Q277" s="112"/>
      <c r="R277" s="112"/>
      <c r="S277" s="180"/>
      <c r="T277" s="180"/>
      <c r="U277" s="180"/>
      <c r="V277" s="180"/>
      <c r="W277" s="180"/>
      <c r="X277" s="180"/>
      <c r="Y277" s="1"/>
      <c r="Z277" s="1"/>
      <c r="AA277" s="1"/>
      <c r="AB277" s="1"/>
      <c r="AC277" s="40"/>
      <c r="AD277" s="82">
        <v>191798991.08410245</v>
      </c>
      <c r="AE277" s="1"/>
      <c r="AF277" s="1"/>
      <c r="AG277" s="1"/>
      <c r="AH277" s="1"/>
      <c r="AI277" s="1"/>
      <c r="AJ277" s="1"/>
      <c r="AK277" s="1"/>
      <c r="AL277" s="1"/>
    </row>
    <row r="278" spans="1:38" x14ac:dyDescent="0.2">
      <c r="A278" s="1"/>
      <c r="B278" s="1"/>
      <c r="C278" s="119"/>
      <c r="D278" s="122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121" t="s">
        <v>81</v>
      </c>
      <c r="Q278" s="107">
        <f>SUM(Q268:Q276)</f>
        <v>1</v>
      </c>
      <c r="R278" s="107"/>
      <c r="S278" s="162"/>
      <c r="T278" s="162"/>
      <c r="U278" s="162"/>
      <c r="V278" s="162"/>
      <c r="W278" s="162"/>
      <c r="X278" s="162"/>
      <c r="Y278" s="8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</row>
    <row r="279" spans="1:38" ht="15" thickBo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</row>
    <row r="280" spans="1:38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29" t="s">
        <v>86</v>
      </c>
      <c r="R280" s="130">
        <v>100000</v>
      </c>
      <c r="S280" s="1"/>
      <c r="T280" s="131"/>
      <c r="U280" s="1"/>
      <c r="V280" s="131"/>
      <c r="W280" s="1"/>
      <c r="X280" s="13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</row>
    <row r="281" spans="1:38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32" t="s">
        <v>85</v>
      </c>
      <c r="R281" s="133">
        <v>5000</v>
      </c>
      <c r="S281" s="1"/>
      <c r="T281" s="131"/>
      <c r="U281" s="1"/>
      <c r="V281" s="131"/>
      <c r="W281" s="1"/>
      <c r="X281" s="13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</row>
    <row r="282" spans="1:38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32" t="s">
        <v>88</v>
      </c>
      <c r="R282" s="134">
        <f>(R280-R281)*0.5%</f>
        <v>475</v>
      </c>
      <c r="S282" s="1"/>
      <c r="T282" s="135"/>
      <c r="U282" s="1"/>
      <c r="V282" s="135"/>
      <c r="W282" s="1"/>
      <c r="X282" s="135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</row>
    <row r="283" spans="1:38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32" t="s">
        <v>87</v>
      </c>
      <c r="R283" s="134">
        <f>R281+R282</f>
        <v>5475</v>
      </c>
      <c r="S283" s="1"/>
      <c r="T283" s="135"/>
      <c r="U283" s="1"/>
      <c r="V283" s="135"/>
      <c r="W283" s="1"/>
      <c r="X283" s="135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</row>
    <row r="284" spans="1:38" ht="15" thickBo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36" t="s">
        <v>89</v>
      </c>
      <c r="R284" s="137">
        <f>R283/R280</f>
        <v>5.475E-2</v>
      </c>
      <c r="S284" s="1"/>
      <c r="T284" s="138"/>
      <c r="U284" s="1"/>
      <c r="V284" s="138"/>
      <c r="W284" s="1"/>
      <c r="X284" s="138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</row>
    <row r="285" spans="1:38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</row>
    <row r="286" spans="1:38" x14ac:dyDescent="0.2">
      <c r="A286" s="76" t="s">
        <v>0</v>
      </c>
      <c r="B286" s="1"/>
      <c r="C286" s="95" t="s">
        <v>1151</v>
      </c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176"/>
      <c r="T286" s="176"/>
      <c r="U286" s="1"/>
      <c r="V286" s="1"/>
      <c r="W286" s="177"/>
      <c r="X286" s="178"/>
      <c r="Y286" s="40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</row>
    <row r="287" spans="1:38" x14ac:dyDescent="0.2">
      <c r="A287" s="154">
        <v>45434</v>
      </c>
      <c r="B287" s="1"/>
      <c r="C287" s="97" t="s">
        <v>5</v>
      </c>
      <c r="D287" s="98" t="s">
        <v>91</v>
      </c>
      <c r="E287" s="98" t="s">
        <v>533</v>
      </c>
      <c r="F287" s="98" t="s">
        <v>534</v>
      </c>
      <c r="G287" s="98" t="s">
        <v>535</v>
      </c>
      <c r="H287" s="98" t="s">
        <v>1426</v>
      </c>
      <c r="I287" s="98"/>
      <c r="J287" s="98" t="s">
        <v>434</v>
      </c>
      <c r="K287" s="98" t="s">
        <v>435</v>
      </c>
      <c r="L287" s="98"/>
      <c r="M287" s="98" t="s">
        <v>9</v>
      </c>
      <c r="N287" s="98" t="s">
        <v>13</v>
      </c>
      <c r="O287" s="98" t="s">
        <v>437</v>
      </c>
      <c r="P287" s="98" t="s">
        <v>14</v>
      </c>
      <c r="Q287" s="99" t="s">
        <v>438</v>
      </c>
      <c r="R287" s="99" t="s">
        <v>536</v>
      </c>
      <c r="S287" s="179"/>
      <c r="T287" s="179"/>
      <c r="U287" s="179"/>
      <c r="V287" s="179"/>
      <c r="W287" s="179"/>
      <c r="X287" s="179"/>
      <c r="Y287" s="1"/>
      <c r="Z287" s="1"/>
      <c r="AA287" s="1"/>
      <c r="AB287" s="1"/>
      <c r="AC287" s="185" t="s">
        <v>438</v>
      </c>
      <c r="AD287" s="185"/>
      <c r="AE287" s="1"/>
      <c r="AF287" s="1"/>
      <c r="AG287" s="1"/>
      <c r="AH287" s="1"/>
      <c r="AI287" s="1"/>
      <c r="AJ287" s="1"/>
      <c r="AK287" s="1"/>
      <c r="AL287" s="1"/>
    </row>
    <row r="288" spans="1:38" x14ac:dyDescent="0.2">
      <c r="A288" s="1"/>
      <c r="B288" s="1"/>
      <c r="C288" s="106" t="s">
        <v>16</v>
      </c>
      <c r="D288" s="45"/>
      <c r="E288" s="34"/>
      <c r="F288" s="34"/>
      <c r="G288" s="34"/>
      <c r="H288" s="34"/>
      <c r="I288" s="34"/>
      <c r="J288" s="34"/>
      <c r="K288" s="34"/>
      <c r="L288" s="155"/>
      <c r="M288" s="34"/>
      <c r="N288" s="34"/>
      <c r="O288" s="34"/>
      <c r="P288" s="34"/>
      <c r="Q288" s="107"/>
      <c r="R288" s="107"/>
      <c r="S288" s="162"/>
      <c r="T288" s="162"/>
      <c r="U288" s="162"/>
      <c r="V288" s="162"/>
      <c r="W288" s="162"/>
      <c r="X288" s="162"/>
      <c r="Y288" s="1"/>
      <c r="Z288" s="1"/>
      <c r="AA288" s="1"/>
      <c r="AB288" s="13" t="s">
        <v>17</v>
      </c>
      <c r="AC288" s="78" t="s">
        <v>18</v>
      </c>
      <c r="AD288" s="79" t="s">
        <v>19</v>
      </c>
      <c r="AE288" s="1"/>
      <c r="AF288" s="1"/>
      <c r="AG288" s="1"/>
      <c r="AH288" s="1"/>
      <c r="AI288" s="1"/>
      <c r="AJ288" s="1"/>
      <c r="AK288" s="1"/>
      <c r="AL288" s="1"/>
    </row>
    <row r="289" spans="1:38" x14ac:dyDescent="0.2">
      <c r="A289" s="3"/>
      <c r="B289" s="1"/>
      <c r="C289" s="86" t="s">
        <v>1214</v>
      </c>
      <c r="D289" s="183" t="s">
        <v>1152</v>
      </c>
      <c r="E289" s="34"/>
      <c r="F289" s="34"/>
      <c r="G289" s="34"/>
      <c r="H289" s="45" t="s">
        <v>1803</v>
      </c>
      <c r="I289" s="34"/>
      <c r="J289" s="34" t="s">
        <v>470</v>
      </c>
      <c r="K289" s="111"/>
      <c r="L289" s="111"/>
      <c r="M289" s="34" t="s">
        <v>799</v>
      </c>
      <c r="N289" s="45" t="s">
        <v>34</v>
      </c>
      <c r="O289" s="111">
        <v>0.19</v>
      </c>
      <c r="P289" s="45">
        <v>70.12</v>
      </c>
      <c r="Q289" s="112">
        <f>AD289/$AD$297</f>
        <v>0.33528371480692737</v>
      </c>
      <c r="R289" s="112">
        <f>Q289*(1-$R$304)/(1-$Q$296)</f>
        <v>0.31808140588947431</v>
      </c>
      <c r="S289" s="180"/>
      <c r="T289" s="180"/>
      <c r="U289" s="180"/>
      <c r="V289" s="180"/>
      <c r="W289" s="180"/>
      <c r="X289" s="180"/>
      <c r="Y289" s="1"/>
      <c r="Z289" s="1"/>
      <c r="AA289" s="1"/>
      <c r="AB289" s="1">
        <v>1</v>
      </c>
      <c r="AC289" s="80">
        <v>691798.91779272503</v>
      </c>
      <c r="AD289" s="81">
        <v>48508940.115625881</v>
      </c>
      <c r="AE289" s="1"/>
      <c r="AF289" s="1"/>
      <c r="AG289" s="1"/>
      <c r="AH289" s="1"/>
      <c r="AI289" s="1"/>
      <c r="AJ289" s="1"/>
      <c r="AK289" s="1"/>
      <c r="AL289" s="1"/>
    </row>
    <row r="290" spans="1:38" x14ac:dyDescent="0.2">
      <c r="A290" s="3"/>
      <c r="B290" s="1"/>
      <c r="C290" s="86" t="s">
        <v>793</v>
      </c>
      <c r="D290" s="183" t="s">
        <v>473</v>
      </c>
      <c r="E290" s="34"/>
      <c r="F290" s="34"/>
      <c r="G290" s="34"/>
      <c r="H290" s="45" t="s">
        <v>1760</v>
      </c>
      <c r="I290" s="34"/>
      <c r="J290" s="34" t="s">
        <v>470</v>
      </c>
      <c r="K290" s="111"/>
      <c r="L290" s="111"/>
      <c r="M290" s="34" t="s">
        <v>792</v>
      </c>
      <c r="N290" s="45" t="s">
        <v>34</v>
      </c>
      <c r="O290" s="111">
        <v>0.19</v>
      </c>
      <c r="P290" s="45">
        <v>22.59</v>
      </c>
      <c r="Q290" s="112">
        <f t="shared" ref="Q290:Q296" si="86">AD290/$AD$297</f>
        <v>0.25907516358430055</v>
      </c>
      <c r="R290" s="112">
        <f t="shared" ref="R290:R295" si="87">Q290*(1-$R$304)/(1-$Q$296)</f>
        <v>0.24578286574817332</v>
      </c>
      <c r="S290" s="180"/>
      <c r="T290" s="180"/>
      <c r="U290" s="180"/>
      <c r="V290" s="180"/>
      <c r="W290" s="180"/>
      <c r="X290" s="180"/>
      <c r="Y290" s="1"/>
      <c r="Z290" s="1"/>
      <c r="AA290" s="1"/>
      <c r="AB290" s="1">
        <v>1</v>
      </c>
      <c r="AC290" s="80">
        <v>1659276.9347071201</v>
      </c>
      <c r="AD290" s="81">
        <v>37483065.955033839</v>
      </c>
      <c r="AE290" s="1"/>
      <c r="AF290" s="1"/>
      <c r="AG290" s="1"/>
      <c r="AH290" s="1"/>
      <c r="AI290" s="1"/>
      <c r="AJ290" s="1"/>
      <c r="AK290" s="1"/>
      <c r="AL290" s="1"/>
    </row>
    <row r="291" spans="1:38" x14ac:dyDescent="0.2">
      <c r="A291" s="3"/>
      <c r="B291" s="1"/>
      <c r="C291" s="86" t="s">
        <v>1215</v>
      </c>
      <c r="D291" s="183" t="s">
        <v>1153</v>
      </c>
      <c r="E291" s="34"/>
      <c r="F291" s="34"/>
      <c r="G291" s="34"/>
      <c r="H291" s="45" t="s">
        <v>1804</v>
      </c>
      <c r="I291" s="34"/>
      <c r="J291" s="34" t="s">
        <v>470</v>
      </c>
      <c r="K291" s="111"/>
      <c r="L291" s="111"/>
      <c r="M291" s="34" t="s">
        <v>792</v>
      </c>
      <c r="N291" s="45" t="s">
        <v>34</v>
      </c>
      <c r="O291" s="111">
        <v>0.09</v>
      </c>
      <c r="P291" s="45">
        <v>40.76</v>
      </c>
      <c r="Q291" s="112">
        <f t="shared" si="86"/>
        <v>0.11585252269731675</v>
      </c>
      <c r="R291" s="112">
        <f t="shared" si="87"/>
        <v>0.10990850932508031</v>
      </c>
      <c r="S291" s="180"/>
      <c r="T291" s="180"/>
      <c r="U291" s="180"/>
      <c r="V291" s="180"/>
      <c r="W291" s="180"/>
      <c r="X291" s="180"/>
      <c r="Y291" s="1"/>
      <c r="Z291" s="1"/>
      <c r="AA291" s="1"/>
      <c r="AB291" s="1">
        <v>1</v>
      </c>
      <c r="AC291" s="80">
        <v>411226.07610567397</v>
      </c>
      <c r="AD291" s="81">
        <v>16761574.862067271</v>
      </c>
      <c r="AE291" s="1"/>
      <c r="AF291" s="1"/>
      <c r="AG291" s="1"/>
      <c r="AH291" s="1"/>
      <c r="AI291" s="1"/>
      <c r="AJ291" s="1"/>
      <c r="AK291" s="1"/>
      <c r="AL291" s="1"/>
    </row>
    <row r="292" spans="1:38" x14ac:dyDescent="0.2">
      <c r="A292" s="3"/>
      <c r="B292" s="1"/>
      <c r="C292" s="86" t="s">
        <v>1216</v>
      </c>
      <c r="D292" s="183" t="s">
        <v>1154</v>
      </c>
      <c r="E292" s="34"/>
      <c r="F292" s="34"/>
      <c r="G292" s="34"/>
      <c r="H292" s="45" t="s">
        <v>1805</v>
      </c>
      <c r="I292" s="34"/>
      <c r="J292" s="34" t="s">
        <v>470</v>
      </c>
      <c r="K292" s="111"/>
      <c r="L292" s="111"/>
      <c r="M292" s="34" t="s">
        <v>792</v>
      </c>
      <c r="N292" s="45" t="s">
        <v>34</v>
      </c>
      <c r="O292" s="111">
        <v>0.19</v>
      </c>
      <c r="P292" s="45">
        <v>68.55</v>
      </c>
      <c r="Q292" s="112">
        <f t="shared" si="86"/>
        <v>9.1173556243389298E-2</v>
      </c>
      <c r="R292" s="112">
        <f t="shared" si="87"/>
        <v>8.6495739784260881E-2</v>
      </c>
      <c r="S292" s="180"/>
      <c r="T292" s="180"/>
      <c r="U292" s="180"/>
      <c r="V292" s="180"/>
      <c r="W292" s="180"/>
      <c r="X292" s="180"/>
      <c r="Y292" s="1"/>
      <c r="Z292" s="1"/>
      <c r="AA292" s="1"/>
      <c r="AB292" s="1">
        <v>1</v>
      </c>
      <c r="AC292" s="80">
        <v>192429.10583220501</v>
      </c>
      <c r="AD292" s="81">
        <v>13191015.204797653</v>
      </c>
      <c r="AE292" s="1"/>
      <c r="AF292" s="1"/>
      <c r="AG292" s="1"/>
      <c r="AH292" s="1"/>
      <c r="AI292" s="1"/>
      <c r="AJ292" s="1"/>
      <c r="AK292" s="1"/>
      <c r="AL292" s="1"/>
    </row>
    <row r="293" spans="1:38" x14ac:dyDescent="0.2">
      <c r="A293" s="3"/>
      <c r="B293" s="1"/>
      <c r="C293" s="86" t="s">
        <v>1217</v>
      </c>
      <c r="D293" s="183" t="s">
        <v>1155</v>
      </c>
      <c r="E293" s="34"/>
      <c r="F293" s="34"/>
      <c r="G293" s="34"/>
      <c r="H293" s="45" t="s">
        <v>1806</v>
      </c>
      <c r="I293" s="34"/>
      <c r="J293" s="34" t="s">
        <v>470</v>
      </c>
      <c r="K293" s="111"/>
      <c r="L293" s="111"/>
      <c r="M293" s="34" t="s">
        <v>792</v>
      </c>
      <c r="N293" s="45" t="s">
        <v>34</v>
      </c>
      <c r="O293" s="111">
        <v>0.65</v>
      </c>
      <c r="P293" s="45">
        <v>19.25</v>
      </c>
      <c r="Q293" s="112">
        <f t="shared" si="86"/>
        <v>7.0758408985425431E-2</v>
      </c>
      <c r="R293" s="112">
        <f t="shared" si="87"/>
        <v>6.7128026846001498E-2</v>
      </c>
      <c r="S293" s="180"/>
      <c r="T293" s="180"/>
      <c r="U293" s="180"/>
      <c r="V293" s="180"/>
      <c r="W293" s="180"/>
      <c r="X293" s="180"/>
      <c r="Y293" s="1"/>
      <c r="Z293" s="1"/>
      <c r="AA293" s="1"/>
      <c r="AB293" s="1">
        <v>1</v>
      </c>
      <c r="AC293" s="80">
        <v>531810.18608006998</v>
      </c>
      <c r="AD293" s="81">
        <v>10237346.082041347</v>
      </c>
      <c r="AE293" s="1"/>
      <c r="AF293" s="1"/>
      <c r="AG293" s="1"/>
      <c r="AH293" s="1"/>
      <c r="AI293" s="1"/>
      <c r="AJ293" s="1"/>
      <c r="AK293" s="1"/>
      <c r="AL293" s="1"/>
    </row>
    <row r="294" spans="1:38" x14ac:dyDescent="0.2">
      <c r="A294" s="3"/>
      <c r="B294" s="1"/>
      <c r="C294" s="86" t="s">
        <v>1218</v>
      </c>
      <c r="D294" s="183" t="s">
        <v>1156</v>
      </c>
      <c r="E294" s="34"/>
      <c r="F294" s="34"/>
      <c r="G294" s="34"/>
      <c r="H294" s="45" t="s">
        <v>1807</v>
      </c>
      <c r="I294" s="34"/>
      <c r="J294" s="34" t="s">
        <v>470</v>
      </c>
      <c r="K294" s="111"/>
      <c r="L294" s="111"/>
      <c r="M294" s="34" t="s">
        <v>792</v>
      </c>
      <c r="N294" s="45" t="s">
        <v>34</v>
      </c>
      <c r="O294" s="111">
        <v>0.09</v>
      </c>
      <c r="P294" s="45">
        <v>34.037999999999997</v>
      </c>
      <c r="Q294" s="112">
        <f t="shared" si="86"/>
        <v>6.8544022975657509E-2</v>
      </c>
      <c r="R294" s="112">
        <f t="shared" si="87"/>
        <v>6.5027253727406809E-2</v>
      </c>
      <c r="S294" s="180"/>
      <c r="T294" s="180"/>
      <c r="U294" s="180"/>
      <c r="V294" s="180"/>
      <c r="W294" s="180"/>
      <c r="X294" s="180"/>
      <c r="Y294" s="1"/>
      <c r="Z294" s="1"/>
      <c r="AA294" s="1"/>
      <c r="AB294" s="1">
        <v>1</v>
      </c>
      <c r="AC294" s="80">
        <v>291349.90612941701</v>
      </c>
      <c r="AD294" s="81">
        <v>9916968.1048330944</v>
      </c>
      <c r="AE294" s="1"/>
      <c r="AF294" s="1"/>
      <c r="AG294" s="1"/>
      <c r="AH294" s="1"/>
      <c r="AI294" s="1"/>
      <c r="AJ294" s="1"/>
      <c r="AK294" s="1"/>
      <c r="AL294" s="1"/>
    </row>
    <row r="295" spans="1:38" x14ac:dyDescent="0.2">
      <c r="A295" s="3"/>
      <c r="B295" s="1"/>
      <c r="C295" s="86" t="s">
        <v>1219</v>
      </c>
      <c r="D295" s="183" t="s">
        <v>1157</v>
      </c>
      <c r="E295" s="34"/>
      <c r="F295" s="34"/>
      <c r="G295" s="34"/>
      <c r="H295" s="45" t="s">
        <v>1808</v>
      </c>
      <c r="I295" s="34"/>
      <c r="J295" s="34" t="s">
        <v>470</v>
      </c>
      <c r="K295" s="111"/>
      <c r="L295" s="111"/>
      <c r="M295" s="34" t="s">
        <v>792</v>
      </c>
      <c r="N295" s="45" t="s">
        <v>34</v>
      </c>
      <c r="O295" s="111">
        <v>0.19</v>
      </c>
      <c r="P295" s="45">
        <v>35.9</v>
      </c>
      <c r="Q295" s="112">
        <f t="shared" si="86"/>
        <v>5.5683116977232168E-2</v>
      </c>
      <c r="R295" s="112">
        <f t="shared" si="87"/>
        <v>5.2826198679602906E-2</v>
      </c>
      <c r="S295" s="180"/>
      <c r="T295" s="180"/>
      <c r="U295" s="180"/>
      <c r="V295" s="180"/>
      <c r="W295" s="180"/>
      <c r="X295" s="180"/>
      <c r="Y295" s="1"/>
      <c r="Z295" s="1"/>
      <c r="AA295" s="1"/>
      <c r="AB295" s="1">
        <v>1</v>
      </c>
      <c r="AC295" s="80">
        <v>224408.04139686501</v>
      </c>
      <c r="AD295" s="81">
        <v>8056248.6861474533</v>
      </c>
      <c r="AE295" s="1"/>
      <c r="AF295" s="1"/>
      <c r="AG295" s="1"/>
      <c r="AH295" s="1"/>
      <c r="AI295" s="1"/>
      <c r="AJ295" s="1"/>
      <c r="AK295" s="1"/>
      <c r="AL295" s="1"/>
    </row>
    <row r="296" spans="1:38" x14ac:dyDescent="0.2">
      <c r="A296" s="3"/>
      <c r="B296" s="3"/>
      <c r="C296" s="86" t="s">
        <v>790</v>
      </c>
      <c r="D296" s="183" t="s">
        <v>34</v>
      </c>
      <c r="E296" s="34"/>
      <c r="F296" s="34"/>
      <c r="G296" s="34"/>
      <c r="H296" s="45"/>
      <c r="I296" s="34"/>
      <c r="J296" s="157" t="s">
        <v>80</v>
      </c>
      <c r="K296" s="111"/>
      <c r="L296" s="111"/>
      <c r="M296" s="34"/>
      <c r="N296" s="45" t="s">
        <v>34</v>
      </c>
      <c r="O296" s="34"/>
      <c r="P296" s="45">
        <v>1</v>
      </c>
      <c r="Q296" s="112">
        <f t="shared" si="86"/>
        <v>3.629493729750969E-3</v>
      </c>
      <c r="R296" s="112">
        <f>R304</f>
        <v>5.475E-2</v>
      </c>
      <c r="S296" s="180"/>
      <c r="T296" s="180"/>
      <c r="U296" s="180"/>
      <c r="V296" s="180"/>
      <c r="W296" s="180"/>
      <c r="X296" s="180"/>
      <c r="Y296" s="1"/>
      <c r="Z296" s="1"/>
      <c r="AA296" s="1"/>
      <c r="AB296" s="1">
        <v>1</v>
      </c>
      <c r="AC296" s="80">
        <v>525116.15151936305</v>
      </c>
      <c r="AD296" s="81">
        <v>525116.15151936305</v>
      </c>
      <c r="AE296" s="1"/>
      <c r="AF296" s="1"/>
      <c r="AG296" s="1"/>
      <c r="AH296" s="1"/>
      <c r="AI296" s="1"/>
      <c r="AJ296" s="1"/>
      <c r="AK296" s="1"/>
      <c r="AL296" s="1"/>
    </row>
    <row r="297" spans="1:38" x14ac:dyDescent="0.2">
      <c r="A297" s="1"/>
      <c r="B297" s="1"/>
      <c r="C297" s="86"/>
      <c r="D297" s="156"/>
      <c r="E297" s="34"/>
      <c r="F297" s="34"/>
      <c r="G297" s="34"/>
      <c r="H297" s="34"/>
      <c r="I297" s="34"/>
      <c r="J297" s="111"/>
      <c r="K297" s="111"/>
      <c r="L297" s="111"/>
      <c r="M297" s="34"/>
      <c r="N297" s="45"/>
      <c r="O297" s="34"/>
      <c r="P297" s="34"/>
      <c r="Q297" s="112"/>
      <c r="R297" s="112"/>
      <c r="S297" s="180"/>
      <c r="T297" s="180"/>
      <c r="U297" s="180"/>
      <c r="V297" s="180"/>
      <c r="W297" s="180"/>
      <c r="X297" s="180"/>
      <c r="Y297" s="1"/>
      <c r="Z297" s="1"/>
      <c r="AA297" s="1"/>
      <c r="AB297" s="1"/>
      <c r="AC297" s="40"/>
      <c r="AD297" s="82">
        <v>144680275.16206589</v>
      </c>
      <c r="AE297" s="1"/>
      <c r="AF297" s="1"/>
      <c r="AG297" s="1"/>
      <c r="AH297" s="1"/>
      <c r="AI297" s="1"/>
      <c r="AJ297" s="1"/>
      <c r="AK297" s="1"/>
      <c r="AL297" s="1"/>
    </row>
    <row r="298" spans="1:38" x14ac:dyDescent="0.2">
      <c r="A298" s="1"/>
      <c r="B298" s="1"/>
      <c r="C298" s="119"/>
      <c r="D298" s="122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121" t="s">
        <v>81</v>
      </c>
      <c r="Q298" s="107">
        <f>SUM(Q289:Q296)</f>
        <v>1</v>
      </c>
      <c r="R298" s="107"/>
      <c r="S298" s="162"/>
      <c r="T298" s="162"/>
      <c r="U298" s="162"/>
      <c r="V298" s="162"/>
      <c r="W298" s="162"/>
      <c r="X298" s="162"/>
      <c r="Y298" s="8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</row>
    <row r="299" spans="1:38" ht="15" thickBo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</row>
    <row r="300" spans="1:38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29" t="s">
        <v>86</v>
      </c>
      <c r="R300" s="130">
        <v>100000</v>
      </c>
      <c r="S300" s="1"/>
      <c r="T300" s="131"/>
      <c r="U300" s="1"/>
      <c r="V300" s="131"/>
      <c r="W300" s="1"/>
      <c r="X300" s="13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</row>
    <row r="301" spans="1:38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32" t="s">
        <v>85</v>
      </c>
      <c r="R301" s="133">
        <v>5000</v>
      </c>
      <c r="S301" s="1"/>
      <c r="T301" s="131"/>
      <c r="U301" s="1"/>
      <c r="V301" s="131"/>
      <c r="W301" s="1"/>
      <c r="X301" s="13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</row>
    <row r="302" spans="1:38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32" t="s">
        <v>88</v>
      </c>
      <c r="R302" s="134">
        <f>(R300-R301)*0.5%</f>
        <v>475</v>
      </c>
      <c r="S302" s="1"/>
      <c r="T302" s="135"/>
      <c r="U302" s="1"/>
      <c r="V302" s="135"/>
      <c r="W302" s="1"/>
      <c r="X302" s="135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</row>
    <row r="303" spans="1:38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32" t="s">
        <v>87</v>
      </c>
      <c r="R303" s="134">
        <f>R301+R302</f>
        <v>5475</v>
      </c>
      <c r="S303" s="1"/>
      <c r="T303" s="135"/>
      <c r="U303" s="1"/>
      <c r="V303" s="135"/>
      <c r="W303" s="1"/>
      <c r="X303" s="135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</row>
    <row r="304" spans="1:38" ht="15" thickBo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36" t="s">
        <v>89</v>
      </c>
      <c r="R304" s="137">
        <f>R303/R300</f>
        <v>5.475E-2</v>
      </c>
      <c r="S304" s="1"/>
      <c r="T304" s="138"/>
      <c r="U304" s="1"/>
      <c r="V304" s="138"/>
      <c r="W304" s="1"/>
      <c r="X304" s="138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</row>
    <row r="305" spans="1:38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</row>
    <row r="306" spans="1:38" x14ac:dyDescent="0.2">
      <c r="A306" s="76" t="s">
        <v>0</v>
      </c>
      <c r="B306" s="1"/>
      <c r="C306" s="95" t="s">
        <v>1158</v>
      </c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176"/>
      <c r="T306" s="176"/>
      <c r="U306" s="1"/>
      <c r="V306" s="1"/>
      <c r="W306" s="177"/>
      <c r="X306" s="178"/>
      <c r="Y306" s="40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</row>
    <row r="307" spans="1:38" x14ac:dyDescent="0.2">
      <c r="A307" s="154">
        <v>45407</v>
      </c>
      <c r="B307" s="1"/>
      <c r="C307" s="97" t="s">
        <v>5</v>
      </c>
      <c r="D307" s="98" t="s">
        <v>91</v>
      </c>
      <c r="E307" s="98" t="s">
        <v>533</v>
      </c>
      <c r="F307" s="98" t="s">
        <v>534</v>
      </c>
      <c r="G307" s="98" t="s">
        <v>535</v>
      </c>
      <c r="H307" s="98" t="s">
        <v>1426</v>
      </c>
      <c r="I307" s="98"/>
      <c r="J307" s="98" t="s">
        <v>434</v>
      </c>
      <c r="K307" s="98" t="s">
        <v>435</v>
      </c>
      <c r="L307" s="98"/>
      <c r="M307" s="98" t="s">
        <v>9</v>
      </c>
      <c r="N307" s="98" t="s">
        <v>13</v>
      </c>
      <c r="O307" s="98" t="s">
        <v>437</v>
      </c>
      <c r="P307" s="98" t="s">
        <v>14</v>
      </c>
      <c r="Q307" s="99" t="s">
        <v>442</v>
      </c>
      <c r="R307" s="99" t="s">
        <v>536</v>
      </c>
      <c r="S307" s="179"/>
      <c r="T307" s="179"/>
      <c r="U307" s="179"/>
      <c r="V307" s="179"/>
      <c r="W307" s="179"/>
      <c r="X307" s="179"/>
      <c r="Y307" s="1"/>
      <c r="Z307" s="1"/>
      <c r="AA307" s="1"/>
      <c r="AB307" s="1"/>
      <c r="AC307" s="185" t="s">
        <v>442</v>
      </c>
      <c r="AD307" s="185"/>
      <c r="AE307" s="1"/>
      <c r="AF307" s="1"/>
      <c r="AG307" s="1"/>
      <c r="AH307" s="1"/>
      <c r="AI307" s="1"/>
      <c r="AJ307" s="1"/>
      <c r="AK307" s="1"/>
      <c r="AL307" s="1"/>
    </row>
    <row r="308" spans="1:38" x14ac:dyDescent="0.2">
      <c r="A308" s="1"/>
      <c r="B308" s="1"/>
      <c r="C308" s="106" t="s">
        <v>1188</v>
      </c>
      <c r="D308" s="45"/>
      <c r="E308" s="34"/>
      <c r="F308" s="34"/>
      <c r="G308" s="34"/>
      <c r="H308" s="34"/>
      <c r="I308" s="34"/>
      <c r="J308" s="34"/>
      <c r="K308" s="34"/>
      <c r="L308" s="155"/>
      <c r="M308" s="34"/>
      <c r="N308" s="34"/>
      <c r="O308" s="34"/>
      <c r="P308" s="34"/>
      <c r="Q308" s="107"/>
      <c r="R308" s="107"/>
      <c r="S308" s="162"/>
      <c r="T308" s="162"/>
      <c r="U308" s="162"/>
      <c r="V308" s="162"/>
      <c r="W308" s="162"/>
      <c r="X308" s="162"/>
      <c r="Y308" s="1"/>
      <c r="Z308" s="1"/>
      <c r="AA308" s="1"/>
      <c r="AB308" s="13" t="s">
        <v>17</v>
      </c>
      <c r="AC308" s="78" t="s">
        <v>18</v>
      </c>
      <c r="AD308" s="79" t="s">
        <v>19</v>
      </c>
      <c r="AE308" s="1"/>
      <c r="AF308" s="1"/>
      <c r="AG308" s="1"/>
      <c r="AH308" s="1"/>
      <c r="AI308" s="1"/>
      <c r="AJ308" s="1"/>
      <c r="AK308" s="1"/>
      <c r="AL308" s="1"/>
    </row>
    <row r="309" spans="1:38" x14ac:dyDescent="0.2">
      <c r="A309" s="3"/>
      <c r="B309" s="1"/>
      <c r="C309" s="86" t="s">
        <v>1220</v>
      </c>
      <c r="D309" s="183" t="s">
        <v>1160</v>
      </c>
      <c r="E309" s="34"/>
      <c r="F309" s="34"/>
      <c r="G309" s="34"/>
      <c r="H309" s="45" t="s">
        <v>1809</v>
      </c>
      <c r="I309" s="34"/>
      <c r="J309" s="34" t="s">
        <v>458</v>
      </c>
      <c r="K309" s="111"/>
      <c r="L309" s="111"/>
      <c r="M309" s="34" t="s">
        <v>850</v>
      </c>
      <c r="N309" s="45" t="s">
        <v>34</v>
      </c>
      <c r="O309" s="111">
        <v>2.2200000000000002</v>
      </c>
      <c r="P309" s="45">
        <v>11.67</v>
      </c>
      <c r="Q309" s="112">
        <f>AD309/$AD$315</f>
        <v>0.20894231915734077</v>
      </c>
      <c r="R309" s="112">
        <f>Q309*(1-$R$322)/(1-$Q$314)</f>
        <v>0.19833890337946608</v>
      </c>
      <c r="S309" s="180"/>
      <c r="T309" s="180"/>
      <c r="U309" s="180"/>
      <c r="V309" s="180"/>
      <c r="W309" s="180"/>
      <c r="X309" s="180"/>
      <c r="Y309" s="1"/>
      <c r="Z309" s="1"/>
      <c r="AA309" s="1"/>
      <c r="AB309" s="1">
        <v>1</v>
      </c>
      <c r="AC309" s="80">
        <v>2241266.19797723</v>
      </c>
      <c r="AD309" s="81">
        <v>26155576.530394275</v>
      </c>
      <c r="AE309" s="1"/>
      <c r="AF309" s="1"/>
      <c r="AG309" s="1"/>
      <c r="AH309" s="1"/>
      <c r="AI309" s="1"/>
      <c r="AJ309" s="1"/>
      <c r="AK309" s="1"/>
      <c r="AL309" s="1"/>
    </row>
    <row r="310" spans="1:38" x14ac:dyDescent="0.2">
      <c r="A310" s="3"/>
      <c r="B310" s="1"/>
      <c r="C310" s="86" t="s">
        <v>1221</v>
      </c>
      <c r="D310" s="183" t="s">
        <v>1161</v>
      </c>
      <c r="E310" s="34"/>
      <c r="F310" s="34"/>
      <c r="G310" s="34"/>
      <c r="H310" s="45" t="s">
        <v>1810</v>
      </c>
      <c r="I310" s="34"/>
      <c r="J310" s="34" t="s">
        <v>458</v>
      </c>
      <c r="K310" s="111"/>
      <c r="L310" s="111"/>
      <c r="M310" s="34" t="s">
        <v>850</v>
      </c>
      <c r="N310" s="45" t="s">
        <v>34</v>
      </c>
      <c r="O310" s="111">
        <v>0.94</v>
      </c>
      <c r="P310" s="45">
        <v>10.38</v>
      </c>
      <c r="Q310" s="112">
        <f t="shared" ref="Q310:Q314" si="88">AD310/$AD$315</f>
        <v>0.20792826011891283</v>
      </c>
      <c r="R310" s="112">
        <f t="shared" ref="R310:R313" si="89">Q310*(1-$R$322)/(1-$Q$314)</f>
        <v>0.19737630586233804</v>
      </c>
      <c r="S310" s="180"/>
      <c r="T310" s="180"/>
      <c r="U310" s="180"/>
      <c r="V310" s="180"/>
      <c r="W310" s="180"/>
      <c r="X310" s="180"/>
      <c r="Y310" s="1"/>
      <c r="Z310" s="1"/>
      <c r="AA310" s="1"/>
      <c r="AB310" s="1">
        <v>1</v>
      </c>
      <c r="AC310" s="80">
        <v>2507575.6995030502</v>
      </c>
      <c r="AD310" s="81">
        <v>26028635.760841664</v>
      </c>
      <c r="AE310" s="1"/>
      <c r="AF310" s="1"/>
      <c r="AG310" s="1"/>
      <c r="AH310" s="1"/>
      <c r="AI310" s="1"/>
      <c r="AJ310" s="1"/>
      <c r="AK310" s="1"/>
      <c r="AL310" s="1"/>
    </row>
    <row r="311" spans="1:38" x14ac:dyDescent="0.2">
      <c r="A311" s="3"/>
      <c r="B311" s="1"/>
      <c r="C311" s="86" t="s">
        <v>1222</v>
      </c>
      <c r="D311" s="183" t="s">
        <v>1162</v>
      </c>
      <c r="E311" s="34"/>
      <c r="F311" s="34"/>
      <c r="G311" s="34"/>
      <c r="H311" s="45" t="s">
        <v>1811</v>
      </c>
      <c r="I311" s="34"/>
      <c r="J311" s="34" t="s">
        <v>458</v>
      </c>
      <c r="K311" s="111"/>
      <c r="L311" s="111"/>
      <c r="M311" s="34" t="s">
        <v>850</v>
      </c>
      <c r="N311" s="45" t="s">
        <v>34</v>
      </c>
      <c r="O311" s="111">
        <v>1.31</v>
      </c>
      <c r="P311" s="45">
        <v>10.5</v>
      </c>
      <c r="Q311" s="112">
        <f t="shared" si="88"/>
        <v>0.19771836590710237</v>
      </c>
      <c r="R311" s="112">
        <f t="shared" si="89"/>
        <v>0.18768454389780304</v>
      </c>
      <c r="S311" s="180"/>
      <c r="T311" s="180"/>
      <c r="U311" s="180"/>
      <c r="V311" s="180"/>
      <c r="W311" s="180"/>
      <c r="X311" s="180"/>
      <c r="Y311" s="1"/>
      <c r="Z311" s="1"/>
      <c r="AA311" s="1"/>
      <c r="AB311" s="1">
        <v>1</v>
      </c>
      <c r="AC311" s="80">
        <v>2357195.4812828801</v>
      </c>
      <c r="AD311" s="81">
        <v>24750552.553470239</v>
      </c>
      <c r="AE311" s="1"/>
      <c r="AF311" s="1"/>
      <c r="AG311" s="1"/>
      <c r="AH311" s="1"/>
      <c r="AI311" s="1"/>
      <c r="AJ311" s="1"/>
      <c r="AK311" s="1"/>
      <c r="AL311" s="1"/>
    </row>
    <row r="312" spans="1:38" x14ac:dyDescent="0.2">
      <c r="A312" s="3"/>
      <c r="B312" s="1"/>
      <c r="C312" s="86" t="s">
        <v>1223</v>
      </c>
      <c r="D312" s="183" t="s">
        <v>1163</v>
      </c>
      <c r="E312" s="34"/>
      <c r="F312" s="34"/>
      <c r="G312" s="34"/>
      <c r="H312" s="45" t="s">
        <v>1812</v>
      </c>
      <c r="I312" s="34"/>
      <c r="J312" s="34" t="s">
        <v>458</v>
      </c>
      <c r="K312" s="111"/>
      <c r="L312" s="111"/>
      <c r="M312" s="34" t="s">
        <v>1274</v>
      </c>
      <c r="N312" s="45" t="s">
        <v>34</v>
      </c>
      <c r="O312" s="111">
        <v>0.84</v>
      </c>
      <c r="P312" s="45">
        <v>7.07</v>
      </c>
      <c r="Q312" s="112">
        <f t="shared" si="88"/>
        <v>0.19266571967104967</v>
      </c>
      <c r="R312" s="112">
        <f t="shared" si="89"/>
        <v>0.18288830961810007</v>
      </c>
      <c r="S312" s="180"/>
      <c r="T312" s="180"/>
      <c r="U312" s="180"/>
      <c r="V312" s="180"/>
      <c r="W312" s="180"/>
      <c r="X312" s="180"/>
      <c r="Y312" s="1"/>
      <c r="Z312" s="1"/>
      <c r="AA312" s="1"/>
      <c r="AB312" s="1">
        <v>1</v>
      </c>
      <c r="AC312" s="80">
        <v>3411323.6233355799</v>
      </c>
      <c r="AD312" s="81">
        <v>24118058.016982552</v>
      </c>
      <c r="AE312" s="1"/>
      <c r="AF312" s="1"/>
      <c r="AG312" s="1"/>
      <c r="AH312" s="1"/>
      <c r="AI312" s="1"/>
      <c r="AJ312" s="1"/>
      <c r="AK312" s="1"/>
      <c r="AL312" s="1"/>
    </row>
    <row r="313" spans="1:38" x14ac:dyDescent="0.2">
      <c r="A313" s="3"/>
      <c r="B313" s="1"/>
      <c r="C313" s="86" t="s">
        <v>1224</v>
      </c>
      <c r="D313" s="183" t="s">
        <v>1164</v>
      </c>
      <c r="E313" s="34"/>
      <c r="F313" s="34"/>
      <c r="G313" s="34"/>
      <c r="H313" s="45" t="s">
        <v>1813</v>
      </c>
      <c r="I313" s="34"/>
      <c r="J313" s="34" t="s">
        <v>458</v>
      </c>
      <c r="K313" s="111"/>
      <c r="L313" s="111"/>
      <c r="M313" s="34" t="s">
        <v>1274</v>
      </c>
      <c r="N313" s="45" t="s">
        <v>34</v>
      </c>
      <c r="O313" s="111">
        <v>1</v>
      </c>
      <c r="P313" s="45">
        <v>10.54</v>
      </c>
      <c r="Q313" s="112">
        <f t="shared" si="88"/>
        <v>0.18852943911237938</v>
      </c>
      <c r="R313" s="112">
        <f t="shared" si="89"/>
        <v>0.1789619372422929</v>
      </c>
      <c r="S313" s="180"/>
      <c r="T313" s="180"/>
      <c r="U313" s="180"/>
      <c r="V313" s="180"/>
      <c r="W313" s="180"/>
      <c r="X313" s="180"/>
      <c r="Y313" s="1"/>
      <c r="Z313" s="1"/>
      <c r="AA313" s="1"/>
      <c r="AB313" s="1">
        <v>1</v>
      </c>
      <c r="AC313" s="80">
        <v>2239115.2668258902</v>
      </c>
      <c r="AD313" s="81">
        <v>23600274.91234488</v>
      </c>
      <c r="AE313" s="1"/>
      <c r="AF313" s="1"/>
      <c r="AG313" s="1"/>
      <c r="AH313" s="1"/>
      <c r="AI313" s="1"/>
      <c r="AJ313" s="1"/>
      <c r="AK313" s="1"/>
      <c r="AL313" s="1"/>
    </row>
    <row r="314" spans="1:38" x14ac:dyDescent="0.2">
      <c r="A314" s="3"/>
      <c r="B314" s="3"/>
      <c r="C314" s="86" t="s">
        <v>790</v>
      </c>
      <c r="D314" s="183" t="s">
        <v>34</v>
      </c>
      <c r="E314" s="34"/>
      <c r="F314" s="34"/>
      <c r="G314" s="34"/>
      <c r="H314" s="34"/>
      <c r="I314" s="34"/>
      <c r="J314" s="157" t="s">
        <v>80</v>
      </c>
      <c r="K314" s="111"/>
      <c r="L314" s="111"/>
      <c r="M314" s="34"/>
      <c r="N314" s="45" t="s">
        <v>34</v>
      </c>
      <c r="O314" s="34"/>
      <c r="P314" s="45">
        <v>1</v>
      </c>
      <c r="Q314" s="112">
        <f t="shared" si="88"/>
        <v>4.2158960332150611E-3</v>
      </c>
      <c r="R314" s="112">
        <f>R322</f>
        <v>5.475E-2</v>
      </c>
      <c r="S314" s="180"/>
      <c r="T314" s="180"/>
      <c r="U314" s="180"/>
      <c r="V314" s="180"/>
      <c r="W314" s="180"/>
      <c r="X314" s="180"/>
      <c r="Y314" s="1"/>
      <c r="Z314" s="1"/>
      <c r="AA314" s="1"/>
      <c r="AB314" s="1">
        <v>1</v>
      </c>
      <c r="AC314" s="80">
        <v>527749.43719230802</v>
      </c>
      <c r="AD314" s="81">
        <v>527749.43719230802</v>
      </c>
      <c r="AE314" s="1"/>
      <c r="AF314" s="1"/>
      <c r="AG314" s="1"/>
      <c r="AH314" s="1"/>
      <c r="AI314" s="1"/>
      <c r="AJ314" s="1"/>
      <c r="AK314" s="1"/>
      <c r="AL314" s="1"/>
    </row>
    <row r="315" spans="1:38" x14ac:dyDescent="0.2">
      <c r="A315" s="1"/>
      <c r="B315" s="1"/>
      <c r="C315" s="86"/>
      <c r="D315" s="156"/>
      <c r="E315" s="34"/>
      <c r="F315" s="34"/>
      <c r="G315" s="34"/>
      <c r="H315" s="34"/>
      <c r="I315" s="34"/>
      <c r="J315" s="111"/>
      <c r="K315" s="111"/>
      <c r="L315" s="111"/>
      <c r="M315" s="34"/>
      <c r="N315" s="45"/>
      <c r="O315" s="34"/>
      <c r="P315" s="34"/>
      <c r="Q315" s="112"/>
      <c r="R315" s="112"/>
      <c r="S315" s="180"/>
      <c r="T315" s="180"/>
      <c r="U315" s="180"/>
      <c r="V315" s="180"/>
      <c r="W315" s="180"/>
      <c r="X315" s="180"/>
      <c r="Y315" s="1"/>
      <c r="Z315" s="1"/>
      <c r="AA315" s="1"/>
      <c r="AB315" s="1"/>
      <c r="AC315" s="40"/>
      <c r="AD315" s="82">
        <v>125180847.21122591</v>
      </c>
      <c r="AE315" s="1"/>
      <c r="AF315" s="1"/>
      <c r="AG315" s="1"/>
      <c r="AH315" s="1"/>
      <c r="AI315" s="1"/>
      <c r="AJ315" s="1"/>
      <c r="AK315" s="1"/>
      <c r="AL315" s="1"/>
    </row>
    <row r="316" spans="1:38" x14ac:dyDescent="0.2">
      <c r="A316" s="1"/>
      <c r="B316" s="1"/>
      <c r="C316" s="119"/>
      <c r="D316" s="122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121" t="s">
        <v>81</v>
      </c>
      <c r="Q316" s="107">
        <f>SUM(Q309:Q314)</f>
        <v>1.0000000000000002</v>
      </c>
      <c r="R316" s="107"/>
      <c r="S316" s="162"/>
      <c r="T316" s="162"/>
      <c r="U316" s="162"/>
      <c r="V316" s="162"/>
      <c r="W316" s="162"/>
      <c r="X316" s="162"/>
      <c r="Y316" s="8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</row>
    <row r="317" spans="1:38" ht="15" thickBo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</row>
    <row r="318" spans="1:38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29" t="s">
        <v>86</v>
      </c>
      <c r="R318" s="130">
        <v>100000</v>
      </c>
      <c r="S318" s="1"/>
      <c r="T318" s="131"/>
      <c r="U318" s="1"/>
      <c r="V318" s="131"/>
      <c r="W318" s="1"/>
      <c r="X318" s="13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</row>
    <row r="319" spans="1:38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32" t="s">
        <v>85</v>
      </c>
      <c r="R319" s="133">
        <v>5000</v>
      </c>
      <c r="S319" s="1"/>
      <c r="T319" s="131"/>
      <c r="U319" s="1"/>
      <c r="V319" s="131"/>
      <c r="W319" s="1"/>
      <c r="X319" s="13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</row>
    <row r="320" spans="1:38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32" t="s">
        <v>88</v>
      </c>
      <c r="R320" s="134">
        <f>(R318-R319)*0.5%</f>
        <v>475</v>
      </c>
      <c r="S320" s="1"/>
      <c r="T320" s="135"/>
      <c r="U320" s="1"/>
      <c r="V320" s="135"/>
      <c r="W320" s="1"/>
      <c r="X320" s="135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</row>
    <row r="321" spans="1:38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32" t="s">
        <v>87</v>
      </c>
      <c r="R321" s="134">
        <f>R319+R320</f>
        <v>5475</v>
      </c>
      <c r="S321" s="1"/>
      <c r="T321" s="135"/>
      <c r="U321" s="1"/>
      <c r="V321" s="135"/>
      <c r="W321" s="1"/>
      <c r="X321" s="135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</row>
    <row r="322" spans="1:38" ht="15" thickBo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36" t="s">
        <v>89</v>
      </c>
      <c r="R322" s="137">
        <f>R321/R318</f>
        <v>5.475E-2</v>
      </c>
      <c r="S322" s="1"/>
      <c r="T322" s="138"/>
      <c r="U322" s="1"/>
      <c r="V322" s="138"/>
      <c r="W322" s="1"/>
      <c r="X322" s="138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</row>
    <row r="323" spans="1:38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</row>
    <row r="324" spans="1:38" x14ac:dyDescent="0.2">
      <c r="A324" s="76" t="s">
        <v>0</v>
      </c>
      <c r="B324" s="1"/>
      <c r="C324" s="95" t="s">
        <v>1165</v>
      </c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176"/>
      <c r="T324" s="176"/>
      <c r="U324" s="1"/>
      <c r="V324" s="1"/>
      <c r="W324" s="177"/>
      <c r="X324" s="178"/>
      <c r="Y324" s="40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</row>
    <row r="325" spans="1:38" x14ac:dyDescent="0.2">
      <c r="A325" s="154">
        <v>45407</v>
      </c>
      <c r="B325" s="1"/>
      <c r="C325" s="97" t="s">
        <v>5</v>
      </c>
      <c r="D325" s="98" t="s">
        <v>91</v>
      </c>
      <c r="E325" s="98" t="s">
        <v>533</v>
      </c>
      <c r="F325" s="98" t="s">
        <v>534</v>
      </c>
      <c r="G325" s="98" t="s">
        <v>535</v>
      </c>
      <c r="H325" s="98" t="s">
        <v>1426</v>
      </c>
      <c r="I325" s="98"/>
      <c r="J325" s="98" t="s">
        <v>434</v>
      </c>
      <c r="K325" s="98" t="s">
        <v>435</v>
      </c>
      <c r="L325" s="98"/>
      <c r="M325" s="98" t="s">
        <v>9</v>
      </c>
      <c r="N325" s="98" t="s">
        <v>13</v>
      </c>
      <c r="O325" s="98" t="s">
        <v>437</v>
      </c>
      <c r="P325" s="98" t="s">
        <v>14</v>
      </c>
      <c r="Q325" s="99" t="s">
        <v>442</v>
      </c>
      <c r="R325" s="99" t="s">
        <v>536</v>
      </c>
      <c r="S325" s="179"/>
      <c r="T325" s="179"/>
      <c r="U325" s="179"/>
      <c r="V325" s="179"/>
      <c r="W325" s="179"/>
      <c r="X325" s="179"/>
      <c r="Y325" s="1"/>
      <c r="Z325" s="1"/>
      <c r="AA325" s="1"/>
      <c r="AB325" s="1"/>
      <c r="AC325" s="185" t="s">
        <v>442</v>
      </c>
      <c r="AD325" s="185"/>
      <c r="AE325" s="1"/>
      <c r="AF325" s="1"/>
      <c r="AG325" s="1"/>
      <c r="AH325" s="1"/>
      <c r="AI325" s="1"/>
      <c r="AJ325" s="1"/>
      <c r="AK325" s="1"/>
      <c r="AL325" s="1"/>
    </row>
    <row r="326" spans="1:38" x14ac:dyDescent="0.2">
      <c r="A326" s="1"/>
      <c r="B326" s="1"/>
      <c r="C326" s="106" t="s">
        <v>1188</v>
      </c>
      <c r="D326" s="45"/>
      <c r="E326" s="34"/>
      <c r="F326" s="34"/>
      <c r="G326" s="34"/>
      <c r="H326" s="34"/>
      <c r="I326" s="34"/>
      <c r="J326" s="34"/>
      <c r="K326" s="34"/>
      <c r="L326" s="155"/>
      <c r="M326" s="34"/>
      <c r="N326" s="34"/>
      <c r="O326" s="34"/>
      <c r="P326" s="34"/>
      <c r="Q326" s="107"/>
      <c r="R326" s="107"/>
      <c r="S326" s="162"/>
      <c r="T326" s="162"/>
      <c r="U326" s="162"/>
      <c r="V326" s="162"/>
      <c r="W326" s="162"/>
      <c r="X326" s="162"/>
      <c r="Y326" s="1"/>
      <c r="Z326" s="1"/>
      <c r="AA326" s="1"/>
      <c r="AB326" s="13" t="s">
        <v>17</v>
      </c>
      <c r="AC326" s="78" t="s">
        <v>18</v>
      </c>
      <c r="AD326" s="79" t="s">
        <v>19</v>
      </c>
      <c r="AE326" s="1"/>
      <c r="AF326" s="1"/>
      <c r="AG326" s="1"/>
      <c r="AH326" s="1"/>
      <c r="AI326" s="1"/>
      <c r="AJ326" s="1"/>
      <c r="AK326" s="1"/>
      <c r="AL326" s="1"/>
    </row>
    <row r="327" spans="1:38" x14ac:dyDescent="0.2">
      <c r="A327" s="3"/>
      <c r="B327" s="1"/>
      <c r="C327" s="86" t="s">
        <v>1225</v>
      </c>
      <c r="D327" s="183" t="s">
        <v>1166</v>
      </c>
      <c r="E327" s="34"/>
      <c r="F327" s="34"/>
      <c r="G327" s="34"/>
      <c r="H327" s="45" t="s">
        <v>1814</v>
      </c>
      <c r="I327" s="34"/>
      <c r="J327" s="34" t="s">
        <v>458</v>
      </c>
      <c r="K327" s="111"/>
      <c r="L327" s="111"/>
      <c r="M327" s="34" t="s">
        <v>777</v>
      </c>
      <c r="N327" s="45" t="s">
        <v>34</v>
      </c>
      <c r="O327" s="111">
        <v>0.18</v>
      </c>
      <c r="P327" s="45">
        <v>101.83499999999999</v>
      </c>
      <c r="Q327" s="112">
        <f>AD327/$AD$333</f>
        <v>0.34891195499874517</v>
      </c>
      <c r="R327" s="112">
        <f>Q327*(1-$R$340)/(1-$Q$332)</f>
        <v>0.36652547104002675</v>
      </c>
      <c r="S327" s="180"/>
      <c r="T327" s="180"/>
      <c r="U327" s="180"/>
      <c r="V327" s="180"/>
      <c r="W327" s="180"/>
      <c r="X327" s="180"/>
      <c r="Y327" s="1"/>
      <c r="Z327" s="1"/>
      <c r="AA327" s="1"/>
      <c r="AB327" s="1">
        <v>1</v>
      </c>
      <c r="AC327" s="80">
        <v>443995.90887231799</v>
      </c>
      <c r="AD327" s="81">
        <v>45214323.380012497</v>
      </c>
      <c r="AE327" s="1"/>
      <c r="AF327" s="1"/>
      <c r="AG327" s="1"/>
      <c r="AH327" s="1"/>
      <c r="AI327" s="1"/>
      <c r="AJ327" s="1"/>
      <c r="AK327" s="1"/>
      <c r="AL327" s="1"/>
    </row>
    <row r="328" spans="1:38" x14ac:dyDescent="0.2">
      <c r="A328" s="3"/>
      <c r="B328" s="1"/>
      <c r="C328" s="86" t="s">
        <v>1226</v>
      </c>
      <c r="D328" s="183" t="s">
        <v>1167</v>
      </c>
      <c r="E328" s="34"/>
      <c r="F328" s="34"/>
      <c r="G328" s="34"/>
      <c r="H328" s="45" t="s">
        <v>1815</v>
      </c>
      <c r="I328" s="34"/>
      <c r="J328" s="34" t="s">
        <v>458</v>
      </c>
      <c r="K328" s="111"/>
      <c r="L328" s="111"/>
      <c r="M328" s="34" t="s">
        <v>777</v>
      </c>
      <c r="N328" s="45" t="s">
        <v>34</v>
      </c>
      <c r="O328" s="111">
        <v>0.1</v>
      </c>
      <c r="P328" s="45">
        <v>5.08</v>
      </c>
      <c r="Q328" s="112">
        <f t="shared" ref="Q328:Q332" si="90">AD328/$AD$333</f>
        <v>0.2008662214995435</v>
      </c>
      <c r="R328" s="112">
        <f t="shared" ref="R328:R331" si="91">Q328*(1-$R$340)/(1-$Q$332)</f>
        <v>0.2110062019841519</v>
      </c>
      <c r="S328" s="180"/>
      <c r="T328" s="180"/>
      <c r="U328" s="180"/>
      <c r="V328" s="180"/>
      <c r="W328" s="180"/>
      <c r="X328" s="180"/>
      <c r="Y328" s="1"/>
      <c r="Z328" s="1"/>
      <c r="AA328" s="1"/>
      <c r="AB328" s="1">
        <v>1</v>
      </c>
      <c r="AC328" s="80">
        <v>5123932.3088828204</v>
      </c>
      <c r="AD328" s="81">
        <v>26029576.129124727</v>
      </c>
      <c r="AE328" s="1"/>
      <c r="AF328" s="1"/>
      <c r="AG328" s="1"/>
      <c r="AH328" s="1"/>
      <c r="AI328" s="1"/>
      <c r="AJ328" s="1"/>
      <c r="AK328" s="1"/>
      <c r="AL328" s="1"/>
    </row>
    <row r="329" spans="1:38" x14ac:dyDescent="0.2">
      <c r="A329" s="3"/>
      <c r="B329" s="1"/>
      <c r="C329" s="86" t="s">
        <v>1227</v>
      </c>
      <c r="D329" s="183" t="s">
        <v>1168</v>
      </c>
      <c r="E329" s="34"/>
      <c r="F329" s="34"/>
      <c r="G329" s="34"/>
      <c r="H329" s="45" t="s">
        <v>1816</v>
      </c>
      <c r="I329" s="34"/>
      <c r="J329" s="34" t="s">
        <v>458</v>
      </c>
      <c r="K329" s="111"/>
      <c r="L329" s="111"/>
      <c r="M329" s="34" t="s">
        <v>777</v>
      </c>
      <c r="N329" s="45" t="s">
        <v>34</v>
      </c>
      <c r="O329" s="111">
        <v>7.0000000000000007E-2</v>
      </c>
      <c r="P329" s="45">
        <v>5.0250000000000004</v>
      </c>
      <c r="Q329" s="112">
        <f t="shared" si="90"/>
        <v>0.12487274885961962</v>
      </c>
      <c r="R329" s="112">
        <f t="shared" si="91"/>
        <v>0.1311764828923665</v>
      </c>
      <c r="S329" s="180"/>
      <c r="T329" s="180"/>
      <c r="U329" s="180"/>
      <c r="V329" s="180"/>
      <c r="W329" s="180"/>
      <c r="X329" s="180"/>
      <c r="Y329" s="1"/>
      <c r="Z329" s="1"/>
      <c r="AA329" s="1"/>
      <c r="AB329" s="1">
        <v>1</v>
      </c>
      <c r="AC329" s="80">
        <v>3220266.3349534702</v>
      </c>
      <c r="AD329" s="81">
        <v>16181838.333141189</v>
      </c>
      <c r="AE329" s="1"/>
      <c r="AF329" s="1"/>
      <c r="AG329" s="1"/>
      <c r="AH329" s="1"/>
      <c r="AI329" s="1"/>
      <c r="AJ329" s="1"/>
      <c r="AK329" s="1"/>
      <c r="AL329" s="1"/>
    </row>
    <row r="330" spans="1:38" x14ac:dyDescent="0.2">
      <c r="A330" s="3"/>
      <c r="B330" s="1"/>
      <c r="C330" s="86" t="s">
        <v>1228</v>
      </c>
      <c r="D330" s="183" t="s">
        <v>1169</v>
      </c>
      <c r="E330" s="34"/>
      <c r="F330" s="34"/>
      <c r="G330" s="34"/>
      <c r="H330" s="45" t="s">
        <v>1817</v>
      </c>
      <c r="I330" s="34"/>
      <c r="J330" s="34" t="s">
        <v>458</v>
      </c>
      <c r="K330" s="111"/>
      <c r="L330" s="111"/>
      <c r="M330" s="34" t="s">
        <v>777</v>
      </c>
      <c r="N330" s="45" t="s">
        <v>34</v>
      </c>
      <c r="O330" s="111">
        <v>0.15</v>
      </c>
      <c r="P330" s="45">
        <v>50.585000000000001</v>
      </c>
      <c r="Q330" s="112">
        <f t="shared" si="90"/>
        <v>0.12467658978661629</v>
      </c>
      <c r="R330" s="112">
        <f t="shared" si="91"/>
        <v>0.13097042146167812</v>
      </c>
      <c r="S330" s="180"/>
      <c r="T330" s="180"/>
      <c r="U330" s="180"/>
      <c r="V330" s="180"/>
      <c r="W330" s="180"/>
      <c r="X330" s="180"/>
      <c r="Y330" s="1"/>
      <c r="Z330" s="1"/>
      <c r="AA330" s="1"/>
      <c r="AB330" s="1">
        <v>1</v>
      </c>
      <c r="AC330" s="80">
        <v>319391.49432655203</v>
      </c>
      <c r="AD330" s="81">
        <v>16156418.740508635</v>
      </c>
      <c r="AE330" s="1"/>
      <c r="AF330" s="1"/>
      <c r="AG330" s="1"/>
      <c r="AH330" s="1"/>
      <c r="AI330" s="1"/>
      <c r="AJ330" s="1"/>
      <c r="AK330" s="1"/>
      <c r="AL330" s="1"/>
    </row>
    <row r="331" spans="1:38" x14ac:dyDescent="0.2">
      <c r="A331" s="3"/>
      <c r="B331" s="1"/>
      <c r="C331" s="86" t="s">
        <v>1229</v>
      </c>
      <c r="D331" s="183" t="s">
        <v>1170</v>
      </c>
      <c r="E331" s="34"/>
      <c r="F331" s="34"/>
      <c r="G331" s="34"/>
      <c r="H331" s="45" t="s">
        <v>1818</v>
      </c>
      <c r="I331" s="34"/>
      <c r="J331" s="34" t="s">
        <v>458</v>
      </c>
      <c r="K331" s="111"/>
      <c r="L331" s="111"/>
      <c r="M331" s="34" t="s">
        <v>777</v>
      </c>
      <c r="N331" s="45" t="s">
        <v>34</v>
      </c>
      <c r="O331" s="111">
        <v>0.55000000000000004</v>
      </c>
      <c r="P331" s="45">
        <v>94.59</v>
      </c>
      <c r="Q331" s="112">
        <f t="shared" si="90"/>
        <v>0.10049814915848035</v>
      </c>
      <c r="R331" s="112">
        <f t="shared" si="91"/>
        <v>0.10557142262177677</v>
      </c>
      <c r="S331" s="180"/>
      <c r="T331" s="180"/>
      <c r="U331" s="180"/>
      <c r="V331" s="180"/>
      <c r="W331" s="180"/>
      <c r="X331" s="180"/>
      <c r="Y331" s="1"/>
      <c r="Z331" s="1"/>
      <c r="AA331" s="1"/>
      <c r="AB331" s="1">
        <v>1</v>
      </c>
      <c r="AC331" s="80">
        <v>137680.68688629399</v>
      </c>
      <c r="AD331" s="81">
        <v>13023216.172574548</v>
      </c>
      <c r="AE331" s="1"/>
      <c r="AF331" s="1"/>
      <c r="AG331" s="1"/>
      <c r="AH331" s="1"/>
      <c r="AI331" s="1"/>
      <c r="AJ331" s="1"/>
      <c r="AK331" s="1"/>
      <c r="AL331" s="1"/>
    </row>
    <row r="332" spans="1:38" x14ac:dyDescent="0.2">
      <c r="A332" s="3"/>
      <c r="B332" s="3"/>
      <c r="C332" s="86" t="s">
        <v>1230</v>
      </c>
      <c r="D332" s="183" t="s">
        <v>1171</v>
      </c>
      <c r="E332" s="34"/>
      <c r="F332" s="34"/>
      <c r="G332" s="34"/>
      <c r="H332" s="45" t="s">
        <v>1819</v>
      </c>
      <c r="I332" s="34"/>
      <c r="J332" s="34" t="s">
        <v>458</v>
      </c>
      <c r="K332" s="111"/>
      <c r="L332" s="111"/>
      <c r="M332" s="34" t="s">
        <v>777</v>
      </c>
      <c r="N332" s="45" t="s">
        <v>34</v>
      </c>
      <c r="O332" s="111">
        <v>0.12</v>
      </c>
      <c r="P332" s="45">
        <v>5.0960000000000001</v>
      </c>
      <c r="Q332" s="112">
        <f t="shared" si="90"/>
        <v>0.10017433569699503</v>
      </c>
      <c r="R332" s="112">
        <f t="shared" ref="R332" si="92">Q332*(1-$R$245)/(1-$Q$233)</f>
        <v>9.4999957039700655E-2</v>
      </c>
      <c r="S332" s="180"/>
      <c r="T332" s="180"/>
      <c r="U332" s="180"/>
      <c r="V332" s="180"/>
      <c r="W332" s="180"/>
      <c r="X332" s="180"/>
      <c r="Y332" s="1"/>
      <c r="Z332" s="1"/>
      <c r="AA332" s="1"/>
      <c r="AB332" s="1">
        <v>1</v>
      </c>
      <c r="AC332" s="80">
        <v>2547341.8913486199</v>
      </c>
      <c r="AD332" s="81">
        <v>12981254.278312568</v>
      </c>
      <c r="AE332" s="1"/>
      <c r="AF332" s="1"/>
      <c r="AG332" s="1"/>
      <c r="AH332" s="1"/>
      <c r="AI332" s="1"/>
      <c r="AJ332" s="1"/>
      <c r="AK332" s="1"/>
      <c r="AL332" s="1"/>
    </row>
    <row r="333" spans="1:38" x14ac:dyDescent="0.2">
      <c r="A333" s="1"/>
      <c r="B333" s="1"/>
      <c r="C333" s="86"/>
      <c r="D333" s="156"/>
      <c r="E333" s="34"/>
      <c r="F333" s="34"/>
      <c r="G333" s="34"/>
      <c r="H333" s="34"/>
      <c r="I333" s="34"/>
      <c r="J333" s="111"/>
      <c r="K333" s="111"/>
      <c r="L333" s="111"/>
      <c r="M333" s="34"/>
      <c r="N333" s="45"/>
      <c r="O333" s="34"/>
      <c r="P333" s="34"/>
      <c r="Q333" s="112"/>
      <c r="R333" s="112"/>
      <c r="S333" s="180"/>
      <c r="T333" s="180"/>
      <c r="U333" s="180"/>
      <c r="V333" s="180"/>
      <c r="W333" s="180"/>
      <c r="X333" s="180"/>
      <c r="Y333" s="1"/>
      <c r="Z333" s="1"/>
      <c r="AA333" s="1"/>
      <c r="AB333" s="1"/>
      <c r="AC333" s="40"/>
      <c r="AD333" s="82">
        <v>129586627.03367417</v>
      </c>
      <c r="AE333" s="1"/>
      <c r="AF333" s="1"/>
      <c r="AG333" s="1"/>
      <c r="AH333" s="1"/>
      <c r="AI333" s="1"/>
      <c r="AJ333" s="1"/>
      <c r="AK333" s="1"/>
      <c r="AL333" s="1"/>
    </row>
    <row r="334" spans="1:38" x14ac:dyDescent="0.2">
      <c r="A334" s="1"/>
      <c r="B334" s="1"/>
      <c r="C334" s="119"/>
      <c r="D334" s="122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121" t="s">
        <v>81</v>
      </c>
      <c r="Q334" s="107">
        <f>SUM(Q327:Q332)</f>
        <v>1</v>
      </c>
      <c r="R334" s="107"/>
      <c r="S334" s="162"/>
      <c r="T334" s="162"/>
      <c r="U334" s="162"/>
      <c r="V334" s="162"/>
      <c r="W334" s="162"/>
      <c r="X334" s="162"/>
      <c r="Y334" s="8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</row>
    <row r="335" spans="1:38" ht="15" thickBo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</row>
    <row r="336" spans="1:38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29" t="s">
        <v>86</v>
      </c>
      <c r="R336" s="130">
        <v>100000</v>
      </c>
      <c r="S336" s="1"/>
      <c r="T336" s="131"/>
      <c r="U336" s="1"/>
      <c r="V336" s="131"/>
      <c r="W336" s="1"/>
      <c r="X336" s="13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</row>
    <row r="337" spans="1:38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32" t="s">
        <v>85</v>
      </c>
      <c r="R337" s="133">
        <v>5000</v>
      </c>
      <c r="S337" s="1"/>
      <c r="T337" s="131"/>
      <c r="U337" s="1"/>
      <c r="V337" s="131"/>
      <c r="W337" s="1"/>
      <c r="X337" s="13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</row>
    <row r="338" spans="1:38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32" t="s">
        <v>88</v>
      </c>
      <c r="R338" s="134">
        <f>(R336-R337)*0.5%</f>
        <v>475</v>
      </c>
      <c r="S338" s="1"/>
      <c r="T338" s="135"/>
      <c r="U338" s="1"/>
      <c r="V338" s="135"/>
      <c r="W338" s="1"/>
      <c r="X338" s="135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</row>
    <row r="339" spans="1:38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32" t="s">
        <v>87</v>
      </c>
      <c r="R339" s="134">
        <f>R337+R338</f>
        <v>5475</v>
      </c>
      <c r="S339" s="1"/>
      <c r="T339" s="135"/>
      <c r="U339" s="1"/>
      <c r="V339" s="135"/>
      <c r="W339" s="1"/>
      <c r="X339" s="135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</row>
    <row r="340" spans="1:38" ht="15" thickBo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36" t="s">
        <v>89</v>
      </c>
      <c r="R340" s="137">
        <f>R339/R336</f>
        <v>5.475E-2</v>
      </c>
      <c r="S340" s="1"/>
      <c r="T340" s="138"/>
      <c r="U340" s="1"/>
      <c r="V340" s="138"/>
      <c r="W340" s="1"/>
      <c r="X340" s="138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</row>
    <row r="341" spans="1:38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</row>
    <row r="342" spans="1:38" x14ac:dyDescent="0.2">
      <c r="A342" s="76" t="s">
        <v>0</v>
      </c>
      <c r="B342" s="1"/>
      <c r="C342" s="95" t="s">
        <v>1172</v>
      </c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176"/>
      <c r="T342" s="176"/>
      <c r="U342" s="1"/>
      <c r="V342" s="1"/>
      <c r="W342" s="177"/>
      <c r="X342" s="178"/>
      <c r="Y342" s="40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</row>
    <row r="343" spans="1:38" x14ac:dyDescent="0.2">
      <c r="A343" s="154">
        <v>45838</v>
      </c>
      <c r="B343" s="1"/>
      <c r="C343" s="97" t="s">
        <v>5</v>
      </c>
      <c r="D343" s="98" t="s">
        <v>91</v>
      </c>
      <c r="E343" s="98" t="s">
        <v>533</v>
      </c>
      <c r="F343" s="98" t="s">
        <v>534</v>
      </c>
      <c r="G343" s="98" t="s">
        <v>535</v>
      </c>
      <c r="H343" s="98" t="s">
        <v>1426</v>
      </c>
      <c r="I343" s="98"/>
      <c r="J343" s="98" t="s">
        <v>434</v>
      </c>
      <c r="K343" s="98" t="s">
        <v>435</v>
      </c>
      <c r="L343" s="98"/>
      <c r="M343" s="98" t="s">
        <v>9</v>
      </c>
      <c r="N343" s="98" t="s">
        <v>13</v>
      </c>
      <c r="O343" s="98" t="s">
        <v>437</v>
      </c>
      <c r="P343" s="98" t="s">
        <v>14</v>
      </c>
      <c r="Q343" s="99" t="s">
        <v>442</v>
      </c>
      <c r="R343" s="99" t="s">
        <v>536</v>
      </c>
      <c r="S343" s="179"/>
      <c r="T343" s="179"/>
      <c r="U343" s="179"/>
      <c r="V343" s="179"/>
      <c r="W343" s="179"/>
      <c r="X343" s="179"/>
      <c r="Y343" s="1"/>
      <c r="Z343" s="1"/>
      <c r="AA343" s="1"/>
      <c r="AB343" s="1"/>
      <c r="AC343" s="185" t="s">
        <v>442</v>
      </c>
      <c r="AD343" s="185"/>
      <c r="AE343" s="1"/>
      <c r="AF343" s="1"/>
      <c r="AG343" s="1"/>
      <c r="AH343" s="1"/>
      <c r="AI343" s="1"/>
      <c r="AJ343" s="1"/>
      <c r="AK343" s="1"/>
      <c r="AL343" s="1"/>
    </row>
    <row r="344" spans="1:38" x14ac:dyDescent="0.2">
      <c r="A344" s="1"/>
      <c r="B344" s="1"/>
      <c r="C344" s="106" t="s">
        <v>1188</v>
      </c>
      <c r="D344" s="45"/>
      <c r="E344" s="34"/>
      <c r="F344" s="34"/>
      <c r="G344" s="34"/>
      <c r="H344" s="34"/>
      <c r="I344" s="34"/>
      <c r="J344" s="34"/>
      <c r="K344" s="34"/>
      <c r="L344" s="155"/>
      <c r="M344" s="34"/>
      <c r="N344" s="34"/>
      <c r="O344" s="34"/>
      <c r="P344" s="34"/>
      <c r="Q344" s="107"/>
      <c r="R344" s="107"/>
      <c r="S344" s="162"/>
      <c r="T344" s="162"/>
      <c r="U344" s="162"/>
      <c r="V344" s="162"/>
      <c r="W344" s="162"/>
      <c r="X344" s="162"/>
      <c r="Y344" s="1"/>
      <c r="Z344" s="1"/>
      <c r="AA344" s="1"/>
      <c r="AB344" s="13" t="s">
        <v>17</v>
      </c>
      <c r="AC344" s="78" t="s">
        <v>18</v>
      </c>
      <c r="AD344" s="79" t="s">
        <v>19</v>
      </c>
      <c r="AE344" s="1"/>
      <c r="AF344" s="1"/>
      <c r="AG344" s="1"/>
      <c r="AH344" s="1"/>
      <c r="AI344" s="1"/>
      <c r="AJ344" s="1"/>
      <c r="AK344" s="1"/>
      <c r="AL344" s="1"/>
    </row>
    <row r="345" spans="1:38" x14ac:dyDescent="0.2">
      <c r="A345" s="3"/>
      <c r="B345" s="1"/>
      <c r="C345" s="86" t="s">
        <v>1231</v>
      </c>
      <c r="D345" s="183" t="s">
        <v>1173</v>
      </c>
      <c r="E345" s="34"/>
      <c r="F345" s="34"/>
      <c r="G345" s="34"/>
      <c r="H345" s="45" t="s">
        <v>1820</v>
      </c>
      <c r="I345" s="34"/>
      <c r="J345" s="34" t="s">
        <v>458</v>
      </c>
      <c r="K345" s="111"/>
      <c r="L345" s="111"/>
      <c r="M345" s="34" t="s">
        <v>792</v>
      </c>
      <c r="N345" s="45" t="s">
        <v>34</v>
      </c>
      <c r="O345" s="111">
        <v>0.18</v>
      </c>
      <c r="P345" s="45">
        <v>50.58</v>
      </c>
      <c r="Q345" s="112">
        <f>AD345/$AD$350</f>
        <v>0.35017656217046705</v>
      </c>
      <c r="R345" s="112">
        <f>Q345*(1-$R$357)</f>
        <v>0.34842567935961472</v>
      </c>
      <c r="S345" s="180"/>
      <c r="T345" s="180"/>
      <c r="U345" s="180"/>
      <c r="V345" s="180"/>
      <c r="W345" s="180"/>
      <c r="X345" s="180"/>
      <c r="Y345" s="1"/>
      <c r="Z345" s="1"/>
      <c r="AA345" s="1"/>
      <c r="AB345" s="1">
        <v>1</v>
      </c>
      <c r="AC345" s="80">
        <v>708089.40233562002</v>
      </c>
      <c r="AD345" s="81">
        <v>35815161.970135659</v>
      </c>
      <c r="AE345" s="1"/>
      <c r="AF345" s="1"/>
      <c r="AG345" s="1"/>
      <c r="AH345" s="1"/>
      <c r="AI345" s="1"/>
      <c r="AJ345" s="1"/>
      <c r="AK345" s="1"/>
      <c r="AL345" s="1"/>
    </row>
    <row r="346" spans="1:38" x14ac:dyDescent="0.2">
      <c r="A346" s="3"/>
      <c r="B346" s="1"/>
      <c r="C346" s="86" t="s">
        <v>1232</v>
      </c>
      <c r="D346" s="183" t="s">
        <v>1174</v>
      </c>
      <c r="E346" s="34"/>
      <c r="F346" s="34"/>
      <c r="G346" s="34"/>
      <c r="H346" s="45" t="s">
        <v>1821</v>
      </c>
      <c r="I346" s="34"/>
      <c r="J346" s="34" t="s">
        <v>458</v>
      </c>
      <c r="K346" s="111"/>
      <c r="L346" s="111"/>
      <c r="M346" s="34" t="s">
        <v>799</v>
      </c>
      <c r="N346" s="45" t="s">
        <v>34</v>
      </c>
      <c r="O346" s="111">
        <v>0.15</v>
      </c>
      <c r="P346" s="45">
        <v>50.87</v>
      </c>
      <c r="Q346" s="112">
        <f t="shared" ref="Q346:Q349" si="93">AD346/$AD$350</f>
        <v>0.20011639081661114</v>
      </c>
      <c r="R346" s="112">
        <f t="shared" ref="R346:R349" si="94">Q346*(1-$R$357)</f>
        <v>0.19911580886252808</v>
      </c>
      <c r="S346" s="180"/>
      <c r="T346" s="180"/>
      <c r="U346" s="180"/>
      <c r="V346" s="180"/>
      <c r="W346" s="180"/>
      <c r="X346" s="180"/>
      <c r="Y346" s="1"/>
      <c r="Z346" s="1"/>
      <c r="AA346" s="1"/>
      <c r="AB346" s="1">
        <v>1</v>
      </c>
      <c r="AC346" s="80">
        <v>402347.00119796902</v>
      </c>
      <c r="AD346" s="81">
        <v>20467391.950940683</v>
      </c>
      <c r="AE346" s="1"/>
      <c r="AF346" s="1"/>
      <c r="AG346" s="1"/>
      <c r="AH346" s="1"/>
      <c r="AI346" s="1"/>
      <c r="AJ346" s="1"/>
      <c r="AK346" s="1"/>
      <c r="AL346" s="1"/>
    </row>
    <row r="347" spans="1:38" x14ac:dyDescent="0.2">
      <c r="A347" s="3"/>
      <c r="B347" s="1"/>
      <c r="C347" s="86" t="s">
        <v>1233</v>
      </c>
      <c r="D347" s="183" t="s">
        <v>1175</v>
      </c>
      <c r="E347" s="34"/>
      <c r="F347" s="34"/>
      <c r="G347" s="34"/>
      <c r="H347" s="45" t="s">
        <v>1822</v>
      </c>
      <c r="I347" s="34"/>
      <c r="J347" s="34" t="s">
        <v>458</v>
      </c>
      <c r="K347" s="111"/>
      <c r="L347" s="111"/>
      <c r="M347" s="34" t="s">
        <v>799</v>
      </c>
      <c r="N347" s="45" t="s">
        <v>34</v>
      </c>
      <c r="O347" s="111">
        <v>0.35</v>
      </c>
      <c r="P347" s="45">
        <v>22.965</v>
      </c>
      <c r="Q347" s="112">
        <f t="shared" si="93"/>
        <v>0.1505432822518514</v>
      </c>
      <c r="R347" s="112">
        <f t="shared" si="94"/>
        <v>0.14979056584059214</v>
      </c>
      <c r="S347" s="180"/>
      <c r="T347" s="180"/>
      <c r="U347" s="180"/>
      <c r="V347" s="180"/>
      <c r="W347" s="180"/>
      <c r="X347" s="180"/>
      <c r="Y347" s="1"/>
      <c r="Z347" s="1"/>
      <c r="AA347" s="1"/>
      <c r="AB347" s="1">
        <v>1</v>
      </c>
      <c r="AC347" s="80">
        <v>670462.93771330302</v>
      </c>
      <c r="AD347" s="81">
        <v>15397181.364586003</v>
      </c>
      <c r="AE347" s="1"/>
      <c r="AF347" s="1"/>
      <c r="AG347" s="1"/>
      <c r="AH347" s="1"/>
      <c r="AI347" s="1"/>
      <c r="AJ347" s="1"/>
      <c r="AK347" s="1"/>
      <c r="AL347" s="1"/>
    </row>
    <row r="348" spans="1:38" x14ac:dyDescent="0.2">
      <c r="A348" s="3"/>
      <c r="B348" s="1"/>
      <c r="C348" s="86" t="s">
        <v>1234</v>
      </c>
      <c r="D348" s="183" t="s">
        <v>1176</v>
      </c>
      <c r="E348" s="34"/>
      <c r="F348" s="34"/>
      <c r="G348" s="34"/>
      <c r="H348" s="45" t="s">
        <v>1823</v>
      </c>
      <c r="I348" s="34"/>
      <c r="J348" s="34" t="s">
        <v>458</v>
      </c>
      <c r="K348" s="111"/>
      <c r="L348" s="111"/>
      <c r="M348" s="34" t="s">
        <v>792</v>
      </c>
      <c r="N348" s="45" t="s">
        <v>34</v>
      </c>
      <c r="O348" s="111">
        <v>0.08</v>
      </c>
      <c r="P348" s="45">
        <v>105.6</v>
      </c>
      <c r="Q348" s="112">
        <f t="shared" si="93"/>
        <v>0.14955726966098765</v>
      </c>
      <c r="R348" s="112">
        <f t="shared" si="94"/>
        <v>0.14880948331268271</v>
      </c>
      <c r="S348" s="180"/>
      <c r="T348" s="180"/>
      <c r="U348" s="180"/>
      <c r="V348" s="180"/>
      <c r="W348" s="180"/>
      <c r="X348" s="180"/>
      <c r="Y348" s="1"/>
      <c r="Z348" s="1"/>
      <c r="AA348" s="1"/>
      <c r="AB348" s="1">
        <v>1</v>
      </c>
      <c r="AC348" s="80">
        <v>144851.65267035001</v>
      </c>
      <c r="AD348" s="81">
        <v>15296334.52198896</v>
      </c>
      <c r="AE348" s="1"/>
      <c r="AF348" s="1"/>
      <c r="AG348" s="1"/>
      <c r="AH348" s="1"/>
      <c r="AI348" s="1"/>
      <c r="AJ348" s="1"/>
      <c r="AK348" s="1"/>
      <c r="AL348" s="1"/>
    </row>
    <row r="349" spans="1:38" x14ac:dyDescent="0.2">
      <c r="A349" s="3"/>
      <c r="B349" s="1"/>
      <c r="C349" s="86" t="s">
        <v>1235</v>
      </c>
      <c r="D349" s="183" t="s">
        <v>1177</v>
      </c>
      <c r="E349" s="34"/>
      <c r="F349" s="34"/>
      <c r="G349" s="34"/>
      <c r="H349" s="45" t="s">
        <v>1824</v>
      </c>
      <c r="I349" s="34"/>
      <c r="J349" s="34" t="s">
        <v>458</v>
      </c>
      <c r="K349" s="111"/>
      <c r="L349" s="111"/>
      <c r="M349" s="34" t="s">
        <v>792</v>
      </c>
      <c r="N349" s="45" t="s">
        <v>34</v>
      </c>
      <c r="O349" s="111">
        <v>0.15</v>
      </c>
      <c r="P349" s="45">
        <v>50.36</v>
      </c>
      <c r="Q349" s="112">
        <f t="shared" si="93"/>
        <v>0.14960649510008264</v>
      </c>
      <c r="R349" s="112">
        <f t="shared" si="94"/>
        <v>0.14885846262458222</v>
      </c>
      <c r="S349" s="180"/>
      <c r="T349" s="180"/>
      <c r="U349" s="180"/>
      <c r="V349" s="180"/>
      <c r="W349" s="180"/>
      <c r="X349" s="180"/>
      <c r="Y349" s="1"/>
      <c r="Z349" s="1"/>
      <c r="AA349" s="1"/>
      <c r="AB349" s="1">
        <v>1</v>
      </c>
      <c r="AC349" s="80">
        <v>303839.73736760003</v>
      </c>
      <c r="AD349" s="81">
        <v>15301369.173832336</v>
      </c>
      <c r="AE349" s="1"/>
      <c r="AF349" s="1"/>
      <c r="AG349" s="1"/>
      <c r="AH349" s="1"/>
      <c r="AI349" s="1"/>
      <c r="AJ349" s="1"/>
      <c r="AK349" s="1"/>
      <c r="AL349" s="1"/>
    </row>
    <row r="350" spans="1:38" x14ac:dyDescent="0.2">
      <c r="A350" s="1"/>
      <c r="B350" s="1"/>
      <c r="C350" s="86"/>
      <c r="D350" s="156"/>
      <c r="E350" s="34"/>
      <c r="F350" s="34"/>
      <c r="G350" s="34"/>
      <c r="H350" s="34"/>
      <c r="I350" s="34"/>
      <c r="J350" s="111"/>
      <c r="K350" s="111"/>
      <c r="L350" s="111"/>
      <c r="M350" s="34"/>
      <c r="N350" s="45"/>
      <c r="O350" s="34"/>
      <c r="P350" s="34"/>
      <c r="Q350" s="112"/>
      <c r="R350" s="112"/>
      <c r="S350" s="180"/>
      <c r="T350" s="180"/>
      <c r="U350" s="180"/>
      <c r="V350" s="180"/>
      <c r="W350" s="180"/>
      <c r="X350" s="180"/>
      <c r="Y350" s="1"/>
      <c r="Z350" s="1"/>
      <c r="AA350" s="1"/>
      <c r="AB350" s="1"/>
      <c r="AC350" s="40"/>
      <c r="AD350" s="82">
        <v>102277438.98148365</v>
      </c>
      <c r="AE350" s="1"/>
      <c r="AF350" s="1"/>
      <c r="AG350" s="1"/>
      <c r="AH350" s="1"/>
      <c r="AI350" s="1"/>
      <c r="AJ350" s="1"/>
      <c r="AK350" s="1"/>
      <c r="AL350" s="1"/>
    </row>
    <row r="351" spans="1:38" x14ac:dyDescent="0.2">
      <c r="A351" s="1"/>
      <c r="B351" s="1"/>
      <c r="C351" s="119"/>
      <c r="D351" s="122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121" t="s">
        <v>81</v>
      </c>
      <c r="Q351" s="107">
        <f>SUM(Q345:Q350)</f>
        <v>0.99999999999999978</v>
      </c>
      <c r="R351" s="107"/>
      <c r="S351" s="162"/>
      <c r="T351" s="162"/>
      <c r="U351" s="162"/>
      <c r="V351" s="162"/>
      <c r="W351" s="162"/>
      <c r="X351" s="162"/>
      <c r="Y351" s="8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</row>
    <row r="352" spans="1:38" ht="15" thickBo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</row>
    <row r="353" spans="1:38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29" t="s">
        <v>86</v>
      </c>
      <c r="R353" s="130">
        <v>100000</v>
      </c>
      <c r="S353" s="176"/>
      <c r="T353" s="176"/>
      <c r="U353" s="1"/>
      <c r="V353" s="1"/>
      <c r="W353" s="177"/>
      <c r="X353" s="178"/>
      <c r="Y353" s="40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</row>
    <row r="354" spans="1:38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32" t="s">
        <v>85</v>
      </c>
      <c r="R354" s="133"/>
      <c r="S354" s="179"/>
      <c r="T354" s="179"/>
      <c r="U354" s="179"/>
      <c r="V354" s="179"/>
      <c r="W354" s="179"/>
      <c r="X354" s="179"/>
      <c r="Y354" s="1"/>
      <c r="Z354" s="1"/>
      <c r="AA354" s="1"/>
      <c r="AB354" s="1"/>
      <c r="AC354" s="185" t="s">
        <v>438</v>
      </c>
      <c r="AD354" s="185"/>
      <c r="AE354" s="1"/>
      <c r="AF354" s="1"/>
      <c r="AG354" s="1"/>
      <c r="AH354" s="1"/>
      <c r="AI354" s="1"/>
      <c r="AJ354" s="1"/>
      <c r="AK354" s="1"/>
      <c r="AL354" s="1"/>
    </row>
    <row r="355" spans="1:38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32" t="s">
        <v>88</v>
      </c>
      <c r="R355" s="134">
        <f>(R353-R354)*0.5%</f>
        <v>500</v>
      </c>
      <c r="S355" s="162"/>
      <c r="T355" s="162"/>
      <c r="U355" s="162"/>
      <c r="V355" s="162"/>
      <c r="W355" s="162"/>
      <c r="X355" s="162"/>
      <c r="Y355" s="1"/>
      <c r="Z355" s="1"/>
      <c r="AA355" s="1"/>
      <c r="AB355" s="13" t="s">
        <v>17</v>
      </c>
      <c r="AC355" s="78" t="s">
        <v>18</v>
      </c>
      <c r="AD355" s="79" t="s">
        <v>19</v>
      </c>
      <c r="AE355" s="1"/>
      <c r="AF355" s="1"/>
      <c r="AG355" s="1"/>
      <c r="AH355" s="1"/>
      <c r="AI355" s="1"/>
      <c r="AJ355" s="1"/>
      <c r="AK355" s="1"/>
      <c r="AL355" s="1"/>
    </row>
    <row r="356" spans="1:38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32" t="s">
        <v>87</v>
      </c>
      <c r="R356" s="134">
        <f>R354+R355</f>
        <v>500</v>
      </c>
      <c r="S356" s="180"/>
      <c r="T356" s="180"/>
      <c r="U356" s="180"/>
      <c r="V356" s="180"/>
      <c r="W356" s="180"/>
      <c r="X356" s="180"/>
      <c r="Y356" s="1"/>
      <c r="Z356" s="1"/>
      <c r="AA356" s="1"/>
      <c r="AB356" s="1">
        <v>1</v>
      </c>
      <c r="AC356" s="80">
        <v>94397.406884461598</v>
      </c>
      <c r="AD356" s="81">
        <v>59633673.851120926</v>
      </c>
      <c r="AE356" s="1"/>
      <c r="AF356" s="1"/>
      <c r="AG356" s="1"/>
      <c r="AH356" s="1"/>
      <c r="AI356" s="1"/>
      <c r="AJ356" s="1"/>
      <c r="AK356" s="1"/>
      <c r="AL356" s="1"/>
    </row>
    <row r="357" spans="1:38" ht="15" thickBo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36" t="s">
        <v>89</v>
      </c>
      <c r="R357" s="137">
        <f>R356/R353</f>
        <v>5.0000000000000001E-3</v>
      </c>
      <c r="S357" s="180"/>
      <c r="T357" s="180"/>
      <c r="U357" s="180"/>
      <c r="V357" s="180"/>
      <c r="W357" s="180"/>
      <c r="X357" s="180"/>
      <c r="Y357" s="1"/>
      <c r="Z357" s="1"/>
      <c r="AA357" s="1"/>
      <c r="AB357" s="1">
        <v>1</v>
      </c>
      <c r="AC357" s="80">
        <v>1416839.4859166001</v>
      </c>
      <c r="AD357" s="81">
        <v>60201509.756596342</v>
      </c>
      <c r="AE357" s="1"/>
      <c r="AF357" s="1"/>
      <c r="AG357" s="1"/>
      <c r="AH357" s="1"/>
      <c r="AI357" s="1"/>
      <c r="AJ357" s="1"/>
      <c r="AK357" s="1"/>
      <c r="AL357" s="1"/>
    </row>
    <row r="358" spans="1:38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34"/>
      <c r="R358" s="153"/>
      <c r="S358" s="180"/>
      <c r="T358" s="180"/>
      <c r="U358" s="180"/>
      <c r="V358" s="180"/>
      <c r="W358" s="180"/>
      <c r="X358" s="180"/>
      <c r="Y358" s="1"/>
      <c r="Z358" s="1"/>
      <c r="AA358" s="1"/>
      <c r="AB358" s="1"/>
      <c r="AC358" s="80"/>
      <c r="AD358" s="81"/>
      <c r="AE358" s="1"/>
      <c r="AF358" s="1"/>
      <c r="AG358" s="1"/>
      <c r="AH358" s="1"/>
      <c r="AI358" s="1"/>
      <c r="AJ358" s="1"/>
      <c r="AK358" s="1"/>
      <c r="AL358" s="1"/>
    </row>
    <row r="359" spans="1:38" x14ac:dyDescent="0.2">
      <c r="A359" s="76" t="s">
        <v>0</v>
      </c>
      <c r="B359" s="1"/>
      <c r="C359" s="95" t="s">
        <v>1180</v>
      </c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180"/>
      <c r="T359" s="180"/>
      <c r="U359" s="180"/>
      <c r="V359" s="180"/>
      <c r="W359" s="180"/>
      <c r="X359" s="180"/>
      <c r="Y359" s="1"/>
      <c r="Z359" s="1"/>
      <c r="AA359" s="1"/>
      <c r="AB359" s="1">
        <v>1</v>
      </c>
      <c r="AC359" s="80">
        <v>1212046.52498156</v>
      </c>
      <c r="AD359" s="81">
        <v>22810715.600152958</v>
      </c>
      <c r="AE359" s="1"/>
      <c r="AF359" s="1"/>
      <c r="AG359" s="1"/>
      <c r="AH359" s="1"/>
      <c r="AI359" s="1"/>
      <c r="AJ359" s="1"/>
      <c r="AK359" s="1"/>
      <c r="AL359" s="1"/>
    </row>
    <row r="360" spans="1:38" x14ac:dyDescent="0.2">
      <c r="A360" s="154">
        <v>45735</v>
      </c>
      <c r="B360" s="1"/>
      <c r="C360" s="97" t="s">
        <v>5</v>
      </c>
      <c r="D360" s="98" t="s">
        <v>91</v>
      </c>
      <c r="E360" s="98" t="s">
        <v>533</v>
      </c>
      <c r="F360" s="98" t="s">
        <v>534</v>
      </c>
      <c r="G360" s="98" t="s">
        <v>535</v>
      </c>
      <c r="H360" s="98" t="s">
        <v>1426</v>
      </c>
      <c r="I360" s="98"/>
      <c r="J360" s="98" t="s">
        <v>434</v>
      </c>
      <c r="K360" s="98" t="s">
        <v>435</v>
      </c>
      <c r="L360" s="98"/>
      <c r="M360" s="98" t="s">
        <v>9</v>
      </c>
      <c r="N360" s="98" t="s">
        <v>13</v>
      </c>
      <c r="O360" s="98" t="s">
        <v>437</v>
      </c>
      <c r="P360" s="98" t="s">
        <v>14</v>
      </c>
      <c r="Q360" s="99" t="s">
        <v>438</v>
      </c>
      <c r="R360" s="99" t="s">
        <v>536</v>
      </c>
      <c r="S360" s="180"/>
      <c r="T360" s="180"/>
      <c r="U360" s="180"/>
      <c r="V360" s="180"/>
      <c r="W360" s="180"/>
      <c r="X360" s="180"/>
      <c r="Y360" s="1"/>
      <c r="Z360" s="1"/>
      <c r="AA360" s="1"/>
      <c r="AB360" s="1">
        <v>1</v>
      </c>
      <c r="AC360" s="80">
        <v>186119.90319228999</v>
      </c>
      <c r="AD360" s="81">
        <v>6979496.3697108747</v>
      </c>
      <c r="AE360" s="1"/>
      <c r="AF360" s="1"/>
      <c r="AG360" s="1"/>
      <c r="AH360" s="1"/>
      <c r="AI360" s="1"/>
      <c r="AJ360" s="1"/>
      <c r="AK360" s="1"/>
      <c r="AL360" s="1"/>
    </row>
    <row r="361" spans="1:38" x14ac:dyDescent="0.2">
      <c r="A361" s="1"/>
      <c r="B361" s="1"/>
      <c r="C361" s="106" t="s">
        <v>1188</v>
      </c>
      <c r="D361" s="45"/>
      <c r="E361" s="34"/>
      <c r="F361" s="34"/>
      <c r="G361" s="34"/>
      <c r="H361" s="34"/>
      <c r="I361" s="34"/>
      <c r="J361" s="34"/>
      <c r="K361" s="34"/>
      <c r="L361" s="155"/>
      <c r="M361" s="34"/>
      <c r="N361" s="34"/>
      <c r="O361" s="34"/>
      <c r="P361" s="34"/>
      <c r="Q361" s="107"/>
      <c r="R361" s="107"/>
      <c r="S361" s="180"/>
      <c r="T361" s="180"/>
      <c r="U361" s="180"/>
      <c r="V361" s="180"/>
      <c r="W361" s="180"/>
      <c r="X361" s="180"/>
      <c r="Y361" s="1"/>
      <c r="Z361" s="1"/>
      <c r="AA361" s="1"/>
      <c r="AB361" s="1">
        <v>1</v>
      </c>
      <c r="AC361" s="80">
        <v>1490.21148555133</v>
      </c>
      <c r="AD361" s="81">
        <v>6011185.2861872446</v>
      </c>
      <c r="AE361" s="1"/>
      <c r="AF361" s="1"/>
      <c r="AG361" s="1"/>
      <c r="AH361" s="1"/>
      <c r="AI361" s="1"/>
      <c r="AJ361" s="1"/>
      <c r="AK361" s="1"/>
      <c r="AL361" s="1"/>
    </row>
    <row r="362" spans="1:38" x14ac:dyDescent="0.2">
      <c r="A362" s="3"/>
      <c r="B362" s="1"/>
      <c r="C362" s="86" t="s">
        <v>1236</v>
      </c>
      <c r="D362" s="183" t="s">
        <v>1181</v>
      </c>
      <c r="E362" s="34"/>
      <c r="F362" s="34"/>
      <c r="G362" s="34"/>
      <c r="H362" s="45" t="s">
        <v>1825</v>
      </c>
      <c r="I362" s="34"/>
      <c r="J362" s="34" t="s">
        <v>470</v>
      </c>
      <c r="K362" s="111"/>
      <c r="L362" s="111"/>
      <c r="M362" s="34"/>
      <c r="N362" s="45" t="s">
        <v>34</v>
      </c>
      <c r="O362" s="111">
        <v>0.14000000000000001</v>
      </c>
      <c r="P362" s="45">
        <v>631.73</v>
      </c>
      <c r="Q362" s="112">
        <f>AD356/$AD$363</f>
        <v>0.37174538290643594</v>
      </c>
      <c r="R362" s="112">
        <f>Q362*(1-$R$245)</f>
        <v>0.35139232319230856</v>
      </c>
      <c r="S362" s="180"/>
      <c r="T362" s="180"/>
      <c r="U362" s="180"/>
      <c r="V362" s="180"/>
      <c r="W362" s="180"/>
      <c r="X362" s="180"/>
      <c r="Y362" s="1"/>
      <c r="Z362" s="1"/>
      <c r="AA362" s="1"/>
      <c r="AB362" s="1">
        <v>1</v>
      </c>
      <c r="AC362" s="80">
        <v>174663.415074527</v>
      </c>
      <c r="AD362" s="81">
        <v>4778791.0364390584</v>
      </c>
      <c r="AE362" s="1"/>
      <c r="AF362" s="1"/>
      <c r="AG362" s="1"/>
      <c r="AH362" s="1"/>
      <c r="AI362" s="1"/>
      <c r="AJ362" s="1"/>
      <c r="AK362" s="1"/>
      <c r="AL362" s="1"/>
    </row>
    <row r="363" spans="1:38" x14ac:dyDescent="0.2">
      <c r="A363" s="3"/>
      <c r="B363" s="1"/>
      <c r="C363" s="86" t="s">
        <v>1237</v>
      </c>
      <c r="D363" s="183" t="s">
        <v>1182</v>
      </c>
      <c r="E363" s="34"/>
      <c r="F363" s="34"/>
      <c r="G363" s="34"/>
      <c r="H363" s="45" t="s">
        <v>1826</v>
      </c>
      <c r="I363" s="34"/>
      <c r="J363" s="34" t="s">
        <v>470</v>
      </c>
      <c r="K363" s="111"/>
      <c r="L363" s="111"/>
      <c r="M363" s="34"/>
      <c r="N363" s="45" t="s">
        <v>34</v>
      </c>
      <c r="O363" s="111">
        <v>0.09</v>
      </c>
      <c r="P363" s="45">
        <v>42.49</v>
      </c>
      <c r="Q363" s="112">
        <f>AD357/$AD$363</f>
        <v>0.37528516777087312</v>
      </c>
      <c r="R363" s="112">
        <f t="shared" ref="R363:R367" si="95">Q363*(1-$R$245)</f>
        <v>0.35473830483541785</v>
      </c>
      <c r="S363" s="180"/>
      <c r="T363" s="180"/>
      <c r="U363" s="180"/>
      <c r="V363" s="180"/>
      <c r="W363" s="180"/>
      <c r="X363" s="180"/>
      <c r="Y363" s="1"/>
      <c r="Z363" s="1"/>
      <c r="AA363" s="1"/>
      <c r="AB363" s="1"/>
      <c r="AC363" s="40"/>
      <c r="AD363" s="82">
        <v>160415371.9002074</v>
      </c>
      <c r="AE363" s="1"/>
      <c r="AF363" s="1"/>
      <c r="AG363" s="1"/>
      <c r="AH363" s="1"/>
      <c r="AI363" s="1"/>
      <c r="AJ363" s="1"/>
      <c r="AK363" s="1"/>
      <c r="AL363" s="1"/>
    </row>
    <row r="364" spans="1:38" x14ac:dyDescent="0.2">
      <c r="A364" s="3"/>
      <c r="B364" s="1"/>
      <c r="C364" s="86" t="s">
        <v>1238</v>
      </c>
      <c r="D364" s="183" t="s">
        <v>1183</v>
      </c>
      <c r="E364" s="34"/>
      <c r="F364" s="34"/>
      <c r="G364" s="34"/>
      <c r="H364" s="45" t="s">
        <v>1827</v>
      </c>
      <c r="I364" s="34"/>
      <c r="J364" s="34" t="s">
        <v>470</v>
      </c>
      <c r="K364" s="111"/>
      <c r="L364" s="111"/>
      <c r="M364" s="34"/>
      <c r="N364" s="45" t="s">
        <v>34</v>
      </c>
      <c r="O364" s="111">
        <v>0.95</v>
      </c>
      <c r="P364" s="45">
        <v>18.82</v>
      </c>
      <c r="Q364" s="112">
        <f>AD359/$AD$363</f>
        <v>0.14219781639345166</v>
      </c>
      <c r="R364" s="112">
        <f t="shared" si="95"/>
        <v>0.13441248594591018</v>
      </c>
      <c r="S364" s="162"/>
      <c r="T364" s="162"/>
      <c r="U364" s="162"/>
      <c r="V364" s="162"/>
      <c r="W364" s="162"/>
      <c r="X364" s="162"/>
      <c r="Y364" s="8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</row>
    <row r="365" spans="1:38" x14ac:dyDescent="0.2">
      <c r="A365" s="3"/>
      <c r="B365" s="1"/>
      <c r="C365" s="86" t="s">
        <v>1239</v>
      </c>
      <c r="D365" s="183" t="s">
        <v>1184</v>
      </c>
      <c r="E365" s="34"/>
      <c r="F365" s="34"/>
      <c r="G365" s="34"/>
      <c r="H365" s="45" t="s">
        <v>1828</v>
      </c>
      <c r="I365" s="34"/>
      <c r="J365" s="34" t="s">
        <v>470</v>
      </c>
      <c r="K365" s="111"/>
      <c r="L365" s="111"/>
      <c r="M365" s="34"/>
      <c r="N365" s="45" t="s">
        <v>34</v>
      </c>
      <c r="O365" s="111">
        <v>1.07</v>
      </c>
      <c r="P365" s="45">
        <v>37.5</v>
      </c>
      <c r="Q365" s="112">
        <f>AD360/$AD$363</f>
        <v>4.3508899970339132E-2</v>
      </c>
      <c r="R365" s="112">
        <f t="shared" si="95"/>
        <v>4.1126787696963069E-2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</row>
    <row r="366" spans="1:38" x14ac:dyDescent="0.2">
      <c r="A366" s="3"/>
      <c r="B366" s="1"/>
      <c r="C366" s="86" t="s">
        <v>1240</v>
      </c>
      <c r="D366" s="183" t="s">
        <v>1185</v>
      </c>
      <c r="E366" s="34"/>
      <c r="F366" s="34"/>
      <c r="G366" s="34"/>
      <c r="H366" s="45"/>
      <c r="I366" s="34"/>
      <c r="J366" s="34"/>
      <c r="K366" s="111"/>
      <c r="L366" s="111"/>
      <c r="M366" s="34"/>
      <c r="N366" s="45" t="s">
        <v>34</v>
      </c>
      <c r="O366" s="111"/>
      <c r="P366" s="45">
        <v>4033.78</v>
      </c>
      <c r="Q366" s="112">
        <f>AD361/$AD$363</f>
        <v>3.7472626313684795E-2</v>
      </c>
      <c r="R366" s="112">
        <f t="shared" si="95"/>
        <v>3.5421000023010553E-2</v>
      </c>
      <c r="S366" s="1"/>
      <c r="T366" s="131"/>
      <c r="U366" s="1"/>
      <c r="V366" s="131"/>
      <c r="W366" s="1"/>
      <c r="X366" s="13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</row>
    <row r="367" spans="1:38" x14ac:dyDescent="0.2">
      <c r="A367" s="1"/>
      <c r="B367" s="1"/>
      <c r="C367" s="86" t="s">
        <v>1241</v>
      </c>
      <c r="D367" s="183" t="s">
        <v>1186</v>
      </c>
      <c r="E367" s="34"/>
      <c r="F367" s="34"/>
      <c r="G367" s="34"/>
      <c r="H367" s="45" t="s">
        <v>1829</v>
      </c>
      <c r="I367" s="34"/>
      <c r="J367" s="34" t="s">
        <v>447</v>
      </c>
      <c r="K367" s="111"/>
      <c r="L367" s="111"/>
      <c r="M367" s="34"/>
      <c r="N367" s="45" t="s">
        <v>34</v>
      </c>
      <c r="O367" s="111">
        <v>1.05</v>
      </c>
      <c r="P367" s="45">
        <v>27.36</v>
      </c>
      <c r="Q367" s="112">
        <f>AD362/$AD$363</f>
        <v>2.979010664521534E-2</v>
      </c>
      <c r="R367" s="112">
        <f t="shared" si="95"/>
        <v>2.8159098306389799E-2</v>
      </c>
      <c r="S367" s="1"/>
      <c r="T367" s="131"/>
      <c r="U367" s="1"/>
      <c r="V367" s="131"/>
      <c r="W367" s="1"/>
      <c r="X367" s="13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</row>
    <row r="368" spans="1:38" x14ac:dyDescent="0.2">
      <c r="A368" s="1"/>
      <c r="B368" s="1"/>
      <c r="C368" s="86"/>
      <c r="D368" s="156"/>
      <c r="E368" s="34"/>
      <c r="F368" s="34"/>
      <c r="G368" s="34"/>
      <c r="H368" s="34"/>
      <c r="I368" s="34"/>
      <c r="J368" s="111"/>
      <c r="K368" s="111"/>
      <c r="L368" s="111"/>
      <c r="M368" s="34"/>
      <c r="N368" s="45"/>
      <c r="O368" s="34"/>
      <c r="P368" s="34"/>
      <c r="Q368" s="112"/>
      <c r="R368" s="112"/>
      <c r="S368" s="1"/>
      <c r="T368" s="135"/>
      <c r="U368" s="1"/>
      <c r="V368" s="135"/>
      <c r="W368" s="1"/>
      <c r="X368" s="135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</row>
    <row r="369" spans="1:38" x14ac:dyDescent="0.2">
      <c r="A369" s="1"/>
      <c r="B369" s="1"/>
      <c r="C369" s="119"/>
      <c r="D369" s="122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121" t="s">
        <v>81</v>
      </c>
      <c r="Q369" s="107">
        <f>SUM(Q362:Q367)</f>
        <v>0.99999999999999989</v>
      </c>
      <c r="R369" s="107"/>
      <c r="S369" s="1"/>
      <c r="T369" s="135"/>
      <c r="U369" s="1"/>
      <c r="V369" s="135"/>
      <c r="W369" s="1"/>
      <c r="X369" s="135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</row>
    <row r="370" spans="1:38" ht="15" thickBo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38"/>
      <c r="U370" s="1"/>
      <c r="V370" s="138"/>
      <c r="W370" s="1"/>
      <c r="X370" s="138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</row>
    <row r="371" spans="1:38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29" t="s">
        <v>86</v>
      </c>
      <c r="R371" s="130">
        <v>100000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</row>
    <row r="372" spans="1:38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32" t="s">
        <v>85</v>
      </c>
      <c r="R372" s="133">
        <v>5000</v>
      </c>
      <c r="S372" s="176"/>
      <c r="T372" s="176"/>
      <c r="U372" s="1"/>
      <c r="V372" s="1"/>
      <c r="W372" s="177"/>
      <c r="X372" s="178"/>
      <c r="Y372" s="40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</row>
    <row r="373" spans="1:38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32" t="s">
        <v>88</v>
      </c>
      <c r="R373" s="134">
        <f>(R371-R372)*0.5%</f>
        <v>475</v>
      </c>
      <c r="S373" s="179"/>
      <c r="T373" s="179"/>
      <c r="U373" s="179"/>
      <c r="V373" s="179"/>
      <c r="W373" s="179"/>
      <c r="X373" s="179"/>
      <c r="Y373" s="1"/>
      <c r="Z373" s="1"/>
      <c r="AA373" s="1"/>
      <c r="AB373" s="1"/>
      <c r="AC373" s="185" t="s">
        <v>438</v>
      </c>
      <c r="AD373" s="185"/>
      <c r="AE373" s="1"/>
      <c r="AF373" s="1"/>
      <c r="AG373" s="1"/>
      <c r="AH373" s="1"/>
      <c r="AI373" s="1"/>
      <c r="AJ373" s="1"/>
      <c r="AK373" s="1"/>
      <c r="AL373" s="1"/>
    </row>
    <row r="374" spans="1:38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32" t="s">
        <v>87</v>
      </c>
      <c r="R374" s="134">
        <f>R372+R373</f>
        <v>5475</v>
      </c>
      <c r="S374" s="162"/>
      <c r="T374" s="162"/>
      <c r="U374" s="162"/>
      <c r="V374" s="162"/>
      <c r="W374" s="162"/>
      <c r="X374" s="162"/>
      <c r="Y374" s="1"/>
      <c r="Z374" s="1"/>
      <c r="AA374" s="1"/>
      <c r="AB374" s="13" t="s">
        <v>17</v>
      </c>
      <c r="AC374" s="78" t="s">
        <v>18</v>
      </c>
      <c r="AD374" s="79" t="s">
        <v>19</v>
      </c>
      <c r="AE374" s="1"/>
      <c r="AF374" s="1"/>
      <c r="AG374" s="1"/>
      <c r="AH374" s="1"/>
      <c r="AI374" s="1"/>
      <c r="AJ374" s="1"/>
      <c r="AK374" s="1"/>
      <c r="AL374" s="1"/>
    </row>
    <row r="375" spans="1:38" ht="15" thickBo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36" t="s">
        <v>89</v>
      </c>
      <c r="R375" s="137">
        <f>R374/R371</f>
        <v>5.475E-2</v>
      </c>
      <c r="S375" s="180"/>
      <c r="T375" s="180"/>
      <c r="U375" s="180"/>
      <c r="V375" s="180"/>
      <c r="W375" s="180"/>
      <c r="X375" s="180"/>
      <c r="Y375" s="1"/>
      <c r="Z375" s="1"/>
      <c r="AA375" s="1"/>
      <c r="AB375" s="1">
        <v>1</v>
      </c>
      <c r="AC375" s="80">
        <v>67859.940587683595</v>
      </c>
      <c r="AD375" s="81">
        <v>42869160.267457359</v>
      </c>
      <c r="AE375" s="1"/>
      <c r="AF375" s="1"/>
      <c r="AG375" s="1"/>
      <c r="AH375" s="1"/>
      <c r="AI375" s="1"/>
      <c r="AJ375" s="1"/>
      <c r="AK375" s="1"/>
      <c r="AL375" s="1"/>
    </row>
    <row r="376" spans="1:38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80"/>
      <c r="T376" s="180"/>
      <c r="U376" s="180"/>
      <c r="V376" s="180"/>
      <c r="W376" s="180"/>
      <c r="X376" s="180"/>
      <c r="Y376" s="1"/>
      <c r="Z376" s="1"/>
      <c r="AA376" s="1"/>
      <c r="AB376" s="1">
        <v>1</v>
      </c>
      <c r="AC376" s="80">
        <v>1019733.27572329</v>
      </c>
      <c r="AD376" s="81">
        <v>43328466.885482594</v>
      </c>
      <c r="AE376" s="1"/>
      <c r="AF376" s="1"/>
      <c r="AG376" s="1"/>
      <c r="AH376" s="1"/>
      <c r="AI376" s="1"/>
      <c r="AJ376" s="1"/>
      <c r="AK376" s="1"/>
      <c r="AL376" s="1"/>
    </row>
    <row r="377" spans="1:38" x14ac:dyDescent="0.2">
      <c r="A377" s="76" t="s">
        <v>0</v>
      </c>
      <c r="B377" s="1"/>
      <c r="C377" s="95" t="s">
        <v>1187</v>
      </c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180"/>
      <c r="T377" s="180"/>
      <c r="U377" s="180"/>
      <c r="V377" s="180"/>
      <c r="W377" s="180"/>
      <c r="X377" s="180"/>
      <c r="Y377" s="1"/>
      <c r="Z377" s="1"/>
      <c r="AA377" s="1"/>
      <c r="AB377" s="1">
        <v>1</v>
      </c>
      <c r="AC377" s="80">
        <v>856770.09195111506</v>
      </c>
      <c r="AD377" s="81">
        <v>16124413.130519986</v>
      </c>
      <c r="AE377" s="1"/>
      <c r="AF377" s="1"/>
      <c r="AG377" s="1"/>
      <c r="AH377" s="1"/>
      <c r="AI377" s="1"/>
      <c r="AJ377" s="1"/>
      <c r="AK377" s="1"/>
      <c r="AL377" s="1"/>
    </row>
    <row r="378" spans="1:38" x14ac:dyDescent="0.2">
      <c r="A378" s="154">
        <v>45735</v>
      </c>
      <c r="B378" s="1"/>
      <c r="C378" s="97" t="s">
        <v>5</v>
      </c>
      <c r="D378" s="98" t="s">
        <v>91</v>
      </c>
      <c r="E378" s="98" t="s">
        <v>533</v>
      </c>
      <c r="F378" s="98" t="s">
        <v>534</v>
      </c>
      <c r="G378" s="98" t="s">
        <v>535</v>
      </c>
      <c r="H378" s="98"/>
      <c r="I378" s="98"/>
      <c r="J378" s="98" t="s">
        <v>434</v>
      </c>
      <c r="K378" s="98" t="s">
        <v>435</v>
      </c>
      <c r="L378" s="98"/>
      <c r="M378" s="98" t="s">
        <v>9</v>
      </c>
      <c r="N378" s="98" t="s">
        <v>13</v>
      </c>
      <c r="O378" s="98" t="s">
        <v>437</v>
      </c>
      <c r="P378" s="98" t="s">
        <v>14</v>
      </c>
      <c r="Q378" s="99" t="s">
        <v>438</v>
      </c>
      <c r="R378" s="99" t="s">
        <v>536</v>
      </c>
      <c r="S378" s="180"/>
      <c r="T378" s="180"/>
      <c r="U378" s="180"/>
      <c r="V378" s="180"/>
      <c r="W378" s="180"/>
      <c r="X378" s="180"/>
      <c r="Y378" s="1"/>
      <c r="Z378" s="1"/>
      <c r="AA378" s="1"/>
      <c r="AB378" s="1">
        <v>1</v>
      </c>
      <c r="AC378" s="80">
        <v>187509.029045212</v>
      </c>
      <c r="AD378" s="81">
        <v>12944667.069233304</v>
      </c>
      <c r="AE378" s="1"/>
      <c r="AF378" s="1"/>
      <c r="AG378" s="1"/>
      <c r="AH378" s="1"/>
      <c r="AI378" s="1"/>
      <c r="AJ378" s="1"/>
      <c r="AK378" s="1"/>
      <c r="AL378" s="1"/>
    </row>
    <row r="379" spans="1:38" x14ac:dyDescent="0.2">
      <c r="A379" s="1"/>
      <c r="B379" s="1"/>
      <c r="C379" s="106" t="s">
        <v>1188</v>
      </c>
      <c r="D379" s="45"/>
      <c r="E379" s="34"/>
      <c r="F379" s="34"/>
      <c r="G379" s="34"/>
      <c r="H379" s="34"/>
      <c r="I379" s="34"/>
      <c r="J379" s="34"/>
      <c r="K379" s="34"/>
      <c r="L379" s="155"/>
      <c r="M379" s="34"/>
      <c r="N379" s="34"/>
      <c r="O379" s="34"/>
      <c r="P379" s="34"/>
      <c r="Q379" s="107"/>
      <c r="R379" s="107"/>
      <c r="S379" s="180"/>
      <c r="T379" s="180"/>
      <c r="U379" s="180"/>
      <c r="V379" s="180"/>
      <c r="W379" s="180"/>
      <c r="X379" s="180"/>
      <c r="Y379" s="1"/>
      <c r="Z379" s="1"/>
      <c r="AA379" s="1"/>
      <c r="AB379" s="1">
        <v>1</v>
      </c>
      <c r="AC379" s="80">
        <v>652050.10337239003</v>
      </c>
      <c r="AD379" s="81">
        <v>9272152.4699553866</v>
      </c>
      <c r="AE379" s="1"/>
      <c r="AF379" s="1"/>
      <c r="AG379" s="1"/>
      <c r="AH379" s="1"/>
      <c r="AI379" s="1"/>
      <c r="AJ379" s="1"/>
      <c r="AK379" s="1"/>
      <c r="AL379" s="1"/>
    </row>
    <row r="380" spans="1:38" x14ac:dyDescent="0.2">
      <c r="A380" s="3"/>
      <c r="B380" s="1"/>
      <c r="C380" s="86" t="s">
        <v>1236</v>
      </c>
      <c r="D380" s="183" t="s">
        <v>1181</v>
      </c>
      <c r="E380" s="34"/>
      <c r="F380" s="34"/>
      <c r="G380" s="34"/>
      <c r="H380" s="34"/>
      <c r="I380" s="34"/>
      <c r="J380" s="34" t="s">
        <v>470</v>
      </c>
      <c r="K380" s="111"/>
      <c r="L380" s="111"/>
      <c r="M380" s="34"/>
      <c r="N380" s="45" t="s">
        <v>34</v>
      </c>
      <c r="O380" s="111">
        <v>0.14000000000000001</v>
      </c>
      <c r="P380" s="45">
        <v>631.73</v>
      </c>
      <c r="Q380" s="112">
        <f t="shared" ref="Q380:Q389" si="96">AD375/$AD$385</f>
        <v>0.29323932405758973</v>
      </c>
      <c r="R380" s="112">
        <f>Q380*(1-$R$245)</f>
        <v>0.2771844710654367</v>
      </c>
      <c r="S380" s="180"/>
      <c r="T380" s="180"/>
      <c r="U380" s="180"/>
      <c r="V380" s="180"/>
      <c r="W380" s="180"/>
      <c r="X380" s="180"/>
      <c r="Y380" s="1"/>
      <c r="Z380" s="1"/>
      <c r="AA380" s="1"/>
      <c r="AB380" s="1">
        <v>1</v>
      </c>
      <c r="AC380" s="80">
        <v>714203.23048403498</v>
      </c>
      <c r="AD380" s="81">
        <v>5235109.6794479769</v>
      </c>
      <c r="AE380" s="1"/>
      <c r="AF380" s="1"/>
      <c r="AG380" s="1"/>
      <c r="AH380" s="1"/>
      <c r="AI380" s="1"/>
      <c r="AJ380" s="1"/>
      <c r="AK380" s="1"/>
      <c r="AL380" s="1"/>
    </row>
    <row r="381" spans="1:38" x14ac:dyDescent="0.2">
      <c r="A381" s="3"/>
      <c r="B381" s="1"/>
      <c r="C381" s="86" t="s">
        <v>1237</v>
      </c>
      <c r="D381" s="183" t="s">
        <v>1182</v>
      </c>
      <c r="E381" s="34"/>
      <c r="F381" s="34"/>
      <c r="G381" s="34"/>
      <c r="H381" s="34"/>
      <c r="I381" s="34"/>
      <c r="J381" s="34" t="s">
        <v>470</v>
      </c>
      <c r="K381" s="111"/>
      <c r="L381" s="111"/>
      <c r="M381" s="34"/>
      <c r="N381" s="45" t="s">
        <v>34</v>
      </c>
      <c r="O381" s="111">
        <v>0.09</v>
      </c>
      <c r="P381" s="45">
        <v>42.49</v>
      </c>
      <c r="Q381" s="112">
        <f t="shared" si="96"/>
        <v>0.2963811341925352</v>
      </c>
      <c r="R381" s="112">
        <f t="shared" ref="R381:R389" si="97">Q381*(1-$R$245)</f>
        <v>0.2801542670954939</v>
      </c>
      <c r="S381" s="180"/>
      <c r="T381" s="180"/>
      <c r="U381" s="180"/>
      <c r="V381" s="180"/>
      <c r="W381" s="180"/>
      <c r="X381" s="180"/>
      <c r="Y381" s="1"/>
      <c r="Z381" s="1"/>
      <c r="AA381" s="1"/>
      <c r="AB381" s="1">
        <v>1</v>
      </c>
      <c r="AC381" s="80">
        <v>133785.4432564</v>
      </c>
      <c r="AD381" s="81">
        <v>5016954.1221150002</v>
      </c>
      <c r="AE381" s="1"/>
      <c r="AF381" s="1"/>
      <c r="AG381" s="1"/>
      <c r="AH381" s="1"/>
      <c r="AI381" s="1"/>
      <c r="AJ381" s="1"/>
      <c r="AK381" s="1"/>
      <c r="AL381" s="1"/>
    </row>
    <row r="382" spans="1:38" x14ac:dyDescent="0.2">
      <c r="A382" s="3"/>
      <c r="B382" s="1"/>
      <c r="C382" s="86" t="s">
        <v>1238</v>
      </c>
      <c r="D382" s="183" t="s">
        <v>1183</v>
      </c>
      <c r="E382" s="34"/>
      <c r="F382" s="34"/>
      <c r="G382" s="34"/>
      <c r="H382" s="34"/>
      <c r="I382" s="34"/>
      <c r="J382" s="34" t="s">
        <v>470</v>
      </c>
      <c r="K382" s="111"/>
      <c r="L382" s="111"/>
      <c r="M382" s="34"/>
      <c r="N382" s="45" t="s">
        <v>34</v>
      </c>
      <c r="O382" s="111">
        <v>0.95</v>
      </c>
      <c r="P382" s="45">
        <v>18.82</v>
      </c>
      <c r="Q382" s="112">
        <f t="shared" si="96"/>
        <v>0.11029635238291197</v>
      </c>
      <c r="R382" s="112">
        <f t="shared" si="97"/>
        <v>0.10425762708994754</v>
      </c>
      <c r="S382" s="180"/>
      <c r="T382" s="180"/>
      <c r="U382" s="180"/>
      <c r="V382" s="180"/>
      <c r="W382" s="180"/>
      <c r="X382" s="180"/>
      <c r="Y382" s="1"/>
      <c r="Z382" s="1"/>
      <c r="AA382" s="1"/>
      <c r="AB382" s="1">
        <v>1</v>
      </c>
      <c r="AC382" s="80">
        <v>1072.2559430218</v>
      </c>
      <c r="AD382" s="81">
        <v>4325244.5778424768</v>
      </c>
      <c r="AE382" s="1"/>
      <c r="AF382" s="1"/>
      <c r="AG382" s="1"/>
      <c r="AH382" s="1"/>
      <c r="AI382" s="1"/>
      <c r="AJ382" s="1"/>
      <c r="AK382" s="1"/>
      <c r="AL382" s="1"/>
    </row>
    <row r="383" spans="1:38" x14ac:dyDescent="0.2">
      <c r="A383" s="3"/>
      <c r="B383" s="1"/>
      <c r="C383" s="86" t="s">
        <v>1242</v>
      </c>
      <c r="D383" s="183" t="s">
        <v>1189</v>
      </c>
      <c r="E383" s="34"/>
      <c r="F383" s="34"/>
      <c r="G383" s="34"/>
      <c r="H383" s="34"/>
      <c r="I383" s="34"/>
      <c r="J383" s="34" t="s">
        <v>458</v>
      </c>
      <c r="K383" s="111"/>
      <c r="L383" s="111"/>
      <c r="M383" s="34"/>
      <c r="N383" s="45" t="s">
        <v>34</v>
      </c>
      <c r="O383" s="111">
        <v>0.05</v>
      </c>
      <c r="P383" s="45">
        <v>69.034899999999993</v>
      </c>
      <c r="Q383" s="112">
        <f t="shared" si="96"/>
        <v>8.8545831032151814E-2</v>
      </c>
      <c r="R383" s="112">
        <f t="shared" si="97"/>
        <v>8.3697946783141505E-2</v>
      </c>
      <c r="S383" s="180"/>
      <c r="T383" s="180"/>
      <c r="U383" s="180"/>
      <c r="V383" s="180"/>
      <c r="W383" s="180"/>
      <c r="X383" s="180"/>
      <c r="Y383" s="1"/>
      <c r="Z383" s="1"/>
      <c r="AA383" s="1"/>
      <c r="AB383" s="1">
        <v>1</v>
      </c>
      <c r="AC383" s="80">
        <v>411957.36186088598</v>
      </c>
      <c r="AD383" s="81">
        <v>3682898.8150363206</v>
      </c>
      <c r="AE383" s="1"/>
      <c r="AF383" s="1"/>
      <c r="AG383" s="1"/>
      <c r="AH383" s="1"/>
      <c r="AI383" s="1"/>
      <c r="AJ383" s="1"/>
      <c r="AK383" s="1"/>
      <c r="AL383" s="1"/>
    </row>
    <row r="384" spans="1:38" x14ac:dyDescent="0.2">
      <c r="A384" s="3"/>
      <c r="B384" s="1"/>
      <c r="C384" s="86" t="s">
        <v>1243</v>
      </c>
      <c r="D384" s="183" t="s">
        <v>1190</v>
      </c>
      <c r="E384" s="34"/>
      <c r="F384" s="34"/>
      <c r="G384" s="34"/>
      <c r="H384" s="34"/>
      <c r="I384" s="34"/>
      <c r="J384" s="34" t="s">
        <v>458</v>
      </c>
      <c r="K384" s="111"/>
      <c r="L384" s="111"/>
      <c r="M384" s="34"/>
      <c r="N384" s="45" t="s">
        <v>34</v>
      </c>
      <c r="O384" s="111">
        <v>4.0049999999999999</v>
      </c>
      <c r="P384" s="45">
        <v>14.22</v>
      </c>
      <c r="Q384" s="112">
        <f t="shared" si="96"/>
        <v>6.3424608876993402E-2</v>
      </c>
      <c r="R384" s="112">
        <f t="shared" si="97"/>
        <v>5.9952111540978015E-2</v>
      </c>
      <c r="S384" s="180"/>
      <c r="T384" s="180"/>
      <c r="U384" s="180"/>
      <c r="V384" s="180"/>
      <c r="W384" s="180"/>
      <c r="X384" s="180"/>
      <c r="Y384" s="1"/>
      <c r="Z384" s="1"/>
      <c r="AA384" s="1"/>
      <c r="AB384" s="1">
        <v>1</v>
      </c>
      <c r="AC384" s="80">
        <v>124000.36382032</v>
      </c>
      <c r="AD384" s="81">
        <v>3392649.9541239552</v>
      </c>
      <c r="AE384" s="1"/>
      <c r="AF384" s="1"/>
      <c r="AG384" s="1"/>
      <c r="AH384" s="1"/>
      <c r="AI384" s="1"/>
      <c r="AJ384" s="1"/>
      <c r="AK384" s="1"/>
      <c r="AL384" s="1"/>
    </row>
    <row r="385" spans="1:38" x14ac:dyDescent="0.2">
      <c r="A385" s="3"/>
      <c r="B385" s="1"/>
      <c r="C385" s="86" t="s">
        <v>1244</v>
      </c>
      <c r="D385" s="183" t="s">
        <v>1191</v>
      </c>
      <c r="E385" s="34"/>
      <c r="F385" s="34"/>
      <c r="G385" s="34"/>
      <c r="H385" s="34"/>
      <c r="I385" s="34"/>
      <c r="J385" s="34" t="s">
        <v>458</v>
      </c>
      <c r="K385" s="111"/>
      <c r="L385" s="111"/>
      <c r="M385" s="34"/>
      <c r="N385" s="45" t="s">
        <v>34</v>
      </c>
      <c r="O385" s="111">
        <v>0.45</v>
      </c>
      <c r="P385" s="45">
        <v>7.33</v>
      </c>
      <c r="Q385" s="112">
        <f t="shared" si="96"/>
        <v>3.5809892570581058E-2</v>
      </c>
      <c r="R385" s="112">
        <f t="shared" si="97"/>
        <v>3.3849300952341746E-2</v>
      </c>
      <c r="S385" s="180"/>
      <c r="T385" s="180"/>
      <c r="U385" s="180"/>
      <c r="V385" s="180"/>
      <c r="W385" s="180"/>
      <c r="X385" s="180"/>
      <c r="Y385" s="1"/>
      <c r="Z385" s="1"/>
      <c r="AA385" s="1"/>
      <c r="AB385" s="1"/>
      <c r="AC385" s="40"/>
      <c r="AD385" s="82">
        <v>146191716.97121432</v>
      </c>
      <c r="AE385" s="1"/>
      <c r="AF385" s="1"/>
      <c r="AG385" s="1"/>
      <c r="AH385" s="1"/>
      <c r="AI385" s="1"/>
      <c r="AJ385" s="1"/>
      <c r="AK385" s="1"/>
      <c r="AL385" s="1"/>
    </row>
    <row r="386" spans="1:38" x14ac:dyDescent="0.2">
      <c r="A386" s="3"/>
      <c r="B386" s="1"/>
      <c r="C386" s="86" t="s">
        <v>1239</v>
      </c>
      <c r="D386" s="183" t="s">
        <v>1184</v>
      </c>
      <c r="E386" s="34"/>
      <c r="F386" s="34"/>
      <c r="G386" s="34"/>
      <c r="H386" s="34"/>
      <c r="I386" s="34"/>
      <c r="J386" s="34" t="s">
        <v>470</v>
      </c>
      <c r="K386" s="111"/>
      <c r="L386" s="111"/>
      <c r="M386" s="34"/>
      <c r="N386" s="45" t="s">
        <v>34</v>
      </c>
      <c r="O386" s="111">
        <v>1.07</v>
      </c>
      <c r="P386" s="45">
        <v>37.5</v>
      </c>
      <c r="Q386" s="112">
        <f t="shared" si="96"/>
        <v>3.4317635951309447E-2</v>
      </c>
      <c r="R386" s="112">
        <f t="shared" si="97"/>
        <v>3.2438745382975254E-2</v>
      </c>
      <c r="S386" s="162"/>
      <c r="T386" s="162"/>
      <c r="U386" s="162"/>
      <c r="V386" s="162"/>
      <c r="W386" s="162"/>
      <c r="X386" s="162"/>
      <c r="Y386" s="8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</row>
    <row r="387" spans="1:38" x14ac:dyDescent="0.2">
      <c r="A387" s="3"/>
      <c r="B387" s="1"/>
      <c r="C387" s="86" t="s">
        <v>1240</v>
      </c>
      <c r="D387" s="183" t="s">
        <v>1185</v>
      </c>
      <c r="E387" s="34"/>
      <c r="F387" s="34"/>
      <c r="G387" s="34"/>
      <c r="H387" s="34"/>
      <c r="I387" s="34"/>
      <c r="J387" s="34"/>
      <c r="K387" s="111"/>
      <c r="L387" s="111"/>
      <c r="M387" s="34"/>
      <c r="N387" s="45" t="s">
        <v>34</v>
      </c>
      <c r="O387" s="111"/>
      <c r="P387" s="45">
        <v>4033.78</v>
      </c>
      <c r="Q387" s="112">
        <f t="shared" si="96"/>
        <v>2.9586112451871215E-2</v>
      </c>
      <c r="R387" s="112">
        <f t="shared" si="97"/>
        <v>2.7966272795131267E-2</v>
      </c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</row>
    <row r="388" spans="1:38" x14ac:dyDescent="0.2">
      <c r="A388" s="3"/>
      <c r="B388" s="1"/>
      <c r="C388" s="86" t="s">
        <v>1245</v>
      </c>
      <c r="D388" s="183" t="s">
        <v>1192</v>
      </c>
      <c r="E388" s="34"/>
      <c r="F388" s="34"/>
      <c r="G388" s="34"/>
      <c r="H388" s="34"/>
      <c r="I388" s="34"/>
      <c r="J388" s="34" t="s">
        <v>458</v>
      </c>
      <c r="K388" s="111"/>
      <c r="L388" s="111"/>
      <c r="M388" s="34"/>
      <c r="N388" s="45" t="s">
        <v>34</v>
      </c>
      <c r="O388" s="111">
        <v>0.68</v>
      </c>
      <c r="P388" s="45">
        <v>8.94</v>
      </c>
      <c r="Q388" s="112">
        <f t="shared" si="96"/>
        <v>2.5192253647048257E-2</v>
      </c>
      <c r="R388" s="112">
        <f t="shared" si="97"/>
        <v>2.3812977759872365E-2</v>
      </c>
      <c r="S388" s="1"/>
      <c r="T388" s="131"/>
      <c r="U388" s="1"/>
      <c r="V388" s="131"/>
      <c r="W388" s="1"/>
      <c r="X388" s="13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</row>
    <row r="389" spans="1:38" x14ac:dyDescent="0.2">
      <c r="A389" s="1"/>
      <c r="B389" s="1"/>
      <c r="C389" s="86" t="s">
        <v>1241</v>
      </c>
      <c r="D389" s="183" t="s">
        <v>1186</v>
      </c>
      <c r="E389" s="34"/>
      <c r="F389" s="34"/>
      <c r="G389" s="34"/>
      <c r="H389" s="34"/>
      <c r="I389" s="34"/>
      <c r="J389" s="34" t="s">
        <v>447</v>
      </c>
      <c r="K389" s="111"/>
      <c r="L389" s="111"/>
      <c r="M389" s="34"/>
      <c r="N389" s="45" t="s">
        <v>34</v>
      </c>
      <c r="O389" s="111">
        <v>1.05</v>
      </c>
      <c r="P389" s="45">
        <v>27.36</v>
      </c>
      <c r="Q389" s="112">
        <f t="shared" si="96"/>
        <v>2.3206854837008174E-2</v>
      </c>
      <c r="R389" s="112">
        <f t="shared" si="97"/>
        <v>2.1936279534681975E-2</v>
      </c>
      <c r="S389" s="1"/>
      <c r="T389" s="131"/>
      <c r="U389" s="1"/>
      <c r="V389" s="131"/>
      <c r="W389" s="1"/>
      <c r="X389" s="13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</row>
    <row r="390" spans="1:38" x14ac:dyDescent="0.2">
      <c r="A390" s="1"/>
      <c r="B390" s="1"/>
      <c r="C390" s="86"/>
      <c r="D390" s="156"/>
      <c r="E390" s="34"/>
      <c r="F390" s="34"/>
      <c r="G390" s="34"/>
      <c r="H390" s="34"/>
      <c r="I390" s="34"/>
      <c r="J390" s="111"/>
      <c r="K390" s="111"/>
      <c r="L390" s="111"/>
      <c r="M390" s="34"/>
      <c r="N390" s="45"/>
      <c r="O390" s="34"/>
      <c r="P390" s="34"/>
      <c r="Q390" s="112"/>
      <c r="R390" s="112"/>
      <c r="S390" s="1"/>
      <c r="T390" s="135"/>
      <c r="U390" s="1"/>
      <c r="V390" s="135"/>
      <c r="W390" s="1"/>
      <c r="X390" s="135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</row>
    <row r="391" spans="1:38" x14ac:dyDescent="0.2">
      <c r="A391" s="1"/>
      <c r="B391" s="1"/>
      <c r="C391" s="119"/>
      <c r="D391" s="122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121" t="s">
        <v>81</v>
      </c>
      <c r="Q391" s="107">
        <f>SUM(Q380:Q389)</f>
        <v>1.0000000000000004</v>
      </c>
      <c r="R391" s="107"/>
      <c r="S391" s="1"/>
      <c r="T391" s="135"/>
      <c r="U391" s="1"/>
      <c r="V391" s="135"/>
      <c r="W391" s="1"/>
      <c r="X391" s="135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</row>
    <row r="392" spans="1:38" ht="15" thickBo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38"/>
      <c r="U392" s="1"/>
      <c r="V392" s="138"/>
      <c r="W392" s="1"/>
      <c r="X392" s="138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</row>
    <row r="393" spans="1:38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29" t="s">
        <v>86</v>
      </c>
      <c r="R393" s="130">
        <v>100000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</row>
    <row r="394" spans="1:38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32" t="s">
        <v>85</v>
      </c>
      <c r="R394" s="133">
        <v>5000</v>
      </c>
      <c r="S394" s="176"/>
      <c r="T394" s="176"/>
      <c r="U394" s="1"/>
      <c r="V394" s="1"/>
      <c r="W394" s="177"/>
      <c r="X394" s="178"/>
      <c r="Y394" s="40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</row>
    <row r="395" spans="1:38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32" t="s">
        <v>88</v>
      </c>
      <c r="R395" s="134">
        <f>(R393-R394)*0.5%</f>
        <v>475</v>
      </c>
      <c r="S395" s="179"/>
      <c r="T395" s="179"/>
      <c r="U395" s="179"/>
      <c r="V395" s="179"/>
      <c r="W395" s="179"/>
      <c r="X395" s="179"/>
      <c r="Y395" s="1"/>
      <c r="Z395" s="1"/>
      <c r="AA395" s="1"/>
      <c r="AB395" s="1"/>
      <c r="AC395" s="185" t="s">
        <v>442</v>
      </c>
      <c r="AD395" s="185"/>
      <c r="AE395" s="1"/>
      <c r="AF395" s="1"/>
      <c r="AG395" s="1"/>
      <c r="AH395" s="1"/>
      <c r="AI395" s="1"/>
      <c r="AJ395" s="1"/>
      <c r="AK395" s="1"/>
      <c r="AL395" s="1"/>
    </row>
    <row r="396" spans="1:38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32" t="s">
        <v>87</v>
      </c>
      <c r="R396" s="134">
        <f>R394+R395</f>
        <v>5475</v>
      </c>
      <c r="S396" s="162"/>
      <c r="T396" s="162"/>
      <c r="U396" s="162"/>
      <c r="V396" s="162"/>
      <c r="W396" s="162"/>
      <c r="X396" s="162"/>
      <c r="Y396" s="1"/>
      <c r="Z396" s="1"/>
      <c r="AA396" s="1"/>
      <c r="AB396" s="13" t="s">
        <v>17</v>
      </c>
      <c r="AC396" s="78" t="s">
        <v>18</v>
      </c>
      <c r="AD396" s="79" t="s">
        <v>19</v>
      </c>
      <c r="AE396" s="1"/>
      <c r="AF396" s="1"/>
      <c r="AG396" s="1"/>
      <c r="AH396" s="1"/>
      <c r="AI396" s="1"/>
      <c r="AJ396" s="1"/>
      <c r="AK396" s="1"/>
      <c r="AL396" s="1"/>
    </row>
    <row r="397" spans="1:38" ht="15" thickBo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36" t="s">
        <v>89</v>
      </c>
      <c r="R397" s="137">
        <f>R396/R393</f>
        <v>5.475E-2</v>
      </c>
      <c r="S397" s="180"/>
      <c r="T397" s="180"/>
      <c r="U397" s="180"/>
      <c r="V397" s="180"/>
      <c r="W397" s="180"/>
      <c r="X397" s="180"/>
      <c r="Y397" s="1"/>
      <c r="Z397" s="1"/>
      <c r="AA397" s="1"/>
      <c r="AB397" s="1">
        <v>1</v>
      </c>
      <c r="AC397" s="80">
        <v>566982.36411762098</v>
      </c>
      <c r="AD397" s="81">
        <v>36224503.243474804</v>
      </c>
      <c r="AE397" s="1"/>
      <c r="AF397" s="1"/>
      <c r="AG397" s="1"/>
      <c r="AH397" s="1"/>
      <c r="AI397" s="1"/>
      <c r="AJ397" s="1"/>
      <c r="AK397" s="1"/>
      <c r="AL397" s="1"/>
    </row>
    <row r="398" spans="1:38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80"/>
      <c r="T398" s="180"/>
      <c r="U398" s="180"/>
      <c r="V398" s="180"/>
      <c r="W398" s="180"/>
      <c r="X398" s="180"/>
      <c r="Y398" s="1"/>
      <c r="Z398" s="1"/>
      <c r="AA398" s="1"/>
      <c r="AB398" s="1">
        <v>1</v>
      </c>
      <c r="AC398" s="80">
        <v>739918.35807313805</v>
      </c>
      <c r="AD398" s="81">
        <v>31439131.034527637</v>
      </c>
      <c r="AE398" s="1"/>
      <c r="AF398" s="1"/>
      <c r="AG398" s="1"/>
      <c r="AH398" s="1"/>
      <c r="AI398" s="1"/>
      <c r="AJ398" s="1"/>
      <c r="AK398" s="1"/>
      <c r="AL398" s="1"/>
    </row>
    <row r="399" spans="1:38" x14ac:dyDescent="0.2">
      <c r="A399" s="76" t="s">
        <v>0</v>
      </c>
      <c r="B399" s="1"/>
      <c r="C399" s="95" t="s">
        <v>1193</v>
      </c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180"/>
      <c r="T399" s="180"/>
      <c r="U399" s="180"/>
      <c r="V399" s="180"/>
      <c r="W399" s="180"/>
      <c r="X399" s="180"/>
      <c r="Y399" s="1"/>
      <c r="Z399" s="1"/>
      <c r="AA399" s="1"/>
      <c r="AB399" s="1">
        <v>1</v>
      </c>
      <c r="AC399" s="80">
        <v>659604.89103849698</v>
      </c>
      <c r="AD399" s="81">
        <v>14254061.695341919</v>
      </c>
      <c r="AE399" s="1"/>
      <c r="AF399" s="1"/>
      <c r="AG399" s="1"/>
      <c r="AH399" s="1"/>
      <c r="AI399" s="1"/>
      <c r="AJ399" s="1"/>
      <c r="AK399" s="1"/>
      <c r="AL399" s="1"/>
    </row>
    <row r="400" spans="1:38" x14ac:dyDescent="0.2">
      <c r="A400" s="154">
        <v>45846</v>
      </c>
      <c r="B400" s="1"/>
      <c r="C400" s="97" t="s">
        <v>5</v>
      </c>
      <c r="D400" s="98" t="s">
        <v>91</v>
      </c>
      <c r="E400" s="98" t="s">
        <v>533</v>
      </c>
      <c r="F400" s="98" t="s">
        <v>534</v>
      </c>
      <c r="G400" s="98" t="s">
        <v>535</v>
      </c>
      <c r="H400" s="98"/>
      <c r="I400" s="98"/>
      <c r="J400" s="98" t="s">
        <v>434</v>
      </c>
      <c r="K400" s="98" t="s">
        <v>435</v>
      </c>
      <c r="L400" s="98"/>
      <c r="M400" s="98" t="s">
        <v>9</v>
      </c>
      <c r="N400" s="98" t="s">
        <v>13</v>
      </c>
      <c r="O400" s="98" t="s">
        <v>437</v>
      </c>
      <c r="P400" s="98" t="s">
        <v>14</v>
      </c>
      <c r="Q400" s="99" t="s">
        <v>442</v>
      </c>
      <c r="R400" s="99" t="s">
        <v>536</v>
      </c>
      <c r="S400" s="180"/>
      <c r="T400" s="180"/>
      <c r="U400" s="180"/>
      <c r="V400" s="180"/>
      <c r="W400" s="180"/>
      <c r="X400" s="180"/>
      <c r="Y400" s="1"/>
      <c r="Z400" s="1"/>
      <c r="AA400" s="1"/>
      <c r="AB400" s="1">
        <v>1</v>
      </c>
      <c r="AC400" s="80">
        <v>814396.40878992295</v>
      </c>
      <c r="AD400" s="81">
        <v>8771049.3226674702</v>
      </c>
      <c r="AE400" s="1"/>
      <c r="AF400" s="1"/>
      <c r="AG400" s="1"/>
      <c r="AH400" s="1"/>
      <c r="AI400" s="1"/>
      <c r="AJ400" s="1"/>
      <c r="AK400" s="1"/>
      <c r="AL400" s="1"/>
    </row>
    <row r="401" spans="1:38" x14ac:dyDescent="0.2">
      <c r="A401" s="1"/>
      <c r="B401" s="1"/>
      <c r="C401" s="106" t="s">
        <v>1188</v>
      </c>
      <c r="D401" s="45"/>
      <c r="E401" s="34"/>
      <c r="F401" s="34"/>
      <c r="G401" s="34"/>
      <c r="H401" s="34"/>
      <c r="I401" s="34"/>
      <c r="J401" s="34"/>
      <c r="K401" s="34"/>
      <c r="L401" s="155"/>
      <c r="M401" s="34"/>
      <c r="N401" s="34"/>
      <c r="O401" s="34"/>
      <c r="P401" s="34"/>
      <c r="Q401" s="107"/>
      <c r="R401" s="107"/>
      <c r="S401" s="180"/>
      <c r="T401" s="180"/>
      <c r="U401" s="180"/>
      <c r="V401" s="180"/>
      <c r="W401" s="180"/>
      <c r="X401" s="180"/>
      <c r="Y401" s="1"/>
      <c r="Z401" s="1"/>
      <c r="AA401" s="1"/>
      <c r="AB401" s="1">
        <v>1</v>
      </c>
      <c r="AC401" s="80">
        <v>666270.39433486899</v>
      </c>
      <c r="AD401" s="81">
        <v>6582751.4960285062</v>
      </c>
      <c r="AE401" s="1"/>
      <c r="AF401" s="1"/>
      <c r="AG401" s="1"/>
      <c r="AH401" s="1"/>
      <c r="AI401" s="1"/>
      <c r="AJ401" s="1"/>
      <c r="AK401" s="1"/>
      <c r="AL401" s="1"/>
    </row>
    <row r="402" spans="1:38" x14ac:dyDescent="0.2">
      <c r="A402" s="3"/>
      <c r="B402" s="1"/>
      <c r="C402" s="86" t="s">
        <v>1246</v>
      </c>
      <c r="D402" s="183" t="s">
        <v>1194</v>
      </c>
      <c r="E402" s="34"/>
      <c r="F402" s="34"/>
      <c r="G402" s="34"/>
      <c r="H402" s="34"/>
      <c r="I402" s="34"/>
      <c r="J402" s="34" t="s">
        <v>470</v>
      </c>
      <c r="K402" s="111"/>
      <c r="L402" s="111"/>
      <c r="M402" s="34"/>
      <c r="N402" s="45" t="s">
        <v>34</v>
      </c>
      <c r="O402" s="111">
        <v>0.11</v>
      </c>
      <c r="P402" s="45">
        <v>63.89</v>
      </c>
      <c r="Q402" s="112">
        <f t="shared" ref="Q402:Q414" si="98">AD397/$AD$410</f>
        <v>0.29737126078913412</v>
      </c>
      <c r="R402" s="112">
        <f>Q402*(1-$R$422)/(1-$Q$414)</f>
        <v>0.28240656949614829</v>
      </c>
      <c r="S402" s="180"/>
      <c r="T402" s="180"/>
      <c r="U402" s="180"/>
      <c r="V402" s="180"/>
      <c r="W402" s="180"/>
      <c r="X402" s="180"/>
      <c r="Y402" s="1"/>
      <c r="Z402" s="1"/>
      <c r="AA402" s="1"/>
      <c r="AB402" s="1">
        <v>1</v>
      </c>
      <c r="AC402" s="80">
        <v>44588.621328096597</v>
      </c>
      <c r="AD402" s="81">
        <v>4737986.902323545</v>
      </c>
      <c r="AE402" s="1"/>
      <c r="AF402" s="1"/>
      <c r="AG402" s="1"/>
      <c r="AH402" s="1"/>
      <c r="AI402" s="1"/>
      <c r="AJ402" s="1"/>
      <c r="AK402" s="1"/>
      <c r="AL402" s="1"/>
    </row>
    <row r="403" spans="1:38" x14ac:dyDescent="0.2">
      <c r="A403" s="3"/>
      <c r="B403" s="1"/>
      <c r="C403" s="86" t="s">
        <v>1237</v>
      </c>
      <c r="D403" s="183" t="s">
        <v>1182</v>
      </c>
      <c r="E403" s="34"/>
      <c r="F403" s="34"/>
      <c r="G403" s="34"/>
      <c r="H403" s="34"/>
      <c r="I403" s="34"/>
      <c r="J403" s="34" t="s">
        <v>470</v>
      </c>
      <c r="K403" s="111"/>
      <c r="L403" s="111"/>
      <c r="M403" s="34"/>
      <c r="N403" s="45" t="s">
        <v>34</v>
      </c>
      <c r="O403" s="111">
        <v>0.09</v>
      </c>
      <c r="P403" s="45">
        <v>42.49</v>
      </c>
      <c r="Q403" s="112">
        <f t="shared" si="98"/>
        <v>0.25808757047721148</v>
      </c>
      <c r="R403" s="112">
        <f t="shared" ref="R403:R413" si="99">Q403*(1-$R$422)/(1-$Q$414)</f>
        <v>0.24509976254816321</v>
      </c>
      <c r="S403" s="180"/>
      <c r="T403" s="180"/>
      <c r="U403" s="180"/>
      <c r="V403" s="180"/>
      <c r="W403" s="180"/>
      <c r="X403" s="180"/>
      <c r="Y403" s="1"/>
      <c r="Z403" s="1"/>
      <c r="AA403" s="1"/>
      <c r="AB403" s="1">
        <v>1</v>
      </c>
      <c r="AC403" s="80">
        <v>68005.594698638306</v>
      </c>
      <c r="AD403" s="81">
        <v>4302713.9765828457</v>
      </c>
      <c r="AE403" s="1"/>
      <c r="AF403" s="1"/>
      <c r="AG403" s="1"/>
      <c r="AH403" s="1"/>
      <c r="AI403" s="1"/>
      <c r="AJ403" s="1"/>
      <c r="AK403" s="1"/>
      <c r="AL403" s="1"/>
    </row>
    <row r="404" spans="1:38" x14ac:dyDescent="0.2">
      <c r="A404" s="3"/>
      <c r="B404" s="1"/>
      <c r="C404" s="86" t="s">
        <v>1247</v>
      </c>
      <c r="D404" s="183" t="s">
        <v>1195</v>
      </c>
      <c r="E404" s="34"/>
      <c r="F404" s="34"/>
      <c r="G404" s="34"/>
      <c r="H404" s="34"/>
      <c r="I404" s="34"/>
      <c r="J404" s="34" t="s">
        <v>470</v>
      </c>
      <c r="K404" s="111"/>
      <c r="L404" s="111"/>
      <c r="M404" s="34"/>
      <c r="N404" s="45" t="s">
        <v>34</v>
      </c>
      <c r="O404" s="111">
        <v>0.15</v>
      </c>
      <c r="P404" s="45">
        <v>21.61</v>
      </c>
      <c r="Q404" s="112">
        <f t="shared" si="98"/>
        <v>0.11701328985024698</v>
      </c>
      <c r="R404" s="112">
        <f t="shared" si="99"/>
        <v>0.1111247996338797</v>
      </c>
      <c r="S404" s="180"/>
      <c r="T404" s="180"/>
      <c r="U404" s="180"/>
      <c r="V404" s="180"/>
      <c r="W404" s="180"/>
      <c r="X404" s="180"/>
      <c r="Y404" s="1"/>
      <c r="Z404" s="1"/>
      <c r="AA404" s="1"/>
      <c r="AB404" s="1">
        <v>1</v>
      </c>
      <c r="AC404" s="80">
        <v>69550.179683750306</v>
      </c>
      <c r="AD404" s="81">
        <v>4157709.7414945932</v>
      </c>
      <c r="AE404" s="1"/>
      <c r="AF404" s="1"/>
      <c r="AG404" s="1"/>
      <c r="AH404" s="1"/>
      <c r="AI404" s="1"/>
      <c r="AJ404" s="1"/>
      <c r="AK404" s="1"/>
      <c r="AL404" s="1"/>
    </row>
    <row r="405" spans="1:38" x14ac:dyDescent="0.2">
      <c r="A405" s="3"/>
      <c r="B405" s="1"/>
      <c r="C405" s="86" t="s">
        <v>1248</v>
      </c>
      <c r="D405" s="183" t="s">
        <v>1196</v>
      </c>
      <c r="E405" s="34"/>
      <c r="F405" s="34"/>
      <c r="G405" s="34"/>
      <c r="H405" s="34"/>
      <c r="I405" s="34"/>
      <c r="J405" s="34" t="s">
        <v>458</v>
      </c>
      <c r="K405" s="111"/>
      <c r="L405" s="111"/>
      <c r="M405" s="34"/>
      <c r="N405" s="45" t="s">
        <v>34</v>
      </c>
      <c r="O405" s="111">
        <v>0.45</v>
      </c>
      <c r="P405" s="45">
        <v>10.77</v>
      </c>
      <c r="Q405" s="112">
        <f t="shared" si="98"/>
        <v>7.2002588358341058E-2</v>
      </c>
      <c r="R405" s="112">
        <f t="shared" si="99"/>
        <v>6.8379183378925235E-2</v>
      </c>
      <c r="S405" s="180"/>
      <c r="T405" s="180"/>
      <c r="U405" s="180"/>
      <c r="V405" s="180"/>
      <c r="W405" s="180"/>
      <c r="X405" s="180"/>
      <c r="Y405" s="1"/>
      <c r="Z405" s="1"/>
      <c r="AA405" s="1"/>
      <c r="AB405" s="1">
        <v>1</v>
      </c>
      <c r="AC405" s="80">
        <v>163920.495406795</v>
      </c>
      <c r="AD405" s="81">
        <v>4094733.975261739</v>
      </c>
      <c r="AE405" s="1"/>
      <c r="AF405" s="1"/>
      <c r="AG405" s="1"/>
      <c r="AH405" s="1"/>
      <c r="AI405" s="1"/>
      <c r="AJ405" s="1"/>
      <c r="AK405" s="1"/>
      <c r="AL405" s="1"/>
    </row>
    <row r="406" spans="1:38" x14ac:dyDescent="0.2">
      <c r="A406" s="3"/>
      <c r="B406" s="1"/>
      <c r="C406" s="86" t="s">
        <v>1249</v>
      </c>
      <c r="D406" s="183" t="s">
        <v>1197</v>
      </c>
      <c r="E406" s="34"/>
      <c r="F406" s="34"/>
      <c r="G406" s="34"/>
      <c r="H406" s="34"/>
      <c r="I406" s="34"/>
      <c r="J406" s="34" t="s">
        <v>458</v>
      </c>
      <c r="K406" s="111"/>
      <c r="L406" s="111"/>
      <c r="M406" s="34"/>
      <c r="N406" s="45" t="s">
        <v>34</v>
      </c>
      <c r="O406" s="111">
        <v>0.03</v>
      </c>
      <c r="P406" s="45">
        <v>9.8800000000000008</v>
      </c>
      <c r="Q406" s="112">
        <f t="shared" si="98"/>
        <v>5.40385909139601E-2</v>
      </c>
      <c r="R406" s="112">
        <f t="shared" si="99"/>
        <v>5.1319192849771267E-2</v>
      </c>
      <c r="S406" s="180"/>
      <c r="T406" s="180"/>
      <c r="U406" s="180"/>
      <c r="V406" s="180"/>
      <c r="W406" s="180"/>
      <c r="X406" s="180"/>
      <c r="Y406" s="1"/>
      <c r="Z406" s="1"/>
      <c r="AA406" s="1"/>
      <c r="AB406" s="1">
        <v>1</v>
      </c>
      <c r="AC406" s="80">
        <v>105497.660870658</v>
      </c>
      <c r="AD406" s="81">
        <v>2886416.0014212029</v>
      </c>
      <c r="AE406" s="1"/>
      <c r="AF406" s="1"/>
      <c r="AG406" s="1"/>
      <c r="AH406" s="1"/>
      <c r="AI406" s="1"/>
      <c r="AJ406" s="1"/>
      <c r="AK406" s="1"/>
      <c r="AL406" s="1"/>
    </row>
    <row r="407" spans="1:38" x14ac:dyDescent="0.2">
      <c r="A407" s="3"/>
      <c r="B407" s="1"/>
      <c r="C407" s="86" t="s">
        <v>1250</v>
      </c>
      <c r="D407" s="183" t="s">
        <v>1198</v>
      </c>
      <c r="E407" s="34"/>
      <c r="F407" s="34"/>
      <c r="G407" s="34"/>
      <c r="H407" s="34"/>
      <c r="I407" s="34"/>
      <c r="J407" s="34" t="s">
        <v>470</v>
      </c>
      <c r="K407" s="111"/>
      <c r="L407" s="111"/>
      <c r="M407" s="34"/>
      <c r="N407" s="45" t="s">
        <v>34</v>
      </c>
      <c r="O407" s="111">
        <v>0.08</v>
      </c>
      <c r="P407" s="45">
        <v>106.26</v>
      </c>
      <c r="Q407" s="112">
        <f t="shared" si="98"/>
        <v>3.8894698687142168E-2</v>
      </c>
      <c r="R407" s="112">
        <f t="shared" si="99"/>
        <v>3.6937390649902105E-2</v>
      </c>
      <c r="S407" s="180"/>
      <c r="T407" s="180"/>
      <c r="U407" s="180"/>
      <c r="V407" s="180"/>
      <c r="W407" s="180"/>
      <c r="X407" s="180"/>
      <c r="Y407" s="1"/>
      <c r="Z407" s="1"/>
      <c r="AA407" s="1"/>
      <c r="AB407" s="1">
        <v>1</v>
      </c>
      <c r="AC407" s="80">
        <v>129928.336603339</v>
      </c>
      <c r="AD407" s="81">
        <v>2524507.5802028771</v>
      </c>
      <c r="AE407" s="1"/>
      <c r="AF407" s="1"/>
      <c r="AG407" s="1"/>
      <c r="AH407" s="1"/>
      <c r="AI407" s="1"/>
      <c r="AJ407" s="1"/>
      <c r="AK407" s="1"/>
      <c r="AL407" s="1"/>
    </row>
    <row r="408" spans="1:38" x14ac:dyDescent="0.2">
      <c r="A408" s="3"/>
      <c r="B408" s="1"/>
      <c r="C408" s="86" t="s">
        <v>1251</v>
      </c>
      <c r="D408" s="183" t="s">
        <v>1199</v>
      </c>
      <c r="E408" s="34"/>
      <c r="F408" s="34"/>
      <c r="G408" s="34"/>
      <c r="H408" s="34"/>
      <c r="I408" s="34"/>
      <c r="J408" s="34" t="s">
        <v>470</v>
      </c>
      <c r="K408" s="111"/>
      <c r="L408" s="111"/>
      <c r="M408" s="34"/>
      <c r="N408" s="45" t="s">
        <v>34</v>
      </c>
      <c r="O408" s="111">
        <v>1.04</v>
      </c>
      <c r="P408" s="45">
        <v>63.27</v>
      </c>
      <c r="Q408" s="112">
        <f t="shared" si="98"/>
        <v>3.5321491406840738E-2</v>
      </c>
      <c r="R408" s="112">
        <f t="shared" si="99"/>
        <v>3.3543998808838682E-2</v>
      </c>
      <c r="S408" s="180"/>
      <c r="T408" s="180"/>
      <c r="U408" s="180"/>
      <c r="V408" s="180"/>
      <c r="W408" s="180"/>
      <c r="X408" s="180"/>
      <c r="Y408" s="1"/>
      <c r="Z408" s="1"/>
      <c r="AA408" s="1"/>
      <c r="AB408" s="1">
        <v>1</v>
      </c>
      <c r="AC408" s="80">
        <v>134927.25801039601</v>
      </c>
      <c r="AD408" s="81">
        <v>1272364.0430380343</v>
      </c>
      <c r="AE408" s="1"/>
      <c r="AF408" s="1"/>
      <c r="AG408" s="1"/>
      <c r="AH408" s="1"/>
      <c r="AI408" s="1"/>
      <c r="AJ408" s="1"/>
      <c r="AK408" s="1"/>
      <c r="AL408" s="1"/>
    </row>
    <row r="409" spans="1:38" x14ac:dyDescent="0.2">
      <c r="A409" s="3"/>
      <c r="B409" s="1"/>
      <c r="C409" s="86" t="s">
        <v>1252</v>
      </c>
      <c r="D409" s="183" t="s">
        <v>1200</v>
      </c>
      <c r="E409" s="34"/>
      <c r="F409" s="34"/>
      <c r="G409" s="34"/>
      <c r="H409" s="34"/>
      <c r="I409" s="34"/>
      <c r="J409" s="34" t="s">
        <v>470</v>
      </c>
      <c r="K409" s="111"/>
      <c r="L409" s="111"/>
      <c r="M409" s="34"/>
      <c r="N409" s="45" t="s">
        <v>34</v>
      </c>
      <c r="O409" s="111">
        <v>0.91</v>
      </c>
      <c r="P409" s="45">
        <v>59.78</v>
      </c>
      <c r="Q409" s="112">
        <f t="shared" si="98"/>
        <v>3.4131134373698399E-2</v>
      </c>
      <c r="R409" s="112">
        <f t="shared" si="99"/>
        <v>3.2413544422247122E-2</v>
      </c>
      <c r="S409" s="180"/>
      <c r="T409" s="180"/>
      <c r="U409" s="180"/>
      <c r="V409" s="180"/>
      <c r="W409" s="180"/>
      <c r="X409" s="180"/>
      <c r="Y409" s="1"/>
      <c r="Z409" s="1"/>
      <c r="AA409" s="1"/>
      <c r="AB409" s="1">
        <v>1</v>
      </c>
      <c r="AC409" s="80">
        <v>567821.26338723197</v>
      </c>
      <c r="AD409" s="81">
        <v>567821.26338723197</v>
      </c>
      <c r="AE409" s="1"/>
      <c r="AF409" s="1"/>
      <c r="AG409" s="1"/>
      <c r="AH409" s="1"/>
      <c r="AI409" s="1"/>
      <c r="AJ409" s="1"/>
      <c r="AK409" s="1"/>
      <c r="AL409" s="1"/>
    </row>
    <row r="410" spans="1:38" x14ac:dyDescent="0.2">
      <c r="A410" s="3"/>
      <c r="B410" s="1"/>
      <c r="C410" s="86" t="s">
        <v>1253</v>
      </c>
      <c r="D410" s="183" t="s">
        <v>1201</v>
      </c>
      <c r="E410" s="34"/>
      <c r="F410" s="34"/>
      <c r="G410" s="34"/>
      <c r="H410" s="34"/>
      <c r="I410" s="34"/>
      <c r="J410" s="34" t="s">
        <v>458</v>
      </c>
      <c r="K410" s="111"/>
      <c r="L410" s="111"/>
      <c r="M410" s="34"/>
      <c r="N410" s="45" t="s">
        <v>34</v>
      </c>
      <c r="O410" s="111">
        <v>0.35</v>
      </c>
      <c r="P410" s="45">
        <v>24.98</v>
      </c>
      <c r="Q410" s="112">
        <f t="shared" si="98"/>
        <v>3.3614158809452427E-2</v>
      </c>
      <c r="R410" s="112">
        <f t="shared" si="99"/>
        <v>3.1922584753768711E-2</v>
      </c>
      <c r="S410" s="180"/>
      <c r="T410" s="180"/>
      <c r="U410" s="180"/>
      <c r="V410" s="180"/>
      <c r="W410" s="180"/>
      <c r="X410" s="180"/>
      <c r="Y410" s="1"/>
      <c r="Z410" s="1"/>
      <c r="AA410" s="1"/>
      <c r="AB410" s="1"/>
      <c r="AC410" s="40"/>
      <c r="AD410" s="82">
        <v>121815750.2757524</v>
      </c>
      <c r="AE410" s="1"/>
      <c r="AF410" s="1"/>
      <c r="AG410" s="1"/>
      <c r="AH410" s="1"/>
      <c r="AI410" s="1"/>
      <c r="AJ410" s="1"/>
      <c r="AK410" s="1"/>
      <c r="AL410" s="1"/>
    </row>
    <row r="411" spans="1:38" x14ac:dyDescent="0.2">
      <c r="A411" s="3"/>
      <c r="B411" s="1"/>
      <c r="C411" s="86" t="s">
        <v>1241</v>
      </c>
      <c r="D411" s="183" t="s">
        <v>1186</v>
      </c>
      <c r="E411" s="34"/>
      <c r="F411" s="34"/>
      <c r="G411" s="34"/>
      <c r="H411" s="34"/>
      <c r="I411" s="34"/>
      <c r="J411" s="34" t="s">
        <v>447</v>
      </c>
      <c r="K411" s="111"/>
      <c r="L411" s="111"/>
      <c r="M411" s="34"/>
      <c r="N411" s="45" t="s">
        <v>34</v>
      </c>
      <c r="O411" s="111">
        <v>1.05</v>
      </c>
      <c r="P411" s="45">
        <v>27.36</v>
      </c>
      <c r="Q411" s="112">
        <f t="shared" si="98"/>
        <v>2.3694932674036554E-2</v>
      </c>
      <c r="R411" s="112">
        <f t="shared" si="99"/>
        <v>2.2502526414823504E-2</v>
      </c>
      <c r="S411" s="162"/>
      <c r="T411" s="162"/>
      <c r="U411" s="162"/>
      <c r="V411" s="162"/>
      <c r="W411" s="162"/>
      <c r="X411" s="162"/>
      <c r="Y411" s="8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</row>
    <row r="412" spans="1:38" x14ac:dyDescent="0.2">
      <c r="A412" s="3"/>
      <c r="B412" s="1"/>
      <c r="C412" s="86" t="s">
        <v>1254</v>
      </c>
      <c r="D412" s="183" t="s">
        <v>1202</v>
      </c>
      <c r="E412" s="34"/>
      <c r="F412" s="34"/>
      <c r="G412" s="34"/>
      <c r="H412" s="34"/>
      <c r="I412" s="34"/>
      <c r="J412" s="34" t="s">
        <v>458</v>
      </c>
      <c r="K412" s="111"/>
      <c r="L412" s="111"/>
      <c r="M412" s="34"/>
      <c r="N412" s="45" t="s">
        <v>34</v>
      </c>
      <c r="O412" s="111">
        <v>0.1</v>
      </c>
      <c r="P412" s="45">
        <v>19.43</v>
      </c>
      <c r="Q412" s="112">
        <f t="shared" si="98"/>
        <v>2.072398334770495E-2</v>
      </c>
      <c r="R412" s="112">
        <f t="shared" si="99"/>
        <v>1.9681084944085186E-2</v>
      </c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</row>
    <row r="413" spans="1:38" x14ac:dyDescent="0.2">
      <c r="A413" s="3"/>
      <c r="B413" s="1"/>
      <c r="C413" s="86" t="s">
        <v>1255</v>
      </c>
      <c r="D413" s="183" t="s">
        <v>1203</v>
      </c>
      <c r="E413" s="34"/>
      <c r="F413" s="34"/>
      <c r="G413" s="34"/>
      <c r="H413" s="34"/>
      <c r="I413" s="34"/>
      <c r="J413" s="34" t="s">
        <v>458</v>
      </c>
      <c r="K413" s="111"/>
      <c r="L413" s="111"/>
      <c r="M413" s="34"/>
      <c r="N413" s="45" t="s">
        <v>34</v>
      </c>
      <c r="O413" s="111">
        <v>0.03</v>
      </c>
      <c r="P413" s="45">
        <v>9.43</v>
      </c>
      <c r="Q413" s="112">
        <f t="shared" si="98"/>
        <v>1.0444987944151753E-2</v>
      </c>
      <c r="R413" s="112">
        <f t="shared" si="99"/>
        <v>9.919362099447054E-3</v>
      </c>
      <c r="S413" s="1"/>
      <c r="T413" s="131"/>
      <c r="U413" s="1"/>
      <c r="V413" s="131"/>
      <c r="W413" s="1"/>
      <c r="X413" s="13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</row>
    <row r="414" spans="1:38" x14ac:dyDescent="0.2">
      <c r="A414" s="3"/>
      <c r="B414" s="3"/>
      <c r="C414" s="86" t="s">
        <v>790</v>
      </c>
      <c r="D414" s="183" t="s">
        <v>34</v>
      </c>
      <c r="E414" s="34"/>
      <c r="F414" s="34"/>
      <c r="G414" s="34"/>
      <c r="H414" s="34"/>
      <c r="I414" s="34"/>
      <c r="J414" s="157" t="s">
        <v>80</v>
      </c>
      <c r="K414" s="111"/>
      <c r="L414" s="111"/>
      <c r="M414" s="34"/>
      <c r="N414" s="45" t="s">
        <v>34</v>
      </c>
      <c r="O414" s="34"/>
      <c r="P414" s="45">
        <v>1</v>
      </c>
      <c r="Q414" s="112">
        <f t="shared" si="98"/>
        <v>4.6613123680793655E-3</v>
      </c>
      <c r="R414" s="112">
        <f>R422</f>
        <v>5.475E-2</v>
      </c>
      <c r="S414" s="1"/>
      <c r="T414" s="131"/>
      <c r="U414" s="1"/>
      <c r="V414" s="131"/>
      <c r="W414" s="1"/>
      <c r="X414" s="13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</row>
    <row r="415" spans="1:38" x14ac:dyDescent="0.2">
      <c r="A415" s="1"/>
      <c r="B415" s="1"/>
      <c r="C415" s="86"/>
      <c r="D415" s="156"/>
      <c r="E415" s="34"/>
      <c r="F415" s="34"/>
      <c r="G415" s="34"/>
      <c r="H415" s="34"/>
      <c r="I415" s="34"/>
      <c r="J415" s="111"/>
      <c r="K415" s="111"/>
      <c r="L415" s="111"/>
      <c r="M415" s="34"/>
      <c r="N415" s="45"/>
      <c r="O415" s="34"/>
      <c r="P415" s="34"/>
      <c r="Q415" s="112"/>
      <c r="R415" s="112"/>
      <c r="S415" s="1"/>
      <c r="T415" s="135"/>
      <c r="U415" s="1"/>
      <c r="V415" s="135"/>
      <c r="W415" s="1"/>
      <c r="X415" s="135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</row>
    <row r="416" spans="1:38" x14ac:dyDescent="0.2">
      <c r="A416" s="1"/>
      <c r="B416" s="1"/>
      <c r="C416" s="119"/>
      <c r="D416" s="122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121" t="s">
        <v>81</v>
      </c>
      <c r="Q416" s="107">
        <f>SUM(Q402:Q414)</f>
        <v>0.99999999999999989</v>
      </c>
      <c r="R416" s="107"/>
      <c r="S416" s="1"/>
      <c r="T416" s="135"/>
      <c r="U416" s="1"/>
      <c r="V416" s="135"/>
      <c r="W416" s="1"/>
      <c r="X416" s="135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</row>
    <row r="417" spans="1:38" ht="15" thickBo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38"/>
      <c r="U417" s="1"/>
      <c r="V417" s="138"/>
      <c r="W417" s="1"/>
      <c r="X417" s="138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</row>
    <row r="418" spans="1:38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29" t="s">
        <v>86</v>
      </c>
      <c r="R418" s="130">
        <v>100000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</row>
    <row r="419" spans="1:38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32" t="s">
        <v>85</v>
      </c>
      <c r="R419" s="133">
        <v>5000</v>
      </c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</row>
    <row r="420" spans="1:38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32" t="s">
        <v>88</v>
      </c>
      <c r="R420" s="134">
        <f>(R418-R419)*0.5%</f>
        <v>475</v>
      </c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</row>
    <row r="421" spans="1:38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32" t="s">
        <v>87</v>
      </c>
      <c r="R421" s="134">
        <f>R419+R420</f>
        <v>5475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</row>
    <row r="422" spans="1:38" ht="15" thickBo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36" t="s">
        <v>89</v>
      </c>
      <c r="R422" s="137">
        <f>R421/R418</f>
        <v>5.475E-2</v>
      </c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</row>
  </sheetData>
  <mergeCells count="17">
    <mergeCell ref="AC395:AD395"/>
    <mergeCell ref="AG248:AH248"/>
    <mergeCell ref="AI248:AJ248"/>
    <mergeCell ref="AC266:AD266"/>
    <mergeCell ref="AC287:AD287"/>
    <mergeCell ref="AC307:AD307"/>
    <mergeCell ref="AC325:AD325"/>
    <mergeCell ref="AC343:AD343"/>
    <mergeCell ref="AC354:AD354"/>
    <mergeCell ref="AC248:AD248"/>
    <mergeCell ref="AC373:AD373"/>
    <mergeCell ref="AC225:AD225"/>
    <mergeCell ref="AE225:AF225"/>
    <mergeCell ref="AG225:AH225"/>
    <mergeCell ref="AI225:AJ225"/>
    <mergeCell ref="AC203:AD203"/>
    <mergeCell ref="AE203:AF203"/>
  </mergeCells>
  <conditionalFormatting sqref="A2">
    <cfRule type="cellIs" dxfId="109" priority="18" operator="lessThan">
      <formula>TODAY()-14</formula>
    </cfRule>
  </conditionalFormatting>
  <conditionalFormatting sqref="A122">
    <cfRule type="cellIs" dxfId="108" priority="17" operator="lessThan">
      <formula>TODAY()-14</formula>
    </cfRule>
  </conditionalFormatting>
  <conditionalFormatting sqref="A143">
    <cfRule type="cellIs" dxfId="107" priority="16" operator="lessThan">
      <formula>TODAY()-14</formula>
    </cfRule>
  </conditionalFormatting>
  <conditionalFormatting sqref="A164">
    <cfRule type="cellIs" dxfId="106" priority="15" operator="lessThan">
      <formula>TODAY()-14</formula>
    </cfRule>
  </conditionalFormatting>
  <conditionalFormatting sqref="A183">
    <cfRule type="cellIs" dxfId="105" priority="14" operator="lessThan">
      <formula>TODAY()-14</formula>
    </cfRule>
  </conditionalFormatting>
  <conditionalFormatting sqref="A42">
    <cfRule type="cellIs" dxfId="104" priority="13" operator="lessThan">
      <formula>TODAY()-14</formula>
    </cfRule>
  </conditionalFormatting>
  <conditionalFormatting sqref="A83">
    <cfRule type="cellIs" dxfId="103" priority="12" operator="lessThan">
      <formula>TODAY()-14</formula>
    </cfRule>
  </conditionalFormatting>
  <conditionalFormatting sqref="A203">
    <cfRule type="cellIs" dxfId="102" priority="11" operator="lessThan">
      <formula>TODAY()-14</formula>
    </cfRule>
  </conditionalFormatting>
  <conditionalFormatting sqref="A225">
    <cfRule type="cellIs" dxfId="101" priority="10" operator="lessThan">
      <formula>TODAY()-14</formula>
    </cfRule>
  </conditionalFormatting>
  <conditionalFormatting sqref="A248">
    <cfRule type="cellIs" dxfId="100" priority="9" operator="lessThan">
      <formula>TODAY()-14</formula>
    </cfRule>
  </conditionalFormatting>
  <conditionalFormatting sqref="A266">
    <cfRule type="cellIs" dxfId="99" priority="8" operator="lessThan">
      <formula>TODAY()-14</formula>
    </cfRule>
  </conditionalFormatting>
  <conditionalFormatting sqref="A287">
    <cfRule type="cellIs" dxfId="98" priority="7" operator="lessThan">
      <formula>TODAY()-14</formula>
    </cfRule>
  </conditionalFormatting>
  <conditionalFormatting sqref="A307">
    <cfRule type="cellIs" dxfId="97" priority="6" operator="lessThan">
      <formula>TODAY()-14</formula>
    </cfRule>
  </conditionalFormatting>
  <conditionalFormatting sqref="A325">
    <cfRule type="cellIs" dxfId="96" priority="5" operator="lessThan">
      <formula>TODAY()-14</formula>
    </cfRule>
  </conditionalFormatting>
  <conditionalFormatting sqref="A343">
    <cfRule type="cellIs" dxfId="95" priority="4" operator="lessThan">
      <formula>TODAY()-14</formula>
    </cfRule>
  </conditionalFormatting>
  <conditionalFormatting sqref="A360">
    <cfRule type="cellIs" dxfId="94" priority="3" operator="lessThan">
      <formula>TODAY()-14</formula>
    </cfRule>
  </conditionalFormatting>
  <conditionalFormatting sqref="A378">
    <cfRule type="cellIs" dxfId="93" priority="2" operator="lessThan">
      <formula>TODAY()-14</formula>
    </cfRule>
  </conditionalFormatting>
  <conditionalFormatting sqref="A400">
    <cfRule type="cellIs" dxfId="92" priority="1" operator="lessThan">
      <formula>TODAY()-14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ExportGlobalEquityETFToCSV">
                <anchor moveWithCells="1" sizeWithCells="1">
                  <from>
                    <xdr:col>16</xdr:col>
                    <xdr:colOff>1685925</xdr:colOff>
                    <xdr:row>36</xdr:row>
                    <xdr:rowOff>133350</xdr:rowOff>
                  </from>
                  <to>
                    <xdr:col>16</xdr:col>
                    <xdr:colOff>2200275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4" name="Button 20">
              <controlPr defaultSize="0" print="0" autoFill="0" autoPict="0" macro="[0]!ExportGlobalBalancedETFToCSV">
                <anchor moveWithCells="1" sizeWithCells="1">
                  <from>
                    <xdr:col>18</xdr:col>
                    <xdr:colOff>1657350</xdr:colOff>
                    <xdr:row>36</xdr:row>
                    <xdr:rowOff>142875</xdr:rowOff>
                  </from>
                  <to>
                    <xdr:col>18</xdr:col>
                    <xdr:colOff>2171700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5" name="Button 21">
              <controlPr defaultSize="0" print="0" autoFill="0" autoPict="0" macro="[0]!ExportGlobalModerateETFToCSV">
                <anchor moveWithCells="1" sizeWithCells="1">
                  <from>
                    <xdr:col>20</xdr:col>
                    <xdr:colOff>1590675</xdr:colOff>
                    <xdr:row>36</xdr:row>
                    <xdr:rowOff>161925</xdr:rowOff>
                  </from>
                  <to>
                    <xdr:col>20</xdr:col>
                    <xdr:colOff>2105025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6" name="Button 22">
              <controlPr defaultSize="0" print="0" autoFill="0" autoPict="0" macro="[0]!ExportGlobalConservativeETFToCSV">
                <anchor moveWithCells="1" sizeWithCells="1">
                  <from>
                    <xdr:col>22</xdr:col>
                    <xdr:colOff>1724025</xdr:colOff>
                    <xdr:row>36</xdr:row>
                    <xdr:rowOff>142875</xdr:rowOff>
                  </from>
                  <to>
                    <xdr:col>22</xdr:col>
                    <xdr:colOff>2238375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7" name="Button 23">
              <controlPr defaultSize="0" print="0" autoFill="0" autoPict="0" macro="[0]!ExportGlobalFixedIncomeETFToCSV">
                <anchor moveWithCells="1" sizeWithCells="1">
                  <from>
                    <xdr:col>24</xdr:col>
                    <xdr:colOff>1647825</xdr:colOff>
                    <xdr:row>36</xdr:row>
                    <xdr:rowOff>171450</xdr:rowOff>
                  </from>
                  <to>
                    <xdr:col>24</xdr:col>
                    <xdr:colOff>2162175</xdr:colOff>
                    <xdr:row>38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8" name="Button 24">
              <controlPr defaultSize="0" print="0" autoFill="0" autoPict="0" macro="[0]!ExportGlobalEquityETFUSTaxToCSV">
                <anchor moveWithCells="1" sizeWithCells="1">
                  <from>
                    <xdr:col>16</xdr:col>
                    <xdr:colOff>1743075</xdr:colOff>
                    <xdr:row>76</xdr:row>
                    <xdr:rowOff>133350</xdr:rowOff>
                  </from>
                  <to>
                    <xdr:col>16</xdr:col>
                    <xdr:colOff>2257425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9" name="Button 25">
              <controlPr defaultSize="0" print="0" autoFill="0" autoPict="0" macro="[0]!ExportGlobalBalancedETFUSTaxToCSV">
                <anchor moveWithCells="1" sizeWithCells="1">
                  <from>
                    <xdr:col>18</xdr:col>
                    <xdr:colOff>1714500</xdr:colOff>
                    <xdr:row>76</xdr:row>
                    <xdr:rowOff>95250</xdr:rowOff>
                  </from>
                  <to>
                    <xdr:col>18</xdr:col>
                    <xdr:colOff>2228850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10" name="Button 26">
              <controlPr defaultSize="0" print="0" autoFill="0" autoPict="0" macro="[0]!ExportGlobalModerateETFUSTaxToCSV">
                <anchor moveWithCells="1" sizeWithCells="1">
                  <from>
                    <xdr:col>20</xdr:col>
                    <xdr:colOff>1724025</xdr:colOff>
                    <xdr:row>76</xdr:row>
                    <xdr:rowOff>123825</xdr:rowOff>
                  </from>
                  <to>
                    <xdr:col>20</xdr:col>
                    <xdr:colOff>2238375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11" name="Button 27">
              <controlPr defaultSize="0" print="0" autoFill="0" autoPict="0" macro="[0]!ExportGlobalConservativeETFUSTaxToCSV">
                <anchor moveWithCells="1" sizeWithCells="1">
                  <from>
                    <xdr:col>22</xdr:col>
                    <xdr:colOff>1752600</xdr:colOff>
                    <xdr:row>76</xdr:row>
                    <xdr:rowOff>161925</xdr:rowOff>
                  </from>
                  <to>
                    <xdr:col>22</xdr:col>
                    <xdr:colOff>2266950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12" name="Button 28">
              <controlPr defaultSize="0" print="0" autoFill="0" autoPict="0" macro="[0]!ExportGlobalFixedIncomeETFUSTaxToCSV">
                <anchor moveWithCells="1" sizeWithCells="1">
                  <from>
                    <xdr:col>24</xdr:col>
                    <xdr:colOff>1590675</xdr:colOff>
                    <xdr:row>76</xdr:row>
                    <xdr:rowOff>114300</xdr:rowOff>
                  </from>
                  <to>
                    <xdr:col>24</xdr:col>
                    <xdr:colOff>2105025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13" name="Button 29">
              <controlPr defaultSize="0" print="0" autoFill="0" autoPict="0" macro="[0]!ExportUSFocusedEquityETFToCSV">
                <anchor moveWithCells="1" sizeWithCells="1">
                  <from>
                    <xdr:col>16</xdr:col>
                    <xdr:colOff>1695450</xdr:colOff>
                    <xdr:row>115</xdr:row>
                    <xdr:rowOff>123825</xdr:rowOff>
                  </from>
                  <to>
                    <xdr:col>16</xdr:col>
                    <xdr:colOff>2209800</xdr:colOff>
                    <xdr:row>117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14" name="Button 30">
              <controlPr defaultSize="0" print="0" autoFill="0" autoPict="0" macro="[0]!ExportUSFocusedBalancedETFToCSV">
                <anchor moveWithCells="1" sizeWithCells="1">
                  <from>
                    <xdr:col>18</xdr:col>
                    <xdr:colOff>1838325</xdr:colOff>
                    <xdr:row>115</xdr:row>
                    <xdr:rowOff>161925</xdr:rowOff>
                  </from>
                  <to>
                    <xdr:col>19</xdr:col>
                    <xdr:colOff>66675</xdr:colOff>
                    <xdr:row>117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15" name="Button 31">
              <controlPr defaultSize="0" print="0" autoFill="0" autoPict="0" macro="[0]!ExportUSFocusedModerateETFToCSV">
                <anchor moveWithCells="1" sizeWithCells="1">
                  <from>
                    <xdr:col>20</xdr:col>
                    <xdr:colOff>1714500</xdr:colOff>
                    <xdr:row>116</xdr:row>
                    <xdr:rowOff>9525</xdr:rowOff>
                  </from>
                  <to>
                    <xdr:col>20</xdr:col>
                    <xdr:colOff>2228850</xdr:colOff>
                    <xdr:row>117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16" name="Button 32">
              <controlPr defaultSize="0" print="0" autoFill="0" autoPict="0" macro="[0]!ExportUSFocusedConservativeETFToCSV">
                <anchor moveWithCells="1" sizeWithCells="1">
                  <from>
                    <xdr:col>22</xdr:col>
                    <xdr:colOff>1695450</xdr:colOff>
                    <xdr:row>115</xdr:row>
                    <xdr:rowOff>171450</xdr:rowOff>
                  </from>
                  <to>
                    <xdr:col>22</xdr:col>
                    <xdr:colOff>2209800</xdr:colOff>
                    <xdr:row>117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17" name="Button 33">
              <controlPr defaultSize="0" print="0" autoFill="0" autoPict="0" macro="[0]!ExportUSFocusedFixedIncomeETFToCSV">
                <anchor moveWithCells="1" sizeWithCells="1">
                  <from>
                    <xdr:col>24</xdr:col>
                    <xdr:colOff>1724025</xdr:colOff>
                    <xdr:row>116</xdr:row>
                    <xdr:rowOff>9525</xdr:rowOff>
                  </from>
                  <to>
                    <xdr:col>24</xdr:col>
                    <xdr:colOff>2238375</xdr:colOff>
                    <xdr:row>117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18" name="Button 34">
              <controlPr defaultSize="0" print="0" autoFill="0" autoPict="0" macro="[0]!ExportCommoditiesToCSV">
                <anchor moveWithCells="1" sizeWithCells="1">
                  <from>
                    <xdr:col>16</xdr:col>
                    <xdr:colOff>1743075</xdr:colOff>
                    <xdr:row>134</xdr:row>
                    <xdr:rowOff>171450</xdr:rowOff>
                  </from>
                  <to>
                    <xdr:col>16</xdr:col>
                    <xdr:colOff>2257425</xdr:colOff>
                    <xdr:row>136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19" name="Button 35">
              <controlPr defaultSize="0" print="0" autoFill="0" autoPict="0" macro="[0]!ExportCommoditiesUSTaxToCSV">
                <anchor moveWithCells="1" sizeWithCells="1">
                  <from>
                    <xdr:col>16</xdr:col>
                    <xdr:colOff>1714500</xdr:colOff>
                    <xdr:row>158</xdr:row>
                    <xdr:rowOff>47625</xdr:rowOff>
                  </from>
                  <to>
                    <xdr:col>16</xdr:col>
                    <xdr:colOff>2228850</xdr:colOff>
                    <xdr:row>159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20" name="Button 36">
              <controlPr defaultSize="0" print="0" autoFill="0" autoPict="0" macro="[0]!ExportCommoditiesExcryptoToCSV">
                <anchor moveWithCells="1" sizeWithCells="1">
                  <from>
                    <xdr:col>16</xdr:col>
                    <xdr:colOff>1619250</xdr:colOff>
                    <xdr:row>177</xdr:row>
                    <xdr:rowOff>9525</xdr:rowOff>
                  </from>
                  <to>
                    <xdr:col>16</xdr:col>
                    <xdr:colOff>2133600</xdr:colOff>
                    <xdr:row>178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21" name="Button 37">
              <controlPr defaultSize="0" print="0" autoFill="0" autoPict="0" macro="[0]!ExportCommoditiesExcryptoUSTaxToCSV">
                <anchor moveWithCells="1" sizeWithCells="1">
                  <from>
                    <xdr:col>16</xdr:col>
                    <xdr:colOff>1800225</xdr:colOff>
                    <xdr:row>196</xdr:row>
                    <xdr:rowOff>85725</xdr:rowOff>
                  </from>
                  <to>
                    <xdr:col>17</xdr:col>
                    <xdr:colOff>28575</xdr:colOff>
                    <xdr:row>197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FB8C0-70EB-430F-A427-35B202CFF92B}">
  <sheetPr codeName="Sheet10"/>
  <dimension ref="A1:AJ36"/>
  <sheetViews>
    <sheetView zoomScale="70" zoomScaleNormal="70" workbookViewId="0">
      <selection activeCell="Q1" sqref="Q1:Z36"/>
    </sheetView>
  </sheetViews>
  <sheetFormatPr defaultRowHeight="14.25" x14ac:dyDescent="0.2"/>
  <cols>
    <col min="1" max="1" width="12.19921875" bestFit="1" customWidth="1"/>
    <col min="3" max="3" width="51" bestFit="1" customWidth="1"/>
    <col min="4" max="4" width="8.19921875" bestFit="1" customWidth="1"/>
    <col min="5" max="5" width="8.09765625" bestFit="1" customWidth="1"/>
    <col min="6" max="6" width="12" bestFit="1" customWidth="1"/>
    <col min="7" max="7" width="12.09765625" bestFit="1" customWidth="1"/>
    <col min="8" max="8" width="12.796875" bestFit="1" customWidth="1"/>
    <col min="9" max="9" width="14.5" bestFit="1" customWidth="1"/>
    <col min="10" max="10" width="10.3984375" bestFit="1" customWidth="1"/>
    <col min="11" max="11" width="15.19921875" bestFit="1" customWidth="1"/>
    <col min="12" max="12" width="10" bestFit="1" customWidth="1"/>
    <col min="13" max="13" width="11.796875" bestFit="1" customWidth="1"/>
    <col min="14" max="14" width="4.69921875" bestFit="1" customWidth="1"/>
    <col min="15" max="15" width="10.3984375" bestFit="1" customWidth="1"/>
    <col min="16" max="16" width="5.3984375" bestFit="1" customWidth="1"/>
    <col min="17" max="17" width="24" bestFit="1" customWidth="1"/>
    <col min="18" max="18" width="8" bestFit="1" customWidth="1"/>
    <col min="19" max="19" width="24" bestFit="1" customWidth="1"/>
    <col min="20" max="20" width="8" bestFit="1" customWidth="1"/>
    <col min="21" max="21" width="24" bestFit="1" customWidth="1"/>
    <col min="22" max="22" width="8" bestFit="1" customWidth="1"/>
    <col min="23" max="23" width="24" bestFit="1" customWidth="1"/>
    <col min="24" max="24" width="8.19921875" bestFit="1" customWidth="1"/>
    <col min="26" max="26" width="8" bestFit="1" customWidth="1"/>
    <col min="27" max="27" width="11.19921875" bestFit="1" customWidth="1"/>
    <col min="28" max="28" width="8" bestFit="1" customWidth="1"/>
    <col min="29" max="29" width="11.09765625" bestFit="1" customWidth="1"/>
    <col min="30" max="31" width="12.09765625" bestFit="1" customWidth="1"/>
    <col min="32" max="32" width="12.3984375" bestFit="1" customWidth="1"/>
    <col min="33" max="33" width="10.19921875" bestFit="1" customWidth="1"/>
    <col min="34" max="34" width="11.5" bestFit="1" customWidth="1"/>
    <col min="35" max="35" width="12.796875" bestFit="1" customWidth="1"/>
    <col min="36" max="36" width="12.3984375" bestFit="1" customWidth="1"/>
  </cols>
  <sheetData>
    <row r="1" spans="1:36" x14ac:dyDescent="0.2">
      <c r="A1" s="76" t="s">
        <v>0</v>
      </c>
      <c r="B1" s="1"/>
      <c r="C1" s="95" t="s">
        <v>499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6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">
      <c r="A2" s="85">
        <v>45565</v>
      </c>
      <c r="B2" s="1"/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1426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554</v>
      </c>
      <c r="Q2" s="99" t="s">
        <v>470</v>
      </c>
      <c r="R2" s="99" t="s">
        <v>536</v>
      </c>
      <c r="S2" s="100" t="s">
        <v>500</v>
      </c>
      <c r="T2" s="100" t="s">
        <v>537</v>
      </c>
      <c r="U2" s="101" t="s">
        <v>501</v>
      </c>
      <c r="V2" s="101" t="s">
        <v>538</v>
      </c>
      <c r="W2" s="102" t="s">
        <v>502</v>
      </c>
      <c r="X2" s="102" t="s">
        <v>539</v>
      </c>
      <c r="Y2" s="1"/>
      <c r="Z2" s="1"/>
      <c r="AA2" s="1"/>
      <c r="AB2" s="1"/>
      <c r="AC2" s="163" t="s">
        <v>470</v>
      </c>
      <c r="AD2" s="163"/>
      <c r="AE2" s="164" t="s">
        <v>500</v>
      </c>
      <c r="AF2" s="164"/>
      <c r="AG2" s="165" t="s">
        <v>501</v>
      </c>
      <c r="AH2" s="165"/>
      <c r="AI2" s="166" t="s">
        <v>502</v>
      </c>
      <c r="AJ2" s="166"/>
    </row>
    <row r="3" spans="1:36" x14ac:dyDescent="0.2">
      <c r="A3" s="1"/>
      <c r="B3" s="1"/>
      <c r="C3" s="106" t="s">
        <v>16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Y3" s="1"/>
      <c r="Z3" s="1"/>
      <c r="AA3" s="1"/>
      <c r="AB3" s="13" t="s">
        <v>162</v>
      </c>
      <c r="AC3" s="14" t="s">
        <v>18</v>
      </c>
      <c r="AD3" s="15" t="s">
        <v>19</v>
      </c>
      <c r="AE3" s="14" t="s">
        <v>18</v>
      </c>
      <c r="AF3" s="15" t="s">
        <v>19</v>
      </c>
      <c r="AG3" s="14" t="s">
        <v>18</v>
      </c>
      <c r="AH3" s="15" t="s">
        <v>19</v>
      </c>
      <c r="AI3" s="14" t="s">
        <v>18</v>
      </c>
      <c r="AJ3" s="15" t="s">
        <v>19</v>
      </c>
    </row>
    <row r="4" spans="1:36" x14ac:dyDescent="0.2">
      <c r="A4" s="1"/>
      <c r="B4" s="1"/>
      <c r="C4" s="86" t="s">
        <v>1406</v>
      </c>
      <c r="D4" s="86" t="s">
        <v>1349</v>
      </c>
      <c r="E4" s="86" t="s">
        <v>1354</v>
      </c>
      <c r="F4" s="86" t="s">
        <v>552</v>
      </c>
      <c r="G4" s="86" t="s">
        <v>26</v>
      </c>
      <c r="H4" s="86" t="s">
        <v>1830</v>
      </c>
      <c r="I4" s="86"/>
      <c r="J4" s="34" t="s">
        <v>470</v>
      </c>
      <c r="K4" s="34" t="s">
        <v>453</v>
      </c>
      <c r="L4" s="34" t="s">
        <v>1284</v>
      </c>
      <c r="M4" s="34" t="s">
        <v>777</v>
      </c>
      <c r="N4" s="1" t="s">
        <v>161</v>
      </c>
      <c r="O4" s="111">
        <v>0.05</v>
      </c>
      <c r="P4" s="111">
        <v>7.5895000000000001</v>
      </c>
      <c r="Q4" s="112">
        <f t="shared" ref="Q4:Q12" si="0">AD4/$AD$21</f>
        <v>0.25690494236454303</v>
      </c>
      <c r="R4" s="112">
        <f t="shared" ref="R4:R12" si="1">Q4*(1-$R$36)/(1-$Q$20)</f>
        <v>0.25692142588775907</v>
      </c>
      <c r="S4" s="113">
        <f t="shared" ref="S4:S12" si="2">AF4/$AF$21</f>
        <v>0.1857321296922281</v>
      </c>
      <c r="T4" s="113">
        <f t="shared" ref="T4:T12" si="3">S4*(1-$T$36)/(1-$S$20)</f>
        <v>0.17643316250366339</v>
      </c>
      <c r="U4" s="114">
        <f t="shared" ref="U4:U12" si="4">AH4/$AH$21</f>
        <v>0.12319496207759675</v>
      </c>
      <c r="V4" s="114">
        <f t="shared" ref="V4:V12" si="5">U4*(1-$V$36)/(1-$U$20)</f>
        <v>0.1170183464189532</v>
      </c>
      <c r="W4" s="115">
        <f t="shared" ref="W4:W12" si="6">AJ4/$AJ$21</f>
        <v>8.6018120351617114E-2</v>
      </c>
      <c r="X4" s="115">
        <f t="shared" ref="X4:X12" si="7">W4*(1-$X$36)/(1-$W$20)</f>
        <v>8.1691997467115238E-2</v>
      </c>
      <c r="Y4" s="1"/>
      <c r="Z4" s="1"/>
      <c r="AA4" s="1"/>
      <c r="AB4" s="1">
        <v>1</v>
      </c>
      <c r="AC4" s="18">
        <v>4044159.5234049698</v>
      </c>
      <c r="AD4" s="11">
        <v>30693148.702882018</v>
      </c>
      <c r="AE4" s="18">
        <v>14379070.468897101</v>
      </c>
      <c r="AF4" s="11">
        <v>109129955.32369454</v>
      </c>
      <c r="AG4" s="18">
        <v>8.4763312795087398</v>
      </c>
      <c r="AH4" s="11">
        <v>64.331116245831581</v>
      </c>
      <c r="AI4" s="18">
        <v>5888866.2609102698</v>
      </c>
      <c r="AJ4" s="11">
        <v>44693550.487178497</v>
      </c>
    </row>
    <row r="5" spans="1:36" x14ac:dyDescent="0.2">
      <c r="A5" s="1"/>
      <c r="B5" s="1"/>
      <c r="C5" s="86" t="s">
        <v>1271</v>
      </c>
      <c r="D5" s="86" t="s">
        <v>1350</v>
      </c>
      <c r="E5" s="86" t="s">
        <v>1355</v>
      </c>
      <c r="F5" s="86" t="s">
        <v>552</v>
      </c>
      <c r="G5" s="86" t="s">
        <v>26</v>
      </c>
      <c r="H5" s="86" t="s">
        <v>1739</v>
      </c>
      <c r="I5" s="86"/>
      <c r="J5" s="34" t="s">
        <v>470</v>
      </c>
      <c r="K5" s="34" t="s">
        <v>453</v>
      </c>
      <c r="L5" s="34" t="s">
        <v>444</v>
      </c>
      <c r="M5" s="34" t="s">
        <v>777</v>
      </c>
      <c r="N5" s="1" t="s">
        <v>161</v>
      </c>
      <c r="O5" s="111">
        <v>0.15</v>
      </c>
      <c r="P5" s="111">
        <v>31.83</v>
      </c>
      <c r="Q5" s="112">
        <f t="shared" si="0"/>
        <v>8.6739248669566199E-2</v>
      </c>
      <c r="R5" s="112">
        <f t="shared" si="1"/>
        <v>8.6744814029290421E-2</v>
      </c>
      <c r="S5" s="113">
        <f t="shared" si="2"/>
        <v>6.2654461331296443E-2</v>
      </c>
      <c r="T5" s="113">
        <f t="shared" si="3"/>
        <v>5.9517568532498684E-2</v>
      </c>
      <c r="U5" s="114">
        <f t="shared" si="4"/>
        <v>4.1594522674941188E-2</v>
      </c>
      <c r="V5" s="114">
        <f t="shared" si="5"/>
        <v>3.9509101520251236E-2</v>
      </c>
      <c r="W5" s="115">
        <f t="shared" si="6"/>
        <v>2.9075333595252356E-2</v>
      </c>
      <c r="X5" s="115">
        <f t="shared" si="7"/>
        <v>2.7613043260067385E-2</v>
      </c>
      <c r="Y5" s="1"/>
      <c r="Z5" s="1"/>
      <c r="AA5" s="1"/>
      <c r="AB5" s="1">
        <v>1</v>
      </c>
      <c r="AC5" s="18">
        <v>325572.71522977302</v>
      </c>
      <c r="AD5" s="11">
        <v>10362979.525763676</v>
      </c>
      <c r="AE5" s="18">
        <v>1156571.00575299</v>
      </c>
      <c r="AF5" s="11">
        <v>36813655.113117673</v>
      </c>
      <c r="AG5" s="18">
        <v>0.682382130053373</v>
      </c>
      <c r="AH5" s="11">
        <v>21.720223199598863</v>
      </c>
      <c r="AI5" s="18">
        <v>474616.65714871202</v>
      </c>
      <c r="AJ5" s="11">
        <v>15107048.197043503</v>
      </c>
    </row>
    <row r="6" spans="1:36" x14ac:dyDescent="0.2">
      <c r="A6" s="1"/>
      <c r="B6" s="1"/>
      <c r="C6" s="86" t="s">
        <v>1270</v>
      </c>
      <c r="D6" s="86" t="s">
        <v>1351</v>
      </c>
      <c r="E6" s="86" t="s">
        <v>1356</v>
      </c>
      <c r="F6" s="86" t="s">
        <v>552</v>
      </c>
      <c r="G6" s="86" t="s">
        <v>26</v>
      </c>
      <c r="H6" s="86" t="s">
        <v>1738</v>
      </c>
      <c r="I6" s="86"/>
      <c r="J6" s="34" t="s">
        <v>470</v>
      </c>
      <c r="K6" s="34" t="s">
        <v>446</v>
      </c>
      <c r="L6" s="34" t="s">
        <v>450</v>
      </c>
      <c r="M6" s="34" t="s">
        <v>777</v>
      </c>
      <c r="N6" s="139" t="s">
        <v>827</v>
      </c>
      <c r="O6" s="111">
        <v>0.18</v>
      </c>
      <c r="P6" s="111">
        <v>59.645000000000003</v>
      </c>
      <c r="Q6" s="112">
        <f t="shared" si="0"/>
        <v>0.16012329265748024</v>
      </c>
      <c r="R6" s="112">
        <f t="shared" si="1"/>
        <v>0.16013356648089389</v>
      </c>
      <c r="S6" s="113">
        <f t="shared" si="2"/>
        <v>0.11573222557069263</v>
      </c>
      <c r="T6" s="113">
        <f t="shared" si="3"/>
        <v>0.10993791216878006</v>
      </c>
      <c r="U6" s="114">
        <f t="shared" si="4"/>
        <v>7.6784754645501746E-2</v>
      </c>
      <c r="V6" s="114">
        <f t="shared" si="5"/>
        <v>7.2935003731257525E-2</v>
      </c>
      <c r="W6" s="115">
        <f t="shared" si="6"/>
        <v>5.3575285275122328E-2</v>
      </c>
      <c r="X6" s="115">
        <f t="shared" si="7"/>
        <v>5.0880815008566851E-2</v>
      </c>
      <c r="Y6" s="1"/>
      <c r="Z6" s="1"/>
      <c r="AA6" s="1"/>
      <c r="AB6" s="1">
        <v>1</v>
      </c>
      <c r="AC6" s="18">
        <v>320737.28839850402</v>
      </c>
      <c r="AD6" s="11">
        <v>19130375.566528775</v>
      </c>
      <c r="AE6" s="18">
        <v>1140084.9186301201</v>
      </c>
      <c r="AF6" s="11">
        <v>68000364.971693516</v>
      </c>
      <c r="AG6" s="18">
        <v>0.67224734692663002</v>
      </c>
      <c r="AH6" s="11">
        <v>40.096193007438849</v>
      </c>
      <c r="AI6" s="18">
        <v>466708.12083869398</v>
      </c>
      <c r="AJ6" s="11">
        <v>27836805.867423903</v>
      </c>
    </row>
    <row r="7" spans="1:36" x14ac:dyDescent="0.2">
      <c r="A7" s="1"/>
      <c r="B7" s="1"/>
      <c r="C7" s="86" t="s">
        <v>778</v>
      </c>
      <c r="D7" s="86" t="s">
        <v>503</v>
      </c>
      <c r="E7" s="86" t="s">
        <v>655</v>
      </c>
      <c r="F7" s="86" t="s">
        <v>552</v>
      </c>
      <c r="G7" s="86" t="s">
        <v>26</v>
      </c>
      <c r="H7" s="86" t="s">
        <v>1831</v>
      </c>
      <c r="I7" s="86"/>
      <c r="J7" s="34" t="s">
        <v>470</v>
      </c>
      <c r="K7" s="34" t="s">
        <v>443</v>
      </c>
      <c r="L7" s="34" t="s">
        <v>444</v>
      </c>
      <c r="M7" s="34" t="s">
        <v>777</v>
      </c>
      <c r="N7" s="139" t="s">
        <v>827</v>
      </c>
      <c r="O7" s="111">
        <v>0.25</v>
      </c>
      <c r="P7" s="111">
        <v>44.91</v>
      </c>
      <c r="Q7" s="112">
        <f t="shared" si="0"/>
        <v>0.18444599098784409</v>
      </c>
      <c r="R7" s="112">
        <f t="shared" si="1"/>
        <v>0.18445782540312072</v>
      </c>
      <c r="S7" s="113">
        <f t="shared" si="2"/>
        <v>0.1333243106083711</v>
      </c>
      <c r="T7" s="113">
        <f t="shared" si="3"/>
        <v>0.12664922217946192</v>
      </c>
      <c r="U7" s="114">
        <f t="shared" si="4"/>
        <v>8.8448344574348636E-2</v>
      </c>
      <c r="V7" s="114">
        <f t="shared" si="5"/>
        <v>8.4013817213279135E-2</v>
      </c>
      <c r="W7" s="115">
        <f t="shared" si="6"/>
        <v>6.1728719588859386E-2</v>
      </c>
      <c r="X7" s="115">
        <f t="shared" si="7"/>
        <v>5.8624187365267928E-2</v>
      </c>
      <c r="Y7" s="1"/>
      <c r="Z7" s="1"/>
      <c r="AA7" s="1"/>
      <c r="AB7" s="1">
        <v>1</v>
      </c>
      <c r="AC7" s="18">
        <v>490676.37612762098</v>
      </c>
      <c r="AD7" s="11">
        <v>22036276.051891457</v>
      </c>
      <c r="AE7" s="18">
        <v>1744308.2323711801</v>
      </c>
      <c r="AF7" s="11">
        <v>78336882.715789691</v>
      </c>
      <c r="AG7" s="18">
        <v>1.02843013264343</v>
      </c>
      <c r="AH7" s="11">
        <v>46.186797257016437</v>
      </c>
      <c r="AI7" s="18">
        <v>714165.92045753798</v>
      </c>
      <c r="AJ7" s="11">
        <v>32073191.487748027</v>
      </c>
    </row>
    <row r="8" spans="1:36" x14ac:dyDescent="0.2">
      <c r="A8" s="1"/>
      <c r="B8" s="1"/>
      <c r="C8" s="86" t="s">
        <v>1269</v>
      </c>
      <c r="D8" s="86" t="s">
        <v>1352</v>
      </c>
      <c r="E8" s="86" t="s">
        <v>1357</v>
      </c>
      <c r="F8" s="86" t="s">
        <v>552</v>
      </c>
      <c r="G8" s="86" t="s">
        <v>26</v>
      </c>
      <c r="H8" s="86" t="s">
        <v>1832</v>
      </c>
      <c r="I8" s="86"/>
      <c r="J8" s="34" t="s">
        <v>470</v>
      </c>
      <c r="K8" s="34" t="s">
        <v>1402</v>
      </c>
      <c r="L8" s="34"/>
      <c r="M8" s="34" t="s">
        <v>777</v>
      </c>
      <c r="N8" s="139" t="s">
        <v>827</v>
      </c>
      <c r="O8" s="111">
        <v>0.28999999999999998</v>
      </c>
      <c r="P8" s="111">
        <v>5.9589999999999996</v>
      </c>
      <c r="Q8" s="112">
        <f t="shared" si="0"/>
        <v>0.18478814697595256</v>
      </c>
      <c r="R8" s="112">
        <f t="shared" si="1"/>
        <v>0.18480000334462612</v>
      </c>
      <c r="S8" s="113">
        <f t="shared" si="2"/>
        <v>0.13357163347503137</v>
      </c>
      <c r="T8" s="113">
        <f t="shared" si="3"/>
        <v>0.12688416244314515</v>
      </c>
      <c r="U8" s="114">
        <f t="shared" si="4"/>
        <v>8.8612420413418297E-2</v>
      </c>
      <c r="V8" s="114">
        <f t="shared" si="5"/>
        <v>8.4169666795530229E-2</v>
      </c>
      <c r="W8" s="115">
        <f t="shared" si="6"/>
        <v>6.1843229266909237E-2</v>
      </c>
      <c r="X8" s="115">
        <f t="shared" si="7"/>
        <v>5.8732937990031292E-2</v>
      </c>
      <c r="Y8" s="1"/>
      <c r="Z8" s="1"/>
      <c r="AA8" s="1"/>
      <c r="AB8" s="1">
        <v>1</v>
      </c>
      <c r="AC8" s="18">
        <v>3704842.1514303298</v>
      </c>
      <c r="AD8" s="11">
        <v>22077154.380373333</v>
      </c>
      <c r="AE8" s="18">
        <v>13170364.3761624</v>
      </c>
      <c r="AF8" s="11">
        <v>78482201.317551747</v>
      </c>
      <c r="AG8" s="18">
        <v>7.7651411206873799</v>
      </c>
      <c r="AH8" s="11">
        <v>46.272475938176093</v>
      </c>
      <c r="AI8" s="18">
        <v>5392295.48018419</v>
      </c>
      <c r="AJ8" s="11">
        <v>32132688.766417585</v>
      </c>
    </row>
    <row r="9" spans="1:36" x14ac:dyDescent="0.2">
      <c r="A9" s="1"/>
      <c r="B9" s="1"/>
      <c r="C9" s="86" t="s">
        <v>780</v>
      </c>
      <c r="D9" s="86" t="s">
        <v>504</v>
      </c>
      <c r="E9" s="86" t="s">
        <v>603</v>
      </c>
      <c r="F9" s="86" t="s">
        <v>552</v>
      </c>
      <c r="G9" s="86" t="s">
        <v>26</v>
      </c>
      <c r="H9" s="86" t="s">
        <v>1741</v>
      </c>
      <c r="I9" s="86"/>
      <c r="J9" s="34" t="s">
        <v>470</v>
      </c>
      <c r="K9" s="34" t="s">
        <v>446</v>
      </c>
      <c r="L9" s="34" t="s">
        <v>452</v>
      </c>
      <c r="M9" s="34" t="s">
        <v>777</v>
      </c>
      <c r="N9" s="139" t="s">
        <v>827</v>
      </c>
      <c r="O9" s="111">
        <v>0.12</v>
      </c>
      <c r="P9" s="111">
        <v>95.4</v>
      </c>
      <c r="Q9" s="112">
        <f t="shared" si="0"/>
        <v>4.0069677922630449E-2</v>
      </c>
      <c r="R9" s="112">
        <f t="shared" si="1"/>
        <v>4.00722488714811E-2</v>
      </c>
      <c r="S9" s="113">
        <f t="shared" si="2"/>
        <v>2.8961139425271735E-2</v>
      </c>
      <c r="T9" s="113">
        <f t="shared" si="3"/>
        <v>2.7511155054202957E-2</v>
      </c>
      <c r="U9" s="114">
        <f t="shared" si="4"/>
        <v>1.9214820885521806E-2</v>
      </c>
      <c r="V9" s="114">
        <f t="shared" si="5"/>
        <v>1.8251448994674589E-2</v>
      </c>
      <c r="W9" s="115">
        <f t="shared" si="6"/>
        <v>1.3431511922509564E-2</v>
      </c>
      <c r="X9" s="115">
        <f t="shared" si="7"/>
        <v>1.2755998776396786E-2</v>
      </c>
      <c r="Y9" s="1"/>
      <c r="Z9" s="1"/>
      <c r="AA9" s="1"/>
      <c r="AB9" s="1">
        <v>1</v>
      </c>
      <c r="AC9" s="18">
        <v>50180.670626577703</v>
      </c>
      <c r="AD9" s="11">
        <v>4787235.9777755132</v>
      </c>
      <c r="AE9" s="18">
        <v>178370.98415892699</v>
      </c>
      <c r="AF9" s="11">
        <v>17016591.888761636</v>
      </c>
      <c r="AG9" s="18">
        <v>0.105175867963949</v>
      </c>
      <c r="AH9" s="11">
        <v>10.033777803760735</v>
      </c>
      <c r="AI9" s="18">
        <v>73152.881160383302</v>
      </c>
      <c r="AJ9" s="11">
        <v>6978784.8627005676</v>
      </c>
    </row>
    <row r="10" spans="1:36" x14ac:dyDescent="0.2">
      <c r="A10" s="1"/>
      <c r="B10" s="1"/>
      <c r="C10" s="86" t="s">
        <v>781</v>
      </c>
      <c r="D10" s="86" t="s">
        <v>505</v>
      </c>
      <c r="E10" s="86" t="s">
        <v>604</v>
      </c>
      <c r="F10" s="86" t="s">
        <v>552</v>
      </c>
      <c r="G10" s="86" t="s">
        <v>26</v>
      </c>
      <c r="H10" s="86" t="s">
        <v>1742</v>
      </c>
      <c r="I10" s="86"/>
      <c r="J10" s="34" t="s">
        <v>470</v>
      </c>
      <c r="K10" s="34" t="s">
        <v>446</v>
      </c>
      <c r="L10" s="34" t="s">
        <v>455</v>
      </c>
      <c r="M10" s="34" t="s">
        <v>777</v>
      </c>
      <c r="N10" s="1" t="s">
        <v>161</v>
      </c>
      <c r="O10" s="111">
        <v>0.25</v>
      </c>
      <c r="P10" s="111">
        <v>43.615000000000002</v>
      </c>
      <c r="Q10" s="112">
        <f t="shared" si="0"/>
        <v>4.0515341047107266E-2</v>
      </c>
      <c r="R10" s="112">
        <f t="shared" si="1"/>
        <v>4.0517940590575015E-2</v>
      </c>
      <c r="S10" s="113">
        <f t="shared" si="2"/>
        <v>2.9283251120544009E-2</v>
      </c>
      <c r="T10" s="113">
        <f t="shared" si="3"/>
        <v>2.7817139727778158E-2</v>
      </c>
      <c r="U10" s="114">
        <f t="shared" si="4"/>
        <v>1.9428532039592848E-2</v>
      </c>
      <c r="V10" s="114">
        <f t="shared" si="5"/>
        <v>1.8454445330230322E-2</v>
      </c>
      <c r="W10" s="115">
        <f t="shared" si="6"/>
        <v>1.3580899935594944E-2</v>
      </c>
      <c r="X10" s="115">
        <f t="shared" si="7"/>
        <v>1.2897873594594425E-2</v>
      </c>
      <c r="Y10" s="1"/>
      <c r="Z10" s="1"/>
      <c r="AA10" s="1"/>
      <c r="AB10" s="1">
        <v>1</v>
      </c>
      <c r="AC10" s="18">
        <v>110982.015178478</v>
      </c>
      <c r="AD10" s="11">
        <v>4840480.5920093181</v>
      </c>
      <c r="AE10" s="18">
        <v>394493.95602220797</v>
      </c>
      <c r="AF10" s="11">
        <v>17205853.891908601</v>
      </c>
      <c r="AG10" s="18">
        <v>0.23261207211930399</v>
      </c>
      <c r="AH10" s="11">
        <v>10.145375525483443</v>
      </c>
      <c r="AI10" s="18">
        <v>161788.47484336101</v>
      </c>
      <c r="AJ10" s="11">
        <v>7056404.3302931907</v>
      </c>
    </row>
    <row r="11" spans="1:36" x14ac:dyDescent="0.2">
      <c r="A11" s="1"/>
      <c r="B11" s="1"/>
      <c r="C11" s="86" t="s">
        <v>1272</v>
      </c>
      <c r="D11" s="86" t="s">
        <v>1353</v>
      </c>
      <c r="E11" s="86" t="s">
        <v>1358</v>
      </c>
      <c r="F11" s="86" t="s">
        <v>552</v>
      </c>
      <c r="G11" s="86" t="s">
        <v>26</v>
      </c>
      <c r="H11" s="86" t="s">
        <v>1740</v>
      </c>
      <c r="I11" s="86"/>
      <c r="J11" s="34" t="s">
        <v>470</v>
      </c>
      <c r="K11" s="34" t="s">
        <v>446</v>
      </c>
      <c r="L11" s="34" t="s">
        <v>1283</v>
      </c>
      <c r="M11" s="34" t="s">
        <v>777</v>
      </c>
      <c r="N11" s="1" t="s">
        <v>161</v>
      </c>
      <c r="O11" s="111">
        <v>0.35</v>
      </c>
      <c r="P11" s="111">
        <v>7.1970000000000001</v>
      </c>
      <c r="Q11" s="112">
        <f t="shared" si="0"/>
        <v>4.1349522326084569E-2</v>
      </c>
      <c r="R11" s="112">
        <f t="shared" si="1"/>
        <v>4.1352175392253568E-2</v>
      </c>
      <c r="S11" s="113">
        <f t="shared" si="2"/>
        <v>2.988617187206739E-2</v>
      </c>
      <c r="T11" s="113">
        <f t="shared" si="3"/>
        <v>2.8389874316600391E-2</v>
      </c>
      <c r="U11" s="114">
        <f t="shared" si="4"/>
        <v>1.9828551323315471E-2</v>
      </c>
      <c r="V11" s="114">
        <f t="shared" si="5"/>
        <v>1.8834408880098796E-2</v>
      </c>
      <c r="W11" s="115">
        <f t="shared" si="6"/>
        <v>1.3860520745518854E-2</v>
      </c>
      <c r="X11" s="115">
        <f t="shared" si="7"/>
        <v>1.3163431391052685E-2</v>
      </c>
      <c r="Y11" s="1"/>
      <c r="Z11" s="1"/>
      <c r="AA11" s="1"/>
      <c r="AB11" s="1">
        <v>1</v>
      </c>
      <c r="AC11" s="18">
        <v>686416.91702360299</v>
      </c>
      <c r="AD11" s="11">
        <v>4940142.5518188709</v>
      </c>
      <c r="AE11" s="18">
        <v>2439920.7803330701</v>
      </c>
      <c r="AF11" s="11">
        <v>17560109.856057104</v>
      </c>
      <c r="AG11" s="18">
        <v>1.43869131543368</v>
      </c>
      <c r="AH11" s="11">
        <v>10.354261397176195</v>
      </c>
      <c r="AI11" s="18">
        <v>1000651.73562884</v>
      </c>
      <c r="AJ11" s="11">
        <v>7201690.5413207617</v>
      </c>
    </row>
    <row r="12" spans="1:36" x14ac:dyDescent="0.2">
      <c r="A12" s="1"/>
      <c r="B12" s="1"/>
      <c r="C12" s="86" t="s">
        <v>1273</v>
      </c>
      <c r="D12" s="86" t="s">
        <v>1267</v>
      </c>
      <c r="E12" s="86" t="s">
        <v>1266</v>
      </c>
      <c r="F12" s="86" t="s">
        <v>552</v>
      </c>
      <c r="G12" s="86" t="s">
        <v>26</v>
      </c>
      <c r="H12" s="86" t="s">
        <v>1743</v>
      </c>
      <c r="I12" s="86"/>
      <c r="J12" s="34" t="s">
        <v>447</v>
      </c>
      <c r="K12" s="34" t="s">
        <v>446</v>
      </c>
      <c r="L12" s="34" t="s">
        <v>447</v>
      </c>
      <c r="M12" s="34" t="s">
        <v>777</v>
      </c>
      <c r="N12" s="1" t="s">
        <v>34</v>
      </c>
      <c r="O12" s="111">
        <v>0.35</v>
      </c>
      <c r="P12" s="111">
        <v>17.422000000000001</v>
      </c>
      <c r="Q12" s="112">
        <f t="shared" si="0"/>
        <v>0</v>
      </c>
      <c r="R12" s="112">
        <f t="shared" si="1"/>
        <v>0</v>
      </c>
      <c r="S12" s="113">
        <f t="shared" si="2"/>
        <v>3.1490355863386839E-2</v>
      </c>
      <c r="T12" s="113">
        <f t="shared" si="3"/>
        <v>2.9913742347916477E-2</v>
      </c>
      <c r="U12" s="114">
        <f t="shared" si="4"/>
        <v>3.1339316729799477E-2</v>
      </c>
      <c r="V12" s="114">
        <f t="shared" si="5"/>
        <v>2.9768059990237798E-2</v>
      </c>
      <c r="W12" s="115">
        <f t="shared" si="6"/>
        <v>3.1249344125560349E-2</v>
      </c>
      <c r="X12" s="115">
        <f t="shared" si="7"/>
        <v>2.9677715936120154E-2</v>
      </c>
      <c r="Y12" s="1"/>
      <c r="Z12" s="1"/>
      <c r="AA12" s="1"/>
      <c r="AB12" s="1">
        <v>0.74850000000000005</v>
      </c>
      <c r="AC12" s="18"/>
      <c r="AD12" s="11">
        <v>0</v>
      </c>
      <c r="AE12" s="18">
        <v>1418876.8183198799</v>
      </c>
      <c r="AF12" s="11">
        <v>18502674.438683558</v>
      </c>
      <c r="AG12" s="18">
        <v>1.25495411939664</v>
      </c>
      <c r="AH12" s="11">
        <v>16.365062285094005</v>
      </c>
      <c r="AI12" s="18">
        <v>1245105.0684562901</v>
      </c>
      <c r="AJ12" s="11">
        <v>16236627.046230147</v>
      </c>
    </row>
    <row r="13" spans="1:36" x14ac:dyDescent="0.2">
      <c r="A13" s="1"/>
      <c r="B13" s="1"/>
      <c r="C13" s="116" t="s">
        <v>456</v>
      </c>
      <c r="D13" s="86"/>
      <c r="E13" s="86"/>
      <c r="F13" s="86"/>
      <c r="G13" s="86"/>
      <c r="H13" s="86"/>
      <c r="I13" s="86"/>
      <c r="J13" s="45"/>
      <c r="K13" s="45"/>
      <c r="L13" s="45"/>
      <c r="M13" s="34"/>
      <c r="N13" s="34"/>
      <c r="O13" s="111"/>
      <c r="P13" s="111"/>
      <c r="Q13" s="112"/>
      <c r="R13" s="112"/>
      <c r="S13" s="113"/>
      <c r="T13" s="113"/>
      <c r="U13" s="114"/>
      <c r="V13" s="114"/>
      <c r="W13" s="115"/>
      <c r="X13" s="115"/>
      <c r="Y13" s="1"/>
      <c r="Z13" s="1"/>
      <c r="AA13" s="1"/>
      <c r="AB13" s="1"/>
      <c r="AC13" s="18"/>
      <c r="AD13" s="11"/>
      <c r="AE13" s="18"/>
      <c r="AF13" s="11"/>
      <c r="AG13" s="18"/>
      <c r="AH13" s="11"/>
      <c r="AI13" s="18"/>
      <c r="AJ13" s="11"/>
    </row>
    <row r="14" spans="1:36" x14ac:dyDescent="0.2">
      <c r="A14" s="1"/>
      <c r="B14" s="1"/>
      <c r="C14" s="86" t="s">
        <v>782</v>
      </c>
      <c r="D14" s="86" t="s">
        <v>457</v>
      </c>
      <c r="E14" s="86" t="s">
        <v>544</v>
      </c>
      <c r="F14" s="86" t="s">
        <v>551</v>
      </c>
      <c r="G14" s="86" t="s">
        <v>26</v>
      </c>
      <c r="H14" s="86" t="s">
        <v>1744</v>
      </c>
      <c r="I14" s="86"/>
      <c r="J14" s="34" t="s">
        <v>458</v>
      </c>
      <c r="K14" s="34" t="s">
        <v>458</v>
      </c>
      <c r="L14" s="34" t="s">
        <v>459</v>
      </c>
      <c r="M14" s="34" t="s">
        <v>783</v>
      </c>
      <c r="N14" s="34" t="s">
        <v>34</v>
      </c>
      <c r="O14" s="111">
        <v>0.2</v>
      </c>
      <c r="P14" s="111">
        <v>5.4771999999999998</v>
      </c>
      <c r="Q14" s="112"/>
      <c r="R14" s="112"/>
      <c r="S14" s="113">
        <f t="shared" ref="S14:S20" si="8">AF14/$AF$21</f>
        <v>2.7774394817198334E-2</v>
      </c>
      <c r="T14" s="113">
        <f t="shared" ref="T14:T19" si="9">S14*(1-$T$36)/(1-$S$20)</f>
        <v>2.6383826655861104E-2</v>
      </c>
      <c r="U14" s="114">
        <f t="shared" ref="U14:U20" si="10">AH14/$AH$21</f>
        <v>5.5230595045877358E-2</v>
      </c>
      <c r="V14" s="114">
        <f t="shared" ref="V14:V19" si="11">U14*(1-$V$36)/(1-$U$20)</f>
        <v>5.2461503254756105E-2</v>
      </c>
      <c r="W14" s="115">
        <f t="shared" ref="W14:W20" si="12">AJ14/$AJ$21</f>
        <v>7.1640094818159916E-2</v>
      </c>
      <c r="X14" s="115">
        <f t="shared" ref="X14:X19" si="13">W14*(1-$X$36)/(1-$W$20)</f>
        <v>6.8037088237989984E-2</v>
      </c>
      <c r="Y14" s="1"/>
      <c r="Z14" s="1"/>
      <c r="AA14" s="1"/>
      <c r="AB14" s="1">
        <v>0.74850000000000005</v>
      </c>
      <c r="AC14" s="18"/>
      <c r="AD14" s="11">
        <v>0</v>
      </c>
      <c r="AE14" s="18">
        <v>3980623.8377914801</v>
      </c>
      <c r="AF14" s="11">
        <v>16319300.653937096</v>
      </c>
      <c r="AG14" s="18">
        <v>7.0348923653467299</v>
      </c>
      <c r="AH14" s="11">
        <v>28.840837078912617</v>
      </c>
      <c r="AI14" s="18">
        <v>9079473.3094086703</v>
      </c>
      <c r="AJ14" s="11">
        <v>37222973.270904437</v>
      </c>
    </row>
    <row r="15" spans="1:36" x14ac:dyDescent="0.2">
      <c r="A15" s="1"/>
      <c r="B15" s="1"/>
      <c r="C15" s="86" t="s">
        <v>828</v>
      </c>
      <c r="D15" s="117" t="s">
        <v>506</v>
      </c>
      <c r="E15" s="117" t="s">
        <v>605</v>
      </c>
      <c r="F15" s="86" t="s">
        <v>552</v>
      </c>
      <c r="G15" s="86" t="s">
        <v>26</v>
      </c>
      <c r="H15" s="86" t="s">
        <v>1833</v>
      </c>
      <c r="I15" s="117"/>
      <c r="J15" s="34" t="s">
        <v>458</v>
      </c>
      <c r="K15" s="34" t="s">
        <v>458</v>
      </c>
      <c r="L15" s="34" t="s">
        <v>1403</v>
      </c>
      <c r="M15" s="34" t="s">
        <v>777</v>
      </c>
      <c r="N15" s="34" t="s">
        <v>161</v>
      </c>
      <c r="O15" s="111">
        <v>0.2</v>
      </c>
      <c r="P15" s="111">
        <v>123.29</v>
      </c>
      <c r="Q15" s="112"/>
      <c r="R15" s="112"/>
      <c r="S15" s="113">
        <f t="shared" si="8"/>
        <v>5.3555650864767386E-2</v>
      </c>
      <c r="T15" s="113">
        <f t="shared" si="9"/>
        <v>5.0874304126435455E-2</v>
      </c>
      <c r="U15" s="114">
        <f t="shared" si="10"/>
        <v>0.10669755490358887</v>
      </c>
      <c r="V15" s="114">
        <f t="shared" si="11"/>
        <v>0.10134806838853652</v>
      </c>
      <c r="W15" s="115">
        <f t="shared" si="12"/>
        <v>0.13829863442102547</v>
      </c>
      <c r="X15" s="115">
        <f t="shared" si="13"/>
        <v>0.1313431594022911</v>
      </c>
      <c r="Y15" s="1"/>
      <c r="Z15" s="1"/>
      <c r="AA15" s="1"/>
      <c r="AB15" s="1">
        <v>1</v>
      </c>
      <c r="AC15" s="18"/>
      <c r="AD15" s="11">
        <v>0</v>
      </c>
      <c r="AE15" s="18">
        <v>255231.56763475799</v>
      </c>
      <c r="AF15" s="11">
        <v>31467499.973689314</v>
      </c>
      <c r="AG15" s="18">
        <v>0.45191291558541802</v>
      </c>
      <c r="AH15" s="11">
        <v>55.716343362526189</v>
      </c>
      <c r="AI15" s="18">
        <v>582834.09267133498</v>
      </c>
      <c r="AJ15" s="11">
        <v>71857615.285448894</v>
      </c>
    </row>
    <row r="16" spans="1:36" x14ac:dyDescent="0.2">
      <c r="A16" s="1"/>
      <c r="B16" s="1"/>
      <c r="C16" s="86" t="s">
        <v>829</v>
      </c>
      <c r="D16" s="117" t="s">
        <v>507</v>
      </c>
      <c r="E16" s="117" t="s">
        <v>606</v>
      </c>
      <c r="F16" s="86" t="s">
        <v>552</v>
      </c>
      <c r="G16" s="86" t="s">
        <v>26</v>
      </c>
      <c r="H16" s="86" t="s">
        <v>1834</v>
      </c>
      <c r="I16" s="117"/>
      <c r="J16" s="34" t="s">
        <v>458</v>
      </c>
      <c r="K16" s="34" t="s">
        <v>458</v>
      </c>
      <c r="L16" s="34" t="s">
        <v>461</v>
      </c>
      <c r="M16" s="34" t="s">
        <v>777</v>
      </c>
      <c r="N16" s="34" t="s">
        <v>161</v>
      </c>
      <c r="O16" s="111">
        <v>7.0000000000000007E-2</v>
      </c>
      <c r="P16" s="111">
        <v>9.98</v>
      </c>
      <c r="Q16" s="112"/>
      <c r="R16" s="112"/>
      <c r="S16" s="113">
        <f t="shared" si="8"/>
        <v>5.264627350071132E-2</v>
      </c>
      <c r="T16" s="113">
        <f t="shared" si="9"/>
        <v>5.0010456150775429E-2</v>
      </c>
      <c r="U16" s="114">
        <f t="shared" si="10"/>
        <v>0.10486294875567882</v>
      </c>
      <c r="V16" s="114">
        <f t="shared" si="11"/>
        <v>9.960544373783646E-2</v>
      </c>
      <c r="W16" s="115">
        <f t="shared" si="12"/>
        <v>0.1359730815275923</v>
      </c>
      <c r="X16" s="115">
        <f t="shared" si="13"/>
        <v>0.12913456590706704</v>
      </c>
      <c r="Y16" s="1"/>
      <c r="Z16" s="1"/>
      <c r="AA16" s="1"/>
      <c r="AB16" s="1">
        <v>1</v>
      </c>
      <c r="AC16" s="18"/>
      <c r="AD16" s="11">
        <v>0</v>
      </c>
      <c r="AE16" s="18">
        <v>3099517.0748203602</v>
      </c>
      <c r="AF16" s="11">
        <v>30933180.406707197</v>
      </c>
      <c r="AG16" s="18">
        <v>5.48680674214192</v>
      </c>
      <c r="AH16" s="11">
        <v>54.758331286576365</v>
      </c>
      <c r="AI16" s="18">
        <v>7079087.9363804096</v>
      </c>
      <c r="AJ16" s="11">
        <v>70649297.605076492</v>
      </c>
    </row>
    <row r="17" spans="1:36" x14ac:dyDescent="0.2">
      <c r="A17" s="1"/>
      <c r="B17" s="1"/>
      <c r="C17" s="86" t="s">
        <v>784</v>
      </c>
      <c r="D17" s="117" t="s">
        <v>508</v>
      </c>
      <c r="E17" s="117" t="s">
        <v>607</v>
      </c>
      <c r="F17" s="86" t="s">
        <v>552</v>
      </c>
      <c r="G17" s="86" t="s">
        <v>26</v>
      </c>
      <c r="H17" s="86" t="s">
        <v>1835</v>
      </c>
      <c r="I17" s="117"/>
      <c r="J17" s="34" t="s">
        <v>458</v>
      </c>
      <c r="K17" s="34" t="s">
        <v>458</v>
      </c>
      <c r="L17" s="34" t="s">
        <v>1403</v>
      </c>
      <c r="M17" s="34" t="s">
        <v>777</v>
      </c>
      <c r="N17" s="34" t="s">
        <v>161</v>
      </c>
      <c r="O17" s="111">
        <v>0.25</v>
      </c>
      <c r="P17" s="111">
        <v>4.6695000000000002</v>
      </c>
      <c r="Q17" s="112"/>
      <c r="R17" s="112"/>
      <c r="S17" s="113">
        <f t="shared" si="8"/>
        <v>7.0871186749481049E-2</v>
      </c>
      <c r="T17" s="113">
        <f t="shared" si="9"/>
        <v>6.7322910846490405E-2</v>
      </c>
      <c r="U17" s="114">
        <f t="shared" si="10"/>
        <v>0.14111269030469406</v>
      </c>
      <c r="V17" s="114">
        <f t="shared" si="11"/>
        <v>0.13403773498289853</v>
      </c>
      <c r="W17" s="115">
        <f t="shared" si="12"/>
        <v>0.18287481915139295</v>
      </c>
      <c r="X17" s="115">
        <f t="shared" si="13"/>
        <v>0.17367746704818451</v>
      </c>
      <c r="Y17" s="1"/>
      <c r="Z17" s="1"/>
      <c r="AA17" s="1"/>
      <c r="AB17" s="1">
        <v>1</v>
      </c>
      <c r="AC17" s="18"/>
      <c r="AD17" s="11">
        <v>0</v>
      </c>
      <c r="AE17" s="18">
        <v>8917769.9395529106</v>
      </c>
      <c r="AF17" s="11">
        <v>41641526.732742317</v>
      </c>
      <c r="AG17" s="18">
        <v>15.7806116022188</v>
      </c>
      <c r="AH17" s="11">
        <v>73.687565876560683</v>
      </c>
      <c r="AI17" s="18">
        <v>20348782.901853301</v>
      </c>
      <c r="AJ17" s="11">
        <v>95018641.760203987</v>
      </c>
    </row>
    <row r="18" spans="1:36" x14ac:dyDescent="0.2">
      <c r="A18" s="1"/>
      <c r="B18" s="1"/>
      <c r="C18" s="86" t="s">
        <v>786</v>
      </c>
      <c r="D18" s="86" t="s">
        <v>509</v>
      </c>
      <c r="E18" s="86" t="s">
        <v>608</v>
      </c>
      <c r="F18" s="86" t="s">
        <v>552</v>
      </c>
      <c r="G18" s="86" t="s">
        <v>26</v>
      </c>
      <c r="H18" s="86" t="s">
        <v>1836</v>
      </c>
      <c r="I18" s="86"/>
      <c r="J18" s="34" t="s">
        <v>458</v>
      </c>
      <c r="K18" s="34" t="s">
        <v>458</v>
      </c>
      <c r="L18" s="34" t="s">
        <v>464</v>
      </c>
      <c r="M18" s="34" t="s">
        <v>777</v>
      </c>
      <c r="N18" s="34" t="s">
        <v>161</v>
      </c>
      <c r="O18" s="111">
        <v>0.1</v>
      </c>
      <c r="P18" s="111">
        <v>3.0249999999999999</v>
      </c>
      <c r="Q18" s="112"/>
      <c r="R18" s="112"/>
      <c r="S18" s="113">
        <f t="shared" si="8"/>
        <v>1.2362797589532862E-2</v>
      </c>
      <c r="T18" s="113">
        <f t="shared" si="9"/>
        <v>1.1743834950519179E-2</v>
      </c>
      <c r="U18" s="114">
        <f t="shared" si="10"/>
        <v>2.465784319765757E-2</v>
      </c>
      <c r="V18" s="114">
        <f t="shared" si="11"/>
        <v>2.3421574945818677E-2</v>
      </c>
      <c r="W18" s="115">
        <f t="shared" si="12"/>
        <v>3.1937820844818943E-2</v>
      </c>
      <c r="X18" s="115">
        <f t="shared" si="13"/>
        <v>3.0331566987223519E-2</v>
      </c>
      <c r="Y18" s="1"/>
      <c r="Z18" s="1"/>
      <c r="AA18" s="1"/>
      <c r="AB18" s="1">
        <v>1</v>
      </c>
      <c r="AC18" s="18"/>
      <c r="AD18" s="11">
        <v>0</v>
      </c>
      <c r="AE18" s="18">
        <v>2401310.4931283598</v>
      </c>
      <c r="AF18" s="11">
        <v>7263964.2417132882</v>
      </c>
      <c r="AG18" s="18">
        <v>4.2565510511592999</v>
      </c>
      <c r="AH18" s="11">
        <v>12.876066929756881</v>
      </c>
      <c r="AI18" s="18">
        <v>5485734.8182238303</v>
      </c>
      <c r="AJ18" s="11">
        <v>16594347.825127086</v>
      </c>
    </row>
    <row r="19" spans="1:36" x14ac:dyDescent="0.2">
      <c r="A19" s="1"/>
      <c r="B19" s="1"/>
      <c r="C19" s="86" t="s">
        <v>785</v>
      </c>
      <c r="D19" s="117" t="s">
        <v>510</v>
      </c>
      <c r="E19" s="117" t="s">
        <v>609</v>
      </c>
      <c r="F19" s="86" t="s">
        <v>552</v>
      </c>
      <c r="G19" s="86" t="s">
        <v>26</v>
      </c>
      <c r="H19" s="86" t="s">
        <v>1837</v>
      </c>
      <c r="I19" s="117"/>
      <c r="J19" s="34" t="s">
        <v>458</v>
      </c>
      <c r="K19" s="34" t="s">
        <v>458</v>
      </c>
      <c r="L19" s="34" t="s">
        <v>450</v>
      </c>
      <c r="M19" s="34" t="s">
        <v>777</v>
      </c>
      <c r="N19" s="34" t="s">
        <v>161</v>
      </c>
      <c r="O19" s="111">
        <v>0.5</v>
      </c>
      <c r="P19" s="111">
        <v>34.914999999999999</v>
      </c>
      <c r="Q19" s="112"/>
      <c r="R19" s="112"/>
      <c r="S19" s="113">
        <f t="shared" si="8"/>
        <v>2.7223726072273254E-2</v>
      </c>
      <c r="T19" s="113">
        <f t="shared" si="9"/>
        <v>2.5860727995871309E-2</v>
      </c>
      <c r="U19" s="114">
        <f t="shared" si="10"/>
        <v>5.413556623766913E-2</v>
      </c>
      <c r="V19" s="114">
        <f t="shared" si="11"/>
        <v>5.1421375815641074E-2</v>
      </c>
      <c r="W19" s="115">
        <f t="shared" si="12"/>
        <v>7.0219723236367673E-2</v>
      </c>
      <c r="X19" s="115">
        <f t="shared" si="13"/>
        <v>6.6688151628031239E-2</v>
      </c>
      <c r="Y19" s="1"/>
      <c r="Z19" s="1"/>
      <c r="AA19" s="1"/>
      <c r="AB19" s="1">
        <v>1</v>
      </c>
      <c r="AC19" s="18"/>
      <c r="AD19" s="11">
        <v>0</v>
      </c>
      <c r="AE19" s="18">
        <v>458133.93132516701</v>
      </c>
      <c r="AF19" s="11">
        <v>15995746.212218206</v>
      </c>
      <c r="AG19" s="18">
        <v>0.80965271452874299</v>
      </c>
      <c r="AH19" s="11">
        <v>28.269024527771062</v>
      </c>
      <c r="AI19" s="18">
        <v>1044965.5559288301</v>
      </c>
      <c r="AJ19" s="11">
        <v>36484972.385255098</v>
      </c>
    </row>
    <row r="20" spans="1:36" x14ac:dyDescent="0.2">
      <c r="A20" s="1"/>
      <c r="B20" s="1"/>
      <c r="C20" s="86" t="s">
        <v>830</v>
      </c>
      <c r="D20" s="118" t="s">
        <v>161</v>
      </c>
      <c r="E20" s="118"/>
      <c r="F20" s="118"/>
      <c r="G20" s="118"/>
      <c r="H20" s="118"/>
      <c r="I20" s="118"/>
      <c r="J20" s="34" t="s">
        <v>80</v>
      </c>
      <c r="K20" s="34"/>
      <c r="L20" s="34"/>
      <c r="M20" s="34"/>
      <c r="N20" s="34" t="s">
        <v>161</v>
      </c>
      <c r="O20" s="111"/>
      <c r="P20" s="111">
        <v>1</v>
      </c>
      <c r="Q20" s="112">
        <f>AD20/AD21</f>
        <v>5.0638370487915496E-3</v>
      </c>
      <c r="R20" s="112">
        <f>$R$36</f>
        <v>5.0000000000000001E-3</v>
      </c>
      <c r="S20" s="113">
        <f t="shared" si="8"/>
        <v>4.9302914471462365E-3</v>
      </c>
      <c r="T20" s="113">
        <f>T36</f>
        <v>5.475E-2</v>
      </c>
      <c r="U20" s="114">
        <f t="shared" si="10"/>
        <v>4.8565761907981408E-3</v>
      </c>
      <c r="V20" s="114">
        <f>V36</f>
        <v>5.475E-2</v>
      </c>
      <c r="W20" s="115">
        <f t="shared" si="12"/>
        <v>4.6928611936986817E-3</v>
      </c>
      <c r="X20" s="115">
        <f>X36</f>
        <v>5.475E-2</v>
      </c>
      <c r="Y20" s="1"/>
      <c r="Z20" s="1"/>
      <c r="AA20" s="1"/>
      <c r="AB20" s="1">
        <v>1</v>
      </c>
      <c r="AC20" s="18">
        <v>604990.71024167805</v>
      </c>
      <c r="AD20" s="11">
        <v>604990.71024167805</v>
      </c>
      <c r="AE20" s="18">
        <v>2896873.5040697502</v>
      </c>
      <c r="AF20" s="11">
        <v>2896873.5040697502</v>
      </c>
      <c r="AG20" s="18">
        <v>2.5360531162807098</v>
      </c>
      <c r="AH20" s="11">
        <v>2.5360531162807098</v>
      </c>
      <c r="AI20" s="18">
        <v>2438330.7590602301</v>
      </c>
      <c r="AJ20" s="11">
        <v>2438330.7590602301</v>
      </c>
    </row>
    <row r="21" spans="1:36" x14ac:dyDescent="0.2">
      <c r="A21" s="1"/>
      <c r="B21" s="1"/>
      <c r="C21" s="119"/>
      <c r="D21" s="120"/>
      <c r="E21" s="120"/>
      <c r="F21" s="120"/>
      <c r="G21" s="120"/>
      <c r="H21" s="120"/>
      <c r="I21" s="120"/>
      <c r="J21" s="77"/>
      <c r="K21" s="77"/>
      <c r="L21" s="77"/>
      <c r="M21" s="77"/>
      <c r="N21" s="77"/>
      <c r="O21" s="121" t="s">
        <v>81</v>
      </c>
      <c r="P21" s="121"/>
      <c r="Q21" s="107">
        <f t="shared" ref="Q21:X21" si="14">SUM(Q4:Q20)</f>
        <v>1.0000000000000002</v>
      </c>
      <c r="R21" s="107">
        <f t="shared" si="14"/>
        <v>0.99999999999999989</v>
      </c>
      <c r="S21" s="108">
        <f t="shared" si="14"/>
        <v>1.0000000000000002</v>
      </c>
      <c r="T21" s="108">
        <f t="shared" si="14"/>
        <v>1</v>
      </c>
      <c r="U21" s="109">
        <f t="shared" si="14"/>
        <v>1</v>
      </c>
      <c r="V21" s="109">
        <f t="shared" si="14"/>
        <v>1</v>
      </c>
      <c r="W21" s="110">
        <f t="shared" si="14"/>
        <v>1.0000000000000002</v>
      </c>
      <c r="X21" s="110">
        <f t="shared" si="14"/>
        <v>1.0000000000000002</v>
      </c>
      <c r="Y21" s="1"/>
      <c r="Z21" s="1"/>
      <c r="AA21" s="1"/>
      <c r="AB21" s="1"/>
      <c r="AC21" s="5"/>
      <c r="AD21" s="24">
        <v>119472784.05928464</v>
      </c>
      <c r="AE21" s="5"/>
      <c r="AF21" s="24">
        <v>587566381.2423352</v>
      </c>
      <c r="AG21" s="5"/>
      <c r="AH21" s="24">
        <v>522.18950483796061</v>
      </c>
      <c r="AI21" s="5"/>
      <c r="AJ21" s="24">
        <v>519582970.47743237</v>
      </c>
    </row>
    <row r="22" spans="1:36" x14ac:dyDescent="0.2">
      <c r="A22" s="1"/>
      <c r="B22" s="1"/>
      <c r="C22" s="119"/>
      <c r="D22" s="120"/>
      <c r="E22" s="120"/>
      <c r="F22" s="120"/>
      <c r="G22" s="120"/>
      <c r="H22" s="120"/>
      <c r="I22" s="120"/>
      <c r="J22" s="77"/>
      <c r="K22" s="77"/>
      <c r="L22" s="77"/>
      <c r="M22" s="77"/>
      <c r="N22" s="77"/>
      <c r="O22" s="122" t="s">
        <v>470</v>
      </c>
      <c r="P22" s="122"/>
      <c r="Q22" s="112">
        <f>SUMIF($J$4:$J$20,$O22,Q$4:Q$20)</f>
        <v>0.99493616295120857</v>
      </c>
      <c r="R22" s="112"/>
      <c r="S22" s="113">
        <f>SUMIF($J$4:$J$20,$O22,S$4:S$20)</f>
        <v>0.71914532309550294</v>
      </c>
      <c r="T22" s="113"/>
      <c r="U22" s="114">
        <f>SUMIF($J$4:$J$20,$O22,U$4:U$20)</f>
        <v>0.47710690863423666</v>
      </c>
      <c r="V22" s="114"/>
      <c r="W22" s="115">
        <f>SUMIF($J$4:$J$20,$O22,W$4:W$20)</f>
        <v>0.33311362068138384</v>
      </c>
      <c r="X22" s="115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2">
      <c r="A23" s="1"/>
      <c r="B23" s="1"/>
      <c r="C23" s="119"/>
      <c r="D23" s="120"/>
      <c r="E23" s="120"/>
      <c r="F23" s="120"/>
      <c r="G23" s="120"/>
      <c r="H23" s="120"/>
      <c r="I23" s="120"/>
      <c r="J23" s="77"/>
      <c r="K23" s="77"/>
      <c r="L23" s="77"/>
      <c r="M23" s="77"/>
      <c r="N23" s="77"/>
      <c r="O23" s="123" t="s">
        <v>453</v>
      </c>
      <c r="P23" s="123"/>
      <c r="Q23" s="112">
        <f>SUMIF($K$4:$K$20,$O23,Q$4:Q$20)</f>
        <v>0.34364419103410926</v>
      </c>
      <c r="R23" s="112"/>
      <c r="S23" s="113">
        <f>SUMIF($K$4:$K$20,$O23,S$4:S$20)</f>
        <v>0.24838659102352456</v>
      </c>
      <c r="T23" s="113"/>
      <c r="U23" s="114">
        <f>SUMIF($K$4:$K$20,$O23,U$4:U$20)</f>
        <v>0.16478948475253793</v>
      </c>
      <c r="V23" s="114"/>
      <c r="W23" s="115">
        <f>SUMIF($K$4:$K$20,$O23,W$4:W$20)</f>
        <v>0.11509345394686947</v>
      </c>
      <c r="X23" s="115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2">
      <c r="A24" s="1"/>
      <c r="B24" s="1"/>
      <c r="C24" s="119"/>
      <c r="D24" s="120"/>
      <c r="E24" s="120"/>
      <c r="F24" s="120"/>
      <c r="G24" s="120"/>
      <c r="H24" s="120"/>
      <c r="I24" s="120"/>
      <c r="J24" s="77"/>
      <c r="K24" s="77"/>
      <c r="L24" s="77"/>
      <c r="M24" s="77"/>
      <c r="N24" s="77"/>
      <c r="O24" s="123" t="s">
        <v>443</v>
      </c>
      <c r="P24" s="123"/>
      <c r="Q24" s="112">
        <f>SUMIF($K$4:$K$20,$O24,Q$4:Q$20)</f>
        <v>0.18444599098784409</v>
      </c>
      <c r="R24" s="112"/>
      <c r="S24" s="113">
        <f>SUMIF($K$4:$K$20,$O24,S$4:S$20)</f>
        <v>0.1333243106083711</v>
      </c>
      <c r="T24" s="113"/>
      <c r="U24" s="114">
        <f>SUMIF($K$4:$K$20,$O24,U$4:U$20)</f>
        <v>8.8448344574348636E-2</v>
      </c>
      <c r="V24" s="114"/>
      <c r="W24" s="115">
        <f>SUMIF($K$4:$K$20,$O24,W$4:W$20)</f>
        <v>6.1728719588859386E-2</v>
      </c>
      <c r="X24" s="115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2">
      <c r="A25" s="1"/>
      <c r="B25" s="1"/>
      <c r="C25" s="119"/>
      <c r="D25" s="120"/>
      <c r="E25" s="120"/>
      <c r="F25" s="120"/>
      <c r="G25" s="120"/>
      <c r="H25" s="120"/>
      <c r="I25" s="120"/>
      <c r="J25" s="77"/>
      <c r="K25" s="77"/>
      <c r="L25" s="77"/>
      <c r="M25" s="77"/>
      <c r="N25" s="77"/>
      <c r="O25" s="123" t="s">
        <v>446</v>
      </c>
      <c r="P25" s="123"/>
      <c r="Q25" s="112">
        <f>SUMIF($K$4:$K$20,$O25,Q$4:Q$20)</f>
        <v>0.28205783395330253</v>
      </c>
      <c r="R25" s="112"/>
      <c r="S25" s="113">
        <f>SUMIF($K$4:$K$20,$O25,S$4:S$20)</f>
        <v>0.23535314385196257</v>
      </c>
      <c r="T25" s="113"/>
      <c r="U25" s="114">
        <f>SUMIF($K$4:$K$20,$O25,U$4:U$20)</f>
        <v>0.16659597562373132</v>
      </c>
      <c r="V25" s="114"/>
      <c r="W25" s="115">
        <f>SUMIF($K$4:$K$20,$O25,W$4:W$20)</f>
        <v>0.12569756200430604</v>
      </c>
      <c r="X25" s="115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2">
      <c r="A26" s="1"/>
      <c r="B26" s="1"/>
      <c r="C26" s="119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124" t="s">
        <v>447</v>
      </c>
      <c r="P26" s="124"/>
      <c r="Q26" s="112">
        <f>SUMIF($J$4:$J$20,$O26,Q$4:Q$20)</f>
        <v>0</v>
      </c>
      <c r="R26" s="112"/>
      <c r="S26" s="113">
        <f>SUMIF($J$4:$J$20,$O26,S$4:S$20)</f>
        <v>3.1490355863386839E-2</v>
      </c>
      <c r="T26" s="113"/>
      <c r="U26" s="114">
        <f>SUMIF($J$4:$J$20,$O26,U$4:U$20)</f>
        <v>3.1339316729799477E-2</v>
      </c>
      <c r="V26" s="114"/>
      <c r="W26" s="115">
        <f>SUMIF($J$4:$J$20,$O26,W$4:W$20)</f>
        <v>3.1249344125560349E-2</v>
      </c>
      <c r="X26" s="115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2">
      <c r="A27" s="1"/>
      <c r="B27" s="1"/>
      <c r="C27" s="119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122" t="s">
        <v>458</v>
      </c>
      <c r="P27" s="122"/>
      <c r="Q27" s="112">
        <f>SUMIF($J$4:$J$20,$O27,Q$4:Q$20)</f>
        <v>0</v>
      </c>
      <c r="R27" s="112"/>
      <c r="S27" s="113">
        <f>SUMIF($J$4:$J$20,$O27,S$4:S$20)</f>
        <v>0.24443402959396421</v>
      </c>
      <c r="T27" s="113"/>
      <c r="U27" s="114">
        <f>SUMIF($J$4:$J$20,$O27,U$4:U$20)</f>
        <v>0.48669719844516585</v>
      </c>
      <c r="V27" s="114"/>
      <c r="W27" s="115">
        <f>SUMIF($J$4:$J$20,$O27,W$4:W$20)</f>
        <v>0.63094417399935732</v>
      </c>
      <c r="X27" s="115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2">
      <c r="A28" s="1"/>
      <c r="B28" s="1"/>
      <c r="C28" s="119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122" t="s">
        <v>80</v>
      </c>
      <c r="P28" s="122"/>
      <c r="Q28" s="112">
        <f>Q20</f>
        <v>5.0638370487915496E-3</v>
      </c>
      <c r="R28" s="112"/>
      <c r="S28" s="113">
        <f t="shared" ref="S28:W28" si="15">S20</f>
        <v>4.9302914471462365E-3</v>
      </c>
      <c r="T28" s="113"/>
      <c r="U28" s="114">
        <f t="shared" si="15"/>
        <v>4.8565761907981408E-3</v>
      </c>
      <c r="V28" s="114"/>
      <c r="W28" s="115">
        <f t="shared" si="15"/>
        <v>4.6928611936986817E-3</v>
      </c>
      <c r="X28" s="115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2">
      <c r="A29" s="1"/>
      <c r="B29" s="1"/>
      <c r="C29" s="119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122"/>
      <c r="P29" s="122"/>
      <c r="Q29" s="112"/>
      <c r="R29" s="112"/>
      <c r="S29" s="113"/>
      <c r="T29" s="113"/>
      <c r="U29" s="114"/>
      <c r="V29" s="114"/>
      <c r="W29" s="115"/>
      <c r="X29" s="115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2">
      <c r="A30" s="1"/>
      <c r="B30" s="1"/>
      <c r="C30" s="119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121" t="s">
        <v>437</v>
      </c>
      <c r="P30" s="121"/>
      <c r="Q30" s="125">
        <f>SUMPRODUCT(Q4:Q20,$O4:$O20)/Q21</f>
        <v>0.18378791689361784</v>
      </c>
      <c r="R30" s="125"/>
      <c r="S30" s="126">
        <f>SUMPRODUCT(S4:S20,$O4:$O20)/S21</f>
        <v>0.19637854962936305</v>
      </c>
      <c r="T30" s="126"/>
      <c r="U30" s="127">
        <f>SUMPRODUCT(U4:U20,$O4:$O20)/U21</f>
        <v>0.20363931215710546</v>
      </c>
      <c r="V30" s="127"/>
      <c r="W30" s="128">
        <f>SUMPRODUCT(W4:W20,$O4:$O20)/W21</f>
        <v>0.20799614295576932</v>
      </c>
      <c r="X30" s="128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15" thickBo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29" t="s">
        <v>86</v>
      </c>
      <c r="R32" s="130">
        <v>100000</v>
      </c>
      <c r="S32" s="129" t="s">
        <v>86</v>
      </c>
      <c r="T32" s="130">
        <v>100000</v>
      </c>
      <c r="U32" s="129" t="s">
        <v>86</v>
      </c>
      <c r="V32" s="130">
        <v>100000</v>
      </c>
      <c r="W32" s="129" t="s">
        <v>86</v>
      </c>
      <c r="X32" s="130">
        <v>100000</v>
      </c>
      <c r="Y32" s="1"/>
      <c r="Z32" s="13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32" t="s">
        <v>85</v>
      </c>
      <c r="R33" s="133"/>
      <c r="S33" s="132" t="s">
        <v>85</v>
      </c>
      <c r="T33" s="133">
        <v>5000</v>
      </c>
      <c r="U33" s="132" t="s">
        <v>85</v>
      </c>
      <c r="V33" s="133">
        <v>5000</v>
      </c>
      <c r="W33" s="132" t="s">
        <v>85</v>
      </c>
      <c r="X33" s="133">
        <v>5000</v>
      </c>
      <c r="Y33" s="1"/>
      <c r="Z33" s="13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32" t="s">
        <v>88</v>
      </c>
      <c r="R34" s="134">
        <f>(R32-R33)*0.5%</f>
        <v>500</v>
      </c>
      <c r="S34" s="132" t="s">
        <v>88</v>
      </c>
      <c r="T34" s="134">
        <f>(T32-T33)*0.5%</f>
        <v>475</v>
      </c>
      <c r="U34" s="132" t="s">
        <v>88</v>
      </c>
      <c r="V34" s="134">
        <f>(V32-V33)*0.5%</f>
        <v>475</v>
      </c>
      <c r="W34" s="132" t="s">
        <v>88</v>
      </c>
      <c r="X34" s="134">
        <f>(X32-X33)*0.5%</f>
        <v>475</v>
      </c>
      <c r="Y34" s="1"/>
      <c r="Z34" s="135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32" t="s">
        <v>87</v>
      </c>
      <c r="R35" s="134">
        <f>R33+R34</f>
        <v>500</v>
      </c>
      <c r="S35" s="132" t="s">
        <v>87</v>
      </c>
      <c r="T35" s="134">
        <f>T33+T34</f>
        <v>5475</v>
      </c>
      <c r="U35" s="132" t="s">
        <v>87</v>
      </c>
      <c r="V35" s="134">
        <f>V33+V34</f>
        <v>5475</v>
      </c>
      <c r="W35" s="132" t="s">
        <v>87</v>
      </c>
      <c r="X35" s="134">
        <f>X33+X34</f>
        <v>5475</v>
      </c>
      <c r="Y35" s="1"/>
      <c r="Z35" s="135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5" thickBo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36" t="s">
        <v>89</v>
      </c>
      <c r="R36" s="137">
        <f>R35/R32</f>
        <v>5.0000000000000001E-3</v>
      </c>
      <c r="S36" s="136" t="s">
        <v>89</v>
      </c>
      <c r="T36" s="137">
        <f>T35/T32</f>
        <v>5.475E-2</v>
      </c>
      <c r="U36" s="136" t="s">
        <v>89</v>
      </c>
      <c r="V36" s="137">
        <f>V35/V32</f>
        <v>5.475E-2</v>
      </c>
      <c r="W36" s="136" t="s">
        <v>89</v>
      </c>
      <c r="X36" s="137">
        <f>X35/X32</f>
        <v>5.475E-2</v>
      </c>
      <c r="Y36" s="1"/>
      <c r="Z36" s="138"/>
      <c r="AA36" s="1"/>
      <c r="AB36" s="1"/>
      <c r="AC36" s="1"/>
      <c r="AD36" s="1"/>
      <c r="AE36" s="1"/>
      <c r="AF36" s="1"/>
      <c r="AG36" s="1"/>
      <c r="AH36" s="1"/>
      <c r="AI36" s="1"/>
      <c r="AJ36" s="1"/>
    </row>
  </sheetData>
  <conditionalFormatting sqref="A2">
    <cfRule type="cellIs" dxfId="91" priority="1" operator="lessThan">
      <formula>TODAY()-14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ExportGBPGlobalEquityETFToCSV">
                <anchor moveWithCells="1" sizeWithCells="1">
                  <from>
                    <xdr:col>16</xdr:col>
                    <xdr:colOff>1657350</xdr:colOff>
                    <xdr:row>34</xdr:row>
                    <xdr:rowOff>142875</xdr:rowOff>
                  </from>
                  <to>
                    <xdr:col>16</xdr:col>
                    <xdr:colOff>2171700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ExportGBPGlobalBalancedETFToCSV">
                <anchor moveWithCells="1" sizeWithCells="1">
                  <from>
                    <xdr:col>18</xdr:col>
                    <xdr:colOff>1714500</xdr:colOff>
                    <xdr:row>35</xdr:row>
                    <xdr:rowOff>9525</xdr:rowOff>
                  </from>
                  <to>
                    <xdr:col>18</xdr:col>
                    <xdr:colOff>2228850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ExportGBPGlobalModerateETFToCSV">
                <anchor moveWithCells="1" sizeWithCells="1">
                  <from>
                    <xdr:col>20</xdr:col>
                    <xdr:colOff>1685925</xdr:colOff>
                    <xdr:row>35</xdr:row>
                    <xdr:rowOff>47625</xdr:rowOff>
                  </from>
                  <to>
                    <xdr:col>20</xdr:col>
                    <xdr:colOff>2200275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ExportGBPGlobalConservativeETFToCSV">
                <anchor moveWithCells="1" sizeWithCells="1">
                  <from>
                    <xdr:col>22</xdr:col>
                    <xdr:colOff>1647825</xdr:colOff>
                    <xdr:row>35</xdr:row>
                    <xdr:rowOff>47625</xdr:rowOff>
                  </from>
                  <to>
                    <xdr:col>22</xdr:col>
                    <xdr:colOff>2162175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87950-B293-41E0-8420-C65A0744FF89}">
  <sheetPr codeName="Sheet11"/>
  <dimension ref="A1:AJ36"/>
  <sheetViews>
    <sheetView zoomScale="70" zoomScaleNormal="70" workbookViewId="0">
      <selection activeCell="Q1" sqref="Q1:Z36"/>
    </sheetView>
  </sheetViews>
  <sheetFormatPr defaultRowHeight="14.25" x14ac:dyDescent="0.2"/>
  <cols>
    <col min="1" max="1" width="12.19921875" bestFit="1" customWidth="1"/>
    <col min="3" max="3" width="51" bestFit="1" customWidth="1"/>
    <col min="4" max="4" width="8.19921875" bestFit="1" customWidth="1"/>
    <col min="5" max="5" width="8.09765625" bestFit="1" customWidth="1"/>
    <col min="6" max="6" width="14.19921875" bestFit="1" customWidth="1"/>
    <col min="7" max="7" width="12.09765625" bestFit="1" customWidth="1"/>
    <col min="8" max="8" width="10.5" bestFit="1" customWidth="1"/>
    <col min="9" max="9" width="14.5" bestFit="1" customWidth="1"/>
    <col min="10" max="11" width="10.3984375" bestFit="1" customWidth="1"/>
    <col min="12" max="12" width="10" bestFit="1" customWidth="1"/>
    <col min="13" max="13" width="11.796875" bestFit="1" customWidth="1"/>
    <col min="14" max="14" width="4.69921875" bestFit="1" customWidth="1"/>
    <col min="15" max="15" width="10.3984375" bestFit="1" customWidth="1"/>
    <col min="16" max="16" width="5.5" bestFit="1" customWidth="1"/>
    <col min="17" max="17" width="24" bestFit="1" customWidth="1"/>
    <col min="18" max="18" width="8" bestFit="1" customWidth="1"/>
    <col min="19" max="19" width="24" bestFit="1" customWidth="1"/>
    <col min="20" max="20" width="8" bestFit="1" customWidth="1"/>
    <col min="21" max="21" width="24" bestFit="1" customWidth="1"/>
    <col min="22" max="22" width="8" bestFit="1" customWidth="1"/>
    <col min="23" max="23" width="24" bestFit="1" customWidth="1"/>
    <col min="24" max="24" width="8.19921875" bestFit="1" customWidth="1"/>
    <col min="26" max="26" width="7.8984375" bestFit="1" customWidth="1"/>
    <col min="27" max="27" width="11.09765625" bestFit="1" customWidth="1"/>
    <col min="28" max="28" width="7.8984375" bestFit="1" customWidth="1"/>
    <col min="29" max="29" width="11.09765625" bestFit="1" customWidth="1"/>
    <col min="30" max="30" width="12.09765625" bestFit="1" customWidth="1"/>
    <col min="31" max="31" width="11.5" bestFit="1" customWidth="1"/>
    <col min="32" max="32" width="11.796875" bestFit="1" customWidth="1"/>
    <col min="33" max="33" width="11.5" bestFit="1" customWidth="1"/>
    <col min="34" max="34" width="12.3984375" bestFit="1" customWidth="1"/>
    <col min="35" max="35" width="12.796875" bestFit="1" customWidth="1"/>
    <col min="36" max="36" width="12.09765625" bestFit="1" customWidth="1"/>
  </cols>
  <sheetData>
    <row r="1" spans="1:36" x14ac:dyDescent="0.2">
      <c r="A1" s="76" t="s">
        <v>0</v>
      </c>
      <c r="B1" s="1"/>
      <c r="C1" s="95" t="s">
        <v>511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6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">
      <c r="A2" s="85">
        <v>45565</v>
      </c>
      <c r="B2" s="1"/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555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554</v>
      </c>
      <c r="Q2" s="99" t="s">
        <v>470</v>
      </c>
      <c r="R2" s="99" t="s">
        <v>536</v>
      </c>
      <c r="S2" s="100" t="s">
        <v>500</v>
      </c>
      <c r="T2" s="100" t="s">
        <v>537</v>
      </c>
      <c r="U2" s="101" t="s">
        <v>501</v>
      </c>
      <c r="V2" s="101" t="s">
        <v>538</v>
      </c>
      <c r="W2" s="102" t="s">
        <v>502</v>
      </c>
      <c r="X2" s="102" t="s">
        <v>539</v>
      </c>
      <c r="Y2" s="1"/>
      <c r="Z2" s="1"/>
      <c r="AA2" s="1"/>
      <c r="AB2" s="1"/>
      <c r="AC2" s="163" t="s">
        <v>470</v>
      </c>
      <c r="AD2" s="163"/>
      <c r="AE2" s="164" t="s">
        <v>500</v>
      </c>
      <c r="AF2" s="164"/>
      <c r="AG2" s="165" t="s">
        <v>501</v>
      </c>
      <c r="AH2" s="165"/>
      <c r="AI2" s="166" t="s">
        <v>502</v>
      </c>
      <c r="AJ2" s="166"/>
    </row>
    <row r="3" spans="1:36" x14ac:dyDescent="0.2">
      <c r="A3" s="1"/>
      <c r="B3" s="1"/>
      <c r="C3" s="106" t="s">
        <v>16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Y3" s="1"/>
      <c r="Z3" s="1"/>
      <c r="AA3" s="1"/>
      <c r="AB3" s="13" t="s">
        <v>279</v>
      </c>
      <c r="AC3" s="14" t="s">
        <v>18</v>
      </c>
      <c r="AD3" s="15" t="s">
        <v>19</v>
      </c>
      <c r="AE3" s="14" t="s">
        <v>18</v>
      </c>
      <c r="AF3" s="15" t="s">
        <v>19</v>
      </c>
      <c r="AG3" s="14" t="s">
        <v>18</v>
      </c>
      <c r="AH3" s="15" t="s">
        <v>19</v>
      </c>
      <c r="AI3" s="14" t="s">
        <v>18</v>
      </c>
      <c r="AJ3" s="15" t="s">
        <v>19</v>
      </c>
    </row>
    <row r="4" spans="1:36" x14ac:dyDescent="0.2">
      <c r="A4" s="1"/>
      <c r="B4" s="1"/>
      <c r="C4" s="86" t="s">
        <v>1268</v>
      </c>
      <c r="D4" s="86" t="s">
        <v>1359</v>
      </c>
      <c r="E4" s="86" t="s">
        <v>1360</v>
      </c>
      <c r="F4" s="34"/>
      <c r="G4" s="86" t="s">
        <v>26</v>
      </c>
      <c r="H4" s="86"/>
      <c r="I4" s="86"/>
      <c r="J4" s="34" t="s">
        <v>470</v>
      </c>
      <c r="K4" s="34" t="s">
        <v>453</v>
      </c>
      <c r="L4" s="34" t="s">
        <v>1284</v>
      </c>
      <c r="M4" s="34" t="s">
        <v>832</v>
      </c>
      <c r="N4" s="34" t="s">
        <v>83</v>
      </c>
      <c r="O4" s="111">
        <v>0.08</v>
      </c>
      <c r="P4" s="111">
        <v>136.27000000000001</v>
      </c>
      <c r="Q4" s="112">
        <f t="shared" ref="Q4:Q12" si="0">AD4/$AD$21</f>
        <v>0.25648468659916529</v>
      </c>
      <c r="R4" s="112">
        <f t="shared" ref="R4:R12" si="1">Q4*(1-$R$36)/(1-$Q$20)</f>
        <v>0.24367749250014747</v>
      </c>
      <c r="S4" s="113">
        <f t="shared" ref="S4:S12" si="2">AF4/$AF$21</f>
        <v>0.18566691100197519</v>
      </c>
      <c r="T4" s="113">
        <f t="shared" ref="T4:T12" si="3">S4*(1-$T$36)/(1-$S$20)</f>
        <v>0.17637332591668847</v>
      </c>
      <c r="U4" s="114">
        <f t="shared" ref="U4:U12" si="4">AH4/$AH$21</f>
        <v>0.12332326318642353</v>
      </c>
      <c r="V4" s="114">
        <f t="shared" ref="V4:V12" si="5">U4*(1-$V$36)/(1-$U$20)</f>
        <v>0.11717198703914443</v>
      </c>
      <c r="W4" s="115">
        <f t="shared" ref="W4:W12" si="6">AJ4/$AJ$21</f>
        <v>8.6178711749469963E-2</v>
      </c>
      <c r="X4" s="115">
        <f t="shared" ref="X4:X12" si="7">W4*(1-$X$36)/(1-$W$20)</f>
        <v>8.1846305351216106E-2</v>
      </c>
      <c r="Y4" s="1"/>
      <c r="Z4" s="1"/>
      <c r="AA4" s="1"/>
      <c r="AB4" s="1">
        <v>1</v>
      </c>
      <c r="AC4" s="18">
        <v>375514.28103685298</v>
      </c>
      <c r="AD4" s="11">
        <v>51171331.076891959</v>
      </c>
      <c r="AE4" s="18">
        <v>239441.98713592099</v>
      </c>
      <c r="AF4" s="11">
        <v>32628759.587011956</v>
      </c>
      <c r="AG4" s="18">
        <v>139163.930638633</v>
      </c>
      <c r="AH4" s="11">
        <v>18963868.82812652</v>
      </c>
      <c r="AI4" s="18">
        <v>89908.215357499997</v>
      </c>
      <c r="AJ4" s="11">
        <v>12251792.506766526</v>
      </c>
    </row>
    <row r="5" spans="1:36" x14ac:dyDescent="0.2">
      <c r="A5" s="1"/>
      <c r="B5" s="1"/>
      <c r="C5" s="86" t="s">
        <v>1271</v>
      </c>
      <c r="D5" s="86" t="s">
        <v>1364</v>
      </c>
      <c r="E5" s="86" t="s">
        <v>1264</v>
      </c>
      <c r="F5" s="34"/>
      <c r="G5" s="86" t="s">
        <v>26</v>
      </c>
      <c r="H5" s="86"/>
      <c r="I5" s="86"/>
      <c r="J5" s="34" t="s">
        <v>470</v>
      </c>
      <c r="K5" s="34" t="s">
        <v>453</v>
      </c>
      <c r="L5" s="34" t="s">
        <v>444</v>
      </c>
      <c r="M5" s="34" t="s">
        <v>831</v>
      </c>
      <c r="N5" s="34" t="s">
        <v>83</v>
      </c>
      <c r="O5" s="111">
        <v>0.15</v>
      </c>
      <c r="P5" s="111">
        <v>36.619999999999997</v>
      </c>
      <c r="Q5" s="112">
        <f t="shared" si="0"/>
        <v>8.6930621266977426E-2</v>
      </c>
      <c r="R5" s="112">
        <f t="shared" si="1"/>
        <v>8.2589865666802709E-2</v>
      </c>
      <c r="S5" s="113">
        <f t="shared" si="2"/>
        <v>6.2873497528857181E-2</v>
      </c>
      <c r="T5" s="113">
        <f t="shared" si="3"/>
        <v>5.9726355177316781E-2</v>
      </c>
      <c r="U5" s="114">
        <f t="shared" si="4"/>
        <v>4.1772734167895086E-2</v>
      </c>
      <c r="V5" s="114">
        <f t="shared" si="5"/>
        <v>3.9689140070119928E-2</v>
      </c>
      <c r="W5" s="115">
        <f t="shared" si="6"/>
        <v>2.9241719164073959E-2</v>
      </c>
      <c r="X5" s="115">
        <f t="shared" si="7"/>
        <v>2.777166921054636E-2</v>
      </c>
      <c r="Y5" s="1"/>
      <c r="Z5" s="1"/>
      <c r="AA5" s="1"/>
      <c r="AB5" s="1">
        <v>1</v>
      </c>
      <c r="AC5" s="18">
        <v>473608.74928986601</v>
      </c>
      <c r="AD5" s="11">
        <v>17343552.398994893</v>
      </c>
      <c r="AE5" s="18">
        <v>301727.80404744099</v>
      </c>
      <c r="AF5" s="11">
        <v>11049272.184217289</v>
      </c>
      <c r="AG5" s="18">
        <v>175410.867803117</v>
      </c>
      <c r="AH5" s="11">
        <v>6423545.9789501438</v>
      </c>
      <c r="AI5" s="18">
        <v>113523.088312878</v>
      </c>
      <c r="AJ5" s="11">
        <v>4157215.4940175922</v>
      </c>
    </row>
    <row r="6" spans="1:36" x14ac:dyDescent="0.2">
      <c r="A6" s="1"/>
      <c r="B6" s="1"/>
      <c r="C6" s="86" t="s">
        <v>1270</v>
      </c>
      <c r="D6" s="86" t="s">
        <v>1365</v>
      </c>
      <c r="E6" s="1" t="s">
        <v>1263</v>
      </c>
      <c r="F6" s="86"/>
      <c r="G6" s="86" t="s">
        <v>26</v>
      </c>
      <c r="H6" s="86"/>
      <c r="I6" s="86"/>
      <c r="J6" s="34" t="s">
        <v>470</v>
      </c>
      <c r="K6" s="34" t="s">
        <v>453</v>
      </c>
      <c r="L6" s="34" t="s">
        <v>450</v>
      </c>
      <c r="M6" s="34" t="s">
        <v>831</v>
      </c>
      <c r="N6" s="34" t="s">
        <v>83</v>
      </c>
      <c r="O6" s="111">
        <v>0.18</v>
      </c>
      <c r="P6" s="111">
        <v>68.528000000000006</v>
      </c>
      <c r="Q6" s="112">
        <f t="shared" si="0"/>
        <v>0.16018358624304171</v>
      </c>
      <c r="R6" s="112">
        <f t="shared" si="1"/>
        <v>0.15218504914637096</v>
      </c>
      <c r="S6" s="113">
        <f t="shared" si="2"/>
        <v>0.1159247845474177</v>
      </c>
      <c r="T6" s="113">
        <f t="shared" si="3"/>
        <v>0.11012215206502833</v>
      </c>
      <c r="U6" s="114">
        <f t="shared" si="4"/>
        <v>7.7019656909451062E-2</v>
      </c>
      <c r="V6" s="114">
        <f t="shared" si="5"/>
        <v>7.3177971519545776E-2</v>
      </c>
      <c r="W6" s="115">
        <f t="shared" si="6"/>
        <v>5.3783500008323493E-2</v>
      </c>
      <c r="X6" s="115">
        <f t="shared" si="7"/>
        <v>5.1079677047567981E-2</v>
      </c>
      <c r="Y6" s="1"/>
      <c r="Z6" s="1"/>
      <c r="AA6" s="1"/>
      <c r="AB6" s="1">
        <v>1</v>
      </c>
      <c r="AC6" s="18">
        <v>466353.48750332202</v>
      </c>
      <c r="AD6" s="11">
        <v>31958271.791627653</v>
      </c>
      <c r="AE6" s="18">
        <v>297285.88690021401</v>
      </c>
      <c r="AF6" s="11">
        <v>20372407.257497869</v>
      </c>
      <c r="AG6" s="18">
        <v>172828.53852801301</v>
      </c>
      <c r="AH6" s="11">
        <v>11843594.088247677</v>
      </c>
      <c r="AI6" s="18">
        <v>111578.530968369</v>
      </c>
      <c r="AJ6" s="11">
        <v>7646253.5702003911</v>
      </c>
    </row>
    <row r="7" spans="1:36" x14ac:dyDescent="0.2">
      <c r="A7" s="1"/>
      <c r="B7" s="1"/>
      <c r="C7" s="86" t="s">
        <v>778</v>
      </c>
      <c r="D7" s="86" t="s">
        <v>512</v>
      </c>
      <c r="E7" s="86" t="s">
        <v>619</v>
      </c>
      <c r="F7" s="34"/>
      <c r="G7" s="86" t="s">
        <v>26</v>
      </c>
      <c r="H7" s="86"/>
      <c r="I7" s="86"/>
      <c r="J7" s="34" t="s">
        <v>470</v>
      </c>
      <c r="K7" s="34" t="s">
        <v>443</v>
      </c>
      <c r="L7" s="34" t="s">
        <v>444</v>
      </c>
      <c r="M7" s="34" t="s">
        <v>831</v>
      </c>
      <c r="N7" s="34" t="s">
        <v>83</v>
      </c>
      <c r="O7" s="111">
        <v>0.25</v>
      </c>
      <c r="P7" s="111">
        <v>50.98</v>
      </c>
      <c r="Q7" s="112">
        <f t="shared" si="0"/>
        <v>0.18453387847659636</v>
      </c>
      <c r="R7" s="112">
        <f t="shared" si="1"/>
        <v>0.17531944454359591</v>
      </c>
      <c r="S7" s="113">
        <f t="shared" si="2"/>
        <v>0.13355948272905818</v>
      </c>
      <c r="T7" s="113">
        <f t="shared" si="3"/>
        <v>0.12687414278350279</v>
      </c>
      <c r="U7" s="114">
        <f t="shared" si="4"/>
        <v>8.8703070390761696E-2</v>
      </c>
      <c r="V7" s="114">
        <f t="shared" si="5"/>
        <v>8.4278624694248683E-2</v>
      </c>
      <c r="W7" s="115">
        <f t="shared" si="6"/>
        <v>6.1974813203204138E-2</v>
      </c>
      <c r="X7" s="115">
        <f t="shared" si="7"/>
        <v>5.8859193674883667E-2</v>
      </c>
      <c r="Y7" s="1"/>
      <c r="Z7" s="1"/>
      <c r="AA7" s="1"/>
      <c r="AB7" s="1">
        <v>1</v>
      </c>
      <c r="AC7" s="18">
        <v>722173.50647017697</v>
      </c>
      <c r="AD7" s="11">
        <v>36816405.359849617</v>
      </c>
      <c r="AE7" s="18">
        <v>460405.97301333101</v>
      </c>
      <c r="AF7" s="11">
        <v>23471496.504219614</v>
      </c>
      <c r="AG7" s="18">
        <v>267559.73465684801</v>
      </c>
      <c r="AH7" s="11">
        <v>13640195.272806112</v>
      </c>
      <c r="AI7" s="18">
        <v>172828.368688594</v>
      </c>
      <c r="AJ7" s="11">
        <v>8810790.235744521</v>
      </c>
    </row>
    <row r="8" spans="1:36" x14ac:dyDescent="0.2">
      <c r="A8" s="1"/>
      <c r="B8" s="1"/>
      <c r="C8" s="86" t="s">
        <v>1269</v>
      </c>
      <c r="D8" s="86" t="s">
        <v>1366</v>
      </c>
      <c r="E8" s="86" t="s">
        <v>1361</v>
      </c>
      <c r="F8" s="86"/>
      <c r="G8" s="86" t="s">
        <v>26</v>
      </c>
      <c r="H8" s="86"/>
      <c r="I8" s="86"/>
      <c r="J8" s="34" t="s">
        <v>470</v>
      </c>
      <c r="K8" s="34" t="s">
        <v>443</v>
      </c>
      <c r="L8" s="34" t="s">
        <v>444</v>
      </c>
      <c r="M8" s="34" t="s">
        <v>831</v>
      </c>
      <c r="N8" s="34" t="s">
        <v>83</v>
      </c>
      <c r="O8" s="111">
        <v>0.28999999999999998</v>
      </c>
      <c r="P8" s="111">
        <v>5.883</v>
      </c>
      <c r="Q8" s="112">
        <f t="shared" si="0"/>
        <v>0.18484095534154507</v>
      </c>
      <c r="R8" s="112">
        <f t="shared" si="1"/>
        <v>0.17561118796675179</v>
      </c>
      <c r="S8" s="113">
        <f t="shared" si="2"/>
        <v>0.1337817347490079</v>
      </c>
      <c r="T8" s="113">
        <f t="shared" si="3"/>
        <v>0.12708526994525007</v>
      </c>
      <c r="U8" s="114">
        <f t="shared" si="4"/>
        <v>8.8850678304234348E-2</v>
      </c>
      <c r="V8" s="114">
        <f t="shared" si="5"/>
        <v>8.4418870030590051E-2</v>
      </c>
      <c r="W8" s="115">
        <f t="shared" si="6"/>
        <v>6.207794348747124E-2</v>
      </c>
      <c r="X8" s="115">
        <f t="shared" si="7"/>
        <v>5.8957139357358253E-2</v>
      </c>
      <c r="Y8" s="1"/>
      <c r="Z8" s="1"/>
      <c r="AA8" s="1"/>
      <c r="AB8" s="1">
        <v>1</v>
      </c>
      <c r="AC8" s="18">
        <v>6268514.4229957396</v>
      </c>
      <c r="AD8" s="11">
        <v>36877670.350483939</v>
      </c>
      <c r="AE8" s="18">
        <v>3996354.6937270998</v>
      </c>
      <c r="AF8" s="11">
        <v>23510554.663196526</v>
      </c>
      <c r="AG8" s="18">
        <v>2322436.4237718401</v>
      </c>
      <c r="AH8" s="11">
        <v>13662893.481049735</v>
      </c>
      <c r="AI8" s="18">
        <v>1500161.8200071901</v>
      </c>
      <c r="AJ8" s="11">
        <v>8825451.9871022999</v>
      </c>
    </row>
    <row r="9" spans="1:36" x14ac:dyDescent="0.2">
      <c r="A9" s="1"/>
      <c r="B9" s="1"/>
      <c r="C9" s="86" t="s">
        <v>780</v>
      </c>
      <c r="D9" s="86" t="s">
        <v>513</v>
      </c>
      <c r="E9" s="86" t="s">
        <v>603</v>
      </c>
      <c r="F9" s="86"/>
      <c r="G9" s="86" t="s">
        <v>26</v>
      </c>
      <c r="H9" s="86"/>
      <c r="I9" s="86"/>
      <c r="J9" s="34" t="s">
        <v>470</v>
      </c>
      <c r="K9" s="34" t="s">
        <v>446</v>
      </c>
      <c r="L9" s="34" t="s">
        <v>452</v>
      </c>
      <c r="M9" s="34" t="s">
        <v>831</v>
      </c>
      <c r="N9" s="34" t="s">
        <v>83</v>
      </c>
      <c r="O9" s="111">
        <v>0.12</v>
      </c>
      <c r="P9" s="111">
        <v>109.74</v>
      </c>
      <c r="Q9" s="112">
        <f t="shared" si="0"/>
        <v>4.0125184754301477E-2</v>
      </c>
      <c r="R9" s="112">
        <f t="shared" si="1"/>
        <v>3.8121591338175234E-2</v>
      </c>
      <c r="S9" s="113">
        <f t="shared" si="2"/>
        <v>2.9038576964497135E-2</v>
      </c>
      <c r="T9" s="113">
        <f t="shared" si="3"/>
        <v>2.7585046637963455E-2</v>
      </c>
      <c r="U9" s="114">
        <f t="shared" si="4"/>
        <v>1.9293037668139189E-2</v>
      </c>
      <c r="V9" s="114">
        <f t="shared" si="5"/>
        <v>1.8330714750708906E-2</v>
      </c>
      <c r="W9" s="115">
        <f t="shared" si="6"/>
        <v>1.3497308162429375E-2</v>
      </c>
      <c r="X9" s="115">
        <f t="shared" si="7"/>
        <v>1.2818766756378793E-2</v>
      </c>
      <c r="Y9" s="1"/>
      <c r="Z9" s="1"/>
      <c r="AA9" s="1"/>
      <c r="AB9" s="1">
        <v>1</v>
      </c>
      <c r="AC9" s="18">
        <v>72948.667372217795</v>
      </c>
      <c r="AD9" s="11">
        <v>8005386.7574271802</v>
      </c>
      <c r="AE9" s="18">
        <v>46502.513348919703</v>
      </c>
      <c r="AF9" s="11">
        <v>5103185.8149104482</v>
      </c>
      <c r="AG9" s="18">
        <v>27034.453279212801</v>
      </c>
      <c r="AH9" s="11">
        <v>2966760.9028608128</v>
      </c>
      <c r="AI9" s="18">
        <v>17485.652494426999</v>
      </c>
      <c r="AJ9" s="11">
        <v>1918875.5047384189</v>
      </c>
    </row>
    <row r="10" spans="1:36" x14ac:dyDescent="0.2">
      <c r="A10" s="1"/>
      <c r="B10" s="1"/>
      <c r="C10" s="86" t="s">
        <v>781</v>
      </c>
      <c r="D10" s="86" t="s">
        <v>514</v>
      </c>
      <c r="E10" s="86" t="s">
        <v>543</v>
      </c>
      <c r="F10" s="86"/>
      <c r="G10" s="86" t="s">
        <v>26</v>
      </c>
      <c r="H10" s="86"/>
      <c r="I10" s="86"/>
      <c r="J10" s="34" t="s">
        <v>470</v>
      </c>
      <c r="K10" s="34" t="s">
        <v>446</v>
      </c>
      <c r="L10" s="34" t="s">
        <v>455</v>
      </c>
      <c r="M10" s="34" t="s">
        <v>832</v>
      </c>
      <c r="N10" s="34" t="s">
        <v>83</v>
      </c>
      <c r="O10" s="111">
        <v>0.25</v>
      </c>
      <c r="P10" s="111">
        <v>50.1</v>
      </c>
      <c r="Q10" s="112">
        <f t="shared" si="0"/>
        <v>4.0524283636336055E-2</v>
      </c>
      <c r="R10" s="112">
        <f t="shared" si="1"/>
        <v>3.850076179128608E-2</v>
      </c>
      <c r="S10" s="113">
        <f t="shared" si="2"/>
        <v>2.9327404634035988E-2</v>
      </c>
      <c r="T10" s="113">
        <f t="shared" si="3"/>
        <v>2.7859416995171537E-2</v>
      </c>
      <c r="U10" s="114">
        <f t="shared" si="4"/>
        <v>1.9484932853458651E-2</v>
      </c>
      <c r="V10" s="114">
        <f t="shared" si="5"/>
        <v>1.8513038341458662E-2</v>
      </c>
      <c r="W10" s="115">
        <f t="shared" si="6"/>
        <v>1.3631557029595979E-2</v>
      </c>
      <c r="X10" s="115">
        <f t="shared" si="7"/>
        <v>1.2946266617447908E-2</v>
      </c>
      <c r="Y10" s="1"/>
      <c r="Z10" s="1"/>
      <c r="AA10" s="1"/>
      <c r="AB10" s="1">
        <v>1</v>
      </c>
      <c r="AC10" s="18">
        <v>161377.46679151201</v>
      </c>
      <c r="AD10" s="11">
        <v>8085011.0862547522</v>
      </c>
      <c r="AE10" s="18">
        <v>102873.13084687199</v>
      </c>
      <c r="AF10" s="11">
        <v>5153943.8554282868</v>
      </c>
      <c r="AG10" s="18">
        <v>59805.774984648699</v>
      </c>
      <c r="AH10" s="11">
        <v>2996269.3267309</v>
      </c>
      <c r="AI10" s="18">
        <v>38681.862279255998</v>
      </c>
      <c r="AJ10" s="11">
        <v>1937961.3001907256</v>
      </c>
    </row>
    <row r="11" spans="1:36" x14ac:dyDescent="0.2">
      <c r="A11" s="1"/>
      <c r="B11" s="1"/>
      <c r="C11" s="86" t="s">
        <v>1272</v>
      </c>
      <c r="D11" s="86" t="s">
        <v>1367</v>
      </c>
      <c r="E11" s="86" t="s">
        <v>1362</v>
      </c>
      <c r="F11" s="86"/>
      <c r="G11" s="86" t="s">
        <v>26</v>
      </c>
      <c r="H11" s="86"/>
      <c r="I11" s="86"/>
      <c r="J11" s="34" t="s">
        <v>470</v>
      </c>
      <c r="K11" s="34" t="s">
        <v>446</v>
      </c>
      <c r="L11" s="34" t="s">
        <v>1283</v>
      </c>
      <c r="M11" s="34" t="s">
        <v>831</v>
      </c>
      <c r="N11" s="34" t="s">
        <v>83</v>
      </c>
      <c r="O11" s="111">
        <v>0.35</v>
      </c>
      <c r="P11" s="111">
        <v>8.2550000000000008</v>
      </c>
      <c r="Q11" s="112">
        <f t="shared" si="0"/>
        <v>4.130722388781026E-2</v>
      </c>
      <c r="R11" s="112">
        <f t="shared" si="1"/>
        <v>3.9244607046869814E-2</v>
      </c>
      <c r="S11" s="113">
        <f t="shared" si="2"/>
        <v>2.9894018118565884E-2</v>
      </c>
      <c r="T11" s="113">
        <f t="shared" si="3"/>
        <v>2.8397668556725868E-2</v>
      </c>
      <c r="U11" s="114">
        <f t="shared" si="4"/>
        <v>1.9861387089273149E-2</v>
      </c>
      <c r="V11" s="114">
        <f t="shared" si="5"/>
        <v>1.8870715309290822E-2</v>
      </c>
      <c r="W11" s="115">
        <f t="shared" si="6"/>
        <v>1.389492244240666E-2</v>
      </c>
      <c r="X11" s="115">
        <f t="shared" si="7"/>
        <v>1.3196392031929806E-2</v>
      </c>
      <c r="Y11" s="1"/>
      <c r="Z11" s="1"/>
      <c r="AA11" s="1"/>
      <c r="AB11" s="1">
        <v>1</v>
      </c>
      <c r="AC11" s="18">
        <v>998330.18938018405</v>
      </c>
      <c r="AD11" s="11">
        <v>8241215.7133334205</v>
      </c>
      <c r="AE11" s="18">
        <v>636404.53802124201</v>
      </c>
      <c r="AF11" s="11">
        <v>5253519.4613653533</v>
      </c>
      <c r="AG11" s="18">
        <v>369976.74987418699</v>
      </c>
      <c r="AH11" s="11">
        <v>3054158.0702114138</v>
      </c>
      <c r="AI11" s="18">
        <v>239297.78836297401</v>
      </c>
      <c r="AJ11" s="11">
        <v>1975403.2429363506</v>
      </c>
    </row>
    <row r="12" spans="1:36" x14ac:dyDescent="0.2">
      <c r="A12" s="1"/>
      <c r="B12" s="1"/>
      <c r="C12" s="86" t="s">
        <v>1273</v>
      </c>
      <c r="D12" s="86" t="s">
        <v>1368</v>
      </c>
      <c r="E12" s="86" t="s">
        <v>1363</v>
      </c>
      <c r="F12" s="86"/>
      <c r="G12" s="86" t="s">
        <v>26</v>
      </c>
      <c r="H12" s="86"/>
      <c r="I12" s="86"/>
      <c r="J12" s="34" t="s">
        <v>447</v>
      </c>
      <c r="K12" s="34" t="s">
        <v>446</v>
      </c>
      <c r="L12" s="34" t="s">
        <v>447</v>
      </c>
      <c r="M12" s="34" t="s">
        <v>831</v>
      </c>
      <c r="N12" s="34" t="s">
        <v>83</v>
      </c>
      <c r="O12" s="111">
        <v>0.35</v>
      </c>
      <c r="P12" s="111">
        <v>14.996</v>
      </c>
      <c r="Q12" s="112">
        <f t="shared" si="0"/>
        <v>0</v>
      </c>
      <c r="R12" s="112">
        <f t="shared" si="1"/>
        <v>0</v>
      </c>
      <c r="S12" s="113">
        <f t="shared" si="2"/>
        <v>3.1642790883724674E-2</v>
      </c>
      <c r="T12" s="113">
        <f t="shared" si="3"/>
        <v>3.0058906238761188E-2</v>
      </c>
      <c r="U12" s="114">
        <f t="shared" si="4"/>
        <v>3.1534890149290291E-2</v>
      </c>
      <c r="V12" s="114">
        <f t="shared" si="5"/>
        <v>2.9961952387424846E-2</v>
      </c>
      <c r="W12" s="115">
        <f t="shared" si="6"/>
        <v>3.1470286405042902E-2</v>
      </c>
      <c r="X12" s="115">
        <f t="shared" si="7"/>
        <v>2.9888201138179672E-2</v>
      </c>
      <c r="Y12" s="1"/>
      <c r="Z12" s="1"/>
      <c r="AA12" s="1"/>
      <c r="AB12" s="1">
        <v>1</v>
      </c>
      <c r="AC12" s="18"/>
      <c r="AD12" s="11">
        <v>0</v>
      </c>
      <c r="AE12" s="18">
        <v>370821.92272082798</v>
      </c>
      <c r="AF12" s="11">
        <v>5560845.553121537</v>
      </c>
      <c r="AG12" s="18">
        <v>323368.584494057</v>
      </c>
      <c r="AH12" s="11">
        <v>4849235.2930728784</v>
      </c>
      <c r="AI12" s="18">
        <v>298349.21466310398</v>
      </c>
      <c r="AJ12" s="11">
        <v>4474044.8230879074</v>
      </c>
    </row>
    <row r="13" spans="1:36" x14ac:dyDescent="0.2">
      <c r="A13" s="1"/>
      <c r="B13" s="1"/>
      <c r="C13" s="116" t="s">
        <v>456</v>
      </c>
      <c r="D13" s="86"/>
      <c r="E13" s="86"/>
      <c r="F13" s="86"/>
      <c r="G13" s="86"/>
      <c r="H13" s="86"/>
      <c r="I13" s="86"/>
      <c r="J13" s="45"/>
      <c r="K13" s="45"/>
      <c r="L13" s="45"/>
      <c r="M13" s="34"/>
      <c r="N13" s="34"/>
      <c r="O13" s="111"/>
      <c r="P13" s="111"/>
      <c r="Q13" s="112"/>
      <c r="R13" s="112"/>
      <c r="S13" s="113"/>
      <c r="T13" s="113"/>
      <c r="U13" s="114"/>
      <c r="V13" s="114"/>
      <c r="W13" s="115"/>
      <c r="X13" s="115"/>
      <c r="Y13" s="1"/>
      <c r="Z13" s="1"/>
      <c r="AA13" s="1"/>
      <c r="AB13" s="1"/>
      <c r="AC13" s="18"/>
      <c r="AD13" s="11"/>
      <c r="AE13" s="18"/>
      <c r="AF13" s="11"/>
      <c r="AG13" s="18"/>
      <c r="AH13" s="11"/>
      <c r="AI13" s="18"/>
      <c r="AJ13" s="11"/>
    </row>
    <row r="14" spans="1:36" x14ac:dyDescent="0.2">
      <c r="A14" s="1"/>
      <c r="B14" s="1"/>
      <c r="C14" s="86" t="s">
        <v>782</v>
      </c>
      <c r="D14" s="86" t="s">
        <v>457</v>
      </c>
      <c r="E14" s="86" t="s">
        <v>544</v>
      </c>
      <c r="F14" s="86" t="s">
        <v>551</v>
      </c>
      <c r="G14" s="86" t="s">
        <v>26</v>
      </c>
      <c r="H14" s="86"/>
      <c r="I14" s="86"/>
      <c r="J14" s="34" t="s">
        <v>458</v>
      </c>
      <c r="K14" s="34" t="s">
        <v>458</v>
      </c>
      <c r="L14" s="34" t="s">
        <v>459</v>
      </c>
      <c r="M14" s="34" t="s">
        <v>783</v>
      </c>
      <c r="N14" s="34" t="s">
        <v>34</v>
      </c>
      <c r="O14" s="111">
        <v>0.2</v>
      </c>
      <c r="P14" s="111">
        <v>5.4771999999999998</v>
      </c>
      <c r="Q14" s="112"/>
      <c r="R14" s="112"/>
      <c r="S14" s="113">
        <f t="shared" ref="S14:S20" si="8">AF14/$AF$21</f>
        <v>2.7850539671709019E-2</v>
      </c>
      <c r="T14" s="113">
        <f t="shared" ref="T14:T19" si="9">S14*(1-$T$36)/(1-$S$20)</f>
        <v>2.6456476730103727E-2</v>
      </c>
      <c r="U14" s="114">
        <f t="shared" ref="U14:U20" si="10">AH14/$AH$21</f>
        <v>5.5407187297298259E-2</v>
      </c>
      <c r="V14" s="114">
        <f t="shared" ref="V14:V19" si="11">U14*(1-$V$36)/(1-$U$20)</f>
        <v>5.2643516430963141E-2</v>
      </c>
      <c r="W14" s="115">
        <f t="shared" ref="W14:W20" si="12">AJ14/$AJ$21</f>
        <v>7.1995895579992933E-2</v>
      </c>
      <c r="X14" s="115">
        <f t="shared" ref="X14:X19" si="13">W14*(1-$X$36)/(1-$W$20)</f>
        <v>6.8376492686555074E-2</v>
      </c>
      <c r="Y14" s="1"/>
      <c r="Z14" s="1"/>
      <c r="AA14" s="1"/>
      <c r="AB14" s="1">
        <v>0.86150000000000004</v>
      </c>
      <c r="AC14" s="18"/>
      <c r="AD14" s="11">
        <v>0</v>
      </c>
      <c r="AE14" s="18">
        <v>1037255.59435235</v>
      </c>
      <c r="AF14" s="11">
        <v>4894402.3381046345</v>
      </c>
      <c r="AG14" s="18">
        <v>1805652.4341112101</v>
      </c>
      <c r="AH14" s="11">
        <v>8520165.6596861426</v>
      </c>
      <c r="AI14" s="18">
        <v>2169169.5159568</v>
      </c>
      <c r="AJ14" s="11">
        <v>10235460.197515981</v>
      </c>
    </row>
    <row r="15" spans="1:36" x14ac:dyDescent="0.2">
      <c r="A15" s="1"/>
      <c r="B15" s="1"/>
      <c r="C15" s="86" t="s">
        <v>833</v>
      </c>
      <c r="D15" s="117" t="s">
        <v>1369</v>
      </c>
      <c r="E15" s="117" t="s">
        <v>624</v>
      </c>
      <c r="F15" s="117" t="s">
        <v>551</v>
      </c>
      <c r="G15" s="86" t="s">
        <v>26</v>
      </c>
      <c r="H15" s="117"/>
      <c r="I15" s="117"/>
      <c r="J15" s="34" t="s">
        <v>458</v>
      </c>
      <c r="K15" s="34" t="s">
        <v>458</v>
      </c>
      <c r="L15" s="34" t="s">
        <v>461</v>
      </c>
      <c r="M15" s="34" t="s">
        <v>831</v>
      </c>
      <c r="N15" s="34" t="s">
        <v>83</v>
      </c>
      <c r="O15" s="111">
        <v>7.0000000000000007E-2</v>
      </c>
      <c r="P15" s="111">
        <v>109.75</v>
      </c>
      <c r="Q15" s="112"/>
      <c r="R15" s="112"/>
      <c r="S15" s="113">
        <f t="shared" si="8"/>
        <v>7.085428442409461E-2</v>
      </c>
      <c r="T15" s="113">
        <f t="shared" si="9"/>
        <v>6.7307662587178158E-2</v>
      </c>
      <c r="U15" s="114">
        <f t="shared" si="10"/>
        <v>0.1412253479240124</v>
      </c>
      <c r="V15" s="114">
        <f t="shared" si="11"/>
        <v>0.13418112859644754</v>
      </c>
      <c r="W15" s="115">
        <f t="shared" si="12"/>
        <v>0.18323688361218174</v>
      </c>
      <c r="X15" s="115">
        <f t="shared" si="13"/>
        <v>0.17402513478417264</v>
      </c>
      <c r="Y15" s="1"/>
      <c r="Z15" s="1"/>
      <c r="AA15" s="1"/>
      <c r="AB15" s="1">
        <v>1</v>
      </c>
      <c r="AC15" s="18"/>
      <c r="AD15" s="11">
        <v>0</v>
      </c>
      <c r="AE15" s="18">
        <v>113456.04477790299</v>
      </c>
      <c r="AF15" s="11">
        <v>12451800.914374853</v>
      </c>
      <c r="AG15" s="18">
        <v>197874.604246337</v>
      </c>
      <c r="AH15" s="11">
        <v>21716737.816035487</v>
      </c>
      <c r="AI15" s="18">
        <v>237360.25692905899</v>
      </c>
      <c r="AJ15" s="11">
        <v>26050288.197964225</v>
      </c>
    </row>
    <row r="16" spans="1:36" x14ac:dyDescent="0.2">
      <c r="A16" s="1"/>
      <c r="B16" s="1"/>
      <c r="C16" s="86" t="s">
        <v>834</v>
      </c>
      <c r="D16" s="117" t="s">
        <v>515</v>
      </c>
      <c r="E16" s="117" t="s">
        <v>620</v>
      </c>
      <c r="F16" s="117" t="s">
        <v>61</v>
      </c>
      <c r="G16" s="86" t="s">
        <v>26</v>
      </c>
      <c r="H16" s="117"/>
      <c r="I16" s="117"/>
      <c r="J16" s="34" t="s">
        <v>458</v>
      </c>
      <c r="K16" s="34" t="s">
        <v>458</v>
      </c>
      <c r="L16" s="34" t="s">
        <v>1403</v>
      </c>
      <c r="M16" s="34" t="s">
        <v>831</v>
      </c>
      <c r="N16" s="34" t="s">
        <v>83</v>
      </c>
      <c r="O16" s="111">
        <v>0.25</v>
      </c>
      <c r="P16" s="111">
        <v>86.24</v>
      </c>
      <c r="Q16" s="112"/>
      <c r="R16" s="112"/>
      <c r="S16" s="113">
        <f t="shared" si="8"/>
        <v>5.3532216069538466E-2</v>
      </c>
      <c r="T16" s="113">
        <f t="shared" si="9"/>
        <v>5.0852652962890363E-2</v>
      </c>
      <c r="U16" s="114">
        <f t="shared" si="10"/>
        <v>0.10679943962196196</v>
      </c>
      <c r="V16" s="114">
        <f t="shared" si="11"/>
        <v>0.10147235997360513</v>
      </c>
      <c r="W16" s="115">
        <f t="shared" si="12"/>
        <v>0.13854485053872664</v>
      </c>
      <c r="X16" s="115">
        <f t="shared" si="13"/>
        <v>0.13157987525963405</v>
      </c>
      <c r="Y16" s="1"/>
      <c r="Z16" s="1"/>
      <c r="AA16" s="1"/>
      <c r="AB16" s="1">
        <v>1</v>
      </c>
      <c r="AC16" s="18"/>
      <c r="AD16" s="11">
        <v>0</v>
      </c>
      <c r="AE16" s="18">
        <v>109086.881439249</v>
      </c>
      <c r="AF16" s="11">
        <v>9407652.6553208325</v>
      </c>
      <c r="AG16" s="18">
        <v>190432.978864242</v>
      </c>
      <c r="AH16" s="11">
        <v>16422940.097252229</v>
      </c>
      <c r="AI16" s="18">
        <v>228392.20427295199</v>
      </c>
      <c r="AJ16" s="11">
        <v>19696543.696499377</v>
      </c>
    </row>
    <row r="17" spans="1:36" x14ac:dyDescent="0.2">
      <c r="A17" s="1"/>
      <c r="B17" s="1"/>
      <c r="C17" s="86" t="s">
        <v>785</v>
      </c>
      <c r="D17" s="117" t="s">
        <v>516</v>
      </c>
      <c r="E17" s="117" t="s">
        <v>609</v>
      </c>
      <c r="F17" s="117" t="s">
        <v>623</v>
      </c>
      <c r="G17" s="86" t="s">
        <v>26</v>
      </c>
      <c r="H17" s="117"/>
      <c r="I17" s="117"/>
      <c r="J17" s="34" t="s">
        <v>458</v>
      </c>
      <c r="K17" s="34" t="s">
        <v>458</v>
      </c>
      <c r="L17" s="34" t="s">
        <v>450</v>
      </c>
      <c r="M17" s="34" t="s">
        <v>832</v>
      </c>
      <c r="N17" s="34" t="s">
        <v>83</v>
      </c>
      <c r="O17" s="111">
        <v>0.5</v>
      </c>
      <c r="P17" s="111">
        <v>40.22</v>
      </c>
      <c r="Q17" s="112"/>
      <c r="R17" s="112"/>
      <c r="S17" s="113">
        <f t="shared" si="8"/>
        <v>2.7355220910785013E-2</v>
      </c>
      <c r="T17" s="113">
        <f t="shared" si="9"/>
        <v>2.5985951224069052E-2</v>
      </c>
      <c r="U17" s="114">
        <f t="shared" si="10"/>
        <v>5.44217766129136E-2</v>
      </c>
      <c r="V17" s="114">
        <f t="shared" si="11"/>
        <v>5.1707257326592759E-2</v>
      </c>
      <c r="W17" s="115">
        <f t="shared" si="12"/>
        <v>7.0715456557602557E-2</v>
      </c>
      <c r="X17" s="115">
        <f t="shared" si="13"/>
        <v>6.7160424343426006E-2</v>
      </c>
      <c r="Y17" s="1"/>
      <c r="Z17" s="1"/>
      <c r="AA17" s="1"/>
      <c r="AB17" s="1">
        <v>1</v>
      </c>
      <c r="AC17" s="18"/>
      <c r="AD17" s="11">
        <v>0</v>
      </c>
      <c r="AE17" s="18">
        <v>119526.502611866</v>
      </c>
      <c r="AF17" s="11">
        <v>4807355.9350492507</v>
      </c>
      <c r="AG17" s="18">
        <v>208071.493233713</v>
      </c>
      <c r="AH17" s="11">
        <v>8368635.4578599371</v>
      </c>
      <c r="AI17" s="18">
        <v>249960.80737118499</v>
      </c>
      <c r="AJ17" s="11">
        <v>10053423.672469059</v>
      </c>
    </row>
    <row r="18" spans="1:36" x14ac:dyDescent="0.2">
      <c r="A18" s="1"/>
      <c r="B18" s="1"/>
      <c r="C18" s="86" t="s">
        <v>786</v>
      </c>
      <c r="D18" s="86" t="s">
        <v>517</v>
      </c>
      <c r="E18" s="86" t="s">
        <v>621</v>
      </c>
      <c r="F18" s="117" t="s">
        <v>552</v>
      </c>
      <c r="G18" s="86" t="s">
        <v>26</v>
      </c>
      <c r="H18" s="86"/>
      <c r="I18" s="86"/>
      <c r="J18" s="34" t="s">
        <v>458</v>
      </c>
      <c r="K18" s="34" t="s">
        <v>458</v>
      </c>
      <c r="L18" s="34" t="s">
        <v>464</v>
      </c>
      <c r="M18" s="34" t="s">
        <v>777</v>
      </c>
      <c r="N18" s="34" t="s">
        <v>83</v>
      </c>
      <c r="O18" s="111">
        <v>0.1</v>
      </c>
      <c r="P18" s="111">
        <v>2.9235000000000002</v>
      </c>
      <c r="Q18" s="112"/>
      <c r="R18" s="112"/>
      <c r="S18" s="113">
        <f t="shared" si="8"/>
        <v>1.1136802433614423E-2</v>
      </c>
      <c r="T18" s="113">
        <f t="shared" si="9"/>
        <v>1.0579348116976804E-2</v>
      </c>
      <c r="U18" s="114">
        <f t="shared" si="10"/>
        <v>2.2197652706987776E-2</v>
      </c>
      <c r="V18" s="114">
        <f t="shared" si="11"/>
        <v>2.1090449669263493E-2</v>
      </c>
      <c r="W18" s="115">
        <f t="shared" si="12"/>
        <v>2.8858800218491614E-2</v>
      </c>
      <c r="X18" s="115">
        <f t="shared" si="13"/>
        <v>2.7408000500389627E-2</v>
      </c>
      <c r="Y18" s="1"/>
      <c r="Z18" s="1"/>
      <c r="AA18" s="1"/>
      <c r="AB18" s="1">
        <v>1</v>
      </c>
      <c r="AC18" s="18"/>
      <c r="AD18" s="11">
        <v>0</v>
      </c>
      <c r="AE18" s="18">
        <v>669458.205738066</v>
      </c>
      <c r="AF18" s="11">
        <v>1957161.064475236</v>
      </c>
      <c r="AG18" s="18">
        <v>1167577.9618371001</v>
      </c>
      <c r="AH18" s="11">
        <v>3413414.1714307624</v>
      </c>
      <c r="AI18" s="18">
        <v>1403378.4680854401</v>
      </c>
      <c r="AJ18" s="11">
        <v>4102776.9514477844</v>
      </c>
    </row>
    <row r="19" spans="1:36" x14ac:dyDescent="0.2">
      <c r="A19" s="1"/>
      <c r="B19" s="1"/>
      <c r="C19" s="86" t="s">
        <v>835</v>
      </c>
      <c r="D19" s="117" t="s">
        <v>518</v>
      </c>
      <c r="E19" s="117" t="s">
        <v>622</v>
      </c>
      <c r="F19" s="117" t="s">
        <v>61</v>
      </c>
      <c r="G19" s="86" t="s">
        <v>26</v>
      </c>
      <c r="H19" s="117"/>
      <c r="I19" s="117"/>
      <c r="J19" s="34" t="s">
        <v>458</v>
      </c>
      <c r="K19" s="34" t="s">
        <v>458</v>
      </c>
      <c r="L19" s="34" t="s">
        <v>1403</v>
      </c>
      <c r="M19" s="34" t="s">
        <v>831</v>
      </c>
      <c r="N19" s="34" t="s">
        <v>83</v>
      </c>
      <c r="O19" s="111">
        <v>0.25</v>
      </c>
      <c r="P19" s="111">
        <v>15.164</v>
      </c>
      <c r="Q19" s="112"/>
      <c r="R19" s="112"/>
      <c r="S19" s="113">
        <f t="shared" si="8"/>
        <v>5.2619501083461209E-2</v>
      </c>
      <c r="T19" s="113">
        <f t="shared" si="9"/>
        <v>4.9985624062373259E-2</v>
      </c>
      <c r="U19" s="114">
        <f t="shared" si="10"/>
        <v>0.10497852772619864</v>
      </c>
      <c r="V19" s="114">
        <f t="shared" si="11"/>
        <v>9.974227386059599E-2</v>
      </c>
      <c r="W19" s="115">
        <f t="shared" si="12"/>
        <v>0.1361826849006314</v>
      </c>
      <c r="X19" s="115">
        <f t="shared" si="13"/>
        <v>0.12933646124031409</v>
      </c>
      <c r="Y19" s="1"/>
      <c r="Z19" s="1"/>
      <c r="AA19" s="1"/>
      <c r="AB19" s="1">
        <v>1</v>
      </c>
      <c r="AC19" s="18"/>
      <c r="AD19" s="11">
        <v>0</v>
      </c>
      <c r="AE19" s="18">
        <v>609816.26296127902</v>
      </c>
      <c r="AF19" s="11">
        <v>9247253.8115448356</v>
      </c>
      <c r="AG19" s="18">
        <v>1064556.3057941999</v>
      </c>
      <c r="AH19" s="11">
        <v>16142931.821063247</v>
      </c>
      <c r="AI19" s="18">
        <v>1276755.5425698401</v>
      </c>
      <c r="AJ19" s="11">
        <v>19360721.047529057</v>
      </c>
    </row>
    <row r="20" spans="1:36" x14ac:dyDescent="0.2">
      <c r="A20" s="1"/>
      <c r="B20" s="1"/>
      <c r="C20" s="86" t="s">
        <v>836</v>
      </c>
      <c r="D20" s="118" t="s">
        <v>83</v>
      </c>
      <c r="E20" s="118"/>
      <c r="F20" s="118"/>
      <c r="G20" s="118"/>
      <c r="H20" s="118"/>
      <c r="I20" s="118"/>
      <c r="J20" s="34" t="s">
        <v>80</v>
      </c>
      <c r="K20" s="34"/>
      <c r="L20" s="34"/>
      <c r="M20" s="34"/>
      <c r="N20" s="34" t="s">
        <v>83</v>
      </c>
      <c r="O20" s="111"/>
      <c r="P20" s="111">
        <v>1</v>
      </c>
      <c r="Q20" s="112">
        <f>AD20/AD21</f>
        <v>5.0695797942262632E-3</v>
      </c>
      <c r="R20" s="112">
        <f>R36</f>
        <v>5.475E-2</v>
      </c>
      <c r="S20" s="113">
        <f t="shared" si="8"/>
        <v>4.9422342496572291E-3</v>
      </c>
      <c r="T20" s="113">
        <f>T36</f>
        <v>5.475E-2</v>
      </c>
      <c r="U20" s="114">
        <f t="shared" si="10"/>
        <v>5.1264173917004441E-3</v>
      </c>
      <c r="V20" s="114">
        <f>V36</f>
        <v>5.475E-2</v>
      </c>
      <c r="W20" s="115">
        <f t="shared" si="12"/>
        <v>4.714666940355384E-3</v>
      </c>
      <c r="X20" s="115">
        <f>X36</f>
        <v>5.475E-2</v>
      </c>
      <c r="Y20" s="1"/>
      <c r="Z20" s="1"/>
      <c r="AA20" s="1"/>
      <c r="AB20" s="1">
        <v>1</v>
      </c>
      <c r="AC20" s="18">
        <v>1011433.2731158</v>
      </c>
      <c r="AD20" s="11">
        <v>1011433.2731158</v>
      </c>
      <c r="AE20" s="18">
        <v>868539.10739672196</v>
      </c>
      <c r="AF20" s="11">
        <v>868539.10739672196</v>
      </c>
      <c r="AG20" s="18">
        <v>788307.93527961196</v>
      </c>
      <c r="AH20" s="11">
        <v>788307.93527961196</v>
      </c>
      <c r="AI20" s="18">
        <v>670271.345662129</v>
      </c>
      <c r="AJ20" s="11">
        <v>670271.345662129</v>
      </c>
    </row>
    <row r="21" spans="1:36" x14ac:dyDescent="0.2">
      <c r="A21" s="1"/>
      <c r="B21" s="1"/>
      <c r="C21" s="119"/>
      <c r="D21" s="120"/>
      <c r="E21" s="120"/>
      <c r="F21" s="120"/>
      <c r="G21" s="120"/>
      <c r="H21" s="120"/>
      <c r="I21" s="120"/>
      <c r="J21" s="77"/>
      <c r="K21" s="77"/>
      <c r="L21" s="77"/>
      <c r="M21" s="77"/>
      <c r="N21" s="77"/>
      <c r="O21" s="121" t="s">
        <v>81</v>
      </c>
      <c r="P21" s="121"/>
      <c r="Q21" s="107">
        <f t="shared" ref="Q21:X21" si="14">SUM(Q4:Q20)</f>
        <v>1</v>
      </c>
      <c r="R21" s="107">
        <f t="shared" si="14"/>
        <v>1</v>
      </c>
      <c r="S21" s="108">
        <f t="shared" si="14"/>
        <v>0.99999999999999989</v>
      </c>
      <c r="T21" s="108">
        <f t="shared" si="14"/>
        <v>0.99999999999999989</v>
      </c>
      <c r="U21" s="109">
        <f t="shared" si="14"/>
        <v>1</v>
      </c>
      <c r="V21" s="109">
        <f t="shared" si="14"/>
        <v>1.0000000000000002</v>
      </c>
      <c r="W21" s="110">
        <f t="shared" si="14"/>
        <v>1.0000000000000002</v>
      </c>
      <c r="X21" s="110">
        <f t="shared" si="14"/>
        <v>0.99999999999999989</v>
      </c>
      <c r="Y21" s="1"/>
      <c r="Z21" s="1"/>
      <c r="AA21" s="1"/>
      <c r="AB21" s="1"/>
      <c r="AC21" s="5"/>
      <c r="AD21" s="24">
        <v>199510277.80797923</v>
      </c>
      <c r="AE21" s="5"/>
      <c r="AF21" s="24">
        <v>175738150.70723528</v>
      </c>
      <c r="AG21" s="5"/>
      <c r="AH21" s="24">
        <v>153773654.2006636</v>
      </c>
      <c r="AI21" s="5"/>
      <c r="AJ21" s="24">
        <v>142167273.77387235</v>
      </c>
    </row>
    <row r="22" spans="1:36" x14ac:dyDescent="0.2">
      <c r="A22" s="1"/>
      <c r="B22" s="1"/>
      <c r="C22" s="119"/>
      <c r="D22" s="120"/>
      <c r="E22" s="120"/>
      <c r="F22" s="120"/>
      <c r="G22" s="120"/>
      <c r="H22" s="120"/>
      <c r="I22" s="120"/>
      <c r="J22" s="77"/>
      <c r="K22" s="77"/>
      <c r="L22" s="77"/>
      <c r="M22" s="77"/>
      <c r="N22" s="77"/>
      <c r="O22" s="122" t="s">
        <v>470</v>
      </c>
      <c r="P22" s="122"/>
      <c r="Q22" s="112">
        <f>SUMIF($J$4:$J$20,$O22,Q$4:Q$20)</f>
        <v>0.99493042020577382</v>
      </c>
      <c r="R22" s="112"/>
      <c r="S22" s="113">
        <f>SUMIF($J$4:$J$20,$O22,S$4:S$20)</f>
        <v>0.72006641027341511</v>
      </c>
      <c r="T22" s="113"/>
      <c r="U22" s="114">
        <f>SUMIF($J$4:$J$20,$O22,U$4:U$20)</f>
        <v>0.47830876056963673</v>
      </c>
      <c r="V22" s="114"/>
      <c r="W22" s="115">
        <f>SUMIF($J$4:$J$20,$O22,W$4:W$20)</f>
        <v>0.3342804752469748</v>
      </c>
      <c r="X22" s="115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2">
      <c r="A23" s="1"/>
      <c r="B23" s="1"/>
      <c r="C23" s="119"/>
      <c r="D23" s="120"/>
      <c r="E23" s="120"/>
      <c r="F23" s="120"/>
      <c r="G23" s="120"/>
      <c r="H23" s="120"/>
      <c r="I23" s="120"/>
      <c r="J23" s="77"/>
      <c r="K23" s="77"/>
      <c r="L23" s="77"/>
      <c r="M23" s="77"/>
      <c r="N23" s="77"/>
      <c r="O23" s="123" t="s">
        <v>453</v>
      </c>
      <c r="P23" s="123"/>
      <c r="Q23" s="112">
        <f>SUMIF($K$4:$K$20,$O23,Q$4:Q$20)</f>
        <v>0.50359889410918446</v>
      </c>
      <c r="R23" s="112"/>
      <c r="S23" s="113">
        <f>SUMIF($K$4:$K$20,$O23,S$4:S$20)</f>
        <v>0.36446519307825009</v>
      </c>
      <c r="T23" s="113"/>
      <c r="U23" s="114">
        <f>SUMIF($K$4:$K$20,$O23,U$4:U$20)</f>
        <v>0.24211565426376969</v>
      </c>
      <c r="V23" s="114"/>
      <c r="W23" s="115">
        <f>SUMIF($K$4:$K$20,$O23,W$4:W$20)</f>
        <v>0.16920393092186742</v>
      </c>
      <c r="X23" s="115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2">
      <c r="A24" s="1"/>
      <c r="B24" s="1"/>
      <c r="C24" s="119"/>
      <c r="D24" s="120"/>
      <c r="E24" s="120"/>
      <c r="F24" s="120"/>
      <c r="G24" s="120"/>
      <c r="H24" s="120"/>
      <c r="I24" s="120"/>
      <c r="J24" s="77"/>
      <c r="K24" s="77"/>
      <c r="L24" s="77"/>
      <c r="M24" s="77"/>
      <c r="N24" s="77"/>
      <c r="O24" s="123" t="s">
        <v>443</v>
      </c>
      <c r="P24" s="123"/>
      <c r="Q24" s="112">
        <f>SUMIF($K$4:$K$20,$O24,Q$4:Q$20)</f>
        <v>0.3693748338181414</v>
      </c>
      <c r="R24" s="112"/>
      <c r="S24" s="113">
        <f>SUMIF($K$4:$K$20,$O24,S$4:S$20)</f>
        <v>0.26734121747806605</v>
      </c>
      <c r="T24" s="113"/>
      <c r="U24" s="114">
        <f>SUMIF($K$4:$K$20,$O24,U$4:U$20)</f>
        <v>0.17755374869499604</v>
      </c>
      <c r="V24" s="114"/>
      <c r="W24" s="115">
        <f>SUMIF($K$4:$K$20,$O24,W$4:W$20)</f>
        <v>0.12405275669067538</v>
      </c>
      <c r="X24" s="115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2">
      <c r="A25" s="1"/>
      <c r="B25" s="1"/>
      <c r="C25" s="119"/>
      <c r="D25" s="120"/>
      <c r="E25" s="120"/>
      <c r="F25" s="120"/>
      <c r="G25" s="120"/>
      <c r="H25" s="120"/>
      <c r="I25" s="120"/>
      <c r="J25" s="77"/>
      <c r="K25" s="77"/>
      <c r="L25" s="77"/>
      <c r="M25" s="77"/>
      <c r="N25" s="77"/>
      <c r="O25" s="123" t="s">
        <v>446</v>
      </c>
      <c r="P25" s="123"/>
      <c r="Q25" s="112">
        <f>SUMIF($K$4:$K$20,$O25,Q$4:Q$20)</f>
        <v>0.12195669227844778</v>
      </c>
      <c r="R25" s="112"/>
      <c r="S25" s="113">
        <f>SUMIF($K$4:$K$20,$O25,S$4:S$20)</f>
        <v>0.11990279060082368</v>
      </c>
      <c r="T25" s="113"/>
      <c r="U25" s="114">
        <f>SUMIF($K$4:$K$20,$O25,U$4:U$20)</f>
        <v>9.017424776016128E-2</v>
      </c>
      <c r="V25" s="114"/>
      <c r="W25" s="115">
        <f>SUMIF($K$4:$K$20,$O25,W$4:W$20)</f>
        <v>7.2494074039474915E-2</v>
      </c>
      <c r="X25" s="115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2">
      <c r="A26" s="1"/>
      <c r="B26" s="1"/>
      <c r="C26" s="119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124" t="s">
        <v>447</v>
      </c>
      <c r="P26" s="124"/>
      <c r="Q26" s="112">
        <f>SUMIF($J$4:$J$20,$O26,Q$4:Q$20)</f>
        <v>0</v>
      </c>
      <c r="R26" s="112"/>
      <c r="S26" s="113">
        <f>SUMIF($J$4:$J$20,$O26,S$4:S$20)</f>
        <v>3.1642790883724674E-2</v>
      </c>
      <c r="T26" s="113"/>
      <c r="U26" s="114">
        <f>SUMIF($J$4:$J$20,$O26,U$4:U$20)</f>
        <v>3.1534890149290291E-2</v>
      </c>
      <c r="V26" s="114"/>
      <c r="W26" s="115">
        <f>SUMIF($J$4:$J$20,$O26,W$4:W$20)</f>
        <v>3.1470286405042902E-2</v>
      </c>
      <c r="X26" s="115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2">
      <c r="A27" s="1"/>
      <c r="B27" s="1"/>
      <c r="C27" s="119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122" t="s">
        <v>458</v>
      </c>
      <c r="P27" s="122"/>
      <c r="Q27" s="112">
        <f>SUMIF($J$4:$J$20,$O27,Q$4:Q$20)</f>
        <v>0</v>
      </c>
      <c r="R27" s="112"/>
      <c r="S27" s="113">
        <f>SUMIF($J$4:$J$20,$O27,S$4:S$20)</f>
        <v>0.24334856459320275</v>
      </c>
      <c r="T27" s="113"/>
      <c r="U27" s="114">
        <f>SUMIF($J$4:$J$20,$O27,U$4:U$20)</f>
        <v>0.4850299318893726</v>
      </c>
      <c r="V27" s="114"/>
      <c r="W27" s="115">
        <f>SUMIF($J$4:$J$20,$O27,W$4:W$20)</f>
        <v>0.62953457140762703</v>
      </c>
      <c r="X27" s="115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2">
      <c r="A28" s="1"/>
      <c r="B28" s="1"/>
      <c r="C28" s="119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122" t="s">
        <v>80</v>
      </c>
      <c r="P28" s="122"/>
      <c r="Q28" s="112">
        <f>Q20</f>
        <v>5.0695797942262632E-3</v>
      </c>
      <c r="R28" s="112"/>
      <c r="S28" s="113">
        <f t="shared" ref="S28:W28" si="15">S20</f>
        <v>4.9422342496572291E-3</v>
      </c>
      <c r="T28" s="113"/>
      <c r="U28" s="114">
        <f t="shared" si="15"/>
        <v>5.1264173917004441E-3</v>
      </c>
      <c r="V28" s="114"/>
      <c r="W28" s="115">
        <f t="shared" si="15"/>
        <v>4.714666940355384E-3</v>
      </c>
      <c r="X28" s="115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2">
      <c r="A29" s="1"/>
      <c r="B29" s="1"/>
      <c r="C29" s="119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122"/>
      <c r="P29" s="122"/>
      <c r="Q29" s="112"/>
      <c r="R29" s="112"/>
      <c r="S29" s="113"/>
      <c r="T29" s="113"/>
      <c r="U29" s="114"/>
      <c r="V29" s="114"/>
      <c r="W29" s="115"/>
      <c r="X29" s="115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2">
      <c r="A30" s="1"/>
      <c r="B30" s="1"/>
      <c r="C30" s="119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121" t="s">
        <v>437</v>
      </c>
      <c r="P30" s="121"/>
      <c r="Q30" s="125">
        <f>SUMPRODUCT(Q4:Q20,$O4:$O20)/Q21</f>
        <v>0.1915323817502583</v>
      </c>
      <c r="R30" s="125"/>
      <c r="S30" s="126">
        <f>SUMPRODUCT(S4:S20,$O4:$O20)/S21</f>
        <v>0.20155090386358129</v>
      </c>
      <c r="T30" s="126"/>
      <c r="U30" s="127">
        <f>SUMPRODUCT(U4:U20,$O4:$O20)/U21</f>
        <v>0.20645522572509253</v>
      </c>
      <c r="V30" s="127"/>
      <c r="W30" s="128">
        <f>SUMPRODUCT(W4:W20,$O4:$O20)/W21</f>
        <v>0.20951453419107369</v>
      </c>
      <c r="X30" s="128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15" thickBo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29" t="s">
        <v>86</v>
      </c>
      <c r="R32" s="130">
        <v>100000</v>
      </c>
      <c r="S32" s="129" t="s">
        <v>86</v>
      </c>
      <c r="T32" s="130">
        <v>100000</v>
      </c>
      <c r="U32" s="129" t="s">
        <v>86</v>
      </c>
      <c r="V32" s="130">
        <v>100000</v>
      </c>
      <c r="W32" s="129" t="s">
        <v>86</v>
      </c>
      <c r="X32" s="130">
        <v>100000</v>
      </c>
      <c r="Y32" s="1"/>
      <c r="Z32" s="13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32" t="s">
        <v>85</v>
      </c>
      <c r="R33" s="133">
        <v>5000</v>
      </c>
      <c r="S33" s="132" t="s">
        <v>85</v>
      </c>
      <c r="T33" s="133">
        <v>5000</v>
      </c>
      <c r="U33" s="132" t="s">
        <v>85</v>
      </c>
      <c r="V33" s="133">
        <v>5000</v>
      </c>
      <c r="W33" s="132" t="s">
        <v>85</v>
      </c>
      <c r="X33" s="133">
        <v>5000</v>
      </c>
      <c r="Y33" s="1"/>
      <c r="Z33" s="13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32" t="s">
        <v>88</v>
      </c>
      <c r="R34" s="134">
        <f>(R32-R33)*0.5%</f>
        <v>475</v>
      </c>
      <c r="S34" s="132" t="s">
        <v>88</v>
      </c>
      <c r="T34" s="134">
        <f>(T32-T33)*0.5%</f>
        <v>475</v>
      </c>
      <c r="U34" s="132" t="s">
        <v>88</v>
      </c>
      <c r="V34" s="134">
        <f>(V32-V33)*0.5%</f>
        <v>475</v>
      </c>
      <c r="W34" s="132" t="s">
        <v>88</v>
      </c>
      <c r="X34" s="134">
        <f>(X32-X33)*0.5%</f>
        <v>475</v>
      </c>
      <c r="Y34" s="1"/>
      <c r="Z34" s="135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32" t="s">
        <v>87</v>
      </c>
      <c r="R35" s="134">
        <f>R33+R34</f>
        <v>5475</v>
      </c>
      <c r="S35" s="132" t="s">
        <v>87</v>
      </c>
      <c r="T35" s="134">
        <f>T33+T34</f>
        <v>5475</v>
      </c>
      <c r="U35" s="132" t="s">
        <v>87</v>
      </c>
      <c r="V35" s="134">
        <f>V33+V34</f>
        <v>5475</v>
      </c>
      <c r="W35" s="132" t="s">
        <v>87</v>
      </c>
      <c r="X35" s="134">
        <f>X33+X34</f>
        <v>5475</v>
      </c>
      <c r="Y35" s="1"/>
      <c r="Z35" s="135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5" thickBo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36" t="s">
        <v>89</v>
      </c>
      <c r="R36" s="137">
        <f>R35/R32</f>
        <v>5.475E-2</v>
      </c>
      <c r="S36" s="136" t="s">
        <v>89</v>
      </c>
      <c r="T36" s="137">
        <f>T35/T32</f>
        <v>5.475E-2</v>
      </c>
      <c r="U36" s="136" t="s">
        <v>89</v>
      </c>
      <c r="V36" s="137">
        <f>V35/V32</f>
        <v>5.475E-2</v>
      </c>
      <c r="W36" s="136" t="s">
        <v>89</v>
      </c>
      <c r="X36" s="137">
        <f>X35/X32</f>
        <v>5.475E-2</v>
      </c>
      <c r="Y36" s="1"/>
      <c r="Z36" s="138"/>
      <c r="AA36" s="1"/>
      <c r="AB36" s="1"/>
      <c r="AC36" s="1"/>
      <c r="AD36" s="1"/>
      <c r="AE36" s="1"/>
      <c r="AF36" s="1"/>
      <c r="AG36" s="1"/>
      <c r="AH36" s="1"/>
      <c r="AI36" s="1"/>
      <c r="AJ36" s="1"/>
    </row>
  </sheetData>
  <conditionalFormatting sqref="A2">
    <cfRule type="cellIs" dxfId="90" priority="1" operator="lessThan">
      <formula>TODAY()-14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ExportEURGlobalEquityETFToCSV">
                <anchor moveWithCells="1" sizeWithCells="1">
                  <from>
                    <xdr:col>16</xdr:col>
                    <xdr:colOff>1600200</xdr:colOff>
                    <xdr:row>34</xdr:row>
                    <xdr:rowOff>171450</xdr:rowOff>
                  </from>
                  <to>
                    <xdr:col>16</xdr:col>
                    <xdr:colOff>2114550</xdr:colOff>
                    <xdr:row>36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ExportEURGlobalBalancedETFToCSV">
                <anchor moveWithCells="1" sizeWithCells="1">
                  <from>
                    <xdr:col>18</xdr:col>
                    <xdr:colOff>1476375</xdr:colOff>
                    <xdr:row>35</xdr:row>
                    <xdr:rowOff>9525</xdr:rowOff>
                  </from>
                  <to>
                    <xdr:col>18</xdr:col>
                    <xdr:colOff>1990725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Button 3">
              <controlPr defaultSize="0" print="0" autoFill="0" autoPict="0" macro="[0]!ExportEURGlobalModerateETFToCSV">
                <anchor moveWithCells="1" sizeWithCells="1">
                  <from>
                    <xdr:col>20</xdr:col>
                    <xdr:colOff>1562100</xdr:colOff>
                    <xdr:row>34</xdr:row>
                    <xdr:rowOff>142875</xdr:rowOff>
                  </from>
                  <to>
                    <xdr:col>20</xdr:col>
                    <xdr:colOff>2076450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Button 4">
              <controlPr defaultSize="0" print="0" autoFill="0" autoPict="0" macro="[0]!ExportEURGlobalConservativeETFToCSV">
                <anchor moveWithCells="1" sizeWithCells="1">
                  <from>
                    <xdr:col>22</xdr:col>
                    <xdr:colOff>1543050</xdr:colOff>
                    <xdr:row>35</xdr:row>
                    <xdr:rowOff>19050</xdr:rowOff>
                  </from>
                  <to>
                    <xdr:col>22</xdr:col>
                    <xdr:colOff>2057400</xdr:colOff>
                    <xdr:row>36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E3FB1-E0B7-4772-8B75-61DC4E08DA90}">
  <sheetPr codeName="Sheet12"/>
  <dimension ref="A1:AJ34"/>
  <sheetViews>
    <sheetView topLeftCell="H1" zoomScaleNormal="100" workbookViewId="0">
      <selection activeCell="Q1" sqref="Q1:Z34"/>
    </sheetView>
  </sheetViews>
  <sheetFormatPr defaultRowHeight="14.25" x14ac:dyDescent="0.2"/>
  <cols>
    <col min="1" max="1" width="11" bestFit="1" customWidth="1"/>
    <col min="3" max="3" width="49.5" bestFit="1" customWidth="1"/>
    <col min="4" max="4" width="9.8984375" bestFit="1" customWidth="1"/>
    <col min="5" max="5" width="8.19921875" bestFit="1" customWidth="1"/>
    <col min="6" max="6" width="9.8984375" bestFit="1" customWidth="1"/>
    <col min="7" max="7" width="11.09765625" bestFit="1" customWidth="1"/>
    <col min="8" max="8" width="9.5" bestFit="1" customWidth="1"/>
    <col min="9" max="9" width="13.3984375" bestFit="1" customWidth="1"/>
    <col min="10" max="11" width="10.3984375" bestFit="1" customWidth="1"/>
    <col min="12" max="12" width="10" bestFit="1" customWidth="1"/>
    <col min="13" max="13" width="8.09765625" bestFit="1" customWidth="1"/>
    <col min="14" max="14" width="4.19921875" bestFit="1" customWidth="1"/>
    <col min="15" max="15" width="10.3984375" bestFit="1" customWidth="1"/>
    <col min="16" max="16" width="5.796875" bestFit="1" customWidth="1"/>
    <col min="17" max="17" width="24" bestFit="1" customWidth="1"/>
    <col min="18" max="18" width="8" bestFit="1" customWidth="1"/>
    <col min="19" max="19" width="24" bestFit="1" customWidth="1"/>
    <col min="20" max="20" width="8" bestFit="1" customWidth="1"/>
    <col min="21" max="21" width="24" bestFit="1" customWidth="1"/>
    <col min="22" max="22" width="8" bestFit="1" customWidth="1"/>
    <col min="23" max="23" width="24" bestFit="1" customWidth="1"/>
    <col min="24" max="24" width="8" bestFit="1" customWidth="1"/>
    <col min="26" max="26" width="8.296875" bestFit="1" customWidth="1"/>
    <col min="27" max="27" width="11" bestFit="1" customWidth="1"/>
    <col min="28" max="28" width="8.19921875" bestFit="1" customWidth="1"/>
    <col min="29" max="29" width="11.3984375" bestFit="1" customWidth="1"/>
    <col min="30" max="30" width="11.5" bestFit="1" customWidth="1"/>
    <col min="31" max="31" width="10.296875" bestFit="1" customWidth="1"/>
    <col min="32" max="32" width="11.5" bestFit="1" customWidth="1"/>
    <col min="33" max="33" width="10.296875" bestFit="1" customWidth="1"/>
    <col min="34" max="34" width="11.5" bestFit="1" customWidth="1"/>
    <col min="35" max="35" width="11.8984375" bestFit="1" customWidth="1"/>
    <col min="36" max="36" width="11.5" bestFit="1" customWidth="1"/>
  </cols>
  <sheetData>
    <row r="1" spans="1:36" x14ac:dyDescent="0.2">
      <c r="A1" s="76" t="s">
        <v>0</v>
      </c>
      <c r="B1" s="1"/>
      <c r="C1" s="95" t="s">
        <v>519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6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">
      <c r="A2" s="85">
        <v>45565</v>
      </c>
      <c r="B2" s="1"/>
      <c r="C2" s="97" t="s">
        <v>5</v>
      </c>
      <c r="D2" s="98" t="s">
        <v>91</v>
      </c>
      <c r="E2" s="98" t="s">
        <v>533</v>
      </c>
      <c r="F2" s="98" t="s">
        <v>534</v>
      </c>
      <c r="G2" s="98" t="s">
        <v>535</v>
      </c>
      <c r="H2" s="98" t="s">
        <v>555</v>
      </c>
      <c r="I2" s="98" t="s">
        <v>556</v>
      </c>
      <c r="J2" s="98" t="s">
        <v>434</v>
      </c>
      <c r="K2" s="98" t="s">
        <v>435</v>
      </c>
      <c r="L2" s="98" t="s">
        <v>436</v>
      </c>
      <c r="M2" s="98" t="s">
        <v>9</v>
      </c>
      <c r="N2" s="98" t="s">
        <v>13</v>
      </c>
      <c r="O2" s="98" t="s">
        <v>437</v>
      </c>
      <c r="P2" s="98" t="s">
        <v>554</v>
      </c>
      <c r="Q2" s="99" t="s">
        <v>470</v>
      </c>
      <c r="R2" s="99" t="s">
        <v>536</v>
      </c>
      <c r="S2" s="100" t="s">
        <v>500</v>
      </c>
      <c r="T2" s="100" t="s">
        <v>537</v>
      </c>
      <c r="U2" s="101" t="s">
        <v>501</v>
      </c>
      <c r="V2" s="101" t="s">
        <v>538</v>
      </c>
      <c r="W2" s="102" t="s">
        <v>502</v>
      </c>
      <c r="X2" s="102" t="s">
        <v>539</v>
      </c>
      <c r="Y2" s="1"/>
      <c r="Z2" s="1"/>
      <c r="AA2" s="1"/>
      <c r="AB2" s="1"/>
      <c r="AC2" s="163" t="s">
        <v>470</v>
      </c>
      <c r="AD2" s="163"/>
      <c r="AE2" s="164" t="s">
        <v>500</v>
      </c>
      <c r="AF2" s="164"/>
      <c r="AG2" s="165" t="s">
        <v>501</v>
      </c>
      <c r="AH2" s="165"/>
      <c r="AI2" s="166" t="s">
        <v>502</v>
      </c>
      <c r="AJ2" s="166"/>
    </row>
    <row r="3" spans="1:36" x14ac:dyDescent="0.2">
      <c r="A3" s="1"/>
      <c r="B3" s="1"/>
      <c r="C3" s="106" t="s">
        <v>16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07"/>
      <c r="R3" s="107"/>
      <c r="S3" s="108"/>
      <c r="T3" s="108"/>
      <c r="U3" s="109"/>
      <c r="V3" s="109"/>
      <c r="W3" s="110"/>
      <c r="X3" s="110"/>
      <c r="Y3" s="1"/>
      <c r="Z3" s="1"/>
      <c r="AA3" s="1"/>
      <c r="AB3" s="13" t="s">
        <v>530</v>
      </c>
      <c r="AC3" s="14" t="s">
        <v>18</v>
      </c>
      <c r="AD3" s="15" t="s">
        <v>19</v>
      </c>
      <c r="AE3" s="14" t="s">
        <v>18</v>
      </c>
      <c r="AF3" s="15" t="s">
        <v>19</v>
      </c>
      <c r="AG3" s="14" t="s">
        <v>18</v>
      </c>
      <c r="AH3" s="15" t="s">
        <v>19</v>
      </c>
      <c r="AI3" s="14" t="s">
        <v>18</v>
      </c>
      <c r="AJ3" s="15" t="s">
        <v>19</v>
      </c>
    </row>
    <row r="4" spans="1:36" x14ac:dyDescent="0.2">
      <c r="A4" s="1"/>
      <c r="B4" s="1"/>
      <c r="C4" s="86" t="s">
        <v>840</v>
      </c>
      <c r="D4" s="86" t="s">
        <v>522</v>
      </c>
      <c r="E4" s="86" t="s">
        <v>689</v>
      </c>
      <c r="F4" s="86" t="s">
        <v>323</v>
      </c>
      <c r="G4" s="86" t="s">
        <v>26</v>
      </c>
      <c r="H4" s="86"/>
      <c r="I4" s="86"/>
      <c r="J4" s="34" t="s">
        <v>470</v>
      </c>
      <c r="K4" s="34" t="s">
        <v>453</v>
      </c>
      <c r="L4" s="34" t="s">
        <v>444</v>
      </c>
      <c r="M4" s="34" t="s">
        <v>838</v>
      </c>
      <c r="N4" s="34" t="s">
        <v>431</v>
      </c>
      <c r="O4" s="111">
        <v>0.21</v>
      </c>
      <c r="P4" s="111">
        <v>120.71</v>
      </c>
      <c r="Q4" s="112">
        <f t="shared" ref="Q4:Q12" si="0">AD4/$AD$19</f>
        <v>0.37318077586691623</v>
      </c>
      <c r="R4" s="112">
        <f>Q4*(1-$R$34)/(1-$Q$18)</f>
        <v>0.35452841874229252</v>
      </c>
      <c r="S4" s="113">
        <f t="shared" ref="S4:S12" si="1">AF4/$AF$19</f>
        <v>0.2702988732358339</v>
      </c>
      <c r="T4" s="113">
        <f t="shared" ref="T4:T12" si="2">S4*(1-$T$34)/(1-$S$18)</f>
        <v>0.25652611481652854</v>
      </c>
      <c r="U4" s="114">
        <f t="shared" ref="U4:U12" si="3">AH4/$AH$19</f>
        <v>0.18002674065397276</v>
      </c>
      <c r="V4" s="114">
        <f t="shared" ref="V4:V12" si="4">U4*(1-$V$34)/(1-$U$18)</f>
        <v>0.17099828602606748</v>
      </c>
      <c r="W4" s="115">
        <f t="shared" ref="W4:W12" si="5">AJ4/$AJ$19</f>
        <v>0.12589001348746465</v>
      </c>
      <c r="X4" s="115">
        <f t="shared" ref="X4:X12" si="6">W4*(1-$X$34)/(1-$W$18)</f>
        <v>0.11957717726486276</v>
      </c>
      <c r="Y4" s="1"/>
      <c r="Z4" s="1"/>
      <c r="AA4" s="1"/>
      <c r="AB4" s="1">
        <v>1</v>
      </c>
      <c r="AC4" s="18">
        <v>1640771.48995733</v>
      </c>
      <c r="AD4" s="11">
        <v>198057526.55274931</v>
      </c>
      <c r="AE4" s="18">
        <v>528269.03195238195</v>
      </c>
      <c r="AF4" s="11">
        <v>63767354.846972018</v>
      </c>
      <c r="AG4" s="18">
        <v>289095.705563027</v>
      </c>
      <c r="AH4" s="11">
        <v>34896742.618512988</v>
      </c>
      <c r="AI4" s="18">
        <v>127779.681519836</v>
      </c>
      <c r="AJ4" s="11">
        <v>15424285.356259402</v>
      </c>
    </row>
    <row r="5" spans="1:36" x14ac:dyDescent="0.2">
      <c r="A5" s="1"/>
      <c r="B5" s="1"/>
      <c r="C5" s="86" t="s">
        <v>1292</v>
      </c>
      <c r="D5" s="86" t="s">
        <v>1287</v>
      </c>
      <c r="E5" s="86" t="s">
        <v>1291</v>
      </c>
      <c r="F5" s="86" t="s">
        <v>323</v>
      </c>
      <c r="G5" s="86" t="s">
        <v>26</v>
      </c>
      <c r="H5" s="86"/>
      <c r="I5" s="86"/>
      <c r="J5" s="34" t="s">
        <v>470</v>
      </c>
      <c r="K5" s="34" t="s">
        <v>453</v>
      </c>
      <c r="L5" s="34" t="s">
        <v>1284</v>
      </c>
      <c r="M5" s="34" t="s">
        <v>838</v>
      </c>
      <c r="N5" s="34" t="s">
        <v>431</v>
      </c>
      <c r="O5" s="111">
        <v>0.1</v>
      </c>
      <c r="P5" s="111">
        <v>62.5</v>
      </c>
      <c r="Q5" s="112">
        <f t="shared" si="0"/>
        <v>0.20023748821732973</v>
      </c>
      <c r="R5" s="112">
        <f t="shared" ref="R5:R12" si="7">Q5*(1-$R$34)/(1-$Q$18)</f>
        <v>0.19022919898728857</v>
      </c>
      <c r="S5" s="113">
        <f t="shared" si="1"/>
        <v>0.14562725556376432</v>
      </c>
      <c r="T5" s="113">
        <f t="shared" si="2"/>
        <v>0.13820699151998408</v>
      </c>
      <c r="U5" s="114">
        <f t="shared" si="3"/>
        <v>9.6596890010646128E-2</v>
      </c>
      <c r="V5" s="114">
        <f t="shared" si="4"/>
        <v>9.1752495030823847E-2</v>
      </c>
      <c r="W5" s="115">
        <f t="shared" si="5"/>
        <v>6.7551452652220567E-2</v>
      </c>
      <c r="X5" s="115">
        <f t="shared" si="6"/>
        <v>6.4164041328805502E-2</v>
      </c>
      <c r="Y5" s="1"/>
      <c r="Z5" s="1"/>
      <c r="AA5" s="1"/>
      <c r="AB5" s="1">
        <v>1</v>
      </c>
      <c r="AC5" s="18">
        <v>1700346.6075048901</v>
      </c>
      <c r="AD5" s="11">
        <v>106271662.96905562</v>
      </c>
      <c r="AE5" s="18">
        <v>549688.70686030795</v>
      </c>
      <c r="AF5" s="11">
        <v>34355544.178769246</v>
      </c>
      <c r="AG5" s="18">
        <v>299592.54241497599</v>
      </c>
      <c r="AH5" s="11">
        <v>18724533.900936</v>
      </c>
      <c r="AI5" s="18">
        <v>132424.53193209899</v>
      </c>
      <c r="AJ5" s="11">
        <v>8276533.2457561875</v>
      </c>
    </row>
    <row r="6" spans="1:36" x14ac:dyDescent="0.2">
      <c r="A6" s="1"/>
      <c r="B6" s="1"/>
      <c r="C6" s="86" t="s">
        <v>842</v>
      </c>
      <c r="D6" s="86" t="s">
        <v>524</v>
      </c>
      <c r="E6" s="86" t="s">
        <v>626</v>
      </c>
      <c r="F6" s="86" t="s">
        <v>323</v>
      </c>
      <c r="G6" s="86" t="s">
        <v>26</v>
      </c>
      <c r="H6" s="86"/>
      <c r="I6" s="86"/>
      <c r="J6" s="34" t="s">
        <v>470</v>
      </c>
      <c r="K6" s="34" t="s">
        <v>453</v>
      </c>
      <c r="L6" s="34" t="s">
        <v>450</v>
      </c>
      <c r="M6" s="34" t="s">
        <v>838</v>
      </c>
      <c r="N6" s="34" t="s">
        <v>431</v>
      </c>
      <c r="O6" s="111">
        <v>0.48</v>
      </c>
      <c r="P6" s="111">
        <v>87</v>
      </c>
      <c r="Q6" s="112">
        <f t="shared" si="0"/>
        <v>0.15732695298532523</v>
      </c>
      <c r="R6" s="112">
        <f t="shared" si="7"/>
        <v>0.14946342221905212</v>
      </c>
      <c r="S6" s="113">
        <f t="shared" si="1"/>
        <v>0.11363589955956241</v>
      </c>
      <c r="T6" s="113">
        <f t="shared" si="2"/>
        <v>0.10784571710834374</v>
      </c>
      <c r="U6" s="114">
        <f t="shared" si="3"/>
        <v>7.5896349422536785E-2</v>
      </c>
      <c r="V6" s="114">
        <f t="shared" si="4"/>
        <v>7.2090099613781516E-2</v>
      </c>
      <c r="W6" s="115">
        <f t="shared" si="5"/>
        <v>5.3075297288844976E-2</v>
      </c>
      <c r="X6" s="115">
        <f t="shared" si="6"/>
        <v>5.0413802147423394E-2</v>
      </c>
      <c r="Y6" s="1"/>
      <c r="Z6" s="1"/>
      <c r="AA6" s="1"/>
      <c r="AB6" s="1">
        <v>1</v>
      </c>
      <c r="AC6" s="18">
        <v>959745.23973657202</v>
      </c>
      <c r="AD6" s="11">
        <v>83497835.857081771</v>
      </c>
      <c r="AE6" s="18">
        <v>308141.69599688402</v>
      </c>
      <c r="AF6" s="11">
        <v>26808327.551728912</v>
      </c>
      <c r="AG6" s="18">
        <v>169102.29665778499</v>
      </c>
      <c r="AH6" s="11">
        <v>14711899.809227293</v>
      </c>
      <c r="AI6" s="18">
        <v>74745.827459658496</v>
      </c>
      <c r="AJ6" s="11">
        <v>6502886.9889902892</v>
      </c>
    </row>
    <row r="7" spans="1:36" x14ac:dyDescent="0.2">
      <c r="A7" s="1"/>
      <c r="B7" s="1"/>
      <c r="C7" s="86" t="s">
        <v>1293</v>
      </c>
      <c r="D7" s="86" t="s">
        <v>1288</v>
      </c>
      <c r="E7" s="86" t="s">
        <v>1264</v>
      </c>
      <c r="F7" s="86" t="s">
        <v>323</v>
      </c>
      <c r="G7" s="86" t="s">
        <v>26</v>
      </c>
      <c r="H7" s="86"/>
      <c r="I7" s="86"/>
      <c r="J7" s="34" t="s">
        <v>470</v>
      </c>
      <c r="K7" s="34" t="s">
        <v>453</v>
      </c>
      <c r="L7" s="34" t="s">
        <v>444</v>
      </c>
      <c r="M7" s="34" t="s">
        <v>838</v>
      </c>
      <c r="N7" s="34" t="s">
        <v>431</v>
      </c>
      <c r="O7" s="111">
        <v>0.14000000000000001</v>
      </c>
      <c r="P7" s="111">
        <v>35.47</v>
      </c>
      <c r="Q7" s="112">
        <f t="shared" si="0"/>
        <v>8.4532332751326378E-2</v>
      </c>
      <c r="R7" s="112">
        <f t="shared" si="7"/>
        <v>8.0307229635035199E-2</v>
      </c>
      <c r="S7" s="113">
        <f t="shared" si="1"/>
        <v>6.1428517427654747E-2</v>
      </c>
      <c r="T7" s="113">
        <f t="shared" si="2"/>
        <v>5.8298500197249886E-2</v>
      </c>
      <c r="U7" s="114">
        <f t="shared" si="3"/>
        <v>4.0784325087936335E-2</v>
      </c>
      <c r="V7" s="114">
        <f t="shared" si="4"/>
        <v>3.8738965452759018E-2</v>
      </c>
      <c r="W7" s="115">
        <f t="shared" si="5"/>
        <v>2.8520017009750976E-2</v>
      </c>
      <c r="X7" s="115">
        <f t="shared" si="6"/>
        <v>2.708986229405301E-2</v>
      </c>
      <c r="Y7" s="1"/>
      <c r="Z7" s="1"/>
      <c r="AA7" s="1"/>
      <c r="AB7" s="1">
        <v>1</v>
      </c>
      <c r="AC7" s="18">
        <v>1264834.6461217599</v>
      </c>
      <c r="AD7" s="11">
        <v>44863684.897938825</v>
      </c>
      <c r="AE7" s="18">
        <v>408566.74275957502</v>
      </c>
      <c r="AF7" s="11">
        <v>14491862.365682125</v>
      </c>
      <c r="AG7" s="18">
        <v>222884.54898905501</v>
      </c>
      <c r="AH7" s="11">
        <v>7905714.9526417805</v>
      </c>
      <c r="AI7" s="18">
        <v>98515.000284337701</v>
      </c>
      <c r="AJ7" s="11">
        <v>3494327.0600854582</v>
      </c>
    </row>
    <row r="8" spans="1:36" x14ac:dyDescent="0.2">
      <c r="A8" s="1"/>
      <c r="B8" s="1"/>
      <c r="C8" s="86" t="s">
        <v>837</v>
      </c>
      <c r="D8" s="86" t="s">
        <v>520</v>
      </c>
      <c r="E8" s="86" t="s">
        <v>625</v>
      </c>
      <c r="F8" s="86" t="s">
        <v>323</v>
      </c>
      <c r="G8" s="86" t="s">
        <v>26</v>
      </c>
      <c r="H8" s="86"/>
      <c r="I8" s="86"/>
      <c r="J8" s="34" t="s">
        <v>470</v>
      </c>
      <c r="K8" s="34" t="s">
        <v>453</v>
      </c>
      <c r="L8" s="34" t="s">
        <v>1404</v>
      </c>
      <c r="M8" s="34" t="s">
        <v>838</v>
      </c>
      <c r="N8" s="34" t="s">
        <v>431</v>
      </c>
      <c r="O8" s="111">
        <v>0.04</v>
      </c>
      <c r="P8" s="111">
        <v>148.58000000000001</v>
      </c>
      <c r="Q8" s="112">
        <f t="shared" si="0"/>
        <v>6.1259908177221468E-2</v>
      </c>
      <c r="R8" s="112">
        <f t="shared" si="7"/>
        <v>5.8198009605172088E-2</v>
      </c>
      <c r="S8" s="113">
        <f t="shared" si="1"/>
        <v>4.4756094657114671E-2</v>
      </c>
      <c r="T8" s="113">
        <f t="shared" si="2"/>
        <v>4.2475600949816873E-2</v>
      </c>
      <c r="U8" s="114">
        <f t="shared" si="3"/>
        <v>2.9552491219000408E-2</v>
      </c>
      <c r="V8" s="114">
        <f t="shared" si="4"/>
        <v>2.8070415138841003E-2</v>
      </c>
      <c r="W8" s="115">
        <f t="shared" si="5"/>
        <v>2.0666438755072371E-2</v>
      </c>
      <c r="X8" s="115">
        <f t="shared" si="6"/>
        <v>1.9630106805054788E-2</v>
      </c>
      <c r="Y8" s="1"/>
      <c r="Z8" s="1"/>
      <c r="AA8" s="1"/>
      <c r="AB8" s="1">
        <v>1</v>
      </c>
      <c r="AC8" s="18">
        <v>218820.53486600201</v>
      </c>
      <c r="AD8" s="11">
        <v>32512355.070390582</v>
      </c>
      <c r="AE8" s="18">
        <v>71063.402345195005</v>
      </c>
      <c r="AF8" s="11">
        <v>10558600.320449075</v>
      </c>
      <c r="AG8" s="18">
        <v>38555.0805252051</v>
      </c>
      <c r="AH8" s="11">
        <v>5728513.8644349743</v>
      </c>
      <c r="AI8" s="18">
        <v>17041.9412012022</v>
      </c>
      <c r="AJ8" s="11">
        <v>2532091.6236746232</v>
      </c>
    </row>
    <row r="9" spans="1:36" x14ac:dyDescent="0.2">
      <c r="A9" s="1"/>
      <c r="B9" s="1"/>
      <c r="C9" s="86" t="s">
        <v>841</v>
      </c>
      <c r="D9" s="86" t="s">
        <v>523</v>
      </c>
      <c r="E9" s="86" t="s">
        <v>591</v>
      </c>
      <c r="F9" s="86" t="s">
        <v>323</v>
      </c>
      <c r="G9" s="86" t="s">
        <v>26</v>
      </c>
      <c r="H9" s="86"/>
      <c r="I9" s="86"/>
      <c r="J9" s="34" t="s">
        <v>470</v>
      </c>
      <c r="K9" s="34" t="s">
        <v>446</v>
      </c>
      <c r="L9" s="34" t="s">
        <v>455</v>
      </c>
      <c r="M9" s="34" t="s">
        <v>838</v>
      </c>
      <c r="N9" s="34" t="s">
        <v>431</v>
      </c>
      <c r="O9" s="111">
        <v>0.41</v>
      </c>
      <c r="P9" s="111">
        <v>137.08000000000001</v>
      </c>
      <c r="Q9" s="112">
        <f t="shared" si="0"/>
        <v>3.9111459899569004E-2</v>
      </c>
      <c r="R9" s="112">
        <f t="shared" si="7"/>
        <v>3.7156587181333592E-2</v>
      </c>
      <c r="S9" s="113">
        <f t="shared" si="1"/>
        <v>2.8249869742216556E-2</v>
      </c>
      <c r="T9" s="113">
        <f t="shared" si="2"/>
        <v>2.6810431143458786E-2</v>
      </c>
      <c r="U9" s="114">
        <f t="shared" si="3"/>
        <v>1.8867822522693256E-2</v>
      </c>
      <c r="V9" s="114">
        <f t="shared" si="4"/>
        <v>1.7921589318922002E-2</v>
      </c>
      <c r="W9" s="115">
        <f t="shared" si="5"/>
        <v>1.3194511952214424E-2</v>
      </c>
      <c r="X9" s="115">
        <f t="shared" si="6"/>
        <v>1.2532864608759443E-2</v>
      </c>
      <c r="Y9" s="1"/>
      <c r="Z9" s="1"/>
      <c r="AA9" s="1"/>
      <c r="AB9" s="1">
        <v>1</v>
      </c>
      <c r="AC9" s="18">
        <v>151426.546938966</v>
      </c>
      <c r="AD9" s="11">
        <v>20757551.054393463</v>
      </c>
      <c r="AE9" s="18">
        <v>48617.936365625501</v>
      </c>
      <c r="AF9" s="11">
        <v>6664546.7169999443</v>
      </c>
      <c r="AG9" s="18">
        <v>26680.597935932899</v>
      </c>
      <c r="AH9" s="11">
        <v>3657376.3650576822</v>
      </c>
      <c r="AI9" s="18">
        <v>11793.236456602201</v>
      </c>
      <c r="AJ9" s="11">
        <v>1616616.8534710298</v>
      </c>
    </row>
    <row r="10" spans="1:36" x14ac:dyDescent="0.2">
      <c r="A10" s="1"/>
      <c r="B10" s="1"/>
      <c r="C10" s="86" t="s">
        <v>843</v>
      </c>
      <c r="D10" s="86" t="s">
        <v>525</v>
      </c>
      <c r="E10" s="86" t="s">
        <v>627</v>
      </c>
      <c r="F10" s="86" t="s">
        <v>323</v>
      </c>
      <c r="G10" s="86" t="s">
        <v>26</v>
      </c>
      <c r="H10" s="86"/>
      <c r="I10" s="86"/>
      <c r="J10" s="34" t="s">
        <v>470</v>
      </c>
      <c r="K10" s="34" t="s">
        <v>446</v>
      </c>
      <c r="L10" s="34" t="s">
        <v>452</v>
      </c>
      <c r="M10" s="34" t="s">
        <v>838</v>
      </c>
      <c r="N10" s="34" t="s">
        <v>431</v>
      </c>
      <c r="O10" s="111">
        <v>0.35</v>
      </c>
      <c r="P10" s="111">
        <v>86.06</v>
      </c>
      <c r="Q10" s="112">
        <f t="shared" si="0"/>
        <v>3.898579099146441E-2</v>
      </c>
      <c r="R10" s="112">
        <f t="shared" si="7"/>
        <v>3.7037199468577239E-2</v>
      </c>
      <c r="S10" s="113">
        <f t="shared" si="1"/>
        <v>2.815910017509447E-2</v>
      </c>
      <c r="T10" s="113">
        <f t="shared" si="2"/>
        <v>2.6724286631945815E-2</v>
      </c>
      <c r="U10" s="114">
        <f t="shared" si="3"/>
        <v>1.8807198381819358E-2</v>
      </c>
      <c r="V10" s="114">
        <f t="shared" si="4"/>
        <v>1.7864005516962468E-2</v>
      </c>
      <c r="W10" s="115">
        <f t="shared" si="5"/>
        <v>1.3152116707591453E-2</v>
      </c>
      <c r="X10" s="115">
        <f t="shared" si="6"/>
        <v>1.2492595301123115E-2</v>
      </c>
      <c r="Y10" s="1"/>
      <c r="Z10" s="1"/>
      <c r="AA10" s="1"/>
      <c r="AB10" s="1">
        <v>1</v>
      </c>
      <c r="AC10" s="18">
        <v>240423.60019464299</v>
      </c>
      <c r="AD10" s="11">
        <v>20690855.032750975</v>
      </c>
      <c r="AE10" s="18">
        <v>77191.876400438006</v>
      </c>
      <c r="AF10" s="11">
        <v>6643132.8830216946</v>
      </c>
      <c r="AG10" s="18">
        <v>42361.432263843803</v>
      </c>
      <c r="AH10" s="11">
        <v>3645624.8606263977</v>
      </c>
      <c r="AI10" s="18">
        <v>18724.407471206901</v>
      </c>
      <c r="AJ10" s="11">
        <v>1611422.5069720659</v>
      </c>
    </row>
    <row r="11" spans="1:36" x14ac:dyDescent="0.2">
      <c r="A11" s="1"/>
      <c r="B11" s="1"/>
      <c r="C11" s="86" t="s">
        <v>1294</v>
      </c>
      <c r="D11" s="86" t="s">
        <v>1289</v>
      </c>
      <c r="E11" s="86" t="s">
        <v>1290</v>
      </c>
      <c r="F11" s="86" t="s">
        <v>323</v>
      </c>
      <c r="G11" s="86" t="s">
        <v>26</v>
      </c>
      <c r="H11" s="86"/>
      <c r="I11" s="86"/>
      <c r="J11" s="34" t="s">
        <v>470</v>
      </c>
      <c r="K11" s="34" t="s">
        <v>446</v>
      </c>
      <c r="L11" s="34" t="s">
        <v>1283</v>
      </c>
      <c r="M11" s="34" t="s">
        <v>838</v>
      </c>
      <c r="N11" s="34" t="s">
        <v>431</v>
      </c>
      <c r="O11" s="111">
        <v>0.33</v>
      </c>
      <c r="P11" s="111">
        <v>73.91</v>
      </c>
      <c r="Q11" s="112">
        <f t="shared" si="0"/>
        <v>4.0346538706168313E-2</v>
      </c>
      <c r="R11" s="112">
        <f t="shared" si="7"/>
        <v>3.8329934161248559E-2</v>
      </c>
      <c r="S11" s="113">
        <f t="shared" si="1"/>
        <v>2.9141956498819371E-2</v>
      </c>
      <c r="T11" s="113">
        <f t="shared" si="2"/>
        <v>2.7657062677697308E-2</v>
      </c>
      <c r="U11" s="114">
        <f t="shared" si="3"/>
        <v>1.9463638884043524E-2</v>
      </c>
      <c r="V11" s="114">
        <f t="shared" si="4"/>
        <v>1.8487525113832677E-2</v>
      </c>
      <c r="W11" s="115">
        <f t="shared" si="5"/>
        <v>1.3611174028175042E-2</v>
      </c>
      <c r="X11" s="115">
        <f t="shared" si="6"/>
        <v>1.2928632895190277E-2</v>
      </c>
      <c r="Y11" s="1"/>
      <c r="Z11" s="1"/>
      <c r="AA11" s="1"/>
      <c r="AB11" s="1">
        <v>1</v>
      </c>
      <c r="AC11" s="18">
        <v>289717.79313733801</v>
      </c>
      <c r="AD11" s="11">
        <v>21413042.090780653</v>
      </c>
      <c r="AE11" s="18">
        <v>93018.572472750806</v>
      </c>
      <c r="AF11" s="11">
        <v>6875002.6914610118</v>
      </c>
      <c r="AG11" s="18">
        <v>51046.821774907898</v>
      </c>
      <c r="AH11" s="11">
        <v>3772870.5973834423</v>
      </c>
      <c r="AI11" s="18">
        <v>22563.4838092871</v>
      </c>
      <c r="AJ11" s="11">
        <v>1667667.0883444094</v>
      </c>
    </row>
    <row r="12" spans="1:36" x14ac:dyDescent="0.2">
      <c r="A12" s="1"/>
      <c r="B12" s="1"/>
      <c r="C12" s="86" t="s">
        <v>839</v>
      </c>
      <c r="D12" s="86" t="s">
        <v>521</v>
      </c>
      <c r="E12" s="86" t="s">
        <v>632</v>
      </c>
      <c r="F12" s="86" t="s">
        <v>323</v>
      </c>
      <c r="G12" s="86" t="s">
        <v>26</v>
      </c>
      <c r="H12" s="86"/>
      <c r="I12" s="86"/>
      <c r="J12" s="34" t="s">
        <v>447</v>
      </c>
      <c r="K12" s="34" t="s">
        <v>446</v>
      </c>
      <c r="L12" s="34" t="s">
        <v>447</v>
      </c>
      <c r="M12" s="34" t="s">
        <v>838</v>
      </c>
      <c r="N12" s="34" t="s">
        <v>431</v>
      </c>
      <c r="O12" s="111">
        <v>0.44</v>
      </c>
      <c r="P12" s="111">
        <v>476.73</v>
      </c>
      <c r="Q12" s="112">
        <f t="shared" si="0"/>
        <v>0</v>
      </c>
      <c r="R12" s="112">
        <f t="shared" si="7"/>
        <v>0</v>
      </c>
      <c r="S12" s="113">
        <f t="shared" si="1"/>
        <v>3.1953140169713422E-2</v>
      </c>
      <c r="T12" s="113">
        <f t="shared" si="2"/>
        <v>3.032500581966123E-2</v>
      </c>
      <c r="U12" s="114">
        <f t="shared" si="3"/>
        <v>3.1901796863524116E-2</v>
      </c>
      <c r="V12" s="114">
        <f t="shared" si="4"/>
        <v>3.0301901623046565E-2</v>
      </c>
      <c r="W12" s="115">
        <f t="shared" si="5"/>
        <v>3.1870483616569627E-2</v>
      </c>
      <c r="X12" s="115">
        <f t="shared" si="6"/>
        <v>3.0272317583911648E-2</v>
      </c>
      <c r="Y12" s="1"/>
      <c r="Z12" s="1"/>
      <c r="AA12" s="1"/>
      <c r="AB12" s="1">
        <v>1</v>
      </c>
      <c r="AC12" s="18"/>
      <c r="AD12" s="11">
        <v>0</v>
      </c>
      <c r="AE12" s="18">
        <v>15812.306687780399</v>
      </c>
      <c r="AF12" s="11">
        <v>7538200.96726555</v>
      </c>
      <c r="AG12" s="18">
        <v>12971.509991348201</v>
      </c>
      <c r="AH12" s="11">
        <v>6183907.9581754282</v>
      </c>
      <c r="AI12" s="18">
        <v>8190.8682906948497</v>
      </c>
      <c r="AJ12" s="11">
        <v>3904832.640222956</v>
      </c>
    </row>
    <row r="13" spans="1:36" x14ac:dyDescent="0.2">
      <c r="A13" s="1"/>
      <c r="B13" s="1"/>
      <c r="C13" s="116" t="s">
        <v>456</v>
      </c>
      <c r="D13" s="86"/>
      <c r="E13" s="86"/>
      <c r="F13" s="86"/>
      <c r="G13" s="86"/>
      <c r="H13" s="86"/>
      <c r="I13" s="86"/>
      <c r="J13" s="45"/>
      <c r="K13" s="45"/>
      <c r="L13" s="45"/>
      <c r="M13" s="34"/>
      <c r="N13" s="34"/>
      <c r="O13" s="111"/>
      <c r="P13" s="111"/>
      <c r="Q13" s="112"/>
      <c r="R13" s="112"/>
      <c r="S13" s="113"/>
      <c r="T13" s="113"/>
      <c r="U13" s="114"/>
      <c r="V13" s="114"/>
      <c r="W13" s="115"/>
      <c r="X13" s="115"/>
      <c r="Y13" s="1"/>
      <c r="Z13" s="1"/>
      <c r="AA13" s="1"/>
      <c r="AB13" s="1">
        <v>1</v>
      </c>
      <c r="AC13" s="18"/>
      <c r="AD13" s="11"/>
      <c r="AE13" s="18"/>
      <c r="AF13" s="11"/>
      <c r="AG13" s="18"/>
      <c r="AH13" s="11"/>
      <c r="AI13" s="18"/>
      <c r="AJ13" s="11"/>
    </row>
    <row r="14" spans="1:36" x14ac:dyDescent="0.2">
      <c r="A14" s="1"/>
      <c r="B14" s="1"/>
      <c r="C14" s="86" t="s">
        <v>844</v>
      </c>
      <c r="D14" s="86" t="s">
        <v>526</v>
      </c>
      <c r="E14" s="86" t="s">
        <v>628</v>
      </c>
      <c r="F14" s="86" t="s">
        <v>323</v>
      </c>
      <c r="G14" s="86" t="s">
        <v>26</v>
      </c>
      <c r="H14" s="86"/>
      <c r="I14" s="86"/>
      <c r="J14" s="34" t="s">
        <v>458</v>
      </c>
      <c r="K14" s="34" t="s">
        <v>458</v>
      </c>
      <c r="L14" s="34" t="s">
        <v>1403</v>
      </c>
      <c r="M14" s="34" t="s">
        <v>838</v>
      </c>
      <c r="N14" s="34" t="s">
        <v>431</v>
      </c>
      <c r="O14" s="111">
        <v>0.1</v>
      </c>
      <c r="P14" s="111">
        <v>101.26</v>
      </c>
      <c r="Q14" s="112"/>
      <c r="R14" s="112"/>
      <c r="S14" s="113">
        <f>AF14/$AF$19</f>
        <v>9.8863355144252762E-2</v>
      </c>
      <c r="T14" s="113">
        <f>S14*(1-$T$34)/(1-$S$18)</f>
        <v>9.3825890168452525E-2</v>
      </c>
      <c r="U14" s="114">
        <f>AH14/$AH$19</f>
        <v>0.19825645968403147</v>
      </c>
      <c r="V14" s="114">
        <f>U14*(1-$V$34)/(1-$U$18)</f>
        <v>0.18831377314510864</v>
      </c>
      <c r="W14" s="115">
        <f>AJ14/$AJ$19</f>
        <v>0.25747543888130231</v>
      </c>
      <c r="X14" s="115">
        <f>W14*(1-$X$34)/(1-$W$18)</f>
        <v>0.24456416631906644</v>
      </c>
      <c r="Y14" s="1"/>
      <c r="Z14" s="1"/>
      <c r="AA14" s="1"/>
      <c r="AB14" s="1">
        <v>1</v>
      </c>
      <c r="AC14" s="18"/>
      <c r="AD14" s="11">
        <v>0</v>
      </c>
      <c r="AE14" s="18">
        <v>230330.57353319399</v>
      </c>
      <c r="AF14" s="11">
        <v>23323273.875971224</v>
      </c>
      <c r="AG14" s="18">
        <v>379522.29635927902</v>
      </c>
      <c r="AH14" s="11">
        <v>38430427.729340598</v>
      </c>
      <c r="AI14" s="18">
        <v>311538.45030670601</v>
      </c>
      <c r="AJ14" s="11">
        <v>31546383.478057053</v>
      </c>
    </row>
    <row r="15" spans="1:36" x14ac:dyDescent="0.2">
      <c r="A15" s="1"/>
      <c r="B15" s="1"/>
      <c r="C15" s="86" t="s">
        <v>845</v>
      </c>
      <c r="D15" s="117" t="s">
        <v>527</v>
      </c>
      <c r="E15" s="86" t="s">
        <v>629</v>
      </c>
      <c r="F15" s="86" t="s">
        <v>323</v>
      </c>
      <c r="G15" s="86" t="s">
        <v>26</v>
      </c>
      <c r="H15" s="117"/>
      <c r="I15" s="117"/>
      <c r="J15" s="34" t="s">
        <v>458</v>
      </c>
      <c r="K15" s="34" t="s">
        <v>458</v>
      </c>
      <c r="L15" s="34" t="s">
        <v>1403</v>
      </c>
      <c r="M15" s="34" t="s">
        <v>838</v>
      </c>
      <c r="N15" s="34" t="s">
        <v>431</v>
      </c>
      <c r="O15" s="111">
        <v>0.28000000000000003</v>
      </c>
      <c r="P15" s="111">
        <v>93.37</v>
      </c>
      <c r="Q15" s="112"/>
      <c r="R15" s="112"/>
      <c r="S15" s="113">
        <f>AF15/$AF$19</f>
        <v>7.9076255348696306E-2</v>
      </c>
      <c r="T15" s="113">
        <f>S15*(1-$T$34)/(1-$S$18)</f>
        <v>7.5047018568746182E-2</v>
      </c>
      <c r="U15" s="114">
        <f>AH15/$AH$19</f>
        <v>0.15751863067829738</v>
      </c>
      <c r="V15" s="114">
        <f>U15*(1-$V$34)/(1-$U$18)</f>
        <v>0.14961897196669371</v>
      </c>
      <c r="W15" s="115">
        <f>AJ15/$AJ$19</f>
        <v>0.20457721700460471</v>
      </c>
      <c r="X15" s="115">
        <f>W15*(1-$X$34)/(1-$W$18)</f>
        <v>0.1943185600226166</v>
      </c>
      <c r="Y15" s="1"/>
      <c r="Z15" s="1"/>
      <c r="AA15" s="1"/>
      <c r="AB15" s="1">
        <v>1</v>
      </c>
      <c r="AC15" s="18"/>
      <c r="AD15" s="11">
        <v>0</v>
      </c>
      <c r="AE15" s="18">
        <v>199798.81277883999</v>
      </c>
      <c r="AF15" s="11">
        <v>18655215.149160292</v>
      </c>
      <c r="AG15" s="18">
        <v>327018.58916190697</v>
      </c>
      <c r="AH15" s="11">
        <v>30533725.670047257</v>
      </c>
      <c r="AI15" s="18">
        <v>268450.16715663997</v>
      </c>
      <c r="AJ15" s="11">
        <v>25065192.107415475</v>
      </c>
    </row>
    <row r="16" spans="1:36" x14ac:dyDescent="0.2">
      <c r="A16" s="1"/>
      <c r="B16" s="1"/>
      <c r="C16" s="86" t="s">
        <v>846</v>
      </c>
      <c r="D16" s="117" t="s">
        <v>528</v>
      </c>
      <c r="E16" s="86" t="s">
        <v>630</v>
      </c>
      <c r="F16" s="86" t="s">
        <v>323</v>
      </c>
      <c r="G16" s="86" t="s">
        <v>26</v>
      </c>
      <c r="H16" s="117"/>
      <c r="I16" s="117"/>
      <c r="J16" s="34" t="s">
        <v>458</v>
      </c>
      <c r="K16" s="34" t="s">
        <v>458</v>
      </c>
      <c r="L16" s="34" t="s">
        <v>464</v>
      </c>
      <c r="M16" s="34" t="s">
        <v>838</v>
      </c>
      <c r="N16" s="34" t="s">
        <v>431</v>
      </c>
      <c r="O16" s="111">
        <v>0.22</v>
      </c>
      <c r="P16" s="111">
        <v>13.4</v>
      </c>
      <c r="Q16" s="112"/>
      <c r="R16" s="112"/>
      <c r="S16" s="113">
        <f>AF16/$AF$19</f>
        <v>1.5308460353754093E-2</v>
      </c>
      <c r="T16" s="113">
        <f>S16*(1-$T$34)/(1-$S$18)</f>
        <v>1.452843591747088E-2</v>
      </c>
      <c r="U16" s="114">
        <f>AH16/$AH$19</f>
        <v>2.9650692746174743E-2</v>
      </c>
      <c r="V16" s="114">
        <f>U16*(1-$V$34)/(1-$U$18)</f>
        <v>2.8163691797469345E-2</v>
      </c>
      <c r="W16" s="115">
        <f>AJ16/$AJ$19</f>
        <v>3.8508065795114781E-2</v>
      </c>
      <c r="X16" s="115">
        <f>W16*(1-$X$34)/(1-$W$18)</f>
        <v>3.657705390720245E-2</v>
      </c>
      <c r="Y16" s="1"/>
      <c r="Z16" s="1"/>
      <c r="AA16" s="1"/>
      <c r="AB16" s="1">
        <v>1</v>
      </c>
      <c r="AC16" s="18"/>
      <c r="AD16" s="11">
        <v>0</v>
      </c>
      <c r="AE16" s="18">
        <v>269513.72240607801</v>
      </c>
      <c r="AF16" s="11">
        <v>3611483.8802414453</v>
      </c>
      <c r="AG16" s="18">
        <v>428921.60032876697</v>
      </c>
      <c r="AH16" s="11">
        <v>5747549.4444054775</v>
      </c>
      <c r="AI16" s="18">
        <v>352095.66495892499</v>
      </c>
      <c r="AJ16" s="11">
        <v>4718081.9104495952</v>
      </c>
    </row>
    <row r="17" spans="1:36" x14ac:dyDescent="0.2">
      <c r="A17" s="1"/>
      <c r="B17" s="1"/>
      <c r="C17" s="86" t="s">
        <v>847</v>
      </c>
      <c r="D17" s="117" t="s">
        <v>529</v>
      </c>
      <c r="E17" s="86" t="s">
        <v>631</v>
      </c>
      <c r="F17" s="86" t="s">
        <v>323</v>
      </c>
      <c r="G17" s="86" t="s">
        <v>26</v>
      </c>
      <c r="H17" s="117"/>
      <c r="I17" s="117"/>
      <c r="J17" s="34" t="s">
        <v>458</v>
      </c>
      <c r="K17" s="34" t="s">
        <v>458</v>
      </c>
      <c r="L17" s="34" t="s">
        <v>450</v>
      </c>
      <c r="M17" s="34" t="s">
        <v>838</v>
      </c>
      <c r="N17" s="34" t="s">
        <v>431</v>
      </c>
      <c r="O17" s="111">
        <v>0.54</v>
      </c>
      <c r="P17" s="111">
        <v>80</v>
      </c>
      <c r="Q17" s="112"/>
      <c r="R17" s="112"/>
      <c r="S17" s="113">
        <f>AF17/$AF$19</f>
        <v>4.9501220443029417E-2</v>
      </c>
      <c r="T17" s="113">
        <f>S17*(1-$T$34)/(1-$S$18)</f>
        <v>4.6978944480643936E-2</v>
      </c>
      <c r="U17" s="114">
        <f>AH17/$AH$19</f>
        <v>9.7834754942869959E-2</v>
      </c>
      <c r="V17" s="114">
        <f>U17*(1-$V$34)/(1-$U$18)</f>
        <v>9.292828025569165E-2</v>
      </c>
      <c r="W17" s="115">
        <f>AJ17/$AJ$19</f>
        <v>0.12706034265843605</v>
      </c>
      <c r="X17" s="115">
        <f>W17*(1-$X$34)/(1-$W$18)</f>
        <v>0.12068881952193045</v>
      </c>
      <c r="Y17" s="1"/>
      <c r="Z17" s="1"/>
      <c r="AA17" s="1"/>
      <c r="AB17" s="1">
        <v>1</v>
      </c>
      <c r="AC17" s="18"/>
      <c r="AD17" s="11">
        <v>0</v>
      </c>
      <c r="AE17" s="18">
        <v>145975.538649155</v>
      </c>
      <c r="AF17" s="11">
        <v>11678043.091932401</v>
      </c>
      <c r="AG17" s="18">
        <v>237056.051366617</v>
      </c>
      <c r="AH17" s="11">
        <v>18964484.109329361</v>
      </c>
      <c r="AI17" s="18">
        <v>194595.95407293399</v>
      </c>
      <c r="AJ17" s="11">
        <v>15567676.325834719</v>
      </c>
    </row>
    <row r="18" spans="1:36" x14ac:dyDescent="0.2">
      <c r="A18" s="1"/>
      <c r="B18" s="1"/>
      <c r="C18" s="86" t="s">
        <v>848</v>
      </c>
      <c r="D18" s="118" t="s">
        <v>431</v>
      </c>
      <c r="E18" s="86"/>
      <c r="F18" s="118"/>
      <c r="G18" s="118"/>
      <c r="H18" s="118"/>
      <c r="I18" s="118"/>
      <c r="J18" s="34" t="s">
        <v>80</v>
      </c>
      <c r="K18" s="34"/>
      <c r="L18" s="34"/>
      <c r="M18" s="34"/>
      <c r="N18" s="34" t="s">
        <v>431</v>
      </c>
      <c r="O18" s="111"/>
      <c r="P18" s="111">
        <v>1</v>
      </c>
      <c r="Q18" s="112">
        <f>AD18/AD19</f>
        <v>5.0187524046791327E-3</v>
      </c>
      <c r="R18" s="112">
        <f>$R$34</f>
        <v>5.475E-2</v>
      </c>
      <c r="S18" s="113">
        <f>AF18/$AF$19</f>
        <v>4.0000016804933591E-3</v>
      </c>
      <c r="T18" s="113">
        <f>T34</f>
        <v>5.475E-2</v>
      </c>
      <c r="U18" s="114">
        <f>AH18/$AH$19</f>
        <v>4.8422089024536645E-3</v>
      </c>
      <c r="V18" s="114">
        <f>V34</f>
        <v>5.475E-2</v>
      </c>
      <c r="W18" s="115">
        <f>AJ18/$AJ$19</f>
        <v>4.8474301626378587E-3</v>
      </c>
      <c r="X18" s="115">
        <f>X34</f>
        <v>5.475E-2</v>
      </c>
      <c r="Y18" s="1"/>
      <c r="Z18" s="1"/>
      <c r="AA18" s="1"/>
      <c r="AB18" s="1">
        <v>1</v>
      </c>
      <c r="AC18" s="18">
        <v>2663592.9606563998</v>
      </c>
      <c r="AD18" s="11">
        <v>2663592.9606563998</v>
      </c>
      <c r="AE18" s="18">
        <v>943657.38005114801</v>
      </c>
      <c r="AF18" s="11">
        <v>943657.38005114801</v>
      </c>
      <c r="AG18" s="18">
        <v>938623.43538611894</v>
      </c>
      <c r="AH18" s="11">
        <v>938623.43538611894</v>
      </c>
      <c r="AI18" s="18">
        <v>593916.41959360195</v>
      </c>
      <c r="AJ18" s="11">
        <v>593916.41959360195</v>
      </c>
    </row>
    <row r="19" spans="1:36" x14ac:dyDescent="0.2">
      <c r="A19" s="1"/>
      <c r="B19" s="1"/>
      <c r="C19" s="119"/>
      <c r="D19" s="120"/>
      <c r="E19" s="120"/>
      <c r="F19" s="120"/>
      <c r="G19" s="120"/>
      <c r="H19" s="120"/>
      <c r="I19" s="120"/>
      <c r="J19" s="77"/>
      <c r="K19" s="77"/>
      <c r="L19" s="77"/>
      <c r="M19" s="77"/>
      <c r="N19" s="77"/>
      <c r="O19" s="121" t="s">
        <v>81</v>
      </c>
      <c r="P19" s="121"/>
      <c r="Q19" s="107">
        <f t="shared" ref="Q19:X19" si="8">SUM(Q4:Q18)</f>
        <v>0.99999999999999978</v>
      </c>
      <c r="R19" s="107">
        <f t="shared" si="8"/>
        <v>0.99999999999999989</v>
      </c>
      <c r="S19" s="108">
        <f t="shared" si="8"/>
        <v>0.99999999999999978</v>
      </c>
      <c r="T19" s="108">
        <f t="shared" si="8"/>
        <v>0.99999999999999989</v>
      </c>
      <c r="U19" s="109">
        <f t="shared" si="8"/>
        <v>0.99999999999999989</v>
      </c>
      <c r="V19" s="109">
        <f t="shared" si="8"/>
        <v>1</v>
      </c>
      <c r="W19" s="110">
        <f t="shared" si="8"/>
        <v>0.99999999999999978</v>
      </c>
      <c r="X19" s="110">
        <f t="shared" si="8"/>
        <v>0.99999999999999978</v>
      </c>
      <c r="Y19" s="1"/>
      <c r="Z19" s="1"/>
      <c r="AA19" s="1"/>
      <c r="AB19" s="1"/>
      <c r="AC19" s="5"/>
      <c r="AD19" s="24">
        <v>530728106.48579764</v>
      </c>
      <c r="AE19" s="5"/>
      <c r="AF19" s="24">
        <v>235914245.89970613</v>
      </c>
      <c r="AG19" s="5"/>
      <c r="AH19" s="24">
        <v>193841995.31550482</v>
      </c>
      <c r="AI19" s="5"/>
      <c r="AJ19" s="24">
        <v>122521913.60512689</v>
      </c>
    </row>
    <row r="20" spans="1:36" x14ac:dyDescent="0.2">
      <c r="A20" s="1"/>
      <c r="B20" s="1"/>
      <c r="C20" s="119"/>
      <c r="D20" s="120"/>
      <c r="E20" s="120"/>
      <c r="F20" s="120"/>
      <c r="G20" s="120"/>
      <c r="H20" s="120"/>
      <c r="I20" s="120"/>
      <c r="J20" s="77"/>
      <c r="K20" s="77"/>
      <c r="L20" s="77"/>
      <c r="M20" s="77"/>
      <c r="N20" s="77"/>
      <c r="O20" s="122" t="s">
        <v>470</v>
      </c>
      <c r="P20" s="122"/>
      <c r="Q20" s="112">
        <f>SUMIF($J$4:$J$18,$O20,Q$4:Q$18)</f>
        <v>0.99498124759532069</v>
      </c>
      <c r="R20" s="112"/>
      <c r="S20" s="113">
        <f>SUMIF($J$4:$J$18,$O20,S$4:S$18)</f>
        <v>0.72129756686006052</v>
      </c>
      <c r="T20" s="113"/>
      <c r="U20" s="114">
        <f>SUMIF($J$4:$J$18,$O20,U$4:U$18)</f>
        <v>0.47999545618264855</v>
      </c>
      <c r="V20" s="114"/>
      <c r="W20" s="115">
        <f>SUMIF($J$4:$J$18,$O20,W$4:W$18)</f>
        <v>0.33566102188133445</v>
      </c>
      <c r="X20" s="115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x14ac:dyDescent="0.2">
      <c r="A21" s="1"/>
      <c r="B21" s="1"/>
      <c r="C21" s="119"/>
      <c r="D21" s="120"/>
      <c r="E21" s="120"/>
      <c r="F21" s="120"/>
      <c r="G21" s="120"/>
      <c r="H21" s="120"/>
      <c r="I21" s="120"/>
      <c r="J21" s="77"/>
      <c r="K21" s="77"/>
      <c r="L21" s="77"/>
      <c r="M21" s="77"/>
      <c r="N21" s="77"/>
      <c r="O21" s="123" t="s">
        <v>453</v>
      </c>
      <c r="P21" s="123"/>
      <c r="Q21" s="112">
        <f>SUMIF($K$4:$K$18,$O21,Q$4:Q$18)</f>
        <v>0.876537457998119</v>
      </c>
      <c r="R21" s="112"/>
      <c r="S21" s="113">
        <f>SUMIF($K$4:$K$18,$O21,S$4:S$18)</f>
        <v>0.63574664044393014</v>
      </c>
      <c r="T21" s="113"/>
      <c r="U21" s="114">
        <f>SUMIF($K$4:$K$18,$O21,U$4:U$18)</f>
        <v>0.4228567963940924</v>
      </c>
      <c r="V21" s="114"/>
      <c r="W21" s="115">
        <f>SUMIF($K$4:$K$18,$O21,W$4:W$18)</f>
        <v>0.29570321919335352</v>
      </c>
      <c r="X21" s="115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2">
      <c r="A22" s="1"/>
      <c r="B22" s="1"/>
      <c r="C22" s="119"/>
      <c r="D22" s="120"/>
      <c r="E22" s="120"/>
      <c r="F22" s="120"/>
      <c r="G22" s="120"/>
      <c r="H22" s="120"/>
      <c r="I22" s="120"/>
      <c r="J22" s="77"/>
      <c r="K22" s="77"/>
      <c r="L22" s="77"/>
      <c r="M22" s="77"/>
      <c r="N22" s="77"/>
      <c r="O22" s="123" t="s">
        <v>443</v>
      </c>
      <c r="P22" s="123"/>
      <c r="Q22" s="112">
        <f>SUMIF($K$4:$K$18,$O22,Q$4:Q$18)</f>
        <v>0</v>
      </c>
      <c r="R22" s="112"/>
      <c r="S22" s="113">
        <f>SUMIF($K$4:$K$18,$O22,S$4:S$18)</f>
        <v>0</v>
      </c>
      <c r="T22" s="113"/>
      <c r="U22" s="114">
        <f>SUMIF($K$4:$K$18,$O22,U$4:U$18)</f>
        <v>0</v>
      </c>
      <c r="V22" s="114"/>
      <c r="W22" s="115">
        <f>SUMIF($K$4:$K$18,$O22,W$4:W$18)</f>
        <v>0</v>
      </c>
      <c r="X22" s="115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2">
      <c r="A23" s="1"/>
      <c r="B23" s="1"/>
      <c r="C23" s="119"/>
      <c r="D23" s="120"/>
      <c r="E23" s="120"/>
      <c r="F23" s="120"/>
      <c r="G23" s="120"/>
      <c r="H23" s="120"/>
      <c r="I23" s="120"/>
      <c r="J23" s="77"/>
      <c r="K23" s="77"/>
      <c r="L23" s="77"/>
      <c r="M23" s="77"/>
      <c r="N23" s="77"/>
      <c r="O23" s="123" t="s">
        <v>446</v>
      </c>
      <c r="P23" s="123"/>
      <c r="Q23" s="112">
        <f>SUMIF($K$4:$K$18,$O23,Q$4:Q$18)</f>
        <v>0.11844378959720173</v>
      </c>
      <c r="R23" s="112"/>
      <c r="S23" s="113">
        <f>SUMIF($K$4:$K$18,$O23,S$4:S$18)</f>
        <v>0.11750406658584381</v>
      </c>
      <c r="T23" s="113"/>
      <c r="U23" s="114">
        <f>SUMIF($K$4:$K$18,$O23,U$4:U$18)</f>
        <v>8.9040456652080255E-2</v>
      </c>
      <c r="V23" s="114"/>
      <c r="W23" s="115">
        <f>SUMIF($K$4:$K$18,$O23,W$4:W$18)</f>
        <v>7.1828286304550543E-2</v>
      </c>
      <c r="X23" s="115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2">
      <c r="A24" s="1"/>
      <c r="B24" s="1"/>
      <c r="C24" s="119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124" t="s">
        <v>447</v>
      </c>
      <c r="P24" s="124"/>
      <c r="Q24" s="112">
        <f>SUMIF($J$4:$J$18,$O24,Q$4:Q$18)</f>
        <v>0</v>
      </c>
      <c r="R24" s="112"/>
      <c r="S24" s="113">
        <f>SUMIF($J$4:$J$18,$O24,S$4:S$18)</f>
        <v>3.1953140169713422E-2</v>
      </c>
      <c r="T24" s="113"/>
      <c r="U24" s="114">
        <f>SUMIF($J$4:$J$18,$O24,U$4:U$18)</f>
        <v>3.1901796863524116E-2</v>
      </c>
      <c r="V24" s="114"/>
      <c r="W24" s="115">
        <f>SUMIF($J$4:$J$18,$O24,W$4:W$18)</f>
        <v>3.1870483616569627E-2</v>
      </c>
      <c r="X24" s="115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2">
      <c r="A25" s="1"/>
      <c r="B25" s="1"/>
      <c r="C25" s="119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122" t="s">
        <v>458</v>
      </c>
      <c r="P25" s="122"/>
      <c r="Q25" s="112">
        <f>SUMIF($J$4:$J$18,$O25,Q$4:Q$18)</f>
        <v>0</v>
      </c>
      <c r="R25" s="112"/>
      <c r="S25" s="113">
        <f>SUMIF($J$4:$J$18,$O25,S$4:S$18)</f>
        <v>0.2427492912897326</v>
      </c>
      <c r="T25" s="113"/>
      <c r="U25" s="114">
        <f>SUMIF($J$4:$J$18,$O25,U$4:U$18)</f>
        <v>0.48326053805137359</v>
      </c>
      <c r="V25" s="114"/>
      <c r="W25" s="115">
        <f>SUMIF($J$4:$J$18,$O25,W$4:W$18)</f>
        <v>0.62762106433945786</v>
      </c>
      <c r="X25" s="115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2">
      <c r="A26" s="1"/>
      <c r="B26" s="1"/>
      <c r="C26" s="119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122" t="s">
        <v>80</v>
      </c>
      <c r="P26" s="122"/>
      <c r="Q26" s="112">
        <f>Q18</f>
        <v>5.0187524046791327E-3</v>
      </c>
      <c r="R26" s="112"/>
      <c r="S26" s="113">
        <f t="shared" ref="S26:W26" si="9">S18</f>
        <v>4.0000016804933591E-3</v>
      </c>
      <c r="T26" s="113"/>
      <c r="U26" s="114">
        <f t="shared" si="9"/>
        <v>4.8422089024536645E-3</v>
      </c>
      <c r="V26" s="114"/>
      <c r="W26" s="115">
        <f t="shared" si="9"/>
        <v>4.8474301626378587E-3</v>
      </c>
      <c r="X26" s="115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2">
      <c r="A27" s="1"/>
      <c r="B27" s="1"/>
      <c r="C27" s="119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122"/>
      <c r="P27" s="122"/>
      <c r="Q27" s="112"/>
      <c r="R27" s="112"/>
      <c r="S27" s="113"/>
      <c r="T27" s="113"/>
      <c r="U27" s="114"/>
      <c r="V27" s="114"/>
      <c r="W27" s="115"/>
      <c r="X27" s="115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2">
      <c r="A28" s="1"/>
      <c r="B28" s="1"/>
      <c r="C28" s="119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121" t="s">
        <v>437</v>
      </c>
      <c r="P28" s="121"/>
      <c r="Q28" s="125">
        <f>SUMPRODUCT(Q4:Q18,$O4:$O18)/Q19</f>
        <v>0.23118865527788746</v>
      </c>
      <c r="R28" s="125"/>
      <c r="S28" s="126">
        <f>SUMPRODUCT(S4:S18,$O4:$O18)/S19</f>
        <v>0.24350152325464602</v>
      </c>
      <c r="T28" s="126"/>
      <c r="U28" s="127">
        <f>SUMPRODUCT(U4:U18,$O4:$O18)/U19</f>
        <v>0.24885035817354825</v>
      </c>
      <c r="V28" s="127"/>
      <c r="W28" s="128">
        <f>SUMPRODUCT(W4:W18,$O4:$O18)/W19</f>
        <v>0.25212886585635685</v>
      </c>
      <c r="X28" s="128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15" thickBo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29" t="s">
        <v>86</v>
      </c>
      <c r="R30" s="130">
        <v>100000</v>
      </c>
      <c r="S30" s="129" t="s">
        <v>86</v>
      </c>
      <c r="T30" s="130">
        <v>100000</v>
      </c>
      <c r="U30" s="129" t="s">
        <v>86</v>
      </c>
      <c r="V30" s="130">
        <v>100000</v>
      </c>
      <c r="W30" s="129" t="s">
        <v>86</v>
      </c>
      <c r="X30" s="130">
        <v>100000</v>
      </c>
      <c r="Y30" s="1"/>
      <c r="Z30" s="13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32" t="s">
        <v>85</v>
      </c>
      <c r="R31" s="133">
        <v>5000</v>
      </c>
      <c r="S31" s="132" t="s">
        <v>85</v>
      </c>
      <c r="T31" s="133">
        <v>5000</v>
      </c>
      <c r="U31" s="132" t="s">
        <v>85</v>
      </c>
      <c r="V31" s="133">
        <v>5000</v>
      </c>
      <c r="W31" s="132" t="s">
        <v>85</v>
      </c>
      <c r="X31" s="133">
        <v>5000</v>
      </c>
      <c r="Y31" s="1"/>
      <c r="Z31" s="13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32" t="s">
        <v>88</v>
      </c>
      <c r="R32" s="134">
        <f>(R30-R31)*0.5%</f>
        <v>475</v>
      </c>
      <c r="S32" s="132" t="s">
        <v>88</v>
      </c>
      <c r="T32" s="134">
        <f>(T30-T31)*0.5%</f>
        <v>475</v>
      </c>
      <c r="U32" s="132" t="s">
        <v>88</v>
      </c>
      <c r="V32" s="134">
        <f>(V30-V31)*0.5%</f>
        <v>475</v>
      </c>
      <c r="W32" s="132" t="s">
        <v>88</v>
      </c>
      <c r="X32" s="134">
        <f>(X30-X31)*0.5%</f>
        <v>475</v>
      </c>
      <c r="Y32" s="1"/>
      <c r="Z32" s="135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32" t="s">
        <v>87</v>
      </c>
      <c r="R33" s="134">
        <f>R31+R32</f>
        <v>5475</v>
      </c>
      <c r="S33" s="132" t="s">
        <v>87</v>
      </c>
      <c r="T33" s="134">
        <f>T31+T32</f>
        <v>5475</v>
      </c>
      <c r="U33" s="132" t="s">
        <v>87</v>
      </c>
      <c r="V33" s="134">
        <f>V31+V32</f>
        <v>5475</v>
      </c>
      <c r="W33" s="132" t="s">
        <v>87</v>
      </c>
      <c r="X33" s="134">
        <f>X31+X32</f>
        <v>5475</v>
      </c>
      <c r="Y33" s="1"/>
      <c r="Z33" s="135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15" thickBo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36" t="s">
        <v>89</v>
      </c>
      <c r="R34" s="137">
        <f>R33/R30</f>
        <v>5.475E-2</v>
      </c>
      <c r="S34" s="136" t="s">
        <v>89</v>
      </c>
      <c r="T34" s="137">
        <f>T33/T30</f>
        <v>5.475E-2</v>
      </c>
      <c r="U34" s="136" t="s">
        <v>89</v>
      </c>
      <c r="V34" s="137">
        <f>V33/V30</f>
        <v>5.475E-2</v>
      </c>
      <c r="W34" s="136" t="s">
        <v>89</v>
      </c>
      <c r="X34" s="137">
        <f>X33/X30</f>
        <v>5.475E-2</v>
      </c>
      <c r="Y34" s="1"/>
      <c r="Z34" s="138"/>
      <c r="AA34" s="1"/>
      <c r="AB34" s="1"/>
      <c r="AC34" s="1"/>
      <c r="AD34" s="1"/>
      <c r="AE34" s="1"/>
      <c r="AF34" s="1"/>
      <c r="AG34" s="1"/>
      <c r="AH34" s="1"/>
      <c r="AI34" s="1"/>
      <c r="AJ34" s="1"/>
    </row>
  </sheetData>
  <conditionalFormatting sqref="A2">
    <cfRule type="cellIs" dxfId="89" priority="1" operator="lessThan">
      <formula>TODAY()-14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ExportAUDGlobalEquityETFToCSV">
                <anchor moveWithCells="1" sizeWithCells="1">
                  <from>
                    <xdr:col>16</xdr:col>
                    <xdr:colOff>1724025</xdr:colOff>
                    <xdr:row>31</xdr:row>
                    <xdr:rowOff>104775</xdr:rowOff>
                  </from>
                  <to>
                    <xdr:col>16</xdr:col>
                    <xdr:colOff>2238375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ExportAUDGlobalBalancedETFToCSV">
                <anchor moveWithCells="1" sizeWithCells="1">
                  <from>
                    <xdr:col>18</xdr:col>
                    <xdr:colOff>1762125</xdr:colOff>
                    <xdr:row>31</xdr:row>
                    <xdr:rowOff>171450</xdr:rowOff>
                  </from>
                  <to>
                    <xdr:col>18</xdr:col>
                    <xdr:colOff>2276475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Button 3">
              <controlPr defaultSize="0" print="0" autoFill="0" autoPict="0" macro="[0]!ExportAUDGlobalModerateETFToCSV">
                <anchor moveWithCells="1" sizeWithCells="1">
                  <from>
                    <xdr:col>20</xdr:col>
                    <xdr:colOff>1447800</xdr:colOff>
                    <xdr:row>31</xdr:row>
                    <xdr:rowOff>152400</xdr:rowOff>
                  </from>
                  <to>
                    <xdr:col>20</xdr:col>
                    <xdr:colOff>1962150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Button 4">
              <controlPr defaultSize="0" print="0" autoFill="0" autoPict="0" macro="[0]!ExportAUDGlobalConservativeETFToCSV">
                <anchor moveWithCells="1" sizeWithCells="1">
                  <from>
                    <xdr:col>22</xdr:col>
                    <xdr:colOff>1476375</xdr:colOff>
                    <xdr:row>31</xdr:row>
                    <xdr:rowOff>152400</xdr:rowOff>
                  </from>
                  <to>
                    <xdr:col>22</xdr:col>
                    <xdr:colOff>1990725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BE8A2-2011-40F6-B2B6-AD13487306F7}">
  <sheetPr codeName="Sheet15"/>
  <dimension ref="O1:RK60"/>
  <sheetViews>
    <sheetView topLeftCell="EE1" zoomScale="85" zoomScaleNormal="85" workbookViewId="0">
      <selection activeCell="EI16" sqref="EI16"/>
    </sheetView>
  </sheetViews>
  <sheetFormatPr defaultRowHeight="14.25" x14ac:dyDescent="0.2"/>
  <cols>
    <col min="1" max="1" width="8.19921875" bestFit="1" customWidth="1"/>
    <col min="2" max="2" width="10.8984375" bestFit="1" customWidth="1"/>
    <col min="3" max="3" width="8.09765625" bestFit="1" customWidth="1"/>
    <col min="4" max="4" width="6.3984375" bestFit="1" customWidth="1"/>
    <col min="5" max="5" width="8.5" bestFit="1" customWidth="1"/>
    <col min="6" max="6" width="8" bestFit="1" customWidth="1"/>
    <col min="7" max="7" width="7.3984375" bestFit="1" customWidth="1"/>
    <col min="8" max="8" width="10" bestFit="1" customWidth="1"/>
    <col min="9" max="9" width="9.69921875" bestFit="1" customWidth="1"/>
    <col min="10" max="10" width="12.09765625" bestFit="1" customWidth="1"/>
    <col min="11" max="11" width="6.3984375" bestFit="1" customWidth="1"/>
    <col min="12" max="12" width="6.19921875" bestFit="1" customWidth="1"/>
    <col min="13" max="13" width="11" bestFit="1" customWidth="1"/>
    <col min="14" max="14" width="8.19921875" bestFit="1" customWidth="1"/>
    <col min="15" max="15" width="25.796875" bestFit="1" customWidth="1"/>
    <col min="16" max="16" width="8" bestFit="1" customWidth="1"/>
    <col min="17" max="17" width="6.5" bestFit="1" customWidth="1"/>
    <col min="18" max="18" width="11.69921875" bestFit="1" customWidth="1"/>
    <col min="19" max="19" width="8" bestFit="1" customWidth="1"/>
    <col min="20" max="20" width="8.8984375" bestFit="1" customWidth="1"/>
    <col min="21" max="21" width="10" bestFit="1" customWidth="1"/>
    <col min="22" max="22" width="9.69921875" bestFit="1" customWidth="1"/>
    <col min="23" max="23" width="11.796875" bestFit="1" customWidth="1"/>
    <col min="24" max="24" width="3.796875" bestFit="1" customWidth="1"/>
    <col min="25" max="25" width="7.09765625" bestFit="1" customWidth="1"/>
    <col min="26" max="26" width="24" bestFit="1" customWidth="1"/>
    <col min="27" max="27" width="8.296875" bestFit="1" customWidth="1"/>
    <col min="28" max="28" width="8.19921875" bestFit="1" customWidth="1"/>
    <col min="29" max="29" width="8" bestFit="1" customWidth="1"/>
    <col min="30" max="30" width="10.296875" bestFit="1" customWidth="1"/>
    <col min="31" max="31" width="11.69921875" bestFit="1" customWidth="1"/>
    <col min="32" max="32" width="8.5" bestFit="1" customWidth="1"/>
    <col min="33" max="33" width="4.3984375" bestFit="1" customWidth="1"/>
    <col min="34" max="34" width="7.296875" bestFit="1" customWidth="1"/>
    <col min="35" max="35" width="8.69921875" bestFit="1" customWidth="1"/>
    <col min="36" max="36" width="11.5" bestFit="1" customWidth="1"/>
    <col min="37" max="37" width="5.8984375" bestFit="1" customWidth="1"/>
    <col min="38" max="38" width="6.3984375" bestFit="1" customWidth="1"/>
    <col min="39" max="39" width="10.59765625" bestFit="1" customWidth="1"/>
    <col min="40" max="40" width="10" bestFit="1" customWidth="1"/>
    <col min="41" max="41" width="8.19921875" bestFit="1" customWidth="1"/>
    <col min="42" max="42" width="16.8984375" bestFit="1" customWidth="1"/>
    <col min="43" max="43" width="8" bestFit="1" customWidth="1"/>
    <col min="44" max="44" width="6.5" bestFit="1" customWidth="1"/>
    <col min="45" max="45" width="11.8984375" bestFit="1" customWidth="1"/>
    <col min="46" max="46" width="8" bestFit="1" customWidth="1"/>
    <col min="47" max="47" width="8.8984375" bestFit="1" customWidth="1"/>
    <col min="48" max="48" width="10" bestFit="1" customWidth="1"/>
    <col min="49" max="49" width="9.69921875" bestFit="1" customWidth="1"/>
    <col min="50" max="50" width="11.796875" bestFit="1" customWidth="1"/>
    <col min="51" max="51" width="3.69921875" bestFit="1" customWidth="1"/>
    <col min="52" max="52" width="7.59765625" bestFit="1" customWidth="1"/>
    <col min="53" max="53" width="24" bestFit="1" customWidth="1"/>
    <col min="54" max="54" width="8.296875" bestFit="1" customWidth="1"/>
    <col min="55" max="55" width="8.19921875" bestFit="1" customWidth="1"/>
    <col min="56" max="56" width="8.8984375" bestFit="1" customWidth="1"/>
    <col min="57" max="57" width="10.09765625" bestFit="1" customWidth="1"/>
    <col min="58" max="58" width="11.5" bestFit="1" customWidth="1"/>
    <col min="59" max="59" width="8.5" bestFit="1" customWidth="1"/>
    <col min="60" max="60" width="4.3984375" bestFit="1" customWidth="1"/>
    <col min="61" max="61" width="7.296875" bestFit="1" customWidth="1"/>
    <col min="62" max="62" width="8.69921875" bestFit="1" customWidth="1"/>
    <col min="63" max="63" width="11.5" bestFit="1" customWidth="1"/>
    <col min="64" max="64" width="5" bestFit="1" customWidth="1"/>
    <col min="65" max="65" width="6.3984375" bestFit="1" customWidth="1"/>
    <col min="66" max="66" width="10.59765625" bestFit="1" customWidth="1"/>
    <col min="67" max="67" width="9.69921875" bestFit="1" customWidth="1"/>
    <col min="68" max="68" width="8.19921875" bestFit="1" customWidth="1"/>
    <col min="69" max="69" width="31.59765625" bestFit="1" customWidth="1"/>
    <col min="70" max="70" width="6.09765625" bestFit="1" customWidth="1"/>
    <col min="71" max="71" width="6.5" bestFit="1" customWidth="1"/>
    <col min="72" max="72" width="11.19921875" bestFit="1" customWidth="1"/>
    <col min="73" max="73" width="8" bestFit="1" customWidth="1"/>
    <col min="74" max="74" width="7.09765625" bestFit="1" customWidth="1"/>
    <col min="75" max="75" width="10" bestFit="1" customWidth="1"/>
    <col min="76" max="76" width="10.19921875" bestFit="1" customWidth="1"/>
    <col min="77" max="77" width="11.796875" bestFit="1" customWidth="1"/>
    <col min="78" max="78" width="3.59765625" bestFit="1" customWidth="1"/>
    <col min="79" max="79" width="9.5" bestFit="1" customWidth="1"/>
    <col min="80" max="80" width="24" bestFit="1" customWidth="1"/>
    <col min="81" max="81" width="8.296875" bestFit="1" customWidth="1"/>
    <col min="82" max="82" width="8.19921875" bestFit="1" customWidth="1"/>
    <col min="83" max="83" width="7.69921875" bestFit="1" customWidth="1"/>
    <col min="84" max="84" width="11.296875" bestFit="1" customWidth="1"/>
    <col min="85" max="85" width="11.5" bestFit="1" customWidth="1"/>
    <col min="86" max="86" width="8.5" bestFit="1" customWidth="1"/>
    <col min="87" max="87" width="4.3984375" bestFit="1" customWidth="1"/>
    <col min="88" max="88" width="8.09765625" bestFit="1" customWidth="1"/>
    <col min="89" max="89" width="8.69921875" bestFit="1" customWidth="1"/>
    <col min="90" max="90" width="11.5" bestFit="1" customWidth="1"/>
    <col min="91" max="91" width="6.59765625" bestFit="1" customWidth="1"/>
    <col min="92" max="92" width="6.3984375" bestFit="1" customWidth="1"/>
    <col min="93" max="93" width="10.59765625" bestFit="1" customWidth="1"/>
    <col min="94" max="94" width="12.19921875" bestFit="1" customWidth="1"/>
    <col min="95" max="95" width="8.19921875" bestFit="1" customWidth="1"/>
    <col min="96" max="96" width="31.59765625" bestFit="1" customWidth="1"/>
    <col min="97" max="97" width="7.5" bestFit="1" customWidth="1"/>
    <col min="98" max="98" width="6.5" bestFit="1" customWidth="1"/>
    <col min="99" max="99" width="11.09765625" bestFit="1" customWidth="1"/>
    <col min="100" max="100" width="8" bestFit="1" customWidth="1"/>
    <col min="101" max="101" width="8.8984375" bestFit="1" customWidth="1"/>
    <col min="102" max="102" width="10" bestFit="1" customWidth="1"/>
    <col min="103" max="103" width="9.69921875" bestFit="1" customWidth="1"/>
    <col min="104" max="104" width="11.796875" bestFit="1" customWidth="1"/>
    <col min="105" max="105" width="3.796875" bestFit="1" customWidth="1"/>
    <col min="106" max="106" width="9.3984375" bestFit="1" customWidth="1"/>
    <col min="107" max="107" width="24" bestFit="1" customWidth="1"/>
    <col min="108" max="108" width="8.296875" bestFit="1" customWidth="1"/>
    <col min="109" max="109" width="8.19921875" bestFit="1" customWidth="1"/>
    <col min="110" max="110" width="8.8984375" bestFit="1" customWidth="1"/>
    <col min="111" max="111" width="10.3984375" bestFit="1" customWidth="1"/>
    <col min="112" max="112" width="11.5" bestFit="1" customWidth="1"/>
    <col min="113" max="113" width="8.5" bestFit="1" customWidth="1"/>
    <col min="114" max="114" width="4.3984375" bestFit="1" customWidth="1"/>
    <col min="115" max="115" width="7.296875" bestFit="1" customWidth="1"/>
    <col min="116" max="116" width="8.69921875" bestFit="1" customWidth="1"/>
    <col min="117" max="117" width="11.5" bestFit="1" customWidth="1"/>
    <col min="118" max="118" width="5" bestFit="1" customWidth="1"/>
    <col min="119" max="119" width="6.3984375" bestFit="1" customWidth="1"/>
    <col min="120" max="120" width="10.59765625" bestFit="1" customWidth="1"/>
    <col min="121" max="121" width="9.69921875" bestFit="1" customWidth="1"/>
    <col min="122" max="122" width="8.19921875" bestFit="1" customWidth="1"/>
    <col min="123" max="123" width="19.19921875" bestFit="1" customWidth="1"/>
    <col min="124" max="124" width="6.69921875" bestFit="1" customWidth="1"/>
    <col min="125" max="125" width="6.5" bestFit="1" customWidth="1"/>
    <col min="126" max="126" width="11.8984375" bestFit="1" customWidth="1"/>
    <col min="127" max="127" width="8" bestFit="1" customWidth="1"/>
    <col min="128" max="128" width="7.09765625" bestFit="1" customWidth="1"/>
    <col min="129" max="129" width="10" bestFit="1" customWidth="1"/>
    <col min="130" max="130" width="8.796875" bestFit="1" customWidth="1"/>
    <col min="131" max="131" width="11.796875" bestFit="1" customWidth="1"/>
    <col min="132" max="132" width="3.59765625" bestFit="1" customWidth="1"/>
    <col min="133" max="133" width="5.8984375" bestFit="1" customWidth="1"/>
    <col min="134" max="134" width="24" bestFit="1" customWidth="1"/>
    <col min="135" max="135" width="8.296875" bestFit="1" customWidth="1"/>
    <col min="136" max="136" width="8.19921875" bestFit="1" customWidth="1"/>
    <col min="137" max="137" width="8" bestFit="1" customWidth="1"/>
    <col min="138" max="138" width="11.69921875" bestFit="1" customWidth="1"/>
    <col min="139" max="139" width="11.5" bestFit="1" customWidth="1"/>
    <col min="140" max="140" width="8.5" bestFit="1" customWidth="1"/>
    <col min="141" max="141" width="4.3984375" bestFit="1" customWidth="1"/>
    <col min="142" max="142" width="7.296875" bestFit="1" customWidth="1"/>
    <col min="143" max="143" width="8.8984375" bestFit="1" customWidth="1"/>
    <col min="144" max="144" width="11.5" bestFit="1" customWidth="1"/>
    <col min="145" max="145" width="4.59765625" bestFit="1" customWidth="1"/>
    <col min="146" max="146" width="6.3984375" bestFit="1" customWidth="1"/>
    <col min="147" max="147" width="10.59765625" bestFit="1" customWidth="1"/>
    <col min="148" max="148" width="9.69921875" bestFit="1" customWidth="1"/>
    <col min="149" max="149" width="8.19921875" bestFit="1" customWidth="1"/>
    <col min="150" max="150" width="24.796875" bestFit="1" customWidth="1"/>
    <col min="151" max="151" width="7.796875" bestFit="1" customWidth="1"/>
    <col min="152" max="152" width="6.5" bestFit="1" customWidth="1"/>
    <col min="153" max="153" width="11" bestFit="1" customWidth="1"/>
    <col min="154" max="154" width="8" bestFit="1" customWidth="1"/>
    <col min="155" max="155" width="8.8984375" bestFit="1" customWidth="1"/>
    <col min="156" max="156" width="10" bestFit="1" customWidth="1"/>
    <col min="157" max="157" width="9.69921875" bestFit="1" customWidth="1"/>
    <col min="158" max="158" width="11.796875" bestFit="1" customWidth="1"/>
    <col min="159" max="159" width="3.69921875" bestFit="1" customWidth="1"/>
    <col min="160" max="160" width="6.296875" bestFit="1" customWidth="1"/>
    <col min="161" max="161" width="24" bestFit="1" customWidth="1"/>
    <col min="162" max="162" width="8.296875" bestFit="1" customWidth="1"/>
    <col min="163" max="163" width="8.19921875" bestFit="1" customWidth="1"/>
    <col min="164" max="164" width="8" bestFit="1" customWidth="1"/>
    <col min="165" max="165" width="10.69921875" bestFit="1" customWidth="1"/>
    <col min="166" max="166" width="11.5" bestFit="1" customWidth="1"/>
    <col min="167" max="167" width="8.5" bestFit="1" customWidth="1"/>
    <col min="168" max="168" width="4.3984375" bestFit="1" customWidth="1"/>
    <col min="169" max="169" width="7.296875" bestFit="1" customWidth="1"/>
    <col min="170" max="170" width="8.69921875" bestFit="1" customWidth="1"/>
    <col min="171" max="171" width="11.5" bestFit="1" customWidth="1"/>
    <col min="172" max="172" width="5" bestFit="1" customWidth="1"/>
    <col min="173" max="173" width="6.3984375" bestFit="1" customWidth="1"/>
    <col min="174" max="174" width="10.59765625" bestFit="1" customWidth="1"/>
    <col min="175" max="175" width="9.69921875" bestFit="1" customWidth="1"/>
    <col min="176" max="176" width="8.19921875" bestFit="1" customWidth="1"/>
    <col min="177" max="177" width="29.59765625" bestFit="1" customWidth="1"/>
    <col min="178" max="178" width="7.59765625" bestFit="1" customWidth="1"/>
    <col min="179" max="179" width="6.5" bestFit="1" customWidth="1"/>
    <col min="180" max="180" width="11.69921875" bestFit="1" customWidth="1"/>
    <col min="181" max="181" width="8" bestFit="1" customWidth="1"/>
    <col min="182" max="182" width="10.3984375" bestFit="1" customWidth="1"/>
    <col min="183" max="183" width="10" bestFit="1" customWidth="1"/>
    <col min="184" max="184" width="11" bestFit="1" customWidth="1"/>
    <col min="185" max="185" width="11.796875" bestFit="1" customWidth="1"/>
    <col min="186" max="186" width="3.8984375" bestFit="1" customWidth="1"/>
    <col min="187" max="187" width="7.5" bestFit="1" customWidth="1"/>
    <col min="188" max="188" width="24" bestFit="1" customWidth="1"/>
    <col min="189" max="189" width="8.296875" bestFit="1" customWidth="1"/>
    <col min="190" max="190" width="8" bestFit="1" customWidth="1"/>
    <col min="191" max="191" width="8.8984375" bestFit="1" customWidth="1"/>
    <col min="192" max="192" width="10.796875" bestFit="1" customWidth="1"/>
    <col min="193" max="193" width="11.5" bestFit="1" customWidth="1"/>
    <col min="194" max="194" width="8.5" bestFit="1" customWidth="1"/>
    <col min="195" max="195" width="4.3984375" bestFit="1" customWidth="1"/>
    <col min="196" max="196" width="7.296875" bestFit="1" customWidth="1"/>
    <col min="197" max="197" width="8.69921875" bestFit="1" customWidth="1"/>
    <col min="198" max="198" width="11.5" bestFit="1" customWidth="1"/>
    <col min="199" max="199" width="5" bestFit="1" customWidth="1"/>
    <col min="200" max="200" width="6.3984375" bestFit="1" customWidth="1"/>
    <col min="201" max="201" width="10.59765625" bestFit="1" customWidth="1"/>
    <col min="202" max="202" width="9.69921875" bestFit="1" customWidth="1"/>
    <col min="203" max="203" width="8" bestFit="1" customWidth="1"/>
    <col min="204" max="204" width="27.5" bestFit="1" customWidth="1"/>
    <col min="205" max="205" width="6.796875" bestFit="1" customWidth="1"/>
    <col min="206" max="206" width="6.5" bestFit="1" customWidth="1"/>
    <col min="207" max="207" width="12" bestFit="1" customWidth="1"/>
    <col min="208" max="208" width="8" bestFit="1" customWidth="1"/>
    <col min="209" max="209" width="7.8984375" bestFit="1" customWidth="1"/>
    <col min="210" max="210" width="10" bestFit="1" customWidth="1"/>
    <col min="211" max="211" width="11" bestFit="1" customWidth="1"/>
    <col min="212" max="212" width="11.796875" bestFit="1" customWidth="1"/>
    <col min="213" max="213" width="3.8984375" bestFit="1" customWidth="1"/>
    <col min="214" max="214" width="7.59765625" bestFit="1" customWidth="1"/>
    <col min="215" max="215" width="24" bestFit="1" customWidth="1"/>
    <col min="216" max="216" width="8" bestFit="1" customWidth="1"/>
    <col min="217" max="217" width="8.19921875" bestFit="1" customWidth="1"/>
    <col min="218" max="218" width="8.8984375" bestFit="1" customWidth="1"/>
    <col min="219" max="219" width="11.59765625" bestFit="1" customWidth="1"/>
    <col min="220" max="220" width="11.5" bestFit="1" customWidth="1"/>
    <col min="221" max="221" width="8.5" bestFit="1" customWidth="1"/>
    <col min="222" max="222" width="6.19921875" bestFit="1" customWidth="1"/>
    <col min="223" max="223" width="7.296875" bestFit="1" customWidth="1"/>
    <col min="224" max="224" width="8.69921875" bestFit="1" customWidth="1"/>
    <col min="225" max="225" width="11.5" bestFit="1" customWidth="1"/>
    <col min="226" max="226" width="5.5" bestFit="1" customWidth="1"/>
    <col min="227" max="227" width="6.3984375" bestFit="1" customWidth="1"/>
    <col min="228" max="228" width="10.59765625" bestFit="1" customWidth="1"/>
    <col min="229" max="229" width="10.09765625" bestFit="1" customWidth="1"/>
    <col min="230" max="230" width="8.19921875" bestFit="1" customWidth="1"/>
    <col min="231" max="231" width="32.69921875" bestFit="1" customWidth="1"/>
    <col min="232" max="232" width="7" bestFit="1" customWidth="1"/>
    <col min="233" max="233" width="6.5" bestFit="1" customWidth="1"/>
    <col min="234" max="234" width="11.59765625" bestFit="1" customWidth="1"/>
    <col min="235" max="235" width="8" bestFit="1" customWidth="1"/>
    <col min="236" max="236" width="7.8984375" bestFit="1" customWidth="1"/>
    <col min="237" max="237" width="10" bestFit="1" customWidth="1"/>
    <col min="238" max="238" width="8.796875" bestFit="1" customWidth="1"/>
    <col min="239" max="239" width="11.796875" bestFit="1" customWidth="1"/>
    <col min="240" max="240" width="3.69921875" bestFit="1" customWidth="1"/>
    <col min="241" max="241" width="5.59765625" bestFit="1" customWidth="1"/>
    <col min="242" max="242" width="24" bestFit="1" customWidth="1"/>
    <col min="243" max="243" width="8.296875" bestFit="1" customWidth="1"/>
    <col min="244" max="244" width="8.19921875" bestFit="1" customWidth="1"/>
    <col min="245" max="245" width="8.09765625" bestFit="1" customWidth="1"/>
    <col min="246" max="246" width="11.3984375" bestFit="1" customWidth="1"/>
    <col min="247" max="247" width="11.5" bestFit="1" customWidth="1"/>
    <col min="248" max="248" width="8.5" bestFit="1" customWidth="1"/>
    <col min="249" max="249" width="6.19921875" bestFit="1" customWidth="1"/>
    <col min="250" max="250" width="7.296875" bestFit="1" customWidth="1"/>
    <col min="251" max="251" width="8.69921875" bestFit="1" customWidth="1"/>
    <col min="252" max="252" width="11.5" bestFit="1" customWidth="1"/>
    <col min="253" max="253" width="6.59765625" bestFit="1" customWidth="1"/>
    <col min="254" max="254" width="6.3984375" bestFit="1" customWidth="1"/>
    <col min="255" max="255" width="10.59765625" bestFit="1" customWidth="1"/>
    <col min="256" max="256" width="11.19921875" bestFit="1" customWidth="1"/>
    <col min="257" max="257" width="8.19921875" bestFit="1" customWidth="1"/>
    <col min="258" max="258" width="26" bestFit="1" customWidth="1"/>
    <col min="259" max="259" width="7.09765625" bestFit="1" customWidth="1"/>
    <col min="260" max="260" width="6.5" bestFit="1" customWidth="1"/>
    <col min="261" max="261" width="11.19921875" bestFit="1" customWidth="1"/>
    <col min="262" max="262" width="8" bestFit="1" customWidth="1"/>
    <col min="263" max="263" width="9.19921875" bestFit="1" customWidth="1"/>
    <col min="264" max="264" width="10" bestFit="1" customWidth="1"/>
    <col min="265" max="265" width="9.69921875" bestFit="1" customWidth="1"/>
    <col min="266" max="266" width="11.796875" bestFit="1" customWidth="1"/>
    <col min="267" max="267" width="3.69921875" bestFit="1" customWidth="1"/>
    <col min="268" max="268" width="7.59765625" bestFit="1" customWidth="1"/>
    <col min="269" max="269" width="24" bestFit="1" customWidth="1"/>
    <col min="270" max="270" width="8.296875" bestFit="1" customWidth="1"/>
    <col min="271" max="271" width="8.19921875" bestFit="1" customWidth="1"/>
    <col min="272" max="272" width="8.8984375" bestFit="1" customWidth="1"/>
    <col min="273" max="273" width="10.296875" bestFit="1" customWidth="1"/>
    <col min="274" max="274" width="11.5" bestFit="1" customWidth="1"/>
    <col min="275" max="275" width="8.5" bestFit="1" customWidth="1"/>
    <col min="276" max="276" width="4.3984375" bestFit="1" customWidth="1"/>
    <col min="277" max="277" width="7.296875" bestFit="1" customWidth="1"/>
    <col min="278" max="278" width="8.69921875" bestFit="1" customWidth="1"/>
    <col min="279" max="279" width="11.5" bestFit="1" customWidth="1"/>
    <col min="280" max="280" width="5" bestFit="1" customWidth="1"/>
    <col min="281" max="281" width="6.3984375" bestFit="1" customWidth="1"/>
    <col min="282" max="282" width="10.59765625" bestFit="1" customWidth="1"/>
    <col min="283" max="283" width="9.69921875" bestFit="1" customWidth="1"/>
    <col min="284" max="284" width="8.19921875" bestFit="1" customWidth="1"/>
    <col min="285" max="285" width="28.8984375" bestFit="1" customWidth="1"/>
    <col min="286" max="286" width="8.5" bestFit="1" customWidth="1"/>
    <col min="287" max="287" width="6.5" bestFit="1" customWidth="1"/>
    <col min="288" max="288" width="12" bestFit="1" customWidth="1"/>
    <col min="289" max="289" width="8" bestFit="1" customWidth="1"/>
    <col min="290" max="290" width="8.8984375" bestFit="1" customWidth="1"/>
    <col min="291" max="291" width="10" bestFit="1" customWidth="1"/>
    <col min="292" max="292" width="9.69921875" bestFit="1" customWidth="1"/>
    <col min="293" max="293" width="11.796875" bestFit="1" customWidth="1"/>
    <col min="294" max="294" width="3.8984375" bestFit="1" customWidth="1"/>
    <col min="295" max="295" width="7.296875" bestFit="1" customWidth="1"/>
    <col min="296" max="296" width="24" bestFit="1" customWidth="1"/>
    <col min="297" max="297" width="8.296875" bestFit="1" customWidth="1"/>
    <col min="298" max="298" width="8.19921875" bestFit="1" customWidth="1"/>
    <col min="299" max="299" width="8.8984375" bestFit="1" customWidth="1"/>
    <col min="300" max="300" width="10.19921875" bestFit="1" customWidth="1"/>
    <col min="301" max="301" width="11.5" bestFit="1" customWidth="1"/>
    <col min="302" max="302" width="8.5" bestFit="1" customWidth="1"/>
    <col min="303" max="303" width="4.3984375" bestFit="1" customWidth="1"/>
    <col min="304" max="304" width="7.296875" bestFit="1" customWidth="1"/>
    <col min="305" max="305" width="8.69921875" bestFit="1" customWidth="1"/>
    <col min="306" max="306" width="11.5" bestFit="1" customWidth="1"/>
    <col min="307" max="307" width="5.8984375" bestFit="1" customWidth="1"/>
    <col min="308" max="308" width="6.3984375" bestFit="1" customWidth="1"/>
    <col min="309" max="309" width="10.59765625" bestFit="1" customWidth="1"/>
    <col min="310" max="310" width="9.69921875" bestFit="1" customWidth="1"/>
    <col min="311" max="311" width="8.19921875" bestFit="1" customWidth="1"/>
    <col min="312" max="312" width="22.59765625" bestFit="1" customWidth="1"/>
    <col min="313" max="313" width="6.69921875" bestFit="1" customWidth="1"/>
    <col min="314" max="314" width="6.5" bestFit="1" customWidth="1"/>
    <col min="315" max="315" width="11" bestFit="1" customWidth="1"/>
    <col min="316" max="316" width="8" bestFit="1" customWidth="1"/>
    <col min="317" max="317" width="8.8984375" bestFit="1" customWidth="1"/>
    <col min="318" max="318" width="10" bestFit="1" customWidth="1"/>
    <col min="319" max="319" width="9.69921875" bestFit="1" customWidth="1"/>
    <col min="320" max="320" width="11.796875" bestFit="1" customWidth="1"/>
    <col min="321" max="321" width="3.69921875" bestFit="1" customWidth="1"/>
    <col min="322" max="322" width="6.296875" bestFit="1" customWidth="1"/>
    <col min="323" max="323" width="24" bestFit="1" customWidth="1"/>
    <col min="324" max="324" width="8.296875" bestFit="1" customWidth="1"/>
    <col min="325" max="325" width="8.19921875" bestFit="1" customWidth="1"/>
    <col min="326" max="326" width="8" bestFit="1" customWidth="1"/>
    <col min="327" max="327" width="10.19921875" bestFit="1" customWidth="1"/>
    <col min="328" max="328" width="11.5" bestFit="1" customWidth="1"/>
    <col min="329" max="329" width="8.5" bestFit="1" customWidth="1"/>
    <col min="330" max="330" width="4.3984375" bestFit="1" customWidth="1"/>
    <col min="331" max="331" width="7.296875" bestFit="1" customWidth="1"/>
    <col min="332" max="332" width="8.69921875" bestFit="1" customWidth="1"/>
    <col min="333" max="333" width="11.5" bestFit="1" customWidth="1"/>
    <col min="334" max="334" width="5" bestFit="1" customWidth="1"/>
    <col min="335" max="335" width="6.3984375" bestFit="1" customWidth="1"/>
    <col min="336" max="336" width="10.59765625" bestFit="1" customWidth="1"/>
    <col min="337" max="337" width="9.69921875" bestFit="1" customWidth="1"/>
    <col min="338" max="338" width="8.19921875" bestFit="1" customWidth="1"/>
    <col min="339" max="339" width="19.296875" bestFit="1" customWidth="1"/>
    <col min="340" max="340" width="8.796875" bestFit="1" customWidth="1"/>
    <col min="341" max="341" width="6.5" bestFit="1" customWidth="1"/>
    <col min="342" max="342" width="11.8984375" bestFit="1" customWidth="1"/>
    <col min="343" max="343" width="8" bestFit="1" customWidth="1"/>
    <col min="344" max="344" width="8.8984375" bestFit="1" customWidth="1"/>
    <col min="345" max="345" width="10" bestFit="1" customWidth="1"/>
    <col min="346" max="346" width="9.69921875" bestFit="1" customWidth="1"/>
    <col min="347" max="347" width="11.796875" bestFit="1" customWidth="1"/>
    <col min="348" max="348" width="3.8984375" bestFit="1" customWidth="1"/>
    <col min="349" max="349" width="6.3984375" bestFit="1" customWidth="1"/>
    <col min="350" max="350" width="24" bestFit="1" customWidth="1"/>
    <col min="351" max="351" width="8.296875" bestFit="1" customWidth="1"/>
    <col min="352" max="352" width="8.19921875" bestFit="1" customWidth="1"/>
    <col min="353" max="353" width="8.8984375" bestFit="1" customWidth="1"/>
    <col min="354" max="354" width="11.3984375" bestFit="1" customWidth="1"/>
    <col min="355" max="355" width="11.5" bestFit="1" customWidth="1"/>
    <col min="356" max="356" width="8.5" bestFit="1" customWidth="1"/>
    <col min="357" max="357" width="6.19921875" bestFit="1" customWidth="1"/>
    <col min="358" max="358" width="7.296875" bestFit="1" customWidth="1"/>
    <col min="359" max="359" width="8.69921875" bestFit="1" customWidth="1"/>
    <col min="360" max="360" width="11.5" bestFit="1" customWidth="1"/>
    <col min="361" max="361" width="5" bestFit="1" customWidth="1"/>
    <col min="362" max="362" width="6.3984375" bestFit="1" customWidth="1"/>
    <col min="363" max="363" width="10.59765625" bestFit="1" customWidth="1"/>
    <col min="364" max="364" width="9.69921875" bestFit="1" customWidth="1"/>
    <col min="365" max="365" width="8.19921875" bestFit="1" customWidth="1"/>
    <col min="366" max="366" width="24.3984375" bestFit="1" customWidth="1"/>
    <col min="367" max="367" width="7.796875" bestFit="1" customWidth="1"/>
    <col min="368" max="368" width="6.5" bestFit="1" customWidth="1"/>
    <col min="369" max="369" width="11.5" bestFit="1" customWidth="1"/>
    <col min="370" max="370" width="8" bestFit="1" customWidth="1"/>
    <col min="371" max="371" width="8.8984375" bestFit="1" customWidth="1"/>
    <col min="372" max="372" width="10" bestFit="1" customWidth="1"/>
    <col min="373" max="373" width="13.296875" bestFit="1" customWidth="1"/>
    <col min="374" max="374" width="11.796875" bestFit="1" customWidth="1"/>
    <col min="375" max="375" width="3.69921875" bestFit="1" customWidth="1"/>
    <col min="376" max="376" width="6.19921875" bestFit="1" customWidth="1"/>
    <col min="377" max="377" width="24" bestFit="1" customWidth="1"/>
    <col min="378" max="378" width="8.296875" bestFit="1" customWidth="1"/>
    <col min="379" max="379" width="8.19921875" bestFit="1" customWidth="1"/>
    <col min="380" max="380" width="8" bestFit="1" customWidth="1"/>
    <col min="381" max="381" width="10.09765625" bestFit="1" customWidth="1"/>
    <col min="382" max="382" width="11.5" bestFit="1" customWidth="1"/>
    <col min="383" max="383" width="8.5" bestFit="1" customWidth="1"/>
    <col min="384" max="384" width="4.3984375" bestFit="1" customWidth="1"/>
    <col min="385" max="385" width="7.296875" bestFit="1" customWidth="1"/>
    <col min="386" max="386" width="8.69921875" bestFit="1" customWidth="1"/>
    <col min="387" max="387" width="11.5" bestFit="1" customWidth="1"/>
    <col min="388" max="388" width="5" bestFit="1" customWidth="1"/>
    <col min="389" max="389" width="6.3984375" bestFit="1" customWidth="1"/>
    <col min="390" max="390" width="10.59765625" bestFit="1" customWidth="1"/>
    <col min="391" max="391" width="9.69921875" bestFit="1" customWidth="1"/>
    <col min="392" max="392" width="8.19921875" bestFit="1" customWidth="1"/>
    <col min="393" max="393" width="41.3984375" bestFit="1" customWidth="1"/>
    <col min="394" max="394" width="8.5" bestFit="1" customWidth="1"/>
    <col min="395" max="395" width="6.5" bestFit="1" customWidth="1"/>
    <col min="396" max="396" width="11.8984375" bestFit="1" customWidth="1"/>
    <col min="397" max="397" width="8" bestFit="1" customWidth="1"/>
    <col min="398" max="398" width="10.3984375" bestFit="1" customWidth="1"/>
    <col min="399" max="399" width="10" bestFit="1" customWidth="1"/>
    <col min="400" max="400" width="9.69921875" bestFit="1" customWidth="1"/>
    <col min="401" max="401" width="11.796875" bestFit="1" customWidth="1"/>
    <col min="402" max="402" width="3.796875" bestFit="1" customWidth="1"/>
    <col min="403" max="403" width="6.3984375" bestFit="1" customWidth="1"/>
    <col min="404" max="404" width="24" bestFit="1" customWidth="1"/>
    <col min="405" max="405" width="8.296875" bestFit="1" customWidth="1"/>
    <col min="406" max="406" width="8.19921875" bestFit="1" customWidth="1"/>
    <col min="407" max="407" width="7.8984375" bestFit="1" customWidth="1"/>
    <col min="408" max="409" width="11.5" bestFit="1" customWidth="1"/>
    <col min="410" max="410" width="8.5" bestFit="1" customWidth="1"/>
    <col min="411" max="411" width="4.3984375" bestFit="1" customWidth="1"/>
    <col min="412" max="412" width="7.296875" bestFit="1" customWidth="1"/>
    <col min="413" max="413" width="8.8984375" bestFit="1" customWidth="1"/>
    <col min="414" max="414" width="11.5" bestFit="1" customWidth="1"/>
    <col min="415" max="415" width="5" bestFit="1" customWidth="1"/>
    <col min="416" max="416" width="6.3984375" bestFit="1" customWidth="1"/>
    <col min="417" max="417" width="10.59765625" bestFit="1" customWidth="1"/>
    <col min="418" max="418" width="9.69921875" bestFit="1" customWidth="1"/>
    <col min="419" max="419" width="8.19921875" bestFit="1" customWidth="1"/>
    <col min="420" max="420" width="24.59765625" bestFit="1" customWidth="1"/>
    <col min="421" max="421" width="8" bestFit="1" customWidth="1"/>
    <col min="422" max="422" width="6.5" bestFit="1" customWidth="1"/>
    <col min="423" max="423" width="11.19921875" bestFit="1" customWidth="1"/>
    <col min="424" max="424" width="8" bestFit="1" customWidth="1"/>
    <col min="425" max="425" width="7.09765625" bestFit="1" customWidth="1"/>
    <col min="426" max="426" width="10" bestFit="1" customWidth="1"/>
    <col min="427" max="427" width="10.19921875" bestFit="1" customWidth="1"/>
    <col min="428" max="428" width="11.796875" bestFit="1" customWidth="1"/>
    <col min="429" max="429" width="3.59765625" bestFit="1" customWidth="1"/>
    <col min="430" max="430" width="7.59765625" bestFit="1" customWidth="1"/>
    <col min="431" max="431" width="24" bestFit="1" customWidth="1"/>
    <col min="432" max="432" width="8.296875" bestFit="1" customWidth="1"/>
    <col min="433" max="433" width="8.19921875" bestFit="1" customWidth="1"/>
    <col min="434" max="434" width="7.8984375" bestFit="1" customWidth="1"/>
    <col min="435" max="435" width="9.69921875" bestFit="1" customWidth="1"/>
    <col min="436" max="436" width="11.5" bestFit="1" customWidth="1"/>
    <col min="437" max="437" width="8.5" bestFit="1" customWidth="1"/>
    <col min="438" max="438" width="4.3984375" bestFit="1" customWidth="1"/>
    <col min="439" max="439" width="8" bestFit="1" customWidth="1"/>
    <col min="440" max="440" width="8.69921875" bestFit="1" customWidth="1"/>
    <col min="441" max="441" width="11.5" bestFit="1" customWidth="1"/>
    <col min="442" max="442" width="6.59765625" bestFit="1" customWidth="1"/>
    <col min="443" max="443" width="6.3984375" bestFit="1" customWidth="1"/>
    <col min="444" max="444" width="10.59765625" bestFit="1" customWidth="1"/>
    <col min="445" max="445" width="12.59765625" bestFit="1" customWidth="1"/>
    <col min="446" max="446" width="8.19921875" bestFit="1" customWidth="1"/>
    <col min="447" max="447" width="35" bestFit="1" customWidth="1"/>
    <col min="448" max="448" width="8.19921875" bestFit="1" customWidth="1"/>
    <col min="449" max="449" width="6.5" bestFit="1" customWidth="1"/>
    <col min="450" max="450" width="10.8984375" bestFit="1" customWidth="1"/>
    <col min="451" max="451" width="8" bestFit="1" customWidth="1"/>
    <col min="452" max="452" width="17.5" bestFit="1" customWidth="1"/>
    <col min="453" max="453" width="10" bestFit="1" customWidth="1"/>
    <col min="454" max="454" width="8.796875" bestFit="1" customWidth="1"/>
    <col min="455" max="455" width="11.796875" bestFit="1" customWidth="1"/>
    <col min="456" max="456" width="3.69921875" bestFit="1" customWidth="1"/>
    <col min="457" max="457" width="7.296875" bestFit="1" customWidth="1"/>
    <col min="458" max="458" width="24" bestFit="1" customWidth="1"/>
    <col min="459" max="459" width="8.296875" bestFit="1" customWidth="1"/>
    <col min="461" max="461" width="8.8984375" bestFit="1" customWidth="1"/>
    <col min="462" max="462" width="10.296875" bestFit="1" customWidth="1"/>
    <col min="463" max="463" width="11.5" bestFit="1" customWidth="1"/>
    <col min="465" max="465" width="4.3984375" bestFit="1" customWidth="1"/>
    <col min="466" max="466" width="7.296875" bestFit="1" customWidth="1"/>
    <col min="467" max="467" width="8.69921875" bestFit="1" customWidth="1"/>
    <col min="468" max="468" width="11.5" bestFit="1" customWidth="1"/>
    <col min="469" max="469" width="5" bestFit="1" customWidth="1"/>
    <col min="471" max="471" width="10.59765625" bestFit="1" customWidth="1"/>
    <col min="472" max="472" width="9.69921875" bestFit="1" customWidth="1"/>
    <col min="474" max="474" width="35" bestFit="1" customWidth="1"/>
    <col min="475" max="475" width="8.296875" bestFit="1" customWidth="1"/>
    <col min="476" max="476" width="6.5" bestFit="1" customWidth="1"/>
    <col min="477" max="477" width="11.59765625" bestFit="1" customWidth="1"/>
    <col min="478" max="478" width="8" bestFit="1" customWidth="1"/>
    <col min="479" max="479" width="9.19921875" bestFit="1" customWidth="1"/>
  </cols>
  <sheetData>
    <row r="1" spans="15:479" ht="15" thickBot="1" x14ac:dyDescent="0.25"/>
    <row r="2" spans="15:479" ht="15" thickBot="1" x14ac:dyDescent="0.25">
      <c r="O2" s="1" t="s">
        <v>4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2" t="s">
        <v>0</v>
      </c>
      <c r="AF2" s="1"/>
      <c r="AG2" s="1"/>
      <c r="AH2" s="1"/>
      <c r="AI2" s="1"/>
      <c r="AJ2" s="2" t="s">
        <v>1</v>
      </c>
      <c r="AK2" s="1"/>
      <c r="AL2" s="1"/>
      <c r="AM2" s="3" t="s">
        <v>2</v>
      </c>
      <c r="AN2" s="3" t="s">
        <v>3</v>
      </c>
      <c r="AP2" t="s">
        <v>90</v>
      </c>
      <c r="BD2" s="1"/>
      <c r="BE2" s="1"/>
      <c r="BF2" s="2" t="s">
        <v>0</v>
      </c>
      <c r="BG2" s="1"/>
      <c r="BH2" s="1"/>
      <c r="BI2" s="1"/>
      <c r="BJ2" s="1"/>
      <c r="BK2" s="2" t="s">
        <v>1</v>
      </c>
      <c r="BL2" s="1"/>
      <c r="BM2" s="1"/>
      <c r="BN2" s="3" t="s">
        <v>2</v>
      </c>
      <c r="BO2" s="3" t="s">
        <v>3</v>
      </c>
      <c r="BQ2" t="s">
        <v>106</v>
      </c>
      <c r="CE2" s="1"/>
      <c r="CF2" s="1"/>
      <c r="CG2" s="2" t="s">
        <v>0</v>
      </c>
      <c r="CH2" s="1"/>
      <c r="CI2" s="1"/>
      <c r="CJ2" s="1"/>
      <c r="CK2" s="1"/>
      <c r="CL2" s="2" t="s">
        <v>1</v>
      </c>
      <c r="CM2" s="1"/>
      <c r="CN2" s="1"/>
      <c r="CO2" s="3" t="s">
        <v>2</v>
      </c>
      <c r="CP2" s="3" t="s">
        <v>3</v>
      </c>
      <c r="CR2" t="s">
        <v>125</v>
      </c>
      <c r="DF2" s="1"/>
      <c r="DG2" s="1"/>
      <c r="DH2" s="2" t="s">
        <v>0</v>
      </c>
      <c r="DI2" s="1"/>
      <c r="DJ2" s="1"/>
      <c r="DK2" s="1"/>
      <c r="DL2" s="1"/>
      <c r="DM2" s="2" t="s">
        <v>1</v>
      </c>
      <c r="DN2" s="1"/>
      <c r="DO2" s="1"/>
      <c r="DP2" s="3" t="s">
        <v>2</v>
      </c>
      <c r="DQ2" s="3" t="s">
        <v>3</v>
      </c>
      <c r="DS2" t="s">
        <v>163</v>
      </c>
      <c r="EG2" s="1"/>
      <c r="EH2" s="1"/>
      <c r="EI2" s="2" t="s">
        <v>0</v>
      </c>
      <c r="EJ2" s="1"/>
      <c r="EK2" s="1"/>
      <c r="EL2" s="1"/>
      <c r="EM2" s="1"/>
      <c r="EN2" s="2" t="s">
        <v>1</v>
      </c>
      <c r="EO2" s="1"/>
      <c r="EP2" s="1"/>
      <c r="EQ2" s="3" t="s">
        <v>2</v>
      </c>
      <c r="ER2" s="3" t="s">
        <v>3</v>
      </c>
      <c r="ET2" t="s">
        <v>164</v>
      </c>
      <c r="FH2" s="1"/>
      <c r="FI2" s="1"/>
      <c r="FJ2" s="2" t="s">
        <v>0</v>
      </c>
      <c r="FK2" s="1"/>
      <c r="FL2" s="1"/>
      <c r="FM2" s="1"/>
      <c r="FN2" s="1"/>
      <c r="FO2" s="2" t="s">
        <v>1</v>
      </c>
      <c r="FP2" s="1"/>
      <c r="FQ2" s="1"/>
      <c r="FR2" s="3" t="s">
        <v>2</v>
      </c>
      <c r="FS2" s="3" t="s">
        <v>3</v>
      </c>
      <c r="FU2" t="s">
        <v>174</v>
      </c>
      <c r="GI2" s="1"/>
      <c r="GJ2" s="1"/>
      <c r="GK2" s="2" t="s">
        <v>0</v>
      </c>
      <c r="GL2" s="1"/>
      <c r="GM2" s="1"/>
      <c r="GN2" s="1"/>
      <c r="GO2" s="1"/>
      <c r="GP2" s="2" t="s">
        <v>1</v>
      </c>
      <c r="GQ2" s="1"/>
      <c r="GR2" s="1"/>
      <c r="GS2" s="3" t="s">
        <v>2</v>
      </c>
      <c r="GT2" s="3" t="s">
        <v>3</v>
      </c>
      <c r="GV2" t="s">
        <v>184</v>
      </c>
      <c r="HJ2" s="1"/>
      <c r="HK2" s="1"/>
      <c r="HL2" s="2" t="s">
        <v>0</v>
      </c>
      <c r="HM2" s="1"/>
      <c r="HN2" s="1"/>
      <c r="HO2" s="1"/>
      <c r="HP2" s="1"/>
      <c r="HQ2" s="2" t="s">
        <v>1</v>
      </c>
      <c r="HR2" s="1"/>
      <c r="HS2" s="1"/>
      <c r="HT2" s="3" t="s">
        <v>2</v>
      </c>
      <c r="HU2" s="3" t="s">
        <v>3</v>
      </c>
      <c r="HW2" t="s">
        <v>205</v>
      </c>
      <c r="IK2" s="1"/>
      <c r="IL2" s="1"/>
      <c r="IM2" s="2" t="s">
        <v>0</v>
      </c>
      <c r="IN2" s="1"/>
      <c r="IO2" s="1"/>
      <c r="IP2" s="1"/>
      <c r="IQ2" s="1"/>
      <c r="IR2" s="2" t="s">
        <v>1</v>
      </c>
      <c r="IS2" s="1"/>
      <c r="IT2" s="1"/>
      <c r="IU2" s="3" t="s">
        <v>2</v>
      </c>
      <c r="IV2" s="3" t="s">
        <v>3</v>
      </c>
      <c r="IX2" t="s">
        <v>223</v>
      </c>
      <c r="JL2" s="1"/>
      <c r="JM2" s="1"/>
      <c r="JN2" s="2" t="s">
        <v>0</v>
      </c>
      <c r="JO2" s="1"/>
      <c r="JP2" s="1"/>
      <c r="JQ2" s="1"/>
      <c r="JR2" s="1"/>
      <c r="JS2" s="2" t="s">
        <v>1</v>
      </c>
      <c r="JT2" s="1"/>
      <c r="JU2" s="1"/>
      <c r="JV2" s="3" t="s">
        <v>2</v>
      </c>
      <c r="JW2" s="3" t="s">
        <v>3</v>
      </c>
      <c r="JY2" t="s">
        <v>237</v>
      </c>
      <c r="KM2" s="1"/>
      <c r="KN2" s="1"/>
      <c r="KO2" s="2" t="s">
        <v>0</v>
      </c>
      <c r="KP2" s="1"/>
      <c r="KQ2" s="1"/>
      <c r="KR2" s="1"/>
      <c r="KS2" s="1"/>
      <c r="KT2" s="2" t="s">
        <v>1</v>
      </c>
      <c r="KU2" s="1"/>
      <c r="KV2" s="1"/>
      <c r="KW2" s="3" t="s">
        <v>2</v>
      </c>
      <c r="KX2" s="3" t="s">
        <v>3</v>
      </c>
      <c r="KZ2" t="s">
        <v>252</v>
      </c>
      <c r="LN2" s="1"/>
      <c r="LO2" s="1"/>
      <c r="LP2" s="2" t="s">
        <v>0</v>
      </c>
      <c r="LQ2" s="1"/>
      <c r="LR2" s="1"/>
      <c r="LS2" s="1"/>
      <c r="LT2" s="1"/>
      <c r="LU2" s="2" t="s">
        <v>1</v>
      </c>
      <c r="LV2" s="1"/>
      <c r="LW2" s="1"/>
      <c r="LX2" s="3" t="s">
        <v>2</v>
      </c>
      <c r="LY2" s="3" t="s">
        <v>3</v>
      </c>
      <c r="MA2" t="s">
        <v>258</v>
      </c>
      <c r="MO2" s="1"/>
      <c r="MP2" s="1"/>
      <c r="MQ2" s="2" t="s">
        <v>0</v>
      </c>
      <c r="MR2" s="1"/>
      <c r="MS2" s="1"/>
      <c r="MT2" s="1"/>
      <c r="MU2" s="1"/>
      <c r="MV2" s="2" t="s">
        <v>1</v>
      </c>
      <c r="MW2" s="1"/>
      <c r="MX2" s="1"/>
      <c r="MY2" s="3" t="s">
        <v>2</v>
      </c>
      <c r="MZ2" s="3" t="s">
        <v>3</v>
      </c>
      <c r="NB2" t="s">
        <v>266</v>
      </c>
      <c r="NP2" s="1"/>
      <c r="NQ2" s="1"/>
      <c r="NR2" s="2" t="s">
        <v>0</v>
      </c>
      <c r="NS2" s="1"/>
      <c r="NT2" s="1"/>
      <c r="NU2" s="1"/>
      <c r="NV2" s="1"/>
      <c r="NW2" s="2" t="s">
        <v>1</v>
      </c>
      <c r="NX2" s="1"/>
      <c r="NY2" s="1"/>
      <c r="NZ2" s="3" t="s">
        <v>2</v>
      </c>
      <c r="OA2" s="3" t="s">
        <v>3</v>
      </c>
      <c r="OC2" t="s">
        <v>274</v>
      </c>
      <c r="OQ2" s="1"/>
      <c r="OR2" s="1"/>
      <c r="OS2" s="2" t="s">
        <v>0</v>
      </c>
      <c r="OT2" s="1"/>
      <c r="OU2" s="1"/>
      <c r="OV2" s="1"/>
      <c r="OW2" s="1"/>
      <c r="OX2" s="2" t="s">
        <v>1</v>
      </c>
      <c r="OY2" s="1"/>
      <c r="OZ2" s="1"/>
      <c r="PA2" s="3" t="s">
        <v>2</v>
      </c>
      <c r="PB2" s="3" t="s">
        <v>3</v>
      </c>
      <c r="PD2" t="s">
        <v>280</v>
      </c>
      <c r="PR2" s="1"/>
      <c r="PS2" s="1"/>
      <c r="PT2" s="2" t="s">
        <v>0</v>
      </c>
      <c r="PU2" s="1"/>
      <c r="PV2" s="1"/>
      <c r="PW2" s="1"/>
      <c r="PX2" s="1"/>
      <c r="PY2" s="2" t="s">
        <v>1</v>
      </c>
      <c r="PZ2" s="1"/>
      <c r="QA2" s="1"/>
      <c r="QB2" s="3" t="s">
        <v>2</v>
      </c>
      <c r="QC2" s="3" t="s">
        <v>3</v>
      </c>
      <c r="QE2" t="s">
        <v>294</v>
      </c>
      <c r="QS2" s="1"/>
      <c r="QT2" s="1"/>
      <c r="QU2" s="2" t="s">
        <v>0</v>
      </c>
      <c r="QV2" s="1"/>
      <c r="QW2" s="1"/>
      <c r="QX2" s="1"/>
      <c r="QY2" s="1"/>
      <c r="QZ2" s="2" t="s">
        <v>1</v>
      </c>
      <c r="RA2" s="1"/>
      <c r="RB2" s="1"/>
      <c r="RC2" s="3" t="s">
        <v>2</v>
      </c>
      <c r="RD2" s="3" t="s">
        <v>3</v>
      </c>
      <c r="RF2" t="s">
        <v>1295</v>
      </c>
    </row>
    <row r="3" spans="15:479" ht="15" thickBot="1" x14ac:dyDescent="0.25">
      <c r="O3" s="73" t="s">
        <v>4</v>
      </c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5"/>
      <c r="AB3" s="4"/>
      <c r="AC3" s="1"/>
      <c r="AD3" s="5"/>
      <c r="AE3" s="6">
        <v>45398</v>
      </c>
      <c r="AF3" s="5"/>
      <c r="AG3" s="5"/>
      <c r="AH3" s="5"/>
      <c r="AI3" s="1"/>
      <c r="AJ3" s="7">
        <v>320000</v>
      </c>
      <c r="AK3" s="8"/>
      <c r="AL3" s="5"/>
      <c r="AM3" s="9">
        <v>254493.47773435741</v>
      </c>
      <c r="AN3" s="9">
        <v>245983.39999999994</v>
      </c>
      <c r="AP3" s="73" t="s">
        <v>90</v>
      </c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5"/>
      <c r="BD3" s="1"/>
      <c r="BE3" s="5"/>
      <c r="BF3" s="6">
        <v>45455</v>
      </c>
      <c r="BG3" s="5"/>
      <c r="BH3" s="5"/>
      <c r="BI3" s="5"/>
      <c r="BJ3" s="1"/>
      <c r="BK3" s="7">
        <v>50000</v>
      </c>
      <c r="BL3" s="8"/>
      <c r="BM3" s="5"/>
      <c r="BN3" s="9">
        <v>34542.80437298071</v>
      </c>
      <c r="BO3" s="9">
        <v>80891.804999999993</v>
      </c>
      <c r="BQ3" s="73" t="s">
        <v>106</v>
      </c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5"/>
      <c r="CE3" s="1"/>
      <c r="CF3" s="5"/>
      <c r="CG3" s="6">
        <v>45482</v>
      </c>
      <c r="CH3" s="5"/>
      <c r="CI3" s="5"/>
      <c r="CJ3" s="5"/>
      <c r="CK3" s="1"/>
      <c r="CL3" s="7">
        <v>25000000</v>
      </c>
      <c r="CM3" s="8"/>
      <c r="CN3" s="5"/>
      <c r="CO3" s="9">
        <v>5519899.9130702894</v>
      </c>
      <c r="CP3" s="9">
        <v>7082600</v>
      </c>
      <c r="CR3" s="73" t="s">
        <v>125</v>
      </c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5"/>
      <c r="DF3" s="1"/>
      <c r="DG3" s="5"/>
      <c r="DH3" s="6">
        <v>45398</v>
      </c>
      <c r="DI3" s="5"/>
      <c r="DJ3" s="5"/>
      <c r="DK3" s="5"/>
      <c r="DL3" s="1"/>
      <c r="DM3" s="7">
        <v>120000</v>
      </c>
      <c r="DN3" s="8"/>
      <c r="DO3" s="5"/>
      <c r="DP3" s="9">
        <v>63546.139527924533</v>
      </c>
      <c r="DQ3" s="9">
        <v>119110.25199999998</v>
      </c>
      <c r="DS3" s="73" t="s">
        <v>126</v>
      </c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5"/>
      <c r="EE3" s="61"/>
      <c r="EG3" s="1"/>
      <c r="EH3" s="5"/>
      <c r="EI3" s="6">
        <v>45930</v>
      </c>
      <c r="EJ3" s="5"/>
      <c r="EK3" s="5"/>
      <c r="EL3" s="5"/>
      <c r="EM3" s="1"/>
      <c r="EN3" s="7">
        <v>10000</v>
      </c>
      <c r="EO3" s="8"/>
      <c r="EP3" s="5"/>
      <c r="EQ3" s="9">
        <v>2516.0209957463717</v>
      </c>
      <c r="ER3" s="9">
        <v>5466.38</v>
      </c>
      <c r="ET3" s="73" t="s">
        <v>164</v>
      </c>
      <c r="EU3" s="74"/>
      <c r="EV3" s="74"/>
      <c r="EW3" s="74"/>
      <c r="EX3" s="74"/>
      <c r="EY3" s="74"/>
      <c r="EZ3" s="74"/>
      <c r="FA3" s="74"/>
      <c r="FB3" s="74"/>
      <c r="FC3" s="74"/>
      <c r="FD3" s="74"/>
      <c r="FE3" s="75"/>
      <c r="FF3" s="61"/>
      <c r="FH3" s="1"/>
      <c r="FI3" s="5"/>
      <c r="FJ3" s="6">
        <v>45455</v>
      </c>
      <c r="FK3" s="5"/>
      <c r="FL3" s="5"/>
      <c r="FM3" s="5"/>
      <c r="FN3" s="1"/>
      <c r="FO3" s="7">
        <v>100000</v>
      </c>
      <c r="FP3" s="8"/>
      <c r="FQ3" s="5"/>
      <c r="FR3" s="9">
        <v>19853.974150792565</v>
      </c>
      <c r="FS3" s="9">
        <v>24441.09</v>
      </c>
      <c r="FU3" s="73" t="s">
        <v>174</v>
      </c>
      <c r="FV3" s="74"/>
      <c r="FW3" s="74"/>
      <c r="FX3" s="74"/>
      <c r="FY3" s="74"/>
      <c r="FZ3" s="74"/>
      <c r="GA3" s="74"/>
      <c r="GB3" s="74"/>
      <c r="GC3" s="74"/>
      <c r="GD3" s="74"/>
      <c r="GE3" s="74"/>
      <c r="GF3" s="75"/>
      <c r="GG3" s="61"/>
      <c r="GI3" s="1"/>
      <c r="GJ3" s="5"/>
      <c r="GK3" s="6">
        <v>45455</v>
      </c>
      <c r="GL3" s="5"/>
      <c r="GM3" s="5"/>
      <c r="GN3" s="5"/>
      <c r="GO3" s="1"/>
      <c r="GP3" s="7">
        <v>125000</v>
      </c>
      <c r="GQ3" s="8"/>
      <c r="GR3" s="5"/>
      <c r="GS3" s="9">
        <v>124061.16854076317</v>
      </c>
      <c r="GT3" s="9">
        <v>115588</v>
      </c>
      <c r="GV3" s="73" t="s">
        <v>184</v>
      </c>
      <c r="GW3" s="74"/>
      <c r="GX3" s="74"/>
      <c r="GY3" s="74"/>
      <c r="GZ3" s="74"/>
      <c r="HA3" s="74"/>
      <c r="HB3" s="74"/>
      <c r="HC3" s="74"/>
      <c r="HD3" s="74"/>
      <c r="HE3" s="74"/>
      <c r="HF3" s="74"/>
      <c r="HG3" s="75"/>
      <c r="HH3" s="61"/>
      <c r="HJ3" s="1"/>
      <c r="HK3" s="5"/>
      <c r="HL3" s="6">
        <v>45455</v>
      </c>
      <c r="HM3" s="5"/>
      <c r="HN3" s="5"/>
      <c r="HO3" s="5"/>
      <c r="HP3" s="1"/>
      <c r="HQ3" s="7">
        <v>1000000</v>
      </c>
      <c r="HR3" s="8"/>
      <c r="HS3" s="5"/>
      <c r="HT3" s="9">
        <v>301438.3426818024</v>
      </c>
      <c r="HU3" s="9">
        <v>336098.47249999992</v>
      </c>
      <c r="HW3" s="73" t="s">
        <v>205</v>
      </c>
      <c r="HX3" s="74"/>
      <c r="HY3" s="74"/>
      <c r="HZ3" s="74"/>
      <c r="IA3" s="74"/>
      <c r="IB3" s="74"/>
      <c r="IC3" s="74"/>
      <c r="ID3" s="74"/>
      <c r="IE3" s="74"/>
      <c r="IF3" s="74"/>
      <c r="IG3" s="74"/>
      <c r="IH3" s="75"/>
      <c r="II3" s="61"/>
      <c r="IK3" s="1"/>
      <c r="IL3" s="5"/>
      <c r="IM3" s="6">
        <v>46145</v>
      </c>
      <c r="IN3" s="5"/>
      <c r="IO3" s="5"/>
      <c r="IP3" s="5"/>
      <c r="IQ3" s="1"/>
      <c r="IR3" s="7">
        <v>900000</v>
      </c>
      <c r="IS3" s="8"/>
      <c r="IT3" s="5"/>
      <c r="IU3" s="9">
        <v>820825.96741205547</v>
      </c>
      <c r="IV3" s="9">
        <v>1387500</v>
      </c>
      <c r="IX3" s="73" t="s">
        <v>223</v>
      </c>
      <c r="IY3" s="74"/>
      <c r="IZ3" s="74"/>
      <c r="JA3" s="74"/>
      <c r="JB3" s="74"/>
      <c r="JC3" s="74"/>
      <c r="JD3" s="74"/>
      <c r="JE3" s="74"/>
      <c r="JF3" s="74"/>
      <c r="JG3" s="74"/>
      <c r="JH3" s="74"/>
      <c r="JI3" s="75"/>
      <c r="JJ3" s="61"/>
      <c r="JL3" s="1"/>
      <c r="JM3" s="5"/>
      <c r="JN3" s="6">
        <v>45455</v>
      </c>
      <c r="JO3" s="5"/>
      <c r="JP3" s="5"/>
      <c r="JQ3" s="5"/>
      <c r="JR3" s="1"/>
      <c r="JS3" s="7">
        <v>250000</v>
      </c>
      <c r="JT3" s="8"/>
      <c r="JU3" s="5"/>
      <c r="JV3" s="9">
        <v>84908.473283375512</v>
      </c>
      <c r="JW3" s="9">
        <v>103893.21389999997</v>
      </c>
      <c r="JY3" s="73" t="s">
        <v>237</v>
      </c>
      <c r="JZ3" s="74"/>
      <c r="KA3" s="74"/>
      <c r="KB3" s="74"/>
      <c r="KC3" s="74"/>
      <c r="KD3" s="74"/>
      <c r="KE3" s="74"/>
      <c r="KF3" s="74"/>
      <c r="KG3" s="74"/>
      <c r="KH3" s="74"/>
      <c r="KI3" s="74"/>
      <c r="KJ3" s="75"/>
      <c r="KK3" s="61"/>
      <c r="KM3" s="1"/>
      <c r="KN3" s="5"/>
      <c r="KO3" s="6">
        <v>45455</v>
      </c>
      <c r="KP3" s="5"/>
      <c r="KQ3" s="5"/>
      <c r="KR3" s="5"/>
      <c r="KS3" s="1"/>
      <c r="KT3" s="7">
        <v>50000</v>
      </c>
      <c r="KU3" s="8"/>
      <c r="KV3" s="5"/>
      <c r="KW3" s="9">
        <v>217512.48645110914</v>
      </c>
      <c r="KX3" s="9">
        <v>238178.15749999997</v>
      </c>
      <c r="KZ3" s="73" t="s">
        <v>252</v>
      </c>
      <c r="LA3" s="74"/>
      <c r="LB3" s="74"/>
      <c r="LC3" s="74"/>
      <c r="LD3" s="74"/>
      <c r="LE3" s="74"/>
      <c r="LF3" s="74"/>
      <c r="LG3" s="74"/>
      <c r="LH3" s="74"/>
      <c r="LI3" s="74"/>
      <c r="LJ3" s="74"/>
      <c r="LK3" s="75"/>
      <c r="LL3" s="61"/>
      <c r="LN3" s="1"/>
      <c r="LO3" s="5"/>
      <c r="LP3" s="6">
        <v>45455</v>
      </c>
      <c r="LQ3" s="5"/>
      <c r="LR3" s="5"/>
      <c r="LS3" s="5"/>
      <c r="LT3" s="1"/>
      <c r="LU3" s="7">
        <v>10000</v>
      </c>
      <c r="LV3" s="8"/>
      <c r="LW3" s="5"/>
      <c r="LX3" s="9">
        <v>4611.8965806595679</v>
      </c>
      <c r="LY3" s="9">
        <v>11356.779999999999</v>
      </c>
      <c r="MA3" s="73" t="s">
        <v>258</v>
      </c>
      <c r="MB3" s="74"/>
      <c r="MC3" s="74"/>
      <c r="MD3" s="74"/>
      <c r="ME3" s="74"/>
      <c r="MF3" s="74"/>
      <c r="MG3" s="74"/>
      <c r="MH3" s="74"/>
      <c r="MI3" s="74"/>
      <c r="MJ3" s="74"/>
      <c r="MK3" s="74"/>
      <c r="ML3" s="75"/>
      <c r="MM3" s="61"/>
      <c r="MO3" s="1"/>
      <c r="MP3" s="5"/>
      <c r="MQ3" s="6">
        <v>45455</v>
      </c>
      <c r="MR3" s="5"/>
      <c r="MS3" s="5"/>
      <c r="MT3" s="5"/>
      <c r="MU3" s="1"/>
      <c r="MV3" s="7">
        <v>160000</v>
      </c>
      <c r="MW3" s="8"/>
      <c r="MX3" s="5"/>
      <c r="MY3" s="9">
        <v>80491.228280021023</v>
      </c>
      <c r="MZ3" s="9">
        <v>97352.660999999993</v>
      </c>
      <c r="NB3" s="73" t="s">
        <v>266</v>
      </c>
      <c r="NC3" s="74"/>
      <c r="ND3" s="74"/>
      <c r="NE3" s="74"/>
      <c r="NF3" s="74"/>
      <c r="NG3" s="74"/>
      <c r="NH3" s="74"/>
      <c r="NI3" s="74"/>
      <c r="NJ3" s="74"/>
      <c r="NK3" s="74"/>
      <c r="NL3" s="74"/>
      <c r="NM3" s="75"/>
      <c r="NN3" s="61"/>
      <c r="NP3" s="1"/>
      <c r="NQ3" s="5"/>
      <c r="NR3" s="6">
        <v>45455</v>
      </c>
      <c r="NS3" s="5"/>
      <c r="NT3" s="5"/>
      <c r="NU3" s="5"/>
      <c r="NV3" s="1"/>
      <c r="NW3" s="7">
        <v>16000</v>
      </c>
      <c r="NX3" s="8"/>
      <c r="NY3" s="5"/>
      <c r="NZ3" s="9">
        <v>6649.513511068044</v>
      </c>
      <c r="OA3" s="9">
        <v>9492.35</v>
      </c>
      <c r="OC3" s="73" t="s">
        <v>274</v>
      </c>
      <c r="OD3" s="74"/>
      <c r="OE3" s="74"/>
      <c r="OF3" s="74"/>
      <c r="OG3" s="74"/>
      <c r="OH3" s="74"/>
      <c r="OI3" s="74"/>
      <c r="OJ3" s="74"/>
      <c r="OK3" s="74"/>
      <c r="OL3" s="74"/>
      <c r="OM3" s="74"/>
      <c r="ON3" s="75"/>
      <c r="OO3" s="61"/>
      <c r="OQ3" s="1"/>
      <c r="OR3" s="5"/>
      <c r="OS3" s="6">
        <v>45455</v>
      </c>
      <c r="OT3" s="5"/>
      <c r="OU3" s="5"/>
      <c r="OV3" s="5"/>
      <c r="OW3" s="1"/>
      <c r="OX3" s="7">
        <v>100000</v>
      </c>
      <c r="OY3" s="8"/>
      <c r="OZ3" s="5"/>
      <c r="PA3" s="9">
        <v>19266.414003509006</v>
      </c>
      <c r="PB3" s="9">
        <v>21847.98792</v>
      </c>
      <c r="PD3" s="73" t="s">
        <v>280</v>
      </c>
      <c r="PE3" s="74"/>
      <c r="PF3" s="74"/>
      <c r="PG3" s="74"/>
      <c r="PH3" s="74"/>
      <c r="PI3" s="74"/>
      <c r="PJ3" s="74"/>
      <c r="PK3" s="74"/>
      <c r="PL3" s="74"/>
      <c r="PM3" s="74"/>
      <c r="PN3" s="74"/>
      <c r="PO3" s="75"/>
      <c r="PP3" s="61"/>
      <c r="PR3" s="1"/>
      <c r="PS3" s="5"/>
      <c r="PT3" s="6">
        <v>46115</v>
      </c>
      <c r="PU3" s="5"/>
      <c r="PV3" s="5"/>
      <c r="PW3" s="5"/>
      <c r="PX3" s="1"/>
      <c r="PY3" s="7">
        <v>30000000</v>
      </c>
      <c r="PZ3" s="8"/>
      <c r="QA3" s="5"/>
      <c r="QB3" s="9">
        <v>13104902.778726744</v>
      </c>
      <c r="QC3" s="9">
        <v>21012300</v>
      </c>
      <c r="QE3" s="73" t="s">
        <v>294</v>
      </c>
      <c r="QF3" s="74"/>
      <c r="QG3" s="74"/>
      <c r="QH3" s="74"/>
      <c r="QI3" s="74"/>
      <c r="QJ3" s="74"/>
      <c r="QK3" s="74"/>
      <c r="QL3" s="74"/>
      <c r="QM3" s="74"/>
      <c r="QN3" s="74"/>
      <c r="QO3" s="74"/>
      <c r="QP3" s="75"/>
      <c r="QQ3" s="61"/>
      <c r="QS3" s="1"/>
      <c r="QT3" s="5"/>
      <c r="QU3" s="6">
        <v>45455</v>
      </c>
      <c r="QV3" s="5"/>
      <c r="QW3" s="5"/>
      <c r="QX3" s="5"/>
      <c r="QY3" s="1"/>
      <c r="QZ3" s="7">
        <v>100000</v>
      </c>
      <c r="RA3" s="8"/>
      <c r="RB3" s="5"/>
      <c r="RC3" s="9">
        <v>141589.22269555138</v>
      </c>
      <c r="RD3" s="9">
        <v>129286.20659999999</v>
      </c>
      <c r="RF3" s="73" t="s">
        <v>1295</v>
      </c>
      <c r="RG3" s="74"/>
      <c r="RH3" s="74"/>
      <c r="RI3" s="74"/>
      <c r="RJ3" s="74"/>
      <c r="RK3" s="74"/>
    </row>
    <row r="4" spans="15:479" x14ac:dyDescent="0.2">
      <c r="O4" s="10" t="s">
        <v>5</v>
      </c>
      <c r="P4" s="27" t="s">
        <v>6</v>
      </c>
      <c r="Q4" s="28" t="s">
        <v>7</v>
      </c>
      <c r="R4" s="28" t="s">
        <v>1426</v>
      </c>
      <c r="S4" s="28" t="s">
        <v>8</v>
      </c>
      <c r="T4" s="27" t="s">
        <v>9</v>
      </c>
      <c r="U4" s="28" t="s">
        <v>10</v>
      </c>
      <c r="V4" s="28" t="s">
        <v>11</v>
      </c>
      <c r="W4" s="28" t="s">
        <v>12</v>
      </c>
      <c r="X4" s="27" t="s">
        <v>13</v>
      </c>
      <c r="Y4" s="27" t="s">
        <v>14</v>
      </c>
      <c r="Z4" s="29" t="s">
        <v>15</v>
      </c>
      <c r="AA4" s="29" t="s">
        <v>316</v>
      </c>
      <c r="AB4" s="4"/>
      <c r="AC4" s="1"/>
      <c r="AD4" s="5"/>
      <c r="AE4" s="11"/>
      <c r="AF4" s="5"/>
      <c r="AG4" s="5"/>
      <c r="AH4" s="5"/>
      <c r="AI4" s="5"/>
      <c r="AJ4" s="5"/>
      <c r="AK4" s="5"/>
      <c r="AL4" s="5"/>
      <c r="AM4" s="1"/>
      <c r="AN4" s="1"/>
      <c r="AP4" s="10" t="s">
        <v>5</v>
      </c>
      <c r="AQ4" s="27" t="s">
        <v>6</v>
      </c>
      <c r="AR4" s="28" t="s">
        <v>7</v>
      </c>
      <c r="AS4" s="28" t="s">
        <v>1426</v>
      </c>
      <c r="AT4" s="28" t="s">
        <v>8</v>
      </c>
      <c r="AU4" s="27" t="s">
        <v>9</v>
      </c>
      <c r="AV4" s="28" t="s">
        <v>10</v>
      </c>
      <c r="AW4" s="28" t="s">
        <v>11</v>
      </c>
      <c r="AX4" s="28" t="s">
        <v>12</v>
      </c>
      <c r="AY4" s="27" t="s">
        <v>13</v>
      </c>
      <c r="AZ4" s="27" t="s">
        <v>14</v>
      </c>
      <c r="BA4" s="29" t="s">
        <v>15</v>
      </c>
      <c r="BB4" s="29" t="s">
        <v>316</v>
      </c>
      <c r="BD4" s="1"/>
      <c r="BE4" s="5"/>
      <c r="BF4" s="11"/>
      <c r="BG4" s="5"/>
      <c r="BH4" s="5"/>
      <c r="BI4" s="5"/>
      <c r="BJ4" s="5"/>
      <c r="BK4" s="5"/>
      <c r="BL4" s="5"/>
      <c r="BM4" s="5"/>
      <c r="BN4" s="1"/>
      <c r="BO4" s="1"/>
      <c r="BQ4" s="10" t="s">
        <v>5</v>
      </c>
      <c r="BR4" s="27" t="s">
        <v>91</v>
      </c>
      <c r="BS4" s="28" t="s">
        <v>7</v>
      </c>
      <c r="BT4" s="28" t="s">
        <v>1426</v>
      </c>
      <c r="BU4" s="28" t="s">
        <v>8</v>
      </c>
      <c r="BV4" s="27" t="s">
        <v>9</v>
      </c>
      <c r="BW4" s="28" t="s">
        <v>10</v>
      </c>
      <c r="BX4" s="28" t="s">
        <v>11</v>
      </c>
      <c r="BY4" s="28" t="s">
        <v>12</v>
      </c>
      <c r="BZ4" s="27" t="s">
        <v>13</v>
      </c>
      <c r="CA4" s="27" t="s">
        <v>14</v>
      </c>
      <c r="CB4" s="29" t="s">
        <v>15</v>
      </c>
      <c r="CC4" s="29" t="s">
        <v>316</v>
      </c>
      <c r="CE4" s="1"/>
      <c r="CF4" s="5"/>
      <c r="CG4" s="11"/>
      <c r="CH4" s="5"/>
      <c r="CI4" s="5"/>
      <c r="CJ4" s="5"/>
      <c r="CK4" s="5"/>
      <c r="CL4" s="5"/>
      <c r="CM4" s="5"/>
      <c r="CN4" s="5"/>
      <c r="CO4" s="1"/>
      <c r="CP4" s="1"/>
      <c r="CR4" s="10" t="s">
        <v>5</v>
      </c>
      <c r="CS4" s="27" t="s">
        <v>91</v>
      </c>
      <c r="CT4" s="28" t="s">
        <v>7</v>
      </c>
      <c r="CU4" s="28" t="s">
        <v>1426</v>
      </c>
      <c r="CV4" s="28" t="s">
        <v>8</v>
      </c>
      <c r="CW4" s="27" t="s">
        <v>9</v>
      </c>
      <c r="CX4" s="28" t="s">
        <v>10</v>
      </c>
      <c r="CY4" s="28" t="s">
        <v>11</v>
      </c>
      <c r="CZ4" s="28" t="s">
        <v>12</v>
      </c>
      <c r="DA4" s="27" t="s">
        <v>13</v>
      </c>
      <c r="DB4" s="27" t="s">
        <v>14</v>
      </c>
      <c r="DC4" s="29" t="s">
        <v>15</v>
      </c>
      <c r="DD4" s="29" t="s">
        <v>316</v>
      </c>
      <c r="DF4" s="1"/>
      <c r="DG4" s="5"/>
      <c r="DH4" s="11"/>
      <c r="DI4" s="5"/>
      <c r="DJ4" s="5"/>
      <c r="DK4" s="5"/>
      <c r="DL4" s="5"/>
      <c r="DM4" s="5"/>
      <c r="DN4" s="5"/>
      <c r="DO4" s="5"/>
      <c r="DP4" s="1"/>
      <c r="DQ4" s="1"/>
      <c r="DS4" s="10" t="s">
        <v>5</v>
      </c>
      <c r="DT4" s="27" t="s">
        <v>91</v>
      </c>
      <c r="DU4" s="28" t="s">
        <v>7</v>
      </c>
      <c r="DV4" s="28" t="s">
        <v>1426</v>
      </c>
      <c r="DW4" s="28" t="s">
        <v>8</v>
      </c>
      <c r="DX4" s="27" t="s">
        <v>9</v>
      </c>
      <c r="DY4" s="28" t="s">
        <v>10</v>
      </c>
      <c r="DZ4" s="28" t="s">
        <v>11</v>
      </c>
      <c r="EA4" s="28" t="s">
        <v>12</v>
      </c>
      <c r="EB4" s="27" t="s">
        <v>13</v>
      </c>
      <c r="EC4" s="27" t="s">
        <v>14</v>
      </c>
      <c r="ED4" s="29" t="s">
        <v>15</v>
      </c>
      <c r="EE4" s="29" t="s">
        <v>316</v>
      </c>
      <c r="EG4" s="1"/>
      <c r="EH4" s="5"/>
      <c r="EI4" s="11"/>
      <c r="EJ4" s="5"/>
      <c r="EK4" s="5"/>
      <c r="EL4" s="5"/>
      <c r="EM4" s="5"/>
      <c r="EN4" s="5"/>
      <c r="EO4" s="5"/>
      <c r="EP4" s="5"/>
      <c r="EQ4" s="1"/>
      <c r="ER4" s="1"/>
      <c r="ET4" s="10" t="s">
        <v>5</v>
      </c>
      <c r="EU4" s="27" t="s">
        <v>91</v>
      </c>
      <c r="EV4" s="28" t="s">
        <v>7</v>
      </c>
      <c r="EW4" s="28" t="s">
        <v>1426</v>
      </c>
      <c r="EX4" s="28" t="s">
        <v>8</v>
      </c>
      <c r="EY4" s="27" t="s">
        <v>9</v>
      </c>
      <c r="EZ4" s="28" t="s">
        <v>10</v>
      </c>
      <c r="FA4" s="28" t="s">
        <v>11</v>
      </c>
      <c r="FB4" s="28" t="s">
        <v>12</v>
      </c>
      <c r="FC4" s="27" t="s">
        <v>13</v>
      </c>
      <c r="FD4" s="27" t="s">
        <v>14</v>
      </c>
      <c r="FE4" s="29" t="s">
        <v>15</v>
      </c>
      <c r="FF4" s="29" t="s">
        <v>316</v>
      </c>
      <c r="FH4" s="1"/>
      <c r="FI4" s="5"/>
      <c r="FJ4" s="11"/>
      <c r="FK4" s="5"/>
      <c r="FL4" s="5"/>
      <c r="FM4" s="5"/>
      <c r="FN4" s="5"/>
      <c r="FO4" s="5"/>
      <c r="FP4" s="5"/>
      <c r="FQ4" s="5"/>
      <c r="FR4" s="1"/>
      <c r="FS4" s="1"/>
      <c r="FU4" s="10" t="s">
        <v>5</v>
      </c>
      <c r="FV4" s="27" t="s">
        <v>91</v>
      </c>
      <c r="FW4" s="28" t="s">
        <v>7</v>
      </c>
      <c r="FX4" s="28" t="s">
        <v>1427</v>
      </c>
      <c r="FY4" s="28" t="s">
        <v>8</v>
      </c>
      <c r="FZ4" s="27" t="s">
        <v>9</v>
      </c>
      <c r="GA4" s="28" t="s">
        <v>10</v>
      </c>
      <c r="GB4" s="28" t="s">
        <v>11</v>
      </c>
      <c r="GC4" s="28" t="s">
        <v>12</v>
      </c>
      <c r="GD4" s="27" t="s">
        <v>13</v>
      </c>
      <c r="GE4" s="27" t="s">
        <v>14</v>
      </c>
      <c r="GF4" s="29" t="s">
        <v>15</v>
      </c>
      <c r="GG4" s="29" t="s">
        <v>316</v>
      </c>
      <c r="GI4" s="1"/>
      <c r="GJ4" s="5"/>
      <c r="GK4" s="11"/>
      <c r="GL4" s="5"/>
      <c r="GM4" s="5"/>
      <c r="GN4" s="5"/>
      <c r="GO4" s="5"/>
      <c r="GP4" s="5"/>
      <c r="GQ4" s="5"/>
      <c r="GR4" s="5"/>
      <c r="GS4" s="1"/>
      <c r="GT4" s="1"/>
      <c r="GV4" s="10" t="s">
        <v>5</v>
      </c>
      <c r="GW4" s="27" t="s">
        <v>91</v>
      </c>
      <c r="GX4" s="28" t="s">
        <v>7</v>
      </c>
      <c r="GY4" s="28" t="s">
        <v>1426</v>
      </c>
      <c r="GZ4" s="28" t="s">
        <v>8</v>
      </c>
      <c r="HA4" s="27" t="s">
        <v>9</v>
      </c>
      <c r="HB4" s="28" t="s">
        <v>10</v>
      </c>
      <c r="HC4" s="28" t="s">
        <v>11</v>
      </c>
      <c r="HD4" s="28" t="s">
        <v>12</v>
      </c>
      <c r="HE4" s="27" t="s">
        <v>13</v>
      </c>
      <c r="HF4" s="27" t="s">
        <v>14</v>
      </c>
      <c r="HG4" s="29" t="s">
        <v>15</v>
      </c>
      <c r="HH4" s="29"/>
      <c r="HJ4" s="1"/>
      <c r="HK4" s="5"/>
      <c r="HL4" s="11"/>
      <c r="HM4" s="5"/>
      <c r="HN4" s="5"/>
      <c r="HO4" s="5"/>
      <c r="HP4" s="5"/>
      <c r="HQ4" s="5"/>
      <c r="HR4" s="5"/>
      <c r="HS4" s="5"/>
      <c r="HT4" s="1"/>
      <c r="HU4" s="1"/>
      <c r="HW4" s="10" t="s">
        <v>5</v>
      </c>
      <c r="HX4" s="27" t="s">
        <v>91</v>
      </c>
      <c r="HY4" s="28" t="s">
        <v>7</v>
      </c>
      <c r="HZ4" s="28" t="s">
        <v>1426</v>
      </c>
      <c r="IA4" s="28" t="s">
        <v>8</v>
      </c>
      <c r="IB4" s="27" t="s">
        <v>9</v>
      </c>
      <c r="IC4" s="28" t="s">
        <v>10</v>
      </c>
      <c r="ID4" s="28" t="s">
        <v>11</v>
      </c>
      <c r="IE4" s="28" t="s">
        <v>12</v>
      </c>
      <c r="IF4" s="27" t="s">
        <v>13</v>
      </c>
      <c r="IG4" s="27" t="s">
        <v>14</v>
      </c>
      <c r="IH4" s="29" t="s">
        <v>15</v>
      </c>
      <c r="II4" s="29" t="s">
        <v>316</v>
      </c>
      <c r="IK4" s="1"/>
      <c r="IL4" s="5"/>
      <c r="IM4" s="11"/>
      <c r="IN4" s="5"/>
      <c r="IO4" s="5"/>
      <c r="IP4" s="5"/>
      <c r="IQ4" s="5"/>
      <c r="IR4" s="5"/>
      <c r="IS4" s="5"/>
      <c r="IT4" s="5"/>
      <c r="IU4" s="1"/>
      <c r="IV4" s="1"/>
      <c r="IX4" s="10" t="s">
        <v>5</v>
      </c>
      <c r="IY4" s="27" t="s">
        <v>91</v>
      </c>
      <c r="IZ4" s="28" t="s">
        <v>7</v>
      </c>
      <c r="JA4" s="28" t="s">
        <v>1426</v>
      </c>
      <c r="JB4" s="28" t="s">
        <v>8</v>
      </c>
      <c r="JC4" s="27" t="s">
        <v>9</v>
      </c>
      <c r="JD4" s="28" t="s">
        <v>10</v>
      </c>
      <c r="JE4" s="28" t="s">
        <v>11</v>
      </c>
      <c r="JF4" s="28" t="s">
        <v>12</v>
      </c>
      <c r="JG4" s="27" t="s">
        <v>13</v>
      </c>
      <c r="JH4" s="27" t="s">
        <v>14</v>
      </c>
      <c r="JI4" s="29" t="s">
        <v>15</v>
      </c>
      <c r="JJ4" s="29" t="s">
        <v>316</v>
      </c>
      <c r="JL4" s="1"/>
      <c r="JM4" s="5"/>
      <c r="JN4" s="11"/>
      <c r="JO4" s="5"/>
      <c r="JP4" s="5"/>
      <c r="JQ4" s="5"/>
      <c r="JR4" s="5"/>
      <c r="JS4" s="5"/>
      <c r="JT4" s="5"/>
      <c r="JU4" s="5"/>
      <c r="JV4" s="1"/>
      <c r="JW4" s="1"/>
      <c r="JY4" s="10" t="s">
        <v>5</v>
      </c>
      <c r="JZ4" s="27" t="s">
        <v>91</v>
      </c>
      <c r="KA4" s="28" t="s">
        <v>7</v>
      </c>
      <c r="KB4" s="28" t="s">
        <v>1426</v>
      </c>
      <c r="KC4" s="28" t="s">
        <v>8</v>
      </c>
      <c r="KD4" s="27" t="s">
        <v>9</v>
      </c>
      <c r="KE4" s="28" t="s">
        <v>10</v>
      </c>
      <c r="KF4" s="28" t="s">
        <v>11</v>
      </c>
      <c r="KG4" s="28" t="s">
        <v>12</v>
      </c>
      <c r="KH4" s="27" t="s">
        <v>13</v>
      </c>
      <c r="KI4" s="27" t="s">
        <v>14</v>
      </c>
      <c r="KJ4" s="29" t="s">
        <v>15</v>
      </c>
      <c r="KK4" s="29" t="s">
        <v>316</v>
      </c>
      <c r="KM4" s="1"/>
      <c r="KN4" s="5"/>
      <c r="KO4" s="11"/>
      <c r="KP4" s="5"/>
      <c r="KQ4" s="5"/>
      <c r="KR4" s="5"/>
      <c r="KS4" s="5"/>
      <c r="KT4" s="5"/>
      <c r="KU4" s="5"/>
      <c r="KV4" s="5"/>
      <c r="KW4" s="1"/>
      <c r="KX4" s="1"/>
      <c r="KZ4" s="10" t="s">
        <v>5</v>
      </c>
      <c r="LA4" s="27" t="s">
        <v>91</v>
      </c>
      <c r="LB4" s="28" t="s">
        <v>7</v>
      </c>
      <c r="LC4" s="28" t="s">
        <v>1426</v>
      </c>
      <c r="LD4" s="28" t="s">
        <v>8</v>
      </c>
      <c r="LE4" s="27" t="s">
        <v>9</v>
      </c>
      <c r="LF4" s="28" t="s">
        <v>10</v>
      </c>
      <c r="LG4" s="28" t="s">
        <v>11</v>
      </c>
      <c r="LH4" s="28" t="s">
        <v>12</v>
      </c>
      <c r="LI4" s="27" t="s">
        <v>13</v>
      </c>
      <c r="LJ4" s="27" t="s">
        <v>14</v>
      </c>
      <c r="LK4" s="29" t="s">
        <v>15</v>
      </c>
      <c r="LL4" s="29" t="s">
        <v>316</v>
      </c>
      <c r="LN4" s="1"/>
      <c r="LO4" s="5"/>
      <c r="LP4" s="11"/>
      <c r="LQ4" s="5"/>
      <c r="LR4" s="5"/>
      <c r="LS4" s="5"/>
      <c r="LT4" s="5"/>
      <c r="LU4" s="5"/>
      <c r="LV4" s="5"/>
      <c r="LW4" s="5"/>
      <c r="LX4" s="1"/>
      <c r="LY4" s="1"/>
      <c r="MA4" s="10" t="s">
        <v>5</v>
      </c>
      <c r="MB4" s="27" t="s">
        <v>91</v>
      </c>
      <c r="MC4" s="28" t="s">
        <v>7</v>
      </c>
      <c r="MD4" s="28" t="s">
        <v>1426</v>
      </c>
      <c r="ME4" s="28" t="s">
        <v>8</v>
      </c>
      <c r="MF4" s="27" t="s">
        <v>9</v>
      </c>
      <c r="MG4" s="28" t="s">
        <v>10</v>
      </c>
      <c r="MH4" s="28" t="s">
        <v>11</v>
      </c>
      <c r="MI4" s="28" t="s">
        <v>12</v>
      </c>
      <c r="MJ4" s="27" t="s">
        <v>13</v>
      </c>
      <c r="MK4" s="27" t="s">
        <v>14</v>
      </c>
      <c r="ML4" s="29" t="s">
        <v>15</v>
      </c>
      <c r="MM4" s="29" t="s">
        <v>316</v>
      </c>
      <c r="MO4" s="1"/>
      <c r="MP4" s="5"/>
      <c r="MQ4" s="11"/>
      <c r="MR4" s="5"/>
      <c r="MS4" s="5"/>
      <c r="MT4" s="5"/>
      <c r="MU4" s="5"/>
      <c r="MV4" s="5"/>
      <c r="MW4" s="5"/>
      <c r="MX4" s="5"/>
      <c r="MY4" s="1"/>
      <c r="MZ4" s="1"/>
      <c r="NB4" s="10" t="s">
        <v>5</v>
      </c>
      <c r="NC4" s="27" t="s">
        <v>91</v>
      </c>
      <c r="ND4" s="28" t="s">
        <v>7</v>
      </c>
      <c r="NE4" s="28" t="s">
        <v>1426</v>
      </c>
      <c r="NF4" s="28" t="s">
        <v>8</v>
      </c>
      <c r="NG4" s="27" t="s">
        <v>9</v>
      </c>
      <c r="NH4" s="28" t="s">
        <v>10</v>
      </c>
      <c r="NI4" s="28" t="s">
        <v>11</v>
      </c>
      <c r="NJ4" s="28" t="s">
        <v>12</v>
      </c>
      <c r="NK4" s="27" t="s">
        <v>13</v>
      </c>
      <c r="NL4" s="27" t="s">
        <v>14</v>
      </c>
      <c r="NM4" s="29" t="s">
        <v>15</v>
      </c>
      <c r="NN4" s="29" t="s">
        <v>316</v>
      </c>
      <c r="NP4" s="1"/>
      <c r="NQ4" s="5"/>
      <c r="NR4" s="11"/>
      <c r="NS4" s="5"/>
      <c r="NT4" s="5"/>
      <c r="NU4" s="5"/>
      <c r="NV4" s="5"/>
      <c r="NW4" s="5"/>
      <c r="NX4" s="5"/>
      <c r="NY4" s="5"/>
      <c r="NZ4" s="1"/>
      <c r="OA4" s="1"/>
      <c r="OC4" s="10" t="s">
        <v>5</v>
      </c>
      <c r="OD4" s="27" t="s">
        <v>91</v>
      </c>
      <c r="OE4" s="28" t="s">
        <v>7</v>
      </c>
      <c r="OF4" s="28" t="s">
        <v>1426</v>
      </c>
      <c r="OG4" s="28" t="s">
        <v>8</v>
      </c>
      <c r="OH4" s="27" t="s">
        <v>9</v>
      </c>
      <c r="OI4" s="28" t="s">
        <v>10</v>
      </c>
      <c r="OJ4" s="28" t="s">
        <v>11</v>
      </c>
      <c r="OK4" s="28" t="s">
        <v>12</v>
      </c>
      <c r="OL4" s="27" t="s">
        <v>13</v>
      </c>
      <c r="OM4" s="27" t="s">
        <v>14</v>
      </c>
      <c r="ON4" s="29" t="s">
        <v>15</v>
      </c>
      <c r="OO4" s="29" t="s">
        <v>316</v>
      </c>
      <c r="OQ4" s="1"/>
      <c r="OR4" s="5"/>
      <c r="OS4" s="11"/>
      <c r="OT4" s="5"/>
      <c r="OU4" s="5"/>
      <c r="OV4" s="5"/>
      <c r="OW4" s="5"/>
      <c r="OX4" s="5"/>
      <c r="OY4" s="5"/>
      <c r="OZ4" s="5"/>
      <c r="PA4" s="1"/>
      <c r="PB4" s="1"/>
      <c r="PD4" s="10" t="s">
        <v>5</v>
      </c>
      <c r="PE4" s="27" t="s">
        <v>91</v>
      </c>
      <c r="PF4" s="28" t="s">
        <v>7</v>
      </c>
      <c r="PG4" s="28" t="s">
        <v>1426</v>
      </c>
      <c r="PH4" s="28" t="s">
        <v>8</v>
      </c>
      <c r="PI4" s="27" t="s">
        <v>9</v>
      </c>
      <c r="PJ4" s="28" t="s">
        <v>10</v>
      </c>
      <c r="PK4" s="28" t="s">
        <v>11</v>
      </c>
      <c r="PL4" s="28" t="s">
        <v>12</v>
      </c>
      <c r="PM4" s="27" t="s">
        <v>13</v>
      </c>
      <c r="PN4" s="27" t="s">
        <v>14</v>
      </c>
      <c r="PO4" s="29" t="s">
        <v>15</v>
      </c>
      <c r="PP4" s="29" t="s">
        <v>316</v>
      </c>
      <c r="PR4" s="1"/>
      <c r="PS4" s="5"/>
      <c r="PT4" s="11"/>
      <c r="PU4" s="5"/>
      <c r="PV4" s="5"/>
      <c r="PW4" s="5"/>
      <c r="PX4" s="5"/>
      <c r="PY4" s="5"/>
      <c r="PZ4" s="5"/>
      <c r="QA4" s="5"/>
      <c r="QB4" s="1"/>
      <c r="QC4" s="1"/>
      <c r="QE4" s="10" t="s">
        <v>5</v>
      </c>
      <c r="QF4" s="27" t="s">
        <v>91</v>
      </c>
      <c r="QG4" s="28" t="s">
        <v>7</v>
      </c>
      <c r="QH4" s="28" t="s">
        <v>1426</v>
      </c>
      <c r="QI4" s="28" t="s">
        <v>8</v>
      </c>
      <c r="QJ4" s="27" t="s">
        <v>9</v>
      </c>
      <c r="QK4" s="28" t="s">
        <v>10</v>
      </c>
      <c r="QL4" s="28" t="s">
        <v>11</v>
      </c>
      <c r="QM4" s="28" t="s">
        <v>12</v>
      </c>
      <c r="QN4" s="27" t="s">
        <v>13</v>
      </c>
      <c r="QO4" s="27" t="s">
        <v>14</v>
      </c>
      <c r="QP4" s="29" t="s">
        <v>15</v>
      </c>
      <c r="QQ4" s="29" t="s">
        <v>316</v>
      </c>
      <c r="QS4" s="1"/>
      <c r="QT4" s="5"/>
      <c r="QU4" s="11"/>
      <c r="QV4" s="5"/>
      <c r="QW4" s="5"/>
      <c r="QX4" s="5"/>
      <c r="QY4" s="5"/>
      <c r="QZ4" s="5"/>
      <c r="RA4" s="5"/>
      <c r="RB4" s="5"/>
      <c r="RC4" s="1"/>
      <c r="RD4" s="1"/>
      <c r="RF4" s="10" t="s">
        <v>5</v>
      </c>
      <c r="RG4" s="27" t="s">
        <v>91</v>
      </c>
      <c r="RH4" s="28" t="s">
        <v>7</v>
      </c>
      <c r="RI4" s="28" t="s">
        <v>1426</v>
      </c>
      <c r="RJ4" s="28" t="s">
        <v>8</v>
      </c>
      <c r="RK4" s="27" t="s">
        <v>9</v>
      </c>
    </row>
    <row r="5" spans="15:479" x14ac:dyDescent="0.2">
      <c r="O5" s="12" t="s">
        <v>16</v>
      </c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4"/>
      <c r="AC5" s="13" t="s">
        <v>17</v>
      </c>
      <c r="AD5" s="14" t="s">
        <v>18</v>
      </c>
      <c r="AE5" s="15" t="s">
        <v>19</v>
      </c>
      <c r="AF5" s="5"/>
      <c r="AG5" s="5" t="s">
        <v>20</v>
      </c>
      <c r="AH5" s="5" t="s">
        <v>21</v>
      </c>
      <c r="AI5" s="5" t="s">
        <v>22</v>
      </c>
      <c r="AJ5" s="5" t="s">
        <v>23</v>
      </c>
      <c r="AK5" s="5" t="s">
        <v>24</v>
      </c>
      <c r="AL5" s="5"/>
      <c r="AM5" s="1"/>
      <c r="AN5" s="1"/>
      <c r="AP5" s="12" t="s">
        <v>16</v>
      </c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1"/>
      <c r="BB5" s="31"/>
      <c r="BD5" s="13" t="s">
        <v>17</v>
      </c>
      <c r="BE5" s="14" t="s">
        <v>18</v>
      </c>
      <c r="BF5" s="15" t="s">
        <v>19</v>
      </c>
      <c r="BG5" s="5"/>
      <c r="BH5" s="5" t="s">
        <v>20</v>
      </c>
      <c r="BI5" s="5" t="s">
        <v>21</v>
      </c>
      <c r="BJ5" s="5" t="s">
        <v>22</v>
      </c>
      <c r="BK5" s="5" t="s">
        <v>23</v>
      </c>
      <c r="BL5" s="5" t="s">
        <v>24</v>
      </c>
      <c r="BM5" s="5"/>
      <c r="BN5" s="1"/>
      <c r="BO5" s="1"/>
      <c r="BQ5" s="12" t="s">
        <v>16</v>
      </c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1"/>
      <c r="CC5" s="31"/>
      <c r="CE5" s="13" t="s">
        <v>116</v>
      </c>
      <c r="CF5" s="14" t="s">
        <v>18</v>
      </c>
      <c r="CG5" s="15" t="s">
        <v>19</v>
      </c>
      <c r="CH5" s="5"/>
      <c r="CI5" s="5" t="s">
        <v>20</v>
      </c>
      <c r="CJ5" s="5" t="s">
        <v>21</v>
      </c>
      <c r="CK5" s="5" t="s">
        <v>22</v>
      </c>
      <c r="CL5" s="5" t="s">
        <v>23</v>
      </c>
      <c r="CM5" s="5" t="s">
        <v>24</v>
      </c>
      <c r="CN5" s="5"/>
      <c r="CO5" s="1"/>
      <c r="CP5" s="1"/>
      <c r="CR5" s="12" t="s">
        <v>16</v>
      </c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1"/>
      <c r="DD5" s="31"/>
      <c r="DF5" s="13" t="s">
        <v>17</v>
      </c>
      <c r="DG5" s="14" t="s">
        <v>18</v>
      </c>
      <c r="DH5" s="15" t="s">
        <v>19</v>
      </c>
      <c r="DI5" s="5"/>
      <c r="DJ5" s="5" t="s">
        <v>20</v>
      </c>
      <c r="DK5" s="5" t="s">
        <v>21</v>
      </c>
      <c r="DL5" s="5" t="s">
        <v>22</v>
      </c>
      <c r="DM5" s="5" t="s">
        <v>23</v>
      </c>
      <c r="DN5" s="5" t="s">
        <v>24</v>
      </c>
      <c r="DO5" s="5"/>
      <c r="DP5" s="1"/>
      <c r="DQ5" s="1"/>
      <c r="DS5" s="12" t="s">
        <v>16</v>
      </c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1"/>
      <c r="EE5" s="31"/>
      <c r="EG5" s="13" t="s">
        <v>162</v>
      </c>
      <c r="EH5" s="14" t="s">
        <v>18</v>
      </c>
      <c r="EI5" s="15" t="s">
        <v>19</v>
      </c>
      <c r="EJ5" s="5"/>
      <c r="EK5" s="5" t="s">
        <v>20</v>
      </c>
      <c r="EL5" s="5" t="s">
        <v>21</v>
      </c>
      <c r="EM5" s="5" t="s">
        <v>22</v>
      </c>
      <c r="EN5" s="5" t="s">
        <v>23</v>
      </c>
      <c r="EO5" s="5" t="s">
        <v>24</v>
      </c>
      <c r="EP5" s="5"/>
      <c r="EQ5" s="1"/>
      <c r="ER5" s="1"/>
      <c r="ET5" s="12" t="s">
        <v>16</v>
      </c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1"/>
      <c r="FF5" s="31"/>
      <c r="FH5" s="13" t="s">
        <v>17</v>
      </c>
      <c r="FI5" s="14" t="s">
        <v>18</v>
      </c>
      <c r="FJ5" s="15" t="s">
        <v>19</v>
      </c>
      <c r="FK5" s="5"/>
      <c r="FL5" s="5" t="s">
        <v>20</v>
      </c>
      <c r="FM5" s="5" t="s">
        <v>21</v>
      </c>
      <c r="FN5" s="5" t="s">
        <v>22</v>
      </c>
      <c r="FO5" s="5" t="s">
        <v>23</v>
      </c>
      <c r="FP5" s="5" t="s">
        <v>24</v>
      </c>
      <c r="FQ5" s="5"/>
      <c r="FR5" s="1"/>
      <c r="FS5" s="1"/>
      <c r="FU5" s="12" t="s">
        <v>16</v>
      </c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1"/>
      <c r="GG5" s="31"/>
      <c r="GI5" s="13" t="s">
        <v>17</v>
      </c>
      <c r="GJ5" s="14" t="s">
        <v>18</v>
      </c>
      <c r="GK5" s="15" t="s">
        <v>19</v>
      </c>
      <c r="GL5" s="5"/>
      <c r="GM5" s="5" t="s">
        <v>20</v>
      </c>
      <c r="GN5" s="5" t="s">
        <v>21</v>
      </c>
      <c r="GO5" s="5" t="s">
        <v>22</v>
      </c>
      <c r="GP5" s="5" t="s">
        <v>23</v>
      </c>
      <c r="GQ5" s="5" t="s">
        <v>24</v>
      </c>
      <c r="GR5" s="5"/>
      <c r="GS5" s="1"/>
      <c r="GT5" s="1"/>
      <c r="GV5" s="12" t="s">
        <v>16</v>
      </c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1"/>
      <c r="HH5" s="31"/>
      <c r="HJ5" s="13" t="s">
        <v>17</v>
      </c>
      <c r="HK5" s="14" t="s">
        <v>18</v>
      </c>
      <c r="HL5" s="15" t="s">
        <v>19</v>
      </c>
      <c r="HM5" s="5"/>
      <c r="HN5" s="5" t="s">
        <v>20</v>
      </c>
      <c r="HO5" s="5" t="s">
        <v>21</v>
      </c>
      <c r="HP5" s="5" t="s">
        <v>22</v>
      </c>
      <c r="HQ5" s="5" t="s">
        <v>23</v>
      </c>
      <c r="HR5" s="5" t="s">
        <v>24</v>
      </c>
      <c r="HS5" s="5"/>
      <c r="HT5" s="1"/>
      <c r="HU5" s="1"/>
      <c r="HW5" s="12" t="s">
        <v>16</v>
      </c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1"/>
      <c r="II5" s="31"/>
      <c r="IK5" s="13" t="s">
        <v>222</v>
      </c>
      <c r="IL5" s="14" t="s">
        <v>18</v>
      </c>
      <c r="IM5" s="15" t="s">
        <v>19</v>
      </c>
      <c r="IN5" s="5"/>
      <c r="IO5" s="5" t="s">
        <v>20</v>
      </c>
      <c r="IP5" s="5" t="s">
        <v>21</v>
      </c>
      <c r="IQ5" s="5" t="s">
        <v>22</v>
      </c>
      <c r="IR5" s="5" t="s">
        <v>23</v>
      </c>
      <c r="IS5" s="5" t="s">
        <v>24</v>
      </c>
      <c r="IT5" s="5"/>
      <c r="IU5" s="1"/>
      <c r="IV5" s="1"/>
      <c r="IX5" s="12" t="s">
        <v>16</v>
      </c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1"/>
      <c r="JJ5" s="31"/>
      <c r="JL5" s="13" t="s">
        <v>17</v>
      </c>
      <c r="JM5" s="14" t="s">
        <v>18</v>
      </c>
      <c r="JN5" s="15" t="s">
        <v>19</v>
      </c>
      <c r="JO5" s="5"/>
      <c r="JP5" s="5" t="s">
        <v>20</v>
      </c>
      <c r="JQ5" s="5" t="s">
        <v>21</v>
      </c>
      <c r="JR5" s="5" t="s">
        <v>22</v>
      </c>
      <c r="JS5" s="5" t="s">
        <v>23</v>
      </c>
      <c r="JT5" s="5" t="s">
        <v>24</v>
      </c>
      <c r="JU5" s="5"/>
      <c r="JV5" s="1"/>
      <c r="JW5" s="1"/>
      <c r="JY5" s="12" t="s">
        <v>16</v>
      </c>
      <c r="JZ5" s="30"/>
      <c r="KA5" s="30"/>
      <c r="KB5" s="30"/>
      <c r="KC5" s="30"/>
      <c r="KD5" s="30"/>
      <c r="KE5" s="30"/>
      <c r="KF5" s="30"/>
      <c r="KG5" s="30"/>
      <c r="KH5" s="30"/>
      <c r="KI5" s="30"/>
      <c r="KJ5" s="31"/>
      <c r="KK5" s="31"/>
      <c r="KM5" s="13" t="s">
        <v>17</v>
      </c>
      <c r="KN5" s="14" t="s">
        <v>18</v>
      </c>
      <c r="KO5" s="15" t="s">
        <v>19</v>
      </c>
      <c r="KP5" s="5"/>
      <c r="KQ5" s="5" t="s">
        <v>20</v>
      </c>
      <c r="KR5" s="5" t="s">
        <v>21</v>
      </c>
      <c r="KS5" s="5" t="s">
        <v>22</v>
      </c>
      <c r="KT5" s="5" t="s">
        <v>23</v>
      </c>
      <c r="KU5" s="5" t="s">
        <v>24</v>
      </c>
      <c r="KV5" s="5"/>
      <c r="KW5" s="1"/>
      <c r="KX5" s="1"/>
      <c r="KZ5" s="12" t="s">
        <v>16</v>
      </c>
      <c r="LA5" s="30"/>
      <c r="LB5" s="30"/>
      <c r="LC5" s="30"/>
      <c r="LD5" s="30"/>
      <c r="LE5" s="30"/>
      <c r="LF5" s="30"/>
      <c r="LG5" s="30"/>
      <c r="LH5" s="30"/>
      <c r="LI5" s="30"/>
      <c r="LJ5" s="30"/>
      <c r="LK5" s="31"/>
      <c r="LL5" s="31"/>
      <c r="LN5" s="13" t="s">
        <v>17</v>
      </c>
      <c r="LO5" s="14" t="s">
        <v>18</v>
      </c>
      <c r="LP5" s="15" t="s">
        <v>19</v>
      </c>
      <c r="LQ5" s="5"/>
      <c r="LR5" s="5" t="s">
        <v>20</v>
      </c>
      <c r="LS5" s="5" t="s">
        <v>21</v>
      </c>
      <c r="LT5" s="5" t="s">
        <v>22</v>
      </c>
      <c r="LU5" s="5" t="s">
        <v>23</v>
      </c>
      <c r="LV5" s="5" t="s">
        <v>24</v>
      </c>
      <c r="LW5" s="5"/>
      <c r="LX5" s="1"/>
      <c r="LY5" s="1"/>
      <c r="MA5" s="12" t="s">
        <v>16</v>
      </c>
      <c r="MB5" s="30"/>
      <c r="MC5" s="30"/>
      <c r="MD5" s="30"/>
      <c r="ME5" s="30"/>
      <c r="MF5" s="30"/>
      <c r="MG5" s="30"/>
      <c r="MH5" s="30"/>
      <c r="MI5" s="30"/>
      <c r="MJ5" s="30"/>
      <c r="MK5" s="30"/>
      <c r="ML5" s="31"/>
      <c r="MM5" s="31"/>
      <c r="MO5" s="13" t="s">
        <v>17</v>
      </c>
      <c r="MP5" s="14" t="s">
        <v>18</v>
      </c>
      <c r="MQ5" s="15" t="s">
        <v>19</v>
      </c>
      <c r="MR5" s="5"/>
      <c r="MS5" s="5" t="s">
        <v>20</v>
      </c>
      <c r="MT5" s="5" t="s">
        <v>21</v>
      </c>
      <c r="MU5" s="5" t="s">
        <v>22</v>
      </c>
      <c r="MV5" s="5" t="s">
        <v>23</v>
      </c>
      <c r="MW5" s="5" t="s">
        <v>24</v>
      </c>
      <c r="MX5" s="5"/>
      <c r="MY5" s="1"/>
      <c r="MZ5" s="1"/>
      <c r="NB5" s="12" t="s">
        <v>16</v>
      </c>
      <c r="NC5" s="30"/>
      <c r="ND5" s="30"/>
      <c r="NE5" s="30"/>
      <c r="NF5" s="30"/>
      <c r="NG5" s="30"/>
      <c r="NH5" s="30"/>
      <c r="NI5" s="30"/>
      <c r="NJ5" s="30"/>
      <c r="NK5" s="30"/>
      <c r="NL5" s="30"/>
      <c r="NM5" s="31"/>
      <c r="NN5" s="31"/>
      <c r="NP5" s="13" t="s">
        <v>17</v>
      </c>
      <c r="NQ5" s="14" t="s">
        <v>18</v>
      </c>
      <c r="NR5" s="15" t="s">
        <v>19</v>
      </c>
      <c r="NS5" s="5"/>
      <c r="NT5" s="5" t="s">
        <v>20</v>
      </c>
      <c r="NU5" s="5" t="s">
        <v>21</v>
      </c>
      <c r="NV5" s="5" t="s">
        <v>22</v>
      </c>
      <c r="NW5" s="5" t="s">
        <v>23</v>
      </c>
      <c r="NX5" s="5" t="s">
        <v>24</v>
      </c>
      <c r="NY5" s="5"/>
      <c r="NZ5" s="1"/>
      <c r="OA5" s="1"/>
      <c r="OC5" s="12" t="s">
        <v>16</v>
      </c>
      <c r="OD5" s="30"/>
      <c r="OE5" s="30"/>
      <c r="OF5" s="30"/>
      <c r="OG5" s="30"/>
      <c r="OH5" s="30"/>
      <c r="OI5" s="30"/>
      <c r="OJ5" s="30"/>
      <c r="OK5" s="30"/>
      <c r="OL5" s="30"/>
      <c r="OM5" s="30"/>
      <c r="ON5" s="31"/>
      <c r="OO5" s="31"/>
      <c r="OQ5" s="13" t="s">
        <v>279</v>
      </c>
      <c r="OR5" s="14" t="s">
        <v>18</v>
      </c>
      <c r="OS5" s="15" t="s">
        <v>19</v>
      </c>
      <c r="OT5" s="5"/>
      <c r="OU5" s="5" t="s">
        <v>20</v>
      </c>
      <c r="OV5" s="5" t="s">
        <v>21</v>
      </c>
      <c r="OW5" s="5" t="s">
        <v>22</v>
      </c>
      <c r="OX5" s="5" t="s">
        <v>23</v>
      </c>
      <c r="OY5" s="5" t="s">
        <v>24</v>
      </c>
      <c r="OZ5" s="5"/>
      <c r="PA5" s="1"/>
      <c r="PB5" s="1"/>
      <c r="PD5" s="12" t="s">
        <v>16</v>
      </c>
      <c r="PE5" s="30"/>
      <c r="PF5" s="30"/>
      <c r="PG5" s="30"/>
      <c r="PH5" s="30"/>
      <c r="PI5" s="30"/>
      <c r="PJ5" s="30"/>
      <c r="PK5" s="30"/>
      <c r="PL5" s="30"/>
      <c r="PM5" s="30"/>
      <c r="PN5" s="30"/>
      <c r="PO5" s="31"/>
      <c r="PP5" s="31"/>
      <c r="PR5" s="13" t="s">
        <v>293</v>
      </c>
      <c r="PS5" s="14" t="s">
        <v>18</v>
      </c>
      <c r="PT5" s="15" t="s">
        <v>19</v>
      </c>
      <c r="PU5" s="5"/>
      <c r="PV5" s="5" t="s">
        <v>20</v>
      </c>
      <c r="PW5" s="5" t="s">
        <v>21</v>
      </c>
      <c r="PX5" s="5" t="s">
        <v>22</v>
      </c>
      <c r="PY5" s="5" t="s">
        <v>23</v>
      </c>
      <c r="PZ5" s="5" t="s">
        <v>24</v>
      </c>
      <c r="QA5" s="5"/>
      <c r="QB5" s="1"/>
      <c r="QC5" s="1"/>
      <c r="QE5" s="12" t="s">
        <v>16</v>
      </c>
      <c r="QF5" s="30"/>
      <c r="QG5" s="30"/>
      <c r="QH5" s="30"/>
      <c r="QI5" s="30"/>
      <c r="QJ5" s="30"/>
      <c r="QK5" s="30"/>
      <c r="QL5" s="30"/>
      <c r="QM5" s="30"/>
      <c r="QN5" s="30"/>
      <c r="QO5" s="30"/>
      <c r="QP5" s="31"/>
      <c r="QQ5" s="31"/>
      <c r="QS5" s="13" t="s">
        <v>303</v>
      </c>
      <c r="QT5" s="14" t="s">
        <v>18</v>
      </c>
      <c r="QU5" s="15" t="s">
        <v>19</v>
      </c>
      <c r="QV5" s="5"/>
      <c r="QW5" s="5" t="s">
        <v>20</v>
      </c>
      <c r="QX5" s="5" t="s">
        <v>21</v>
      </c>
      <c r="QY5" s="5" t="s">
        <v>22</v>
      </c>
      <c r="QZ5" s="5" t="s">
        <v>23</v>
      </c>
      <c r="RA5" s="5" t="s">
        <v>24</v>
      </c>
      <c r="RB5" s="5"/>
      <c r="RC5" s="1"/>
      <c r="RD5" s="1"/>
      <c r="RF5" s="12" t="s">
        <v>16</v>
      </c>
      <c r="RG5" s="30"/>
      <c r="RH5" s="30"/>
      <c r="RI5" s="30"/>
      <c r="RJ5" s="30"/>
      <c r="RK5" s="30"/>
    </row>
    <row r="6" spans="15:479" x14ac:dyDescent="0.2">
      <c r="O6" s="16" t="s">
        <v>857</v>
      </c>
      <c r="P6" s="32" t="s">
        <v>47</v>
      </c>
      <c r="Q6" s="32" t="s">
        <v>48</v>
      </c>
      <c r="R6" s="32" t="s">
        <v>1428</v>
      </c>
      <c r="S6" s="32"/>
      <c r="T6" s="30" t="s">
        <v>853</v>
      </c>
      <c r="U6" s="30" t="s">
        <v>26</v>
      </c>
      <c r="V6" s="30" t="s">
        <v>33</v>
      </c>
      <c r="W6" s="30" t="s">
        <v>28</v>
      </c>
      <c r="X6" s="30" t="s">
        <v>34</v>
      </c>
      <c r="Y6" s="17">
        <v>300.91000000000003</v>
      </c>
      <c r="Z6" s="33">
        <f t="shared" ref="Z6:Z42" si="0">AE6/$AE$43</f>
        <v>3.9046187848549026E-2</v>
      </c>
      <c r="AA6" s="33">
        <f t="shared" ref="AA6:AA41" si="1">Z6*(1-$AA$49)/(1-$Z$42)</f>
        <v>3.7095190708382554E-2</v>
      </c>
      <c r="AB6" s="4"/>
      <c r="AC6" s="1">
        <v>1</v>
      </c>
      <c r="AD6" s="18">
        <v>26703.503004100701</v>
      </c>
      <c r="AE6" s="11">
        <v>8035351.0889639426</v>
      </c>
      <c r="AF6" s="5"/>
      <c r="AG6" s="11">
        <v>1</v>
      </c>
      <c r="AH6" s="11">
        <v>300.91000000000003</v>
      </c>
      <c r="AI6" s="5">
        <v>41.523312989052165</v>
      </c>
      <c r="AJ6" s="8">
        <v>3.9494437500000007E-2</v>
      </c>
      <c r="AK6" s="8">
        <v>1.1479985016453753E-2</v>
      </c>
      <c r="AL6" s="5"/>
      <c r="AM6" s="21">
        <v>7706.514171553933</v>
      </c>
      <c r="AN6" s="22">
        <v>11133.67</v>
      </c>
      <c r="AP6" s="16" t="s">
        <v>849</v>
      </c>
      <c r="AQ6" s="32" t="s">
        <v>35</v>
      </c>
      <c r="AR6" s="32" t="s">
        <v>36</v>
      </c>
      <c r="AS6" s="32" t="s">
        <v>1464</v>
      </c>
      <c r="AT6" s="32"/>
      <c r="AU6" s="30" t="s">
        <v>850</v>
      </c>
      <c r="AV6" s="30" t="s">
        <v>26</v>
      </c>
      <c r="AW6" s="30" t="s">
        <v>33</v>
      </c>
      <c r="AX6" s="30" t="s">
        <v>28</v>
      </c>
      <c r="AY6" s="30" t="s">
        <v>34</v>
      </c>
      <c r="AZ6" s="17">
        <v>111.04</v>
      </c>
      <c r="BA6" s="33">
        <f t="shared" ref="BA6:BA26" si="2">BF6/$BF$27</f>
        <v>4.0357316596294462E-2</v>
      </c>
      <c r="BB6" s="33">
        <f>BA6*(1-$BB$33)/(1-$BA$26)</f>
        <v>3.8326431438039203E-2</v>
      </c>
      <c r="BD6" s="1">
        <v>1</v>
      </c>
      <c r="BE6" s="18">
        <v>59839.544382464497</v>
      </c>
      <c r="BF6" s="11">
        <v>6644583.008228858</v>
      </c>
      <c r="BG6" s="5"/>
      <c r="BH6" s="11">
        <v>1</v>
      </c>
      <c r="BI6" s="11">
        <v>111.04</v>
      </c>
      <c r="BJ6" s="5">
        <v>116.30350604119441</v>
      </c>
      <c r="BK6" s="8">
        <v>4.0252000000000003E-2</v>
      </c>
      <c r="BL6" s="8">
        <v>-2.609603540987937E-3</v>
      </c>
      <c r="BM6" s="5"/>
      <c r="BN6" s="21">
        <v>2751.4217833352059</v>
      </c>
      <c r="BO6" s="22">
        <v>4108.4799999999996</v>
      </c>
      <c r="BQ6" s="16" t="s">
        <v>907</v>
      </c>
      <c r="BR6" s="32" t="s">
        <v>107</v>
      </c>
      <c r="BS6" s="32">
        <v>3292</v>
      </c>
      <c r="BT6" s="32" t="s">
        <v>1481</v>
      </c>
      <c r="BU6" s="32"/>
      <c r="BV6" s="30" t="s">
        <v>902</v>
      </c>
      <c r="BW6" s="30" t="s">
        <v>26</v>
      </c>
      <c r="BX6" s="71" t="s">
        <v>320</v>
      </c>
      <c r="BY6" s="30" t="s">
        <v>28</v>
      </c>
      <c r="BZ6" s="30" t="s">
        <v>94</v>
      </c>
      <c r="CA6" s="17">
        <v>135300</v>
      </c>
      <c r="CB6" s="33">
        <f t="shared" ref="CB6:CB21" si="3">CG6/$CG$22</f>
        <v>6.7591848441773406E-2</v>
      </c>
      <c r="CC6" s="33">
        <f>CB6*(1-$CC$28)/(1-$CB$21)</f>
        <v>6.4206470876323876E-2</v>
      </c>
      <c r="CE6" s="1">
        <v>1</v>
      </c>
      <c r="CF6" s="18">
        <v>313.41545307529799</v>
      </c>
      <c r="CG6" s="11">
        <v>42405110.801087819</v>
      </c>
      <c r="CH6" s="5"/>
      <c r="CI6" s="11">
        <v>1</v>
      </c>
      <c r="CJ6" s="11">
        <v>135300</v>
      </c>
      <c r="CK6" s="5">
        <v>0.15986246490293785</v>
      </c>
      <c r="CL6" s="8">
        <v>0</v>
      </c>
      <c r="CM6" s="8">
        <v>-1</v>
      </c>
      <c r="CN6" s="5"/>
      <c r="CO6" s="21">
        <v>2001720.6677895987</v>
      </c>
      <c r="CP6" s="22">
        <v>5006100</v>
      </c>
      <c r="CR6" s="16" t="s">
        <v>922</v>
      </c>
      <c r="CS6" s="32" t="s">
        <v>308</v>
      </c>
      <c r="CT6" s="32" t="s">
        <v>369</v>
      </c>
      <c r="CU6" s="32" t="s">
        <v>1496</v>
      </c>
      <c r="CV6" s="32"/>
      <c r="CW6" s="30" t="s">
        <v>850</v>
      </c>
      <c r="CX6" s="30" t="s">
        <v>26</v>
      </c>
      <c r="CY6" s="30" t="s">
        <v>33</v>
      </c>
      <c r="CZ6" s="30" t="s">
        <v>28</v>
      </c>
      <c r="DA6" s="30" t="s">
        <v>34</v>
      </c>
      <c r="DB6" s="17">
        <v>187.64</v>
      </c>
      <c r="DC6" s="33">
        <f t="shared" ref="DC6:DC25" si="4">DH6/$DH$26</f>
        <v>5.1248384616680832E-2</v>
      </c>
      <c r="DD6" s="33">
        <f t="shared" ref="DD6:DD24" si="5">DC6*(1-$DD$32)/(1-$DC$25)</f>
        <v>4.8669688493217088E-2</v>
      </c>
      <c r="DF6" s="1">
        <v>1</v>
      </c>
      <c r="DG6" s="18">
        <v>49532.234878707197</v>
      </c>
      <c r="DH6" s="11">
        <v>9294228.5526406169</v>
      </c>
      <c r="DI6" s="5"/>
      <c r="DJ6" s="11">
        <v>1</v>
      </c>
      <c r="DK6" s="11">
        <v>187.64</v>
      </c>
      <c r="DL6" s="5">
        <v>87.398652085578064</v>
      </c>
      <c r="DM6" s="8">
        <v>5.1014624999999994E-2</v>
      </c>
      <c r="DN6" s="8">
        <v>-4.5613070232217723E-3</v>
      </c>
      <c r="DO6" s="5"/>
      <c r="DP6" s="21">
        <v>3661.3836983053911</v>
      </c>
      <c r="DQ6" s="22">
        <v>6942.6799999999994</v>
      </c>
      <c r="DS6" s="16" t="s">
        <v>942</v>
      </c>
      <c r="DT6" s="32" t="s">
        <v>723</v>
      </c>
      <c r="DU6" s="32" t="s">
        <v>725</v>
      </c>
      <c r="DV6" s="32" t="s">
        <v>1511</v>
      </c>
      <c r="DW6" s="32"/>
      <c r="DX6" s="30" t="s">
        <v>777</v>
      </c>
      <c r="DY6" s="30" t="s">
        <v>26</v>
      </c>
      <c r="DZ6" s="30" t="s">
        <v>129</v>
      </c>
      <c r="EA6" s="30" t="s">
        <v>28</v>
      </c>
      <c r="EB6" s="43" t="s">
        <v>827</v>
      </c>
      <c r="EC6" s="17">
        <v>30.78</v>
      </c>
      <c r="ED6" s="33">
        <f>EI6/$EI$27</f>
        <v>4.0931255655678379E-2</v>
      </c>
      <c r="EE6" s="33">
        <f>ED6*(1-$EE$33)/(1-$ED$26)</f>
        <v>3.8827708846108408E-2</v>
      </c>
      <c r="EG6" s="1">
        <v>1</v>
      </c>
      <c r="EH6" s="18">
        <v>219451.167376553</v>
      </c>
      <c r="EI6" s="11">
        <v>6754706.931850302</v>
      </c>
      <c r="EJ6" s="5"/>
      <c r="EK6" s="11">
        <v>1</v>
      </c>
      <c r="EL6" s="11">
        <v>30.78</v>
      </c>
      <c r="EM6" s="5">
        <v>425.53612117664335</v>
      </c>
      <c r="EN6" s="8">
        <v>4.0975875000000002E-2</v>
      </c>
      <c r="EO6" s="8">
        <v>1.0901044594617826E-3</v>
      </c>
      <c r="EP6" s="5"/>
      <c r="EQ6" s="21">
        <v>751.99256673011212</v>
      </c>
      <c r="ER6" s="22">
        <v>1138.8599999999999</v>
      </c>
      <c r="ET6" s="16" t="s">
        <v>857</v>
      </c>
      <c r="EU6" s="32" t="s">
        <v>47</v>
      </c>
      <c r="EV6" s="32" t="s">
        <v>48</v>
      </c>
      <c r="EW6" s="32" t="s">
        <v>1428</v>
      </c>
      <c r="EX6" s="32"/>
      <c r="EY6" s="30" t="s">
        <v>853</v>
      </c>
      <c r="EZ6" s="30" t="s">
        <v>26</v>
      </c>
      <c r="FA6" s="30" t="s">
        <v>33</v>
      </c>
      <c r="FB6" s="30" t="s">
        <v>28</v>
      </c>
      <c r="FC6" s="30" t="s">
        <v>34</v>
      </c>
      <c r="FD6" s="17">
        <v>300.91000000000003</v>
      </c>
      <c r="FE6" s="33">
        <f t="shared" ref="FE6:FE35" si="6">FJ6/$FJ$36</f>
        <v>4.8244261996824273E-2</v>
      </c>
      <c r="FF6" s="33">
        <f t="shared" ref="FF6:FF34" si="7">FE6*(1-$FF$42)/(1-$FE$35)</f>
        <v>4.5830773471296625E-2</v>
      </c>
      <c r="FH6" s="1">
        <v>1</v>
      </c>
      <c r="FI6" s="18">
        <v>32854.607894694498</v>
      </c>
      <c r="FJ6" s="11">
        <v>9886280.061592523</v>
      </c>
      <c r="FK6" s="5"/>
      <c r="FL6" s="11">
        <v>1</v>
      </c>
      <c r="FM6" s="11">
        <v>300.91000000000003</v>
      </c>
      <c r="FN6" s="5">
        <v>51.304921202298914</v>
      </c>
      <c r="FO6" s="8">
        <v>4.7957531250000004E-2</v>
      </c>
      <c r="FP6" s="8">
        <v>-5.943312944514334E-3</v>
      </c>
      <c r="FQ6" s="5"/>
      <c r="FR6" s="21">
        <v>6237.2184285834392</v>
      </c>
      <c r="FS6" s="22">
        <v>11133.67</v>
      </c>
      <c r="FU6" s="16" t="s">
        <v>852</v>
      </c>
      <c r="FV6" s="32" t="s">
        <v>224</v>
      </c>
      <c r="FW6" s="32" t="s">
        <v>357</v>
      </c>
      <c r="FX6" s="32" t="s">
        <v>1463</v>
      </c>
      <c r="FY6" s="32"/>
      <c r="FZ6" s="30" t="s">
        <v>853</v>
      </c>
      <c r="GA6" s="30" t="s">
        <v>26</v>
      </c>
      <c r="GB6" s="30" t="s">
        <v>33</v>
      </c>
      <c r="GC6" s="30" t="s">
        <v>28</v>
      </c>
      <c r="GD6" s="30" t="s">
        <v>34</v>
      </c>
      <c r="GE6" s="17">
        <v>281.74</v>
      </c>
      <c r="GF6" s="33">
        <f t="shared" ref="GF6:GF35" si="8">GK6/$GK$37</f>
        <v>2.8474616694544468E-2</v>
      </c>
      <c r="GG6" s="33">
        <f t="shared" ref="GG6:GG35" si="9">GF6*(1-$GG$43)/(1-$GF$36)</f>
        <v>2.7049590305654264E-2</v>
      </c>
      <c r="GI6" s="1">
        <v>1</v>
      </c>
      <c r="GJ6" s="18">
        <v>20920.578316695799</v>
      </c>
      <c r="GK6" s="11">
        <v>5894163.7349458747</v>
      </c>
      <c r="GL6" s="5"/>
      <c r="GM6" s="11">
        <v>1</v>
      </c>
      <c r="GN6" s="11">
        <v>281.74</v>
      </c>
      <c r="GO6" s="5">
        <v>32.341440130099485</v>
      </c>
      <c r="GP6" s="8">
        <v>2.8174000000000001E-2</v>
      </c>
      <c r="GQ6" s="8">
        <v>-1.0557357023248781E-2</v>
      </c>
      <c r="GR6" s="5"/>
      <c r="GS6" s="21">
        <v>9894.4264297675109</v>
      </c>
      <c r="GT6" s="22">
        <v>10424.379999999999</v>
      </c>
      <c r="GV6" s="16" t="s">
        <v>966</v>
      </c>
      <c r="GW6" s="32" t="s">
        <v>185</v>
      </c>
      <c r="GX6" s="32">
        <v>9988</v>
      </c>
      <c r="GY6" s="32" t="s">
        <v>1533</v>
      </c>
      <c r="GZ6" s="32"/>
      <c r="HA6" s="30" t="s">
        <v>862</v>
      </c>
      <c r="HB6" s="30" t="s">
        <v>26</v>
      </c>
      <c r="HC6" s="30" t="s">
        <v>27</v>
      </c>
      <c r="HD6" s="30" t="s">
        <v>28</v>
      </c>
      <c r="HE6" s="30" t="s">
        <v>82</v>
      </c>
      <c r="HF6" s="17">
        <v>131.19999999999999</v>
      </c>
      <c r="HG6" s="33">
        <f t="shared" ref="HG6:HG40" si="10">HL6/$HL$41</f>
        <v>2.0559637681276419E-2</v>
      </c>
      <c r="HH6" s="33">
        <f>HG6*(1-$HH$47)/(1-$HG$40)</f>
        <v>1.9530106226017665E-2</v>
      </c>
      <c r="HJ6" s="1">
        <v>0.12784999999999999</v>
      </c>
      <c r="HK6" s="18">
        <v>199899.73511183201</v>
      </c>
      <c r="HL6" s="11">
        <v>3353102.1647870606</v>
      </c>
      <c r="HM6" s="5"/>
      <c r="HN6" s="11">
        <v>100</v>
      </c>
      <c r="HO6" s="11">
        <v>1677.3919999999996</v>
      </c>
      <c r="HP6" s="5">
        <v>3.9222102275487516</v>
      </c>
      <c r="HQ6" s="8">
        <v>2.0967399999999994E-2</v>
      </c>
      <c r="HR6" s="8">
        <v>1.983314711304085E-2</v>
      </c>
      <c r="HS6" s="5"/>
      <c r="HT6" s="21">
        <v>81586.651769043281</v>
      </c>
      <c r="HU6" s="22">
        <v>62063.503999999979</v>
      </c>
      <c r="HW6" s="16" t="s">
        <v>1030</v>
      </c>
      <c r="HX6" s="32" t="s">
        <v>218</v>
      </c>
      <c r="HY6" s="32">
        <v>1308</v>
      </c>
      <c r="HZ6" s="32" t="s">
        <v>1580</v>
      </c>
      <c r="IA6" s="32"/>
      <c r="IB6" s="30" t="s">
        <v>862</v>
      </c>
      <c r="IC6" s="30" t="s">
        <v>26</v>
      </c>
      <c r="ID6" s="30" t="s">
        <v>27</v>
      </c>
      <c r="IE6" s="30" t="s">
        <v>28</v>
      </c>
      <c r="IF6" s="30" t="s">
        <v>82</v>
      </c>
      <c r="IG6" s="17">
        <v>33.4</v>
      </c>
      <c r="IH6" s="33">
        <f t="shared" ref="IH6:IH28" si="11">IM6/$IM$29</f>
        <v>4.4707374879683216E-2</v>
      </c>
      <c r="II6" s="33">
        <f t="shared" ref="II6:II27" si="12">IH6*(1-$II$35)/(1-$IH$28)</f>
        <v>4.2494882905816198E-2</v>
      </c>
      <c r="IK6" s="1">
        <v>1</v>
      </c>
      <c r="IL6" s="18">
        <v>253708.444059598</v>
      </c>
      <c r="IM6" s="11">
        <v>8473862.0315905735</v>
      </c>
      <c r="IN6" s="5"/>
      <c r="IO6" s="11">
        <v>1000</v>
      </c>
      <c r="IP6" s="11">
        <v>33400</v>
      </c>
      <c r="IQ6" s="5">
        <v>0.42833413058379127</v>
      </c>
      <c r="IR6" s="8">
        <v>0</v>
      </c>
      <c r="IS6" s="8">
        <v>-1</v>
      </c>
      <c r="IT6" s="5"/>
      <c r="IU6" s="21">
        <v>747080.32153277402</v>
      </c>
      <c r="IV6" s="22">
        <v>1235800</v>
      </c>
      <c r="IX6" s="16" t="s">
        <v>852</v>
      </c>
      <c r="IY6" s="32" t="s">
        <v>224</v>
      </c>
      <c r="IZ6" s="32" t="s">
        <v>357</v>
      </c>
      <c r="JA6" s="32" t="s">
        <v>1463</v>
      </c>
      <c r="JB6" s="32"/>
      <c r="JC6" s="30" t="s">
        <v>853</v>
      </c>
      <c r="JD6" s="30" t="s">
        <v>26</v>
      </c>
      <c r="JE6" s="30" t="s">
        <v>33</v>
      </c>
      <c r="JF6" s="30" t="s">
        <v>28</v>
      </c>
      <c r="JG6" s="30" t="s">
        <v>34</v>
      </c>
      <c r="JH6" s="17">
        <v>281.74</v>
      </c>
      <c r="JI6" s="33">
        <f>JN6/$JN$34</f>
        <v>2.9152241632438174E-2</v>
      </c>
      <c r="JJ6" s="33">
        <f t="shared" ref="JJ6:JJ32" si="13">JI6*(1-$JJ$40)/(1-$JI$33)</f>
        <v>2.7693140868151292E-2</v>
      </c>
      <c r="JL6" s="1">
        <v>1</v>
      </c>
      <c r="JM6" s="18">
        <v>12623.0961160062</v>
      </c>
      <c r="JN6" s="11">
        <v>3556431.0997235868</v>
      </c>
      <c r="JO6" s="5"/>
      <c r="JP6" s="11">
        <v>1</v>
      </c>
      <c r="JQ6" s="11">
        <v>281.74</v>
      </c>
      <c r="JR6" s="5">
        <v>33.111085832257452</v>
      </c>
      <c r="JS6" s="8">
        <v>2.9054437499999999E-2</v>
      </c>
      <c r="JT6" s="8">
        <v>-3.3549438040245683E-3</v>
      </c>
      <c r="JU6" s="5"/>
      <c r="JV6" s="21">
        <v>9664.4369085670351</v>
      </c>
      <c r="JW6" s="22">
        <v>10424.379999999999</v>
      </c>
      <c r="JY6" s="16" t="s">
        <v>1322</v>
      </c>
      <c r="JZ6" s="32" t="s">
        <v>1296</v>
      </c>
      <c r="KA6" s="32" t="s">
        <v>1373</v>
      </c>
      <c r="KB6" s="32" t="s">
        <v>1616</v>
      </c>
      <c r="KC6" s="32"/>
      <c r="KD6" s="30" t="s">
        <v>430</v>
      </c>
      <c r="KE6" s="30" t="s">
        <v>26</v>
      </c>
      <c r="KF6" s="30" t="s">
        <v>61</v>
      </c>
      <c r="KG6" s="30" t="s">
        <v>28</v>
      </c>
      <c r="KH6" s="30" t="s">
        <v>814</v>
      </c>
      <c r="KI6" s="17">
        <v>66.58</v>
      </c>
      <c r="KJ6" s="33">
        <f>KO6/$KO$41</f>
        <v>2.8885993677454588E-2</v>
      </c>
      <c r="KK6" s="33">
        <f>KJ6*(1-$KK$47)/(1-$KJ$40)</f>
        <v>2.7446148627595264E-2</v>
      </c>
      <c r="KM6" s="1">
        <v>1.2806</v>
      </c>
      <c r="KN6" s="18">
        <v>33642.126263515602</v>
      </c>
      <c r="KO6" s="11">
        <v>2868406.6769398069</v>
      </c>
      <c r="KP6" s="5"/>
      <c r="KQ6" s="11">
        <v>1</v>
      </c>
      <c r="KR6" s="11">
        <v>85.262347999999989</v>
      </c>
      <c r="KS6" s="5">
        <v>108.41266037835915</v>
      </c>
      <c r="KT6" s="8">
        <v>2.8776042449999994E-2</v>
      </c>
      <c r="KU6" s="8">
        <v>-3.806385498879683E-3</v>
      </c>
      <c r="KV6" s="5"/>
      <c r="KW6" s="21">
        <v>2951.6847837070231</v>
      </c>
      <c r="KX6" s="22">
        <v>3154.7068759999993</v>
      </c>
      <c r="KZ6" s="16" t="s">
        <v>922</v>
      </c>
      <c r="LA6" s="32" t="s">
        <v>308</v>
      </c>
      <c r="LB6" s="32" t="s">
        <v>369</v>
      </c>
      <c r="LC6" s="32" t="s">
        <v>1496</v>
      </c>
      <c r="LD6" s="32"/>
      <c r="LE6" s="30" t="s">
        <v>850</v>
      </c>
      <c r="LF6" s="30" t="s">
        <v>26</v>
      </c>
      <c r="LG6" s="30" t="s">
        <v>33</v>
      </c>
      <c r="LH6" s="30" t="s">
        <v>28</v>
      </c>
      <c r="LI6" s="30" t="s">
        <v>34</v>
      </c>
      <c r="LJ6" s="17">
        <v>187.64</v>
      </c>
      <c r="LK6" s="33">
        <f t="shared" ref="LK6:LK21" si="14">LP6/$LP$22</f>
        <v>6.3322800612150384E-2</v>
      </c>
      <c r="LL6" s="33">
        <f t="shared" ref="LL6:LL20" si="15">LK6*(1-$LL$28)/(1-$LK$21)</f>
        <v>6.0129634725660026E-2</v>
      </c>
      <c r="LN6" s="1">
        <v>1</v>
      </c>
      <c r="LO6" s="18">
        <v>37293.055953778603</v>
      </c>
      <c r="LP6" s="11">
        <v>6997669.0191670163</v>
      </c>
      <c r="LQ6" s="5"/>
      <c r="LR6" s="11">
        <v>1</v>
      </c>
      <c r="LS6" s="11">
        <v>187.64</v>
      </c>
      <c r="LT6" s="5">
        <v>107.99028030211109</v>
      </c>
      <c r="LU6" s="8">
        <v>6.3328499999999996E-2</v>
      </c>
      <c r="LV6" s="8">
        <v>9.0005302900708628E-5</v>
      </c>
      <c r="LW6" s="5"/>
      <c r="LX6" s="21">
        <v>2963.2296453419276</v>
      </c>
      <c r="LY6" s="22">
        <v>6942.6799999999994</v>
      </c>
      <c r="MA6" s="16" t="s">
        <v>854</v>
      </c>
      <c r="MB6" s="32" t="s">
        <v>654</v>
      </c>
      <c r="MC6" s="32" t="s">
        <v>40</v>
      </c>
      <c r="MD6" s="32" t="s">
        <v>1445</v>
      </c>
      <c r="ME6" s="32"/>
      <c r="MF6" s="30" t="s">
        <v>855</v>
      </c>
      <c r="MG6" s="30" t="s">
        <v>26</v>
      </c>
      <c r="MH6" s="30" t="s">
        <v>39</v>
      </c>
      <c r="MI6" s="30" t="s">
        <v>28</v>
      </c>
      <c r="MJ6" s="30" t="s">
        <v>83</v>
      </c>
      <c r="MK6" s="17">
        <v>353.6</v>
      </c>
      <c r="ML6" s="33">
        <f t="shared" ref="ML6:ML40" si="16">MQ6/$MQ$41</f>
        <v>2.7561502842002324E-2</v>
      </c>
      <c r="MM6" s="33">
        <f t="shared" ref="MM6:MM39" si="17">ML6*(1-$MM$47)/(1-$ML$40)</f>
        <v>2.6166826885265615E-2</v>
      </c>
      <c r="MO6" s="1">
        <v>1.1607000000000001</v>
      </c>
      <c r="MP6" s="18">
        <v>12064.470840845301</v>
      </c>
      <c r="MQ6" s="11">
        <v>4951542.589437088</v>
      </c>
      <c r="MR6" s="5"/>
      <c r="MS6" s="11">
        <v>1</v>
      </c>
      <c r="MT6" s="11">
        <v>410.42352000000005</v>
      </c>
      <c r="MU6" s="5">
        <v>21.48921901318117</v>
      </c>
      <c r="MV6" s="8">
        <v>2.6934043500000001E-2</v>
      </c>
      <c r="MW6" s="8">
        <v>-2.2765788411439836E-2</v>
      </c>
      <c r="MX6" s="5"/>
      <c r="MY6" s="21">
        <v>14891.187986111394</v>
      </c>
      <c r="MZ6" s="22">
        <v>15185.670240000001</v>
      </c>
      <c r="NB6" s="16" t="s">
        <v>959</v>
      </c>
      <c r="NC6" s="32" t="s">
        <v>165</v>
      </c>
      <c r="ND6" s="32" t="s">
        <v>339</v>
      </c>
      <c r="NE6" s="32" t="s">
        <v>1528</v>
      </c>
      <c r="NF6" s="32"/>
      <c r="NG6" s="30" t="s">
        <v>850</v>
      </c>
      <c r="NH6" s="30" t="s">
        <v>26</v>
      </c>
      <c r="NI6" s="30" t="s">
        <v>33</v>
      </c>
      <c r="NJ6" s="30" t="s">
        <v>28</v>
      </c>
      <c r="NK6" s="30" t="s">
        <v>34</v>
      </c>
      <c r="NL6" s="17">
        <v>28.97</v>
      </c>
      <c r="NM6" s="33">
        <f t="shared" ref="NM6:NM32" si="18">NR6/$NR$33</f>
        <v>4.004186797399787E-2</v>
      </c>
      <c r="NN6" s="33">
        <f t="shared" ref="NN6:NN31" si="19">NM6*(1-$NN$39)/(1-$NM$32)</f>
        <v>3.8010777847948381E-2</v>
      </c>
      <c r="NP6" s="1">
        <v>1</v>
      </c>
      <c r="NQ6" s="18">
        <v>236291.697578436</v>
      </c>
      <c r="NR6" s="11">
        <v>6845370.4788472904</v>
      </c>
      <c r="NS6" s="5"/>
      <c r="NT6" s="11">
        <v>1</v>
      </c>
      <c r="NU6" s="11">
        <v>28.97</v>
      </c>
      <c r="NV6" s="5">
        <v>442.29885231892712</v>
      </c>
      <c r="NW6" s="8">
        <v>4.0014812499999997E-2</v>
      </c>
      <c r="NX6" s="8">
        <v>-6.7567961653147712E-4</v>
      </c>
      <c r="NY6" s="5"/>
      <c r="NZ6" s="21">
        <v>723.4927206396153</v>
      </c>
      <c r="OA6" s="22">
        <v>1071.8899999999999</v>
      </c>
      <c r="OC6" s="16" t="s">
        <v>1092</v>
      </c>
      <c r="OD6" s="32" t="s">
        <v>275</v>
      </c>
      <c r="OE6" s="32" t="s">
        <v>350</v>
      </c>
      <c r="OF6" s="32" t="s">
        <v>1671</v>
      </c>
      <c r="OG6" s="32"/>
      <c r="OH6" s="30" t="s">
        <v>867</v>
      </c>
      <c r="OI6" s="30" t="s">
        <v>26</v>
      </c>
      <c r="OJ6" s="30" t="s">
        <v>330</v>
      </c>
      <c r="OK6" s="30" t="s">
        <v>28</v>
      </c>
      <c r="OL6" s="30" t="s">
        <v>868</v>
      </c>
      <c r="OM6" s="17">
        <v>304.5</v>
      </c>
      <c r="ON6" s="33">
        <f t="shared" ref="ON6:ON33" si="20">OS6/$OS$34</f>
        <v>4.0144568094555362E-2</v>
      </c>
      <c r="OO6" s="33">
        <f>ON6*(1-$OO$40)/(1-$ON$33)</f>
        <v>3.8065362476369352E-2</v>
      </c>
      <c r="OQ6" s="1">
        <v>8.9200000000000002E-2</v>
      </c>
      <c r="OR6" s="18">
        <v>272198.53645460401</v>
      </c>
      <c r="OS6" s="11">
        <v>7393293.3280580817</v>
      </c>
      <c r="OT6" s="5"/>
      <c r="OU6" s="11">
        <v>1</v>
      </c>
      <c r="OV6" s="11">
        <v>27.1614</v>
      </c>
      <c r="OW6" s="5">
        <v>472.96022260478901</v>
      </c>
      <c r="OX6" s="8">
        <v>4.0147944375000001E-2</v>
      </c>
      <c r="OY6" s="8">
        <v>8.410304568950977E-5</v>
      </c>
      <c r="OZ6" s="5"/>
      <c r="PA6" s="21">
        <v>676.58966802245368</v>
      </c>
      <c r="PB6" s="22">
        <v>1004.9717999999999</v>
      </c>
      <c r="PD6" s="16" t="s">
        <v>1108</v>
      </c>
      <c r="PE6" s="70" t="s">
        <v>287</v>
      </c>
      <c r="PF6" s="70">
        <v>2181</v>
      </c>
      <c r="PG6" s="32" t="s">
        <v>1678</v>
      </c>
      <c r="PH6" s="70"/>
      <c r="PI6" s="30" t="s">
        <v>902</v>
      </c>
      <c r="PJ6" s="30" t="s">
        <v>26</v>
      </c>
      <c r="PK6" s="71" t="s">
        <v>320</v>
      </c>
      <c r="PL6" s="30" t="s">
        <v>28</v>
      </c>
      <c r="PM6" s="30" t="s">
        <v>94</v>
      </c>
      <c r="PN6" s="17">
        <v>244.5</v>
      </c>
      <c r="PO6" s="33">
        <f t="shared" ref="PO6:PO29" si="21">PT6/$PT$30</f>
        <v>4.3199520489491008E-2</v>
      </c>
      <c r="PP6" s="33">
        <f t="shared" ref="PP6:PP28" si="22">PO6*(1-$PP$36)/(1-$PO$29)</f>
        <v>4.1037314894887607E-2</v>
      </c>
      <c r="PR6" s="1">
        <v>1</v>
      </c>
      <c r="PS6" s="18">
        <v>34050.654293328</v>
      </c>
      <c r="PT6" s="11">
        <v>8325384.9747186955</v>
      </c>
      <c r="PU6" s="5"/>
      <c r="PV6" s="11">
        <v>100</v>
      </c>
      <c r="PW6" s="11">
        <v>24450</v>
      </c>
      <c r="PX6" s="5">
        <v>0.56539249720397233</v>
      </c>
      <c r="PY6" s="8">
        <v>7.6406249999999995E-2</v>
      </c>
      <c r="PZ6" s="8">
        <v>0.76868282643523944</v>
      </c>
      <c r="QA6" s="5"/>
      <c r="QB6" s="21">
        <v>565978.50445927668</v>
      </c>
      <c r="QC6" s="22">
        <v>904650</v>
      </c>
      <c r="QE6" s="16" t="s">
        <v>1114</v>
      </c>
      <c r="QF6" s="34" t="s">
        <v>295</v>
      </c>
      <c r="QG6" s="32"/>
      <c r="QH6" s="32" t="s">
        <v>1695</v>
      </c>
      <c r="QI6" s="34"/>
      <c r="QJ6" s="30" t="s">
        <v>850</v>
      </c>
      <c r="QK6" s="30" t="s">
        <v>26</v>
      </c>
      <c r="QL6" s="30"/>
      <c r="QM6" s="30" t="s">
        <v>28</v>
      </c>
      <c r="QN6" s="30" t="s">
        <v>34</v>
      </c>
      <c r="QO6" s="17">
        <v>20.86</v>
      </c>
      <c r="QP6" s="33">
        <f t="shared" ref="QP6:QP27" si="23">QU6/$QU$28</f>
        <v>6.1935405052110544E-2</v>
      </c>
      <c r="QQ6" s="33">
        <f t="shared" ref="QQ6:QQ26" si="24">QP6*(1-$QQ$34)/(1-$QP$27)</f>
        <v>5.8853746564437447E-2</v>
      </c>
      <c r="QS6" s="1">
        <v>1</v>
      </c>
      <c r="QT6" s="18">
        <v>338716.86246561899</v>
      </c>
      <c r="QU6" s="11">
        <v>7065633.7510328116</v>
      </c>
      <c r="QV6" s="5"/>
      <c r="QW6" s="11">
        <v>1</v>
      </c>
      <c r="QX6" s="11">
        <v>20.86</v>
      </c>
      <c r="QY6" s="5">
        <v>950.11167865174377</v>
      </c>
      <c r="QZ6" s="8">
        <v>6.1928125000000001E-2</v>
      </c>
      <c r="RA6" s="8">
        <v>-1.1754265761909632E-4</v>
      </c>
      <c r="RB6" s="5"/>
      <c r="RC6" s="21">
        <v>336.8025119469072</v>
      </c>
      <c r="RD6" s="22">
        <v>771.81999999999994</v>
      </c>
      <c r="RF6" s="16" t="s">
        <v>1322</v>
      </c>
      <c r="RG6" s="34" t="s">
        <v>1296</v>
      </c>
      <c r="RH6" s="34"/>
      <c r="RI6" s="32" t="s">
        <v>1616</v>
      </c>
      <c r="RJ6" s="34"/>
      <c r="RK6" s="30" t="s">
        <v>430</v>
      </c>
    </row>
    <row r="7" spans="15:479" x14ac:dyDescent="0.2">
      <c r="O7" s="16" t="s">
        <v>860</v>
      </c>
      <c r="P7" s="32" t="s">
        <v>31</v>
      </c>
      <c r="Q7" s="32" t="s">
        <v>32</v>
      </c>
      <c r="R7" s="32" t="s">
        <v>1429</v>
      </c>
      <c r="S7" s="32"/>
      <c r="T7" s="30" t="s">
        <v>853</v>
      </c>
      <c r="U7" s="30" t="s">
        <v>26</v>
      </c>
      <c r="V7" s="30" t="s">
        <v>33</v>
      </c>
      <c r="W7" s="30" t="s">
        <v>28</v>
      </c>
      <c r="X7" s="30" t="s">
        <v>34</v>
      </c>
      <c r="Y7" s="17">
        <v>260.29000000000002</v>
      </c>
      <c r="Z7" s="33">
        <f t="shared" si="0"/>
        <v>3.1116411274855791E-2</v>
      </c>
      <c r="AA7" s="33">
        <f t="shared" si="1"/>
        <v>2.9561636461884044E-2</v>
      </c>
      <c r="AB7" s="4"/>
      <c r="AC7" s="1">
        <v>1</v>
      </c>
      <c r="AD7" s="18">
        <v>24601.3102236868</v>
      </c>
      <c r="AE7" s="11">
        <v>6403475.0381234372</v>
      </c>
      <c r="AF7" s="5"/>
      <c r="AG7" s="11">
        <v>1</v>
      </c>
      <c r="AH7" s="11">
        <v>260.29000000000002</v>
      </c>
      <c r="AI7" s="5">
        <v>38.254453140550353</v>
      </c>
      <c r="AJ7" s="8">
        <v>3.0909437500000001E-2</v>
      </c>
      <c r="AK7" s="8">
        <v>-6.6515952957286739E-3</v>
      </c>
      <c r="AL7" s="5"/>
      <c r="AM7" s="21">
        <v>8365.0391975096536</v>
      </c>
      <c r="AN7" s="22">
        <v>9630.73</v>
      </c>
      <c r="AP7" s="16" t="s">
        <v>890</v>
      </c>
      <c r="AQ7" s="32" t="s">
        <v>92</v>
      </c>
      <c r="AR7" s="32" t="s">
        <v>321</v>
      </c>
      <c r="AS7" s="32" t="s">
        <v>1437</v>
      </c>
      <c r="AT7" s="32"/>
      <c r="AU7" s="30" t="s">
        <v>850</v>
      </c>
      <c r="AV7" s="30" t="s">
        <v>26</v>
      </c>
      <c r="AW7" s="30" t="s">
        <v>33</v>
      </c>
      <c r="AX7" s="30" t="s">
        <v>28</v>
      </c>
      <c r="AY7" s="30" t="s">
        <v>34</v>
      </c>
      <c r="AZ7" s="17">
        <v>232.35</v>
      </c>
      <c r="BA7" s="33">
        <f t="shared" si="2"/>
        <v>4.7507393526680292E-2</v>
      </c>
      <c r="BB7" s="33">
        <f t="shared" ref="BB7:BB25" si="25">BA7*(1-$BB$33)/(1-$BA$26)</f>
        <v>4.511669789679331E-2</v>
      </c>
      <c r="BD7" s="1">
        <v>1</v>
      </c>
      <c r="BE7" s="18">
        <v>33663.864986705797</v>
      </c>
      <c r="BF7" s="11">
        <v>7821799.029661092</v>
      </c>
      <c r="BG7" s="5"/>
      <c r="BH7" s="11">
        <v>1</v>
      </c>
      <c r="BI7" s="11">
        <v>232.35</v>
      </c>
      <c r="BJ7" s="5">
        <v>65.428732208038269</v>
      </c>
      <c r="BK7" s="8">
        <v>4.7196093750000001E-2</v>
      </c>
      <c r="BL7" s="8">
        <v>-6.552659566672836E-3</v>
      </c>
      <c r="BM7" s="5"/>
      <c r="BN7" s="21">
        <v>4890.8176759794569</v>
      </c>
      <c r="BO7" s="22">
        <v>8596.9499999999989</v>
      </c>
      <c r="BQ7" s="16" t="s">
        <v>908</v>
      </c>
      <c r="BR7" s="32" t="s">
        <v>108</v>
      </c>
      <c r="BS7" s="32">
        <v>1925</v>
      </c>
      <c r="BT7" s="32" t="s">
        <v>1482</v>
      </c>
      <c r="BU7" s="32"/>
      <c r="BV7" s="30" t="s">
        <v>902</v>
      </c>
      <c r="BW7" s="30" t="s">
        <v>26</v>
      </c>
      <c r="BX7" s="71" t="s">
        <v>320</v>
      </c>
      <c r="BY7" s="30" t="s">
        <v>28</v>
      </c>
      <c r="BZ7" s="30" t="s">
        <v>94</v>
      </c>
      <c r="CA7" s="17">
        <v>5320</v>
      </c>
      <c r="CB7" s="33">
        <f t="shared" si="3"/>
        <v>6.6226989807582473E-2</v>
      </c>
      <c r="CC7" s="33">
        <f t="shared" ref="CC7:CC20" si="26">CB7*(1-$CC$28)/(1-$CB$21)</f>
        <v>6.2909971991225777E-2</v>
      </c>
      <c r="CE7" s="1">
        <v>1</v>
      </c>
      <c r="CF7" s="18">
        <v>7809.9321767664596</v>
      </c>
      <c r="CG7" s="11">
        <v>41548839.180397563</v>
      </c>
      <c r="CH7" s="5"/>
      <c r="CI7" s="11">
        <v>100</v>
      </c>
      <c r="CJ7" s="11">
        <v>532000</v>
      </c>
      <c r="CK7" s="5">
        <v>3.9835783342906751E-2</v>
      </c>
      <c r="CL7" s="8">
        <v>0</v>
      </c>
      <c r="CM7" s="8">
        <v>-1</v>
      </c>
      <c r="CN7" s="5"/>
      <c r="CO7" s="21">
        <v>8032978.7228090223</v>
      </c>
      <c r="CP7" s="22">
        <v>19684000</v>
      </c>
      <c r="CR7" s="16" t="s">
        <v>923</v>
      </c>
      <c r="CS7" s="32" t="s">
        <v>117</v>
      </c>
      <c r="CT7" s="32" t="s">
        <v>370</v>
      </c>
      <c r="CU7" s="32" t="s">
        <v>1497</v>
      </c>
      <c r="CV7" s="32"/>
      <c r="CW7" s="30" t="s">
        <v>850</v>
      </c>
      <c r="CX7" s="30" t="s">
        <v>26</v>
      </c>
      <c r="CY7" s="30" t="s">
        <v>33</v>
      </c>
      <c r="CZ7" s="30" t="s">
        <v>28</v>
      </c>
      <c r="DA7" s="51" t="s">
        <v>34</v>
      </c>
      <c r="DB7" s="17">
        <v>19.05</v>
      </c>
      <c r="DC7" s="33">
        <f t="shared" si="4"/>
        <v>5.1965634555101163E-2</v>
      </c>
      <c r="DD7" s="33">
        <f t="shared" si="5"/>
        <v>4.93508481304583E-2</v>
      </c>
      <c r="DF7" s="1">
        <v>1</v>
      </c>
      <c r="DG7" s="18">
        <v>494714.25215351599</v>
      </c>
      <c r="DH7" s="11">
        <v>9424306.5035244804</v>
      </c>
      <c r="DI7" s="5"/>
      <c r="DJ7" s="11">
        <v>1</v>
      </c>
      <c r="DK7" s="11">
        <v>19.05</v>
      </c>
      <c r="DL7" s="5">
        <v>872.91354633240803</v>
      </c>
      <c r="DM7" s="8">
        <v>5.1970781250000007E-2</v>
      </c>
      <c r="DN7" s="8">
        <v>9.9040355090673771E-5</v>
      </c>
      <c r="DO7" s="5"/>
      <c r="DP7" s="21">
        <v>366.58842258147644</v>
      </c>
      <c r="DQ7" s="22">
        <v>704.85</v>
      </c>
      <c r="DS7" s="16" t="s">
        <v>943</v>
      </c>
      <c r="DT7" s="32" t="s">
        <v>127</v>
      </c>
      <c r="DU7" s="32" t="s">
        <v>128</v>
      </c>
      <c r="DV7" s="32" t="s">
        <v>1512</v>
      </c>
      <c r="DW7" s="32"/>
      <c r="DX7" s="30" t="s">
        <v>777</v>
      </c>
      <c r="DY7" s="30" t="s">
        <v>26</v>
      </c>
      <c r="DZ7" s="30" t="s">
        <v>129</v>
      </c>
      <c r="EA7" s="30" t="s">
        <v>28</v>
      </c>
      <c r="EB7" s="43" t="s">
        <v>827</v>
      </c>
      <c r="EC7" s="17">
        <v>18.87</v>
      </c>
      <c r="ED7" s="33">
        <f t="shared" ref="ED7:ED26" si="27">EI7/$EI$27</f>
        <v>4.1025804659415466E-2</v>
      </c>
      <c r="EE7" s="33">
        <f t="shared" ref="EE7:EE25" si="28">ED7*(1-$EE$33)/(1-$ED$26)</f>
        <v>3.8917398769615169E-2</v>
      </c>
      <c r="EG7" s="1">
        <v>1</v>
      </c>
      <c r="EH7" s="18">
        <v>358786.96037784801</v>
      </c>
      <c r="EI7" s="11">
        <v>6770309.9423299925</v>
      </c>
      <c r="EJ7" s="5"/>
      <c r="EK7" s="11">
        <v>1</v>
      </c>
      <c r="EL7" s="11">
        <v>18.87</v>
      </c>
      <c r="EM7" s="5">
        <v>695.72111770073923</v>
      </c>
      <c r="EN7" s="8">
        <v>4.1042250000000002E-2</v>
      </c>
      <c r="EO7" s="8">
        <v>4.0085357791430631E-4</v>
      </c>
      <c r="EP7" s="5"/>
      <c r="EQ7" s="21">
        <v>459.95441543812149</v>
      </c>
      <c r="ER7" s="22">
        <v>698.19</v>
      </c>
      <c r="ET7" s="16" t="s">
        <v>860</v>
      </c>
      <c r="EU7" s="32" t="s">
        <v>31</v>
      </c>
      <c r="EV7" s="32" t="s">
        <v>32</v>
      </c>
      <c r="EW7" s="32" t="s">
        <v>1429</v>
      </c>
      <c r="EX7" s="32"/>
      <c r="EY7" s="30" t="s">
        <v>853</v>
      </c>
      <c r="EZ7" s="30" t="s">
        <v>26</v>
      </c>
      <c r="FA7" s="30" t="s">
        <v>33</v>
      </c>
      <c r="FB7" s="30" t="s">
        <v>28</v>
      </c>
      <c r="FC7" s="30" t="s">
        <v>34</v>
      </c>
      <c r="FD7" s="17">
        <v>260.29000000000002</v>
      </c>
      <c r="FE7" s="33">
        <f t="shared" si="6"/>
        <v>3.9210903955515124E-2</v>
      </c>
      <c r="FF7" s="33">
        <f t="shared" si="7"/>
        <v>3.7249322145466252E-2</v>
      </c>
      <c r="FH7" s="1">
        <v>1</v>
      </c>
      <c r="FI7" s="18">
        <v>30869.998823558999</v>
      </c>
      <c r="FJ7" s="11">
        <v>8035151.9937841725</v>
      </c>
      <c r="FK7" s="5"/>
      <c r="FL7" s="11">
        <v>1</v>
      </c>
      <c r="FM7" s="11">
        <v>260.29000000000002</v>
      </c>
      <c r="FN7" s="5">
        <v>48.20580608461654</v>
      </c>
      <c r="FO7" s="8">
        <v>3.9043500000000009E-2</v>
      </c>
      <c r="FP7" s="8">
        <v>-4.2693215056973655E-3</v>
      </c>
      <c r="FQ7" s="5"/>
      <c r="FR7" s="21">
        <v>6638.2045232953496</v>
      </c>
      <c r="FS7" s="22">
        <v>9630.73</v>
      </c>
      <c r="FU7" s="16" t="s">
        <v>966</v>
      </c>
      <c r="FV7" s="32" t="s">
        <v>185</v>
      </c>
      <c r="FW7" s="32">
        <v>9988</v>
      </c>
      <c r="FX7" s="32" t="s">
        <v>1533</v>
      </c>
      <c r="FY7" s="32"/>
      <c r="FZ7" s="30" t="s">
        <v>862</v>
      </c>
      <c r="GA7" s="30" t="s">
        <v>26</v>
      </c>
      <c r="GB7" s="30" t="s">
        <v>27</v>
      </c>
      <c r="GC7" s="30" t="s">
        <v>28</v>
      </c>
      <c r="GD7" s="30" t="s">
        <v>82</v>
      </c>
      <c r="GE7" s="17">
        <v>131.19999999999999</v>
      </c>
      <c r="GF7" s="33">
        <f t="shared" si="8"/>
        <v>2.7655792393256787E-2</v>
      </c>
      <c r="GG7" s="33">
        <f t="shared" si="9"/>
        <v>2.6271744474760644E-2</v>
      </c>
      <c r="GI7" s="1">
        <v>0.12784999999999999</v>
      </c>
      <c r="GJ7" s="18">
        <v>341283.93722625502</v>
      </c>
      <c r="GK7" s="11">
        <v>5724669.4603182226</v>
      </c>
      <c r="GL7" s="5"/>
      <c r="GM7" s="11">
        <v>100</v>
      </c>
      <c r="GN7" s="11">
        <v>1677.3919999999996</v>
      </c>
      <c r="GO7" s="5">
        <v>5.275960279912014</v>
      </c>
      <c r="GP7" s="8">
        <v>2.6209249999999993E-2</v>
      </c>
      <c r="GQ7" s="8">
        <v>-5.2305223176664417E-2</v>
      </c>
      <c r="GR7" s="5"/>
      <c r="GS7" s="21">
        <v>60652.465716693478</v>
      </c>
      <c r="GT7" s="22">
        <v>62063.503999999979</v>
      </c>
      <c r="GV7" s="16" t="s">
        <v>990</v>
      </c>
      <c r="GW7" s="32" t="s">
        <v>730</v>
      </c>
      <c r="GX7" s="32">
        <v>2502</v>
      </c>
      <c r="GY7" s="32" t="s">
        <v>1552</v>
      </c>
      <c r="GZ7" s="32"/>
      <c r="HA7" s="30" t="s">
        <v>902</v>
      </c>
      <c r="HB7" s="30" t="s">
        <v>26</v>
      </c>
      <c r="HC7" s="30" t="s">
        <v>320</v>
      </c>
      <c r="HD7" s="30" t="s">
        <v>28</v>
      </c>
      <c r="HE7" s="30" t="s">
        <v>94</v>
      </c>
      <c r="HF7" s="17">
        <v>1651.5</v>
      </c>
      <c r="HG7" s="33">
        <f t="shared" si="10"/>
        <v>2.5677758128851591E-2</v>
      </c>
      <c r="HH7" s="33">
        <f t="shared" ref="HH7:HH39" si="29">HG7*(1-$HH$47)/(1-$HG$40)</f>
        <v>2.4391934900641007E-2</v>
      </c>
      <c r="HJ7" s="1">
        <v>6.3369999999999998E-3</v>
      </c>
      <c r="HK7" s="18">
        <v>400153.06494898599</v>
      </c>
      <c r="HL7" s="11">
        <v>4187824.1097187172</v>
      </c>
      <c r="HM7" s="5"/>
      <c r="HN7" s="11">
        <v>100</v>
      </c>
      <c r="HO7" s="11">
        <v>1046.5555499999998</v>
      </c>
      <c r="HP7" s="5">
        <v>7.8513582974477671</v>
      </c>
      <c r="HQ7" s="8">
        <v>2.6163888749999996E-2</v>
      </c>
      <c r="HR7" s="8">
        <v>1.8931972904682404E-2</v>
      </c>
      <c r="HS7" s="5"/>
      <c r="HT7" s="21">
        <v>40757.278916187293</v>
      </c>
      <c r="HU7" s="22">
        <v>38722.555349999988</v>
      </c>
      <c r="HW7" s="16" t="s">
        <v>1423</v>
      </c>
      <c r="HX7" s="45" t="s">
        <v>1420</v>
      </c>
      <c r="HY7" s="32">
        <v>3998</v>
      </c>
      <c r="HZ7" s="32" t="s">
        <v>1581</v>
      </c>
      <c r="IA7" s="45"/>
      <c r="IB7" s="30" t="s">
        <v>862</v>
      </c>
      <c r="IC7" s="30" t="s">
        <v>26</v>
      </c>
      <c r="ID7" s="30" t="s">
        <v>27</v>
      </c>
      <c r="IE7" s="30" t="s">
        <v>28</v>
      </c>
      <c r="IF7" s="30" t="s">
        <v>82</v>
      </c>
      <c r="IG7" s="17">
        <v>4.68</v>
      </c>
      <c r="IH7" s="33">
        <f t="shared" si="11"/>
        <v>4.4396014162148986E-2</v>
      </c>
      <c r="II7" s="33">
        <f t="shared" si="12"/>
        <v>4.2198930900835006E-2</v>
      </c>
      <c r="IK7" s="1">
        <v>1</v>
      </c>
      <c r="IL7" s="18">
        <v>1798044.13221006</v>
      </c>
      <c r="IM7" s="11">
        <v>8414846.5387430806</v>
      </c>
      <c r="IN7" s="5"/>
      <c r="IO7" s="11">
        <v>2000</v>
      </c>
      <c r="IP7" s="11">
        <v>9360</v>
      </c>
      <c r="IQ7" s="5">
        <v>1.5178124499879995</v>
      </c>
      <c r="IR7" s="8">
        <v>5.8500000000000003E-2</v>
      </c>
      <c r="IS7" s="8">
        <v>0.31768585770647295</v>
      </c>
      <c r="IT7" s="5"/>
      <c r="IU7" s="21">
        <v>210829.73723303564</v>
      </c>
      <c r="IV7" s="22">
        <v>346320</v>
      </c>
      <c r="IX7" s="16" t="s">
        <v>857</v>
      </c>
      <c r="IY7" s="32" t="s">
        <v>47</v>
      </c>
      <c r="IZ7" s="32" t="s">
        <v>48</v>
      </c>
      <c r="JA7" s="32" t="s">
        <v>1428</v>
      </c>
      <c r="JB7" s="32"/>
      <c r="JC7" s="30" t="s">
        <v>853</v>
      </c>
      <c r="JD7" s="30" t="s">
        <v>26</v>
      </c>
      <c r="JE7" s="30" t="s">
        <v>33</v>
      </c>
      <c r="JF7" s="30" t="s">
        <v>28</v>
      </c>
      <c r="JG7" s="30" t="s">
        <v>34</v>
      </c>
      <c r="JH7" s="17">
        <v>300.91000000000003</v>
      </c>
      <c r="JI7" s="33">
        <f t="shared" ref="JI7:JI33" si="30">JN7/$JN$34</f>
        <v>5.3332873514846647E-2</v>
      </c>
      <c r="JJ7" s="33">
        <f t="shared" si="13"/>
        <v>5.0663506353024718E-2</v>
      </c>
      <c r="JL7" s="1">
        <v>1</v>
      </c>
      <c r="JM7" s="18">
        <v>21622.246157542399</v>
      </c>
      <c r="JN7" s="11">
        <v>6506350.0912660835</v>
      </c>
      <c r="JO7" s="5"/>
      <c r="JP7" s="11">
        <v>1</v>
      </c>
      <c r="JQ7" s="11">
        <v>300.91000000000003</v>
      </c>
      <c r="JR7" s="5">
        <v>56.71635879416079</v>
      </c>
      <c r="JS7" s="8">
        <v>5.3599593750000007E-2</v>
      </c>
      <c r="JT7" s="8">
        <v>5.0010475261399456E-3</v>
      </c>
      <c r="JU7" s="5"/>
      <c r="JV7" s="21">
        <v>5642.1111440063996</v>
      </c>
      <c r="JW7" s="22">
        <v>11133.67</v>
      </c>
      <c r="JY7" s="16" t="s">
        <v>890</v>
      </c>
      <c r="JZ7" s="32" t="s">
        <v>92</v>
      </c>
      <c r="KA7" s="32" t="s">
        <v>321</v>
      </c>
      <c r="KB7" s="32" t="s">
        <v>1437</v>
      </c>
      <c r="KC7" s="32"/>
      <c r="KD7" s="30" t="s">
        <v>850</v>
      </c>
      <c r="KE7" s="30" t="s">
        <v>26</v>
      </c>
      <c r="KF7" s="30" t="s">
        <v>33</v>
      </c>
      <c r="KG7" s="30" t="s">
        <v>28</v>
      </c>
      <c r="KH7" s="30" t="s">
        <v>34</v>
      </c>
      <c r="KI7" s="17">
        <v>232.35</v>
      </c>
      <c r="KJ7" s="33">
        <f t="shared" ref="KJ7:KJ40" si="31">KO7/$KO$41</f>
        <v>3.1439907407648092E-2</v>
      </c>
      <c r="KK7" s="33">
        <f t="shared" ref="KK7:KK39" si="32">KJ7*(1-$KK$47)/(1-$KJ$40)</f>
        <v>2.9872760521360793E-2</v>
      </c>
      <c r="KM7" s="1">
        <v>1</v>
      </c>
      <c r="KN7" s="18">
        <v>13436.680620368899</v>
      </c>
      <c r="KO7" s="11">
        <v>3122012.7421427136</v>
      </c>
      <c r="KP7" s="5"/>
      <c r="KQ7" s="11">
        <v>1</v>
      </c>
      <c r="KR7" s="11">
        <v>232.35</v>
      </c>
      <c r="KS7" s="5">
        <v>43.300066152129936</v>
      </c>
      <c r="KT7" s="8">
        <v>3.1222031249999997E-2</v>
      </c>
      <c r="KU7" s="8">
        <v>-6.9299236420491406E-3</v>
      </c>
      <c r="KV7" s="5"/>
      <c r="KW7" s="21">
        <v>7390.2889403382396</v>
      </c>
      <c r="KX7" s="22">
        <v>8596.9499999999989</v>
      </c>
      <c r="KZ7" s="16" t="s">
        <v>923</v>
      </c>
      <c r="LA7" s="32" t="s">
        <v>117</v>
      </c>
      <c r="LB7" s="32" t="s">
        <v>370</v>
      </c>
      <c r="LC7" s="32" t="s">
        <v>1497</v>
      </c>
      <c r="LD7" s="32"/>
      <c r="LE7" s="30" t="s">
        <v>850</v>
      </c>
      <c r="LF7" s="30" t="s">
        <v>26</v>
      </c>
      <c r="LG7" s="30" t="s">
        <v>33</v>
      </c>
      <c r="LH7" s="30" t="s">
        <v>28</v>
      </c>
      <c r="LI7" s="30" t="s">
        <v>34</v>
      </c>
      <c r="LJ7" s="17">
        <v>19.05</v>
      </c>
      <c r="LK7" s="33">
        <f t="shared" si="14"/>
        <v>6.420903878686314E-2</v>
      </c>
      <c r="LL7" s="33">
        <f t="shared" si="15"/>
        <v>6.0971182749598639E-2</v>
      </c>
      <c r="LN7" s="1">
        <v>1</v>
      </c>
      <c r="LO7" s="18">
        <v>372472.72068120999</v>
      </c>
      <c r="LP7" s="11">
        <v>7095605.3289770503</v>
      </c>
      <c r="LQ7" s="5"/>
      <c r="LR7" s="11">
        <v>1</v>
      </c>
      <c r="LS7" s="11">
        <v>19.05</v>
      </c>
      <c r="LT7" s="5">
        <v>1078.5770294906144</v>
      </c>
      <c r="LU7" s="8">
        <v>6.4234218750000002E-2</v>
      </c>
      <c r="LV7" s="8">
        <v>3.921560517428091E-4</v>
      </c>
      <c r="LW7" s="5"/>
      <c r="LX7" s="21">
        <v>296.68720105334359</v>
      </c>
      <c r="LY7" s="22">
        <v>704.85</v>
      </c>
      <c r="MA7" s="16" t="s">
        <v>959</v>
      </c>
      <c r="MB7" s="32" t="s">
        <v>165</v>
      </c>
      <c r="MC7" s="32" t="s">
        <v>339</v>
      </c>
      <c r="MD7" s="32" t="s">
        <v>1528</v>
      </c>
      <c r="ME7" s="32"/>
      <c r="MF7" s="30" t="s">
        <v>850</v>
      </c>
      <c r="MG7" s="30" t="s">
        <v>26</v>
      </c>
      <c r="MH7" s="30" t="s">
        <v>33</v>
      </c>
      <c r="MI7" s="30" t="s">
        <v>28</v>
      </c>
      <c r="MJ7" s="30" t="s">
        <v>34</v>
      </c>
      <c r="MK7" s="17">
        <v>28.97</v>
      </c>
      <c r="ML7" s="33">
        <f t="shared" si="16"/>
        <v>3.1342691364319511E-2</v>
      </c>
      <c r="MM7" s="33">
        <f t="shared" si="17"/>
        <v>2.9756678500078324E-2</v>
      </c>
      <c r="MO7" s="1">
        <v>1</v>
      </c>
      <c r="MP7" s="18">
        <v>194368.290605735</v>
      </c>
      <c r="MQ7" s="11">
        <v>5630849.3788481429</v>
      </c>
      <c r="MR7" s="5"/>
      <c r="MS7" s="11">
        <v>1</v>
      </c>
      <c r="MT7" s="11">
        <v>28.97</v>
      </c>
      <c r="MU7" s="5">
        <v>346.20853422789935</v>
      </c>
      <c r="MV7" s="8">
        <v>3.1323812499999999E-2</v>
      </c>
      <c r="MW7" s="8">
        <v>-6.0233705204404409E-4</v>
      </c>
      <c r="MX7" s="5"/>
      <c r="MY7" s="21">
        <v>924.29841659926558</v>
      </c>
      <c r="MZ7" s="22">
        <v>1071.8899999999999</v>
      </c>
      <c r="NB7" s="16" t="s">
        <v>1413</v>
      </c>
      <c r="NC7" s="32" t="s">
        <v>1407</v>
      </c>
      <c r="ND7" s="32" t="s">
        <v>1410</v>
      </c>
      <c r="NE7" s="32" t="s">
        <v>1647</v>
      </c>
      <c r="NF7" s="32"/>
      <c r="NG7" s="30" t="s">
        <v>850</v>
      </c>
      <c r="NH7" s="30" t="s">
        <v>26</v>
      </c>
      <c r="NI7" s="30" t="s">
        <v>33</v>
      </c>
      <c r="NJ7" s="30" t="s">
        <v>28</v>
      </c>
      <c r="NK7" s="30" t="s">
        <v>34</v>
      </c>
      <c r="NL7" s="17">
        <v>25.98</v>
      </c>
      <c r="NM7" s="33">
        <f t="shared" si="18"/>
        <v>3.8943321057075535E-2</v>
      </c>
      <c r="NN7" s="33">
        <f t="shared" si="19"/>
        <v>3.6967953800833522E-2</v>
      </c>
      <c r="NP7" s="1">
        <v>1</v>
      </c>
      <c r="NQ7" s="18">
        <v>256257.43016452101</v>
      </c>
      <c r="NR7" s="11">
        <v>6657568.0356742563</v>
      </c>
      <c r="NS7" s="5"/>
      <c r="NT7" s="11">
        <v>1</v>
      </c>
      <c r="NU7" s="11">
        <v>25.98</v>
      </c>
      <c r="NV7" s="5">
        <v>479.67139100323988</v>
      </c>
      <c r="NW7" s="8">
        <v>3.8969999999999998E-2</v>
      </c>
      <c r="NX7" s="8">
        <v>6.8507107766602182E-4</v>
      </c>
      <c r="NY7" s="5"/>
      <c r="NZ7" s="21">
        <v>667.12338071844408</v>
      </c>
      <c r="OA7" s="22">
        <v>961.26</v>
      </c>
      <c r="OC7" s="16" t="s">
        <v>854</v>
      </c>
      <c r="OD7" s="45" t="s">
        <v>654</v>
      </c>
      <c r="OE7" s="32" t="s">
        <v>40</v>
      </c>
      <c r="OF7" s="32" t="s">
        <v>1445</v>
      </c>
      <c r="OG7" s="45"/>
      <c r="OH7" s="30" t="s">
        <v>855</v>
      </c>
      <c r="OI7" s="30" t="s">
        <v>26</v>
      </c>
      <c r="OJ7" s="30" t="s">
        <v>39</v>
      </c>
      <c r="OK7" s="30" t="s">
        <v>28</v>
      </c>
      <c r="OL7" s="30" t="s">
        <v>83</v>
      </c>
      <c r="OM7" s="17">
        <v>353.6</v>
      </c>
      <c r="ON7" s="33">
        <f t="shared" si="20"/>
        <v>3.1620065986522471E-2</v>
      </c>
      <c r="OO7" s="33">
        <f t="shared" ref="OO7:OO32" si="33">ON7*(1-$OO$40)/(1-$ON$33)</f>
        <v>2.9982369481935927E-2</v>
      </c>
      <c r="OQ7" s="1">
        <v>1</v>
      </c>
      <c r="OR7" s="18">
        <v>16468.788906153099</v>
      </c>
      <c r="OS7" s="11">
        <v>5823363.7572157364</v>
      </c>
      <c r="OT7" s="5"/>
      <c r="OU7" s="11">
        <v>1</v>
      </c>
      <c r="OV7" s="11">
        <v>353.6</v>
      </c>
      <c r="OW7" s="5">
        <v>28.61544433169454</v>
      </c>
      <c r="OX7" s="8">
        <v>3.2045000000000004E-2</v>
      </c>
      <c r="OY7" s="8">
        <v>1.3438745309976685E-2</v>
      </c>
      <c r="OZ7" s="5"/>
      <c r="PA7" s="21">
        <v>11182.772362041122</v>
      </c>
      <c r="PB7" s="22">
        <v>13083.2</v>
      </c>
      <c r="PD7" s="16" t="s">
        <v>1424</v>
      </c>
      <c r="PE7" s="32" t="s">
        <v>1421</v>
      </c>
      <c r="PF7" s="32">
        <v>2503</v>
      </c>
      <c r="PG7" s="32" t="s">
        <v>1679</v>
      </c>
      <c r="PH7" s="32"/>
      <c r="PI7" s="30" t="s">
        <v>902</v>
      </c>
      <c r="PJ7" s="30" t="s">
        <v>26</v>
      </c>
      <c r="PK7" s="71" t="s">
        <v>320</v>
      </c>
      <c r="PL7" s="30" t="s">
        <v>28</v>
      </c>
      <c r="PM7" s="30" t="s">
        <v>94</v>
      </c>
      <c r="PN7" s="17">
        <v>2585</v>
      </c>
      <c r="PO7" s="33">
        <f t="shared" si="21"/>
        <v>4.2383248610745147E-2</v>
      </c>
      <c r="PP7" s="33">
        <f t="shared" si="22"/>
        <v>4.0261898738680871E-2</v>
      </c>
      <c r="PR7" s="1">
        <v>1</v>
      </c>
      <c r="PS7" s="18">
        <v>3159.79634859925</v>
      </c>
      <c r="PT7" s="11">
        <v>8168073.5611290615</v>
      </c>
      <c r="PU7" s="5"/>
      <c r="PV7" s="11">
        <v>100</v>
      </c>
      <c r="PW7" s="11">
        <v>258500</v>
      </c>
      <c r="PX7" s="5">
        <v>5.246669073670579E-2</v>
      </c>
      <c r="PY7" s="8">
        <v>0</v>
      </c>
      <c r="PZ7" s="8">
        <v>-1</v>
      </c>
      <c r="QA7" s="5"/>
      <c r="QB7" s="21">
        <v>6099107.7483018655</v>
      </c>
      <c r="QC7" s="22">
        <v>9564500</v>
      </c>
      <c r="QE7" s="16" t="s">
        <v>1115</v>
      </c>
      <c r="QF7" s="34" t="s">
        <v>688</v>
      </c>
      <c r="QG7" s="34"/>
      <c r="QH7" s="32" t="s">
        <v>1696</v>
      </c>
      <c r="QI7" s="34"/>
      <c r="QJ7" s="30" t="s">
        <v>850</v>
      </c>
      <c r="QK7" s="30" t="s">
        <v>26</v>
      </c>
      <c r="QL7" s="30"/>
      <c r="QM7" s="30" t="s">
        <v>28</v>
      </c>
      <c r="QN7" s="30" t="s">
        <v>34</v>
      </c>
      <c r="QO7" s="17">
        <v>26.1</v>
      </c>
      <c r="QP7" s="33">
        <f t="shared" si="23"/>
        <v>4.3952304291874328E-2</v>
      </c>
      <c r="QQ7" s="33">
        <f t="shared" si="24"/>
        <v>4.1765413103225686E-2</v>
      </c>
      <c r="QS7" s="1">
        <v>1</v>
      </c>
      <c r="QT7" s="18">
        <v>192111.463825977</v>
      </c>
      <c r="QU7" s="11">
        <v>5014109.2058579996</v>
      </c>
      <c r="QV7" s="5"/>
      <c r="QW7" s="11">
        <v>1</v>
      </c>
      <c r="QX7" s="11">
        <v>26.1</v>
      </c>
      <c r="QY7" s="5">
        <v>538.87882656704153</v>
      </c>
      <c r="QZ7" s="8">
        <v>4.3962187500000006E-2</v>
      </c>
      <c r="RA7" s="8">
        <v>2.2486211553429669E-4</v>
      </c>
      <c r="RB7" s="5"/>
      <c r="RC7" s="21">
        <v>593.82552110755273</v>
      </c>
      <c r="RD7" s="22">
        <v>965.7</v>
      </c>
      <c r="RF7" s="16" t="s">
        <v>1323</v>
      </c>
      <c r="RG7" s="34" t="s">
        <v>1297</v>
      </c>
      <c r="RH7" s="34"/>
      <c r="RI7" s="32" t="s">
        <v>1713</v>
      </c>
      <c r="RJ7" s="34"/>
      <c r="RK7" s="30" t="s">
        <v>853</v>
      </c>
    </row>
    <row r="8" spans="15:479" x14ac:dyDescent="0.2">
      <c r="O8" s="16" t="s">
        <v>875</v>
      </c>
      <c r="P8" s="32" t="s">
        <v>59</v>
      </c>
      <c r="Q8" s="32" t="s">
        <v>60</v>
      </c>
      <c r="R8" s="32" t="s">
        <v>1430</v>
      </c>
      <c r="S8" s="32"/>
      <c r="T8" s="30" t="s">
        <v>853</v>
      </c>
      <c r="U8" s="30" t="s">
        <v>26</v>
      </c>
      <c r="V8" s="30" t="s">
        <v>33</v>
      </c>
      <c r="W8" s="30" t="s">
        <v>28</v>
      </c>
      <c r="X8" s="30" t="s">
        <v>34</v>
      </c>
      <c r="Y8" s="17">
        <v>410.68</v>
      </c>
      <c r="Z8" s="33">
        <f t="shared" si="0"/>
        <v>2.8697991484566608E-2</v>
      </c>
      <c r="AA8" s="33">
        <f t="shared" si="1"/>
        <v>2.726405638360151E-2</v>
      </c>
      <c r="AB8" s="4"/>
      <c r="AC8" s="1">
        <v>1</v>
      </c>
      <c r="AD8" s="18">
        <v>14380.5059755987</v>
      </c>
      <c r="AE8" s="11">
        <v>5905786.1940588746</v>
      </c>
      <c r="AF8" s="5"/>
      <c r="AG8" s="11">
        <v>1</v>
      </c>
      <c r="AH8" s="11">
        <v>410.68</v>
      </c>
      <c r="AI8" s="5">
        <v>22.361345268971743</v>
      </c>
      <c r="AJ8" s="8">
        <v>2.8234250000000002E-2</v>
      </c>
      <c r="AK8" s="8">
        <v>-1.6159370763490499E-2</v>
      </c>
      <c r="AL8" s="5"/>
      <c r="AM8" s="21">
        <v>14310.409152531045</v>
      </c>
      <c r="AN8" s="22">
        <v>15195.16</v>
      </c>
      <c r="AP8" s="16" t="s">
        <v>891</v>
      </c>
      <c r="AQ8" s="32" t="s">
        <v>130</v>
      </c>
      <c r="AR8" s="32" t="s">
        <v>131</v>
      </c>
      <c r="AS8" s="32" t="s">
        <v>1465</v>
      </c>
      <c r="AT8" s="32"/>
      <c r="AU8" s="30" t="s">
        <v>777</v>
      </c>
      <c r="AV8" s="30" t="s">
        <v>26</v>
      </c>
      <c r="AW8" s="30" t="s">
        <v>129</v>
      </c>
      <c r="AX8" s="30" t="s">
        <v>28</v>
      </c>
      <c r="AY8" s="43" t="s">
        <v>827</v>
      </c>
      <c r="AZ8" s="17">
        <v>147.74</v>
      </c>
      <c r="BA8" s="33">
        <f t="shared" si="2"/>
        <v>5.4289082670683622E-2</v>
      </c>
      <c r="BB8" s="33">
        <f t="shared" si="25"/>
        <v>5.1557114800914322E-2</v>
      </c>
      <c r="BD8" s="1">
        <v>1.3359000000000001</v>
      </c>
      <c r="BE8" s="18">
        <v>45288.288485110003</v>
      </c>
      <c r="BF8" s="11">
        <v>8938362.2765215654</v>
      </c>
      <c r="BG8" s="5"/>
      <c r="BH8" s="11">
        <v>1</v>
      </c>
      <c r="BI8" s="11">
        <v>197.36586600000001</v>
      </c>
      <c r="BJ8" s="5">
        <v>88.021838865585593</v>
      </c>
      <c r="BK8" s="8">
        <v>5.4275613150000006E-2</v>
      </c>
      <c r="BL8" s="8">
        <v>-2.4810735457292399E-4</v>
      </c>
      <c r="BM8" s="5"/>
      <c r="BN8" s="21">
        <v>3635.4614278015529</v>
      </c>
      <c r="BO8" s="22">
        <v>7302.5370419999999</v>
      </c>
      <c r="BQ8" s="16" t="s">
        <v>909</v>
      </c>
      <c r="BR8" s="32" t="s">
        <v>109</v>
      </c>
      <c r="BS8" s="32">
        <v>8984</v>
      </c>
      <c r="BT8" s="32" t="s">
        <v>1483</v>
      </c>
      <c r="BU8" s="32"/>
      <c r="BV8" s="30" t="s">
        <v>902</v>
      </c>
      <c r="BW8" s="30" t="s">
        <v>26</v>
      </c>
      <c r="BX8" s="71" t="s">
        <v>320</v>
      </c>
      <c r="BY8" s="30" t="s">
        <v>28</v>
      </c>
      <c r="BZ8" s="30" t="s">
        <v>94</v>
      </c>
      <c r="CA8" s="17">
        <v>130700</v>
      </c>
      <c r="CB8" s="33">
        <f t="shared" si="3"/>
        <v>6.4113816614056421E-2</v>
      </c>
      <c r="CC8" s="33">
        <f t="shared" si="26"/>
        <v>6.0902638322526965E-2</v>
      </c>
      <c r="CE8" s="1">
        <v>1</v>
      </c>
      <c r="CF8" s="18">
        <v>307.75131838116602</v>
      </c>
      <c r="CG8" s="11">
        <v>40223097.312418401</v>
      </c>
      <c r="CH8" s="5"/>
      <c r="CI8" s="11">
        <v>1</v>
      </c>
      <c r="CJ8" s="11">
        <v>130700</v>
      </c>
      <c r="CK8" s="5">
        <v>0.15697338421192084</v>
      </c>
      <c r="CL8" s="8">
        <v>0</v>
      </c>
      <c r="CM8" s="8">
        <v>-1</v>
      </c>
      <c r="CN8" s="5"/>
      <c r="CO8" s="21">
        <v>2038562.1524728434</v>
      </c>
      <c r="CP8" s="22">
        <v>4835900</v>
      </c>
      <c r="CR8" s="16" t="s">
        <v>924</v>
      </c>
      <c r="CS8" s="32" t="s">
        <v>118</v>
      </c>
      <c r="CT8" s="32" t="s">
        <v>382</v>
      </c>
      <c r="CU8" s="32" t="s">
        <v>1498</v>
      </c>
      <c r="CV8" s="32"/>
      <c r="CW8" s="30" t="s">
        <v>925</v>
      </c>
      <c r="CX8" s="30" t="s">
        <v>26</v>
      </c>
      <c r="CY8" s="30" t="s">
        <v>383</v>
      </c>
      <c r="CZ8" s="30" t="s">
        <v>28</v>
      </c>
      <c r="DA8" s="30" t="s">
        <v>926</v>
      </c>
      <c r="DB8" s="17">
        <v>15.8681</v>
      </c>
      <c r="DC8" s="33">
        <f t="shared" si="4"/>
        <v>5.3608438470970521E-2</v>
      </c>
      <c r="DD8" s="33">
        <f t="shared" si="5"/>
        <v>5.0910990083006293E-2</v>
      </c>
      <c r="DF8" s="1">
        <v>0.7319</v>
      </c>
      <c r="DG8" s="18">
        <v>837123.72110819304</v>
      </c>
      <c r="DH8" s="11">
        <v>9722239.7003552932</v>
      </c>
      <c r="DI8" s="5"/>
      <c r="DJ8" s="11">
        <v>1</v>
      </c>
      <c r="DK8" s="11">
        <v>11.61386239</v>
      </c>
      <c r="DL8" s="5">
        <v>1477.0883048762012</v>
      </c>
      <c r="DM8" s="8">
        <v>5.3605233593843754E-2</v>
      </c>
      <c r="DN8" s="8">
        <v>-5.9783071810648458E-5</v>
      </c>
      <c r="DO8" s="5"/>
      <c r="DP8" s="21">
        <v>216.64243020786768</v>
      </c>
      <c r="DQ8" s="22">
        <v>429.71290842999997</v>
      </c>
      <c r="DS8" s="16" t="s">
        <v>891</v>
      </c>
      <c r="DT8" s="32" t="s">
        <v>130</v>
      </c>
      <c r="DU8" s="32" t="s">
        <v>131</v>
      </c>
      <c r="DV8" s="32" t="s">
        <v>1465</v>
      </c>
      <c r="DW8" s="32"/>
      <c r="DX8" s="30" t="s">
        <v>777</v>
      </c>
      <c r="DY8" s="30" t="s">
        <v>26</v>
      </c>
      <c r="DZ8" s="30" t="s">
        <v>129</v>
      </c>
      <c r="EA8" s="30" t="s">
        <v>28</v>
      </c>
      <c r="EB8" s="43" t="s">
        <v>827</v>
      </c>
      <c r="EC8" s="17">
        <v>147.74</v>
      </c>
      <c r="ED8" s="33">
        <f t="shared" si="27"/>
        <v>5.8719700769497472E-2</v>
      </c>
      <c r="EE8" s="33">
        <f t="shared" si="28"/>
        <v>5.5701966834050917E-2</v>
      </c>
      <c r="EG8" s="1">
        <v>1</v>
      </c>
      <c r="EH8" s="18">
        <v>65589.932240791604</v>
      </c>
      <c r="EI8" s="11">
        <v>9690256.5892545525</v>
      </c>
      <c r="EJ8" s="5"/>
      <c r="EK8" s="11">
        <v>1</v>
      </c>
      <c r="EL8" s="11">
        <v>147.74</v>
      </c>
      <c r="EM8" s="5">
        <v>127.18494819439006</v>
      </c>
      <c r="EN8" s="8">
        <v>5.8634312500000001E-2</v>
      </c>
      <c r="EO8" s="8">
        <v>-1.4541673131588384E-3</v>
      </c>
      <c r="EP8" s="5"/>
      <c r="EQ8" s="21">
        <v>2516.0209957463717</v>
      </c>
      <c r="ER8" s="22">
        <v>5466.38</v>
      </c>
      <c r="ET8" s="16" t="s">
        <v>875</v>
      </c>
      <c r="EU8" s="32" t="s">
        <v>59</v>
      </c>
      <c r="EV8" s="32" t="s">
        <v>60</v>
      </c>
      <c r="EW8" s="32" t="s">
        <v>1430</v>
      </c>
      <c r="EX8" s="32"/>
      <c r="EY8" s="30" t="s">
        <v>853</v>
      </c>
      <c r="EZ8" s="30" t="s">
        <v>26</v>
      </c>
      <c r="FA8" s="30" t="s">
        <v>33</v>
      </c>
      <c r="FB8" s="30" t="s">
        <v>28</v>
      </c>
      <c r="FC8" s="30" t="s">
        <v>34</v>
      </c>
      <c r="FD8" s="17">
        <v>410.68</v>
      </c>
      <c r="FE8" s="33">
        <f t="shared" si="6"/>
        <v>3.9497646433592916E-2</v>
      </c>
      <c r="FF8" s="33">
        <f t="shared" si="7"/>
        <v>3.7521719919076026E-2</v>
      </c>
      <c r="FH8" s="1">
        <v>1</v>
      </c>
      <c r="FI8" s="18">
        <v>19708.5605679162</v>
      </c>
      <c r="FJ8" s="11">
        <v>8093911.6540318253</v>
      </c>
      <c r="FK8" s="5"/>
      <c r="FL8" s="11">
        <v>1</v>
      </c>
      <c r="FM8" s="11">
        <v>410.68</v>
      </c>
      <c r="FN8" s="5">
        <v>30.776387598007531</v>
      </c>
      <c r="FO8" s="8">
        <v>3.9784624999999997E-2</v>
      </c>
      <c r="FP8" s="8">
        <v>7.2657130821598415E-3</v>
      </c>
      <c r="FQ8" s="5"/>
      <c r="FR8" s="21">
        <v>10397.581554396489</v>
      </c>
      <c r="FS8" s="22">
        <v>15195.16</v>
      </c>
      <c r="FU8" s="16" t="s">
        <v>857</v>
      </c>
      <c r="FV8" s="32" t="s">
        <v>47</v>
      </c>
      <c r="FW8" s="32" t="s">
        <v>48</v>
      </c>
      <c r="FX8" s="32" t="s">
        <v>1428</v>
      </c>
      <c r="FY8" s="32"/>
      <c r="FZ8" s="30" t="s">
        <v>853</v>
      </c>
      <c r="GA8" s="30" t="s">
        <v>26</v>
      </c>
      <c r="GB8" s="30" t="s">
        <v>33</v>
      </c>
      <c r="GC8" s="30" t="s">
        <v>28</v>
      </c>
      <c r="GD8" s="30" t="s">
        <v>34</v>
      </c>
      <c r="GE8" s="17">
        <v>300.91000000000003</v>
      </c>
      <c r="GF8" s="33">
        <f t="shared" si="8"/>
        <v>3.4638144884411186E-2</v>
      </c>
      <c r="GG8" s="33">
        <f t="shared" si="9"/>
        <v>3.290466165434737E-2</v>
      </c>
      <c r="GI8" s="1">
        <v>1</v>
      </c>
      <c r="GJ8" s="18">
        <v>23827.7104048314</v>
      </c>
      <c r="GK8" s="11">
        <v>7169996.3379178168</v>
      </c>
      <c r="GL8" s="5"/>
      <c r="GM8" s="11">
        <v>1</v>
      </c>
      <c r="GN8" s="11">
        <v>300.91000000000003</v>
      </c>
      <c r="GO8" s="5">
        <v>36.835619829887932</v>
      </c>
      <c r="GP8" s="8">
        <v>3.479271875E-2</v>
      </c>
      <c r="GQ8" s="8">
        <v>4.4625330283891707E-3</v>
      </c>
      <c r="GR8" s="5"/>
      <c r="GS8" s="21">
        <v>8687.2435288941779</v>
      </c>
      <c r="GT8" s="22">
        <v>11133.67</v>
      </c>
      <c r="GV8" s="16" t="s">
        <v>970</v>
      </c>
      <c r="GW8" s="32" t="s">
        <v>186</v>
      </c>
      <c r="GX8" s="32" t="s">
        <v>387</v>
      </c>
      <c r="GY8" s="32" t="s">
        <v>1536</v>
      </c>
      <c r="GZ8" s="32"/>
      <c r="HA8" s="30" t="s">
        <v>850</v>
      </c>
      <c r="HB8" s="30" t="s">
        <v>26</v>
      </c>
      <c r="HC8" s="30" t="s">
        <v>33</v>
      </c>
      <c r="HD8" s="30" t="s">
        <v>28</v>
      </c>
      <c r="HE8" s="30" t="s">
        <v>34</v>
      </c>
      <c r="HF8" s="17">
        <v>22.06</v>
      </c>
      <c r="HG8" s="33">
        <f t="shared" si="10"/>
        <v>5.715656128426011E-2</v>
      </c>
      <c r="HH8" s="33">
        <f t="shared" si="29"/>
        <v>5.4294425354201391E-2</v>
      </c>
      <c r="HJ8" s="1">
        <v>1</v>
      </c>
      <c r="HK8" s="18">
        <v>422563.43421894597</v>
      </c>
      <c r="HL8" s="11">
        <v>9321749.3588699475</v>
      </c>
      <c r="HM8" s="5"/>
      <c r="HN8" s="11">
        <v>1</v>
      </c>
      <c r="HO8" s="11">
        <v>22.06</v>
      </c>
      <c r="HP8" s="5">
        <v>829.1069633256227</v>
      </c>
      <c r="HQ8" s="8">
        <v>5.7149187499999997E-2</v>
      </c>
      <c r="HR8" s="8">
        <v>-1.2901028498624179E-4</v>
      </c>
      <c r="HS8" s="5"/>
      <c r="HT8" s="21">
        <v>385.95743873197154</v>
      </c>
      <c r="HU8" s="22">
        <v>816.21999999999991</v>
      </c>
      <c r="HW8" s="16" t="s">
        <v>1021</v>
      </c>
      <c r="HX8" s="32" t="s">
        <v>210</v>
      </c>
      <c r="HY8" s="32">
        <v>788</v>
      </c>
      <c r="HZ8" s="32" t="s">
        <v>1582</v>
      </c>
      <c r="IA8" s="32"/>
      <c r="IB8" s="30" t="s">
        <v>862</v>
      </c>
      <c r="IC8" s="30" t="s">
        <v>26</v>
      </c>
      <c r="ID8" s="30" t="s">
        <v>27</v>
      </c>
      <c r="IE8" s="30" t="s">
        <v>28</v>
      </c>
      <c r="IF8" s="30" t="s">
        <v>82</v>
      </c>
      <c r="IG8" s="17">
        <v>11.03</v>
      </c>
      <c r="IH8" s="33">
        <f t="shared" si="11"/>
        <v>4.5172049686675896E-2</v>
      </c>
      <c r="II8" s="33">
        <f t="shared" si="12"/>
        <v>4.2936561746624406E-2</v>
      </c>
      <c r="IK8" s="1">
        <v>1</v>
      </c>
      <c r="IL8" s="18">
        <v>776240.86734274705</v>
      </c>
      <c r="IM8" s="11">
        <v>8561936.7667904999</v>
      </c>
      <c r="IN8" s="5"/>
      <c r="IO8" s="11">
        <v>500</v>
      </c>
      <c r="IP8" s="11">
        <v>5515</v>
      </c>
      <c r="IQ8" s="5">
        <v>2.6210436808225359</v>
      </c>
      <c r="IR8" s="8">
        <v>5.1703125000000003E-2</v>
      </c>
      <c r="IS8" s="8">
        <v>0.14458222194089498</v>
      </c>
      <c r="IT8" s="5"/>
      <c r="IU8" s="21">
        <v>122088.77034036211</v>
      </c>
      <c r="IV8" s="22">
        <v>204055</v>
      </c>
      <c r="IX8" s="16" t="s">
        <v>972</v>
      </c>
      <c r="IY8" s="32" t="s">
        <v>177</v>
      </c>
      <c r="IZ8" s="32" t="s">
        <v>388</v>
      </c>
      <c r="JA8" s="32" t="s">
        <v>1538</v>
      </c>
      <c r="JB8" s="32"/>
      <c r="JC8" s="30" t="s">
        <v>853</v>
      </c>
      <c r="JD8" s="30" t="s">
        <v>26</v>
      </c>
      <c r="JE8" s="30" t="s">
        <v>33</v>
      </c>
      <c r="JF8" s="30" t="s">
        <v>28</v>
      </c>
      <c r="JG8" s="30" t="s">
        <v>34</v>
      </c>
      <c r="JH8" s="17">
        <v>264.12</v>
      </c>
      <c r="JI8" s="33">
        <f t="shared" si="30"/>
        <v>3.3573091085018998E-2</v>
      </c>
      <c r="JJ8" s="33">
        <f t="shared" si="13"/>
        <v>3.1892722093870257E-2</v>
      </c>
      <c r="JL8" s="1">
        <v>1</v>
      </c>
      <c r="JM8" s="18">
        <v>15507.1677325725</v>
      </c>
      <c r="JN8" s="11">
        <v>4095753.1415270488</v>
      </c>
      <c r="JO8" s="5"/>
      <c r="JP8" s="11">
        <v>1</v>
      </c>
      <c r="JQ8" s="11">
        <v>264.12</v>
      </c>
      <c r="JR8" s="5">
        <v>40.676166693950016</v>
      </c>
      <c r="JS8" s="8">
        <v>3.3840374999999999E-2</v>
      </c>
      <c r="JT8" s="8">
        <v>7.9612542766509531E-3</v>
      </c>
      <c r="JU8" s="5"/>
      <c r="JV8" s="21">
        <v>7867.0146675250817</v>
      </c>
      <c r="JW8" s="22">
        <v>9772.44</v>
      </c>
      <c r="JY8" s="16" t="s">
        <v>1051</v>
      </c>
      <c r="JZ8" s="32" t="s">
        <v>93</v>
      </c>
      <c r="KA8" s="32" t="s">
        <v>385</v>
      </c>
      <c r="KB8" s="32" t="s">
        <v>1617</v>
      </c>
      <c r="KC8" s="32"/>
      <c r="KD8" s="30" t="s">
        <v>850</v>
      </c>
      <c r="KE8" s="30" t="s">
        <v>26</v>
      </c>
      <c r="KF8" s="30" t="s">
        <v>33</v>
      </c>
      <c r="KG8" s="30" t="s">
        <v>28</v>
      </c>
      <c r="KH8" s="30" t="s">
        <v>34</v>
      </c>
      <c r="KI8" s="17">
        <v>118.11</v>
      </c>
      <c r="KJ8" s="33">
        <f t="shared" si="31"/>
        <v>2.7985043523561338E-2</v>
      </c>
      <c r="KK8" s="33">
        <f t="shared" si="32"/>
        <v>2.6590107041976944E-2</v>
      </c>
      <c r="KM8" s="1">
        <v>1</v>
      </c>
      <c r="KN8" s="18">
        <v>23528.418159243702</v>
      </c>
      <c r="KO8" s="11">
        <v>2778941.4687882736</v>
      </c>
      <c r="KP8" s="5"/>
      <c r="KQ8" s="11">
        <v>1</v>
      </c>
      <c r="KR8" s="11">
        <v>118.11</v>
      </c>
      <c r="KS8" s="5">
        <v>75.820962895094638</v>
      </c>
      <c r="KT8" s="8">
        <v>2.8051125000000003E-2</v>
      </c>
      <c r="KU8" s="8">
        <v>2.361314049164509E-3</v>
      </c>
      <c r="KV8" s="5"/>
      <c r="KW8" s="21">
        <v>4220.4686907333235</v>
      </c>
      <c r="KX8" s="22">
        <v>4370.07</v>
      </c>
      <c r="KZ8" s="16" t="s">
        <v>928</v>
      </c>
      <c r="LA8" s="32" t="s">
        <v>253</v>
      </c>
      <c r="LB8" s="32" t="s">
        <v>371</v>
      </c>
      <c r="LC8" s="32" t="s">
        <v>1500</v>
      </c>
      <c r="LD8" s="32"/>
      <c r="LE8" s="30" t="s">
        <v>850</v>
      </c>
      <c r="LF8" s="30" t="s">
        <v>26</v>
      </c>
      <c r="LG8" s="30" t="s">
        <v>33</v>
      </c>
      <c r="LH8" s="30" t="s">
        <v>28</v>
      </c>
      <c r="LI8" s="30" t="s">
        <v>34</v>
      </c>
      <c r="LJ8" s="17">
        <v>57.56</v>
      </c>
      <c r="LK8" s="33">
        <f t="shared" si="14"/>
        <v>7.0922930513645011E-2</v>
      </c>
      <c r="LL8" s="33">
        <f t="shared" si="15"/>
        <v>6.7346514434495117E-2</v>
      </c>
      <c r="LN8" s="1">
        <v>1</v>
      </c>
      <c r="LO8" s="18">
        <v>136163.01824984301</v>
      </c>
      <c r="LP8" s="11">
        <v>7837543.3304609638</v>
      </c>
      <c r="LQ8" s="5"/>
      <c r="LR8" s="11">
        <v>1</v>
      </c>
      <c r="LS8" s="11">
        <v>57.56</v>
      </c>
      <c r="LT8" s="5">
        <v>394.29009319608065</v>
      </c>
      <c r="LU8" s="8">
        <v>7.0870749999999996E-2</v>
      </c>
      <c r="LV8" s="8">
        <v>-7.3573544222027554E-4</v>
      </c>
      <c r="LW8" s="5"/>
      <c r="LX8" s="21">
        <v>811.58518948855215</v>
      </c>
      <c r="LY8" s="22">
        <v>2129.7199999999998</v>
      </c>
      <c r="MA8" s="16" t="s">
        <v>1076</v>
      </c>
      <c r="MB8" s="32" t="s">
        <v>712</v>
      </c>
      <c r="MC8" s="32" t="s">
        <v>713</v>
      </c>
      <c r="MD8" s="32" t="s">
        <v>1646</v>
      </c>
      <c r="ME8" s="32"/>
      <c r="MF8" s="30" t="s">
        <v>886</v>
      </c>
      <c r="MG8" s="30" t="s">
        <v>26</v>
      </c>
      <c r="MH8" s="30" t="s">
        <v>39</v>
      </c>
      <c r="MI8" s="30" t="s">
        <v>28</v>
      </c>
      <c r="MJ8" s="30" t="s">
        <v>83</v>
      </c>
      <c r="MK8" s="17">
        <v>38.049999999999997</v>
      </c>
      <c r="ML8" s="33">
        <f t="shared" si="16"/>
        <v>2.734051458551719E-2</v>
      </c>
      <c r="MM8" s="33">
        <f t="shared" si="17"/>
        <v>2.5957021147012808E-2</v>
      </c>
      <c r="MO8" s="1">
        <v>1.1607000000000001</v>
      </c>
      <c r="MP8" s="18">
        <v>111216.61252703999</v>
      </c>
      <c r="MQ8" s="11">
        <v>4911841.0981931482</v>
      </c>
      <c r="MR8" s="5"/>
      <c r="MS8" s="11">
        <v>1</v>
      </c>
      <c r="MT8" s="11">
        <v>44.164634999999997</v>
      </c>
      <c r="MU8" s="5">
        <v>198.09887860197421</v>
      </c>
      <c r="MV8" s="8">
        <v>2.732686790625E-2</v>
      </c>
      <c r="MW8" s="8">
        <v>-4.9913761588160632E-4</v>
      </c>
      <c r="MX8" s="5"/>
      <c r="MY8" s="21">
        <v>1615.3549291056459</v>
      </c>
      <c r="MZ8" s="22">
        <v>1634.0914949999999</v>
      </c>
      <c r="NB8" s="16" t="s">
        <v>1077</v>
      </c>
      <c r="NC8" s="32" t="s">
        <v>317</v>
      </c>
      <c r="ND8" s="32" t="s">
        <v>324</v>
      </c>
      <c r="NE8" s="32" t="s">
        <v>1458</v>
      </c>
      <c r="NF8" s="32"/>
      <c r="NG8" s="30" t="s">
        <v>850</v>
      </c>
      <c r="NH8" s="30" t="s">
        <v>26</v>
      </c>
      <c r="NI8" s="30" t="s">
        <v>33</v>
      </c>
      <c r="NJ8" s="30" t="s">
        <v>28</v>
      </c>
      <c r="NK8" s="30" t="s">
        <v>34</v>
      </c>
      <c r="NL8" s="17">
        <v>60.74</v>
      </c>
      <c r="NM8" s="33">
        <f t="shared" si="18"/>
        <v>3.8724509534188968E-2</v>
      </c>
      <c r="NN8" s="33">
        <f t="shared" si="19"/>
        <v>3.6760241308688706E-2</v>
      </c>
      <c r="NP8" s="1">
        <v>1</v>
      </c>
      <c r="NQ8" s="18">
        <v>108991.78533209101</v>
      </c>
      <c r="NR8" s="11">
        <v>6620161.0410712082</v>
      </c>
      <c r="NS8" s="5"/>
      <c r="NT8" s="11">
        <v>1</v>
      </c>
      <c r="NU8" s="11">
        <v>60.74</v>
      </c>
      <c r="NV8" s="5">
        <v>204.01453821107128</v>
      </c>
      <c r="NW8" s="8">
        <v>3.8721750000000006E-2</v>
      </c>
      <c r="NX8" s="8">
        <v>-7.126066210150217E-5</v>
      </c>
      <c r="NY8" s="5"/>
      <c r="NZ8" s="21">
        <v>1568.5156695496446</v>
      </c>
      <c r="OA8" s="22">
        <v>2247.38</v>
      </c>
      <c r="OC8" s="16" t="s">
        <v>943</v>
      </c>
      <c r="OD8" s="32" t="s">
        <v>127</v>
      </c>
      <c r="OE8" s="32" t="s">
        <v>128</v>
      </c>
      <c r="OF8" s="32" t="s">
        <v>1512</v>
      </c>
      <c r="OG8" s="32"/>
      <c r="OH8" s="30" t="s">
        <v>777</v>
      </c>
      <c r="OI8" s="30" t="s">
        <v>26</v>
      </c>
      <c r="OJ8" s="30" t="s">
        <v>129</v>
      </c>
      <c r="OK8" s="30" t="s">
        <v>28</v>
      </c>
      <c r="OL8" s="43" t="s">
        <v>827</v>
      </c>
      <c r="OM8" s="17">
        <v>18.87</v>
      </c>
      <c r="ON8" s="33">
        <f t="shared" si="20"/>
        <v>2.9813684326418802E-2</v>
      </c>
      <c r="OO8" s="33">
        <f t="shared" si="33"/>
        <v>2.8269545657289084E-2</v>
      </c>
      <c r="OQ8" s="1">
        <v>1.1509</v>
      </c>
      <c r="OR8" s="18">
        <v>252823.422330937</v>
      </c>
      <c r="OS8" s="11">
        <v>5490688.3764739456</v>
      </c>
      <c r="OT8" s="5"/>
      <c r="OU8" s="11">
        <v>1</v>
      </c>
      <c r="OV8" s="11">
        <v>21.717483000000001</v>
      </c>
      <c r="OW8" s="5">
        <v>439.29487521431543</v>
      </c>
      <c r="OX8" s="8">
        <v>2.9793671990624999E-2</v>
      </c>
      <c r="OY8" s="8">
        <v>-6.7124665219819857E-4</v>
      </c>
      <c r="OZ8" s="5"/>
      <c r="PA8" s="21">
        <v>728.44009355648427</v>
      </c>
      <c r="PB8" s="22">
        <v>803.54687100000001</v>
      </c>
      <c r="PD8" s="16" t="s">
        <v>1112</v>
      </c>
      <c r="PE8" s="44" t="s">
        <v>291</v>
      </c>
      <c r="PF8" s="44">
        <v>2587</v>
      </c>
      <c r="PG8" s="32" t="s">
        <v>1680</v>
      </c>
      <c r="PH8" s="44"/>
      <c r="PI8" s="30" t="s">
        <v>902</v>
      </c>
      <c r="PJ8" s="30" t="s">
        <v>26</v>
      </c>
      <c r="PK8" s="71" t="s">
        <v>320</v>
      </c>
      <c r="PL8" s="30" t="s">
        <v>28</v>
      </c>
      <c r="PM8" s="30" t="s">
        <v>94</v>
      </c>
      <c r="PN8" s="17">
        <v>4671</v>
      </c>
      <c r="PO8" s="33">
        <f t="shared" si="21"/>
        <v>4.2286181209362929E-2</v>
      </c>
      <c r="PP8" s="33">
        <f t="shared" si="22"/>
        <v>4.016968971711269E-2</v>
      </c>
      <c r="PR8" s="1">
        <v>1</v>
      </c>
      <c r="PS8" s="18">
        <v>1744.67283051492</v>
      </c>
      <c r="PT8" s="11">
        <v>8149366.7913351906</v>
      </c>
      <c r="PU8" s="5"/>
      <c r="PV8" s="11">
        <v>100</v>
      </c>
      <c r="PW8" s="11">
        <v>467100</v>
      </c>
      <c r="PX8" s="5">
        <v>2.8969338443579826E-2</v>
      </c>
      <c r="PY8" s="8">
        <v>0</v>
      </c>
      <c r="PZ8" s="8">
        <v>-1</v>
      </c>
      <c r="QA8" s="5"/>
      <c r="QB8" s="21">
        <v>11046161.810813401</v>
      </c>
      <c r="QC8" s="22">
        <v>17282700</v>
      </c>
      <c r="QE8" s="16" t="s">
        <v>974</v>
      </c>
      <c r="QF8" s="34" t="s">
        <v>166</v>
      </c>
      <c r="QG8" s="34"/>
      <c r="QH8" s="32" t="s">
        <v>1540</v>
      </c>
      <c r="QI8" s="34"/>
      <c r="QJ8" s="30" t="s">
        <v>853</v>
      </c>
      <c r="QK8" s="30" t="s">
        <v>26</v>
      </c>
      <c r="QL8" s="30"/>
      <c r="QM8" s="30" t="s">
        <v>28</v>
      </c>
      <c r="QN8" s="30" t="s">
        <v>34</v>
      </c>
      <c r="QO8" s="17">
        <v>164.48</v>
      </c>
      <c r="QP8" s="33">
        <f t="shared" si="23"/>
        <v>3.7793101602629157E-2</v>
      </c>
      <c r="QQ8" s="33">
        <f t="shared" si="24"/>
        <v>3.591266775011389E-2</v>
      </c>
      <c r="QS8" s="1">
        <v>1</v>
      </c>
      <c r="QT8" s="18">
        <v>26212.689156719502</v>
      </c>
      <c r="QU8" s="11">
        <v>4311463.1124972235</v>
      </c>
      <c r="QV8" s="5"/>
      <c r="QW8" s="11">
        <v>1</v>
      </c>
      <c r="QX8" s="11">
        <v>164.48</v>
      </c>
      <c r="QY8" s="5">
        <v>73.527435024570352</v>
      </c>
      <c r="QZ8" s="8">
        <v>3.8035999999999993E-2</v>
      </c>
      <c r="RA8" s="8">
        <v>6.4270564486810233E-3</v>
      </c>
      <c r="RB8" s="5"/>
      <c r="RC8" s="21">
        <v>4352.1170008591616</v>
      </c>
      <c r="RD8" s="22">
        <v>6085.7599999999993</v>
      </c>
      <c r="RF8" s="16" t="s">
        <v>1052</v>
      </c>
      <c r="RG8" s="34" t="s">
        <v>238</v>
      </c>
      <c r="RH8" s="34"/>
      <c r="RI8" s="32" t="s">
        <v>1618</v>
      </c>
      <c r="RJ8" s="34"/>
      <c r="RK8" s="30" t="s">
        <v>853</v>
      </c>
    </row>
    <row r="9" spans="15:479" x14ac:dyDescent="0.2">
      <c r="O9" s="16" t="s">
        <v>883</v>
      </c>
      <c r="P9" s="32" t="s">
        <v>153</v>
      </c>
      <c r="Q9" s="32" t="s">
        <v>154</v>
      </c>
      <c r="R9" s="32" t="s">
        <v>1431</v>
      </c>
      <c r="S9" s="32"/>
      <c r="T9" s="30" t="s">
        <v>777</v>
      </c>
      <c r="U9" s="30" t="s">
        <v>26</v>
      </c>
      <c r="V9" s="30" t="s">
        <v>129</v>
      </c>
      <c r="W9" s="30" t="s">
        <v>28</v>
      </c>
      <c r="X9" s="43" t="s">
        <v>827</v>
      </c>
      <c r="Y9" s="17">
        <v>31.08</v>
      </c>
      <c r="Z9" s="33">
        <f t="shared" si="0"/>
        <v>3.022453313611978E-2</v>
      </c>
      <c r="AA9" s="33">
        <f t="shared" si="1"/>
        <v>2.8714322256118908E-2</v>
      </c>
      <c r="AB9" s="4"/>
      <c r="AC9" s="1">
        <v>1.3359000000000001</v>
      </c>
      <c r="AD9" s="18">
        <v>149806.56954383399</v>
      </c>
      <c r="AE9" s="11">
        <v>6219934.6115621319</v>
      </c>
      <c r="AF9" s="5"/>
      <c r="AG9" s="11">
        <v>1</v>
      </c>
      <c r="AH9" s="11">
        <v>41.519772000000003</v>
      </c>
      <c r="AI9" s="5">
        <v>232.94565787977663</v>
      </c>
      <c r="AJ9" s="8">
        <v>3.0231583987500005E-2</v>
      </c>
      <c r="AK9" s="8">
        <v>2.3328239177322629E-4</v>
      </c>
      <c r="AL9" s="5"/>
      <c r="AM9" s="21">
        <v>1373.7109457741092</v>
      </c>
      <c r="AN9" s="22">
        <v>1536.2315639999999</v>
      </c>
      <c r="AP9" s="16" t="s">
        <v>892</v>
      </c>
      <c r="AQ9" s="32" t="s">
        <v>737</v>
      </c>
      <c r="AR9" s="32" t="s">
        <v>739</v>
      </c>
      <c r="AS9" s="32" t="s">
        <v>1466</v>
      </c>
      <c r="AT9" s="32"/>
      <c r="AU9" s="30" t="s">
        <v>850</v>
      </c>
      <c r="AV9" s="30" t="s">
        <v>26</v>
      </c>
      <c r="AW9" s="30" t="s">
        <v>129</v>
      </c>
      <c r="AX9" s="30" t="s">
        <v>28</v>
      </c>
      <c r="AY9" s="30" t="s">
        <v>34</v>
      </c>
      <c r="AZ9" s="17">
        <v>72.989999999999995</v>
      </c>
      <c r="BA9" s="33">
        <f t="shared" si="2"/>
        <v>3.4626526532329789E-2</v>
      </c>
      <c r="BB9" s="33">
        <f t="shared" si="25"/>
        <v>3.2884029638398614E-2</v>
      </c>
      <c r="BD9" s="1">
        <v>1</v>
      </c>
      <c r="BE9" s="18">
        <v>78107.190115912599</v>
      </c>
      <c r="BF9" s="11">
        <v>5701043.8065604605</v>
      </c>
      <c r="BG9" s="5"/>
      <c r="BH9" s="11">
        <v>1</v>
      </c>
      <c r="BI9" s="11">
        <v>72.989999999999995</v>
      </c>
      <c r="BJ9" s="5">
        <v>151.80830922517515</v>
      </c>
      <c r="BK9" s="8">
        <v>3.467025E-2</v>
      </c>
      <c r="BL9" s="8">
        <v>1.2627159593783244E-3</v>
      </c>
      <c r="BM9" s="5"/>
      <c r="BN9" s="21">
        <v>2107.9215072829015</v>
      </c>
      <c r="BO9" s="22">
        <v>2700.6299999999997</v>
      </c>
      <c r="BQ9" s="16" t="s">
        <v>910</v>
      </c>
      <c r="BR9" s="44" t="s">
        <v>751</v>
      </c>
      <c r="BS9" s="44">
        <v>8986</v>
      </c>
      <c r="BT9" s="32" t="s">
        <v>1484</v>
      </c>
      <c r="BU9" s="44"/>
      <c r="BV9" s="30" t="s">
        <v>902</v>
      </c>
      <c r="BW9" s="30" t="s">
        <v>26</v>
      </c>
      <c r="BX9" s="71" t="s">
        <v>320</v>
      </c>
      <c r="BY9" s="30" t="s">
        <v>28</v>
      </c>
      <c r="BZ9" s="30" t="s">
        <v>94</v>
      </c>
      <c r="CA9" s="17">
        <v>115500</v>
      </c>
      <c r="CB9" s="33">
        <f t="shared" si="3"/>
        <v>6.8153321908857728E-2</v>
      </c>
      <c r="CC9" s="33">
        <f t="shared" si="26"/>
        <v>6.4739822613896686E-2</v>
      </c>
      <c r="CE9" s="1">
        <v>1</v>
      </c>
      <c r="CF9" s="18">
        <v>370.19361486430103</v>
      </c>
      <c r="CG9" s="11">
        <v>42757362.516826771</v>
      </c>
      <c r="CH9" s="5"/>
      <c r="CI9" s="11">
        <v>1</v>
      </c>
      <c r="CJ9" s="11">
        <v>115500</v>
      </c>
      <c r="CK9" s="5">
        <v>0.18882305637086125</v>
      </c>
      <c r="CL9" s="8">
        <v>0</v>
      </c>
      <c r="CM9" s="8">
        <v>-1</v>
      </c>
      <c r="CN9" s="5"/>
      <c r="CO9" s="21">
        <v>1694708.2954292318</v>
      </c>
      <c r="CP9" s="22">
        <v>4273500</v>
      </c>
      <c r="CR9" s="16" t="s">
        <v>927</v>
      </c>
      <c r="CS9" s="32" t="s">
        <v>119</v>
      </c>
      <c r="CT9" s="32">
        <v>1878</v>
      </c>
      <c r="CU9" s="32" t="s">
        <v>1499</v>
      </c>
      <c r="CV9" s="32"/>
      <c r="CW9" s="30" t="s">
        <v>902</v>
      </c>
      <c r="CX9" s="30" t="s">
        <v>26</v>
      </c>
      <c r="CY9" s="30" t="s">
        <v>320</v>
      </c>
      <c r="CZ9" s="30" t="s">
        <v>28</v>
      </c>
      <c r="DA9" s="30" t="s">
        <v>94</v>
      </c>
      <c r="DB9" s="17">
        <v>3642</v>
      </c>
      <c r="DC9" s="33">
        <f t="shared" si="4"/>
        <v>6.041601002354792E-2</v>
      </c>
      <c r="DD9" s="33">
        <f t="shared" si="5"/>
        <v>5.737602091934188E-2</v>
      </c>
      <c r="DF9" s="1">
        <v>6.3369999999999998E-3</v>
      </c>
      <c r="DG9" s="18">
        <v>474746.26753309899</v>
      </c>
      <c r="DH9" s="11">
        <v>10956837.168575097</v>
      </c>
      <c r="DI9" s="5"/>
      <c r="DJ9" s="11">
        <v>100</v>
      </c>
      <c r="DK9" s="11">
        <v>2307.9353999999998</v>
      </c>
      <c r="DL9" s="5">
        <v>8.3768043106992227</v>
      </c>
      <c r="DM9" s="8">
        <v>5.7698384999999998E-2</v>
      </c>
      <c r="DN9" s="8">
        <v>-4.4981868588950036E-2</v>
      </c>
      <c r="DO9" s="5"/>
      <c r="DP9" s="21">
        <v>38200.725256441998</v>
      </c>
      <c r="DQ9" s="22">
        <v>85393.609799999991</v>
      </c>
      <c r="DS9" s="16" t="s">
        <v>944</v>
      </c>
      <c r="DT9" s="32" t="s">
        <v>132</v>
      </c>
      <c r="DU9" s="32" t="s">
        <v>735</v>
      </c>
      <c r="DV9" s="32" t="s">
        <v>1513</v>
      </c>
      <c r="DW9" s="32"/>
      <c r="DX9" s="30" t="s">
        <v>777</v>
      </c>
      <c r="DY9" s="30" t="s">
        <v>26</v>
      </c>
      <c r="DZ9" s="30" t="s">
        <v>129</v>
      </c>
      <c r="EA9" s="30" t="s">
        <v>28</v>
      </c>
      <c r="EB9" s="43" t="s">
        <v>827</v>
      </c>
      <c r="EC9" s="17">
        <v>6.4560000000000004</v>
      </c>
      <c r="ED9" s="33">
        <f t="shared" si="27"/>
        <v>4.1705253276259541E-2</v>
      </c>
      <c r="EE9" s="33">
        <f t="shared" si="28"/>
        <v>3.9561929035010358E-2</v>
      </c>
      <c r="EG9" s="1">
        <v>1</v>
      </c>
      <c r="EH9" s="18">
        <v>1066052.7245469</v>
      </c>
      <c r="EI9" s="11">
        <v>6882436.3896747874</v>
      </c>
      <c r="EJ9" s="5"/>
      <c r="EK9" s="11">
        <v>1</v>
      </c>
      <c r="EL9" s="11">
        <v>6.4560000000000004</v>
      </c>
      <c r="EM9" s="5">
        <v>2067.1748835816379</v>
      </c>
      <c r="EN9" s="8">
        <v>4.1701725000000002E-2</v>
      </c>
      <c r="EO9" s="8">
        <v>-8.460028371404249E-5</v>
      </c>
      <c r="EP9" s="5"/>
      <c r="EQ9" s="21">
        <v>154.80064243309701</v>
      </c>
      <c r="ER9" s="22">
        <v>238.87200000000001</v>
      </c>
      <c r="ET9" s="16" t="s">
        <v>859</v>
      </c>
      <c r="EU9" s="32" t="s">
        <v>703</v>
      </c>
      <c r="EV9" s="32" t="s">
        <v>707</v>
      </c>
      <c r="EW9" s="32" t="s">
        <v>1432</v>
      </c>
      <c r="EX9" s="32"/>
      <c r="EY9" s="30" t="s">
        <v>853</v>
      </c>
      <c r="EZ9" s="30" t="s">
        <v>26</v>
      </c>
      <c r="FA9" s="30" t="s">
        <v>33</v>
      </c>
      <c r="FB9" s="30" t="s">
        <v>28</v>
      </c>
      <c r="FC9" s="30" t="s">
        <v>34</v>
      </c>
      <c r="FD9" s="17">
        <v>132.04</v>
      </c>
      <c r="FE9" s="33">
        <f t="shared" si="6"/>
        <v>3.7191500106851155E-2</v>
      </c>
      <c r="FF9" s="33">
        <f t="shared" si="7"/>
        <v>3.5330941875885695E-2</v>
      </c>
      <c r="FH9" s="1">
        <v>1</v>
      </c>
      <c r="FI9" s="18">
        <v>57719.880331447697</v>
      </c>
      <c r="FJ9" s="11">
        <v>7621332.9989643535</v>
      </c>
      <c r="FK9" s="5"/>
      <c r="FL9" s="11">
        <v>1</v>
      </c>
      <c r="FM9" s="11">
        <v>132.04</v>
      </c>
      <c r="FN9" s="5">
        <v>90.133899077494476</v>
      </c>
      <c r="FO9" s="8">
        <v>3.7136249999999996E-2</v>
      </c>
      <c r="FP9" s="8">
        <v>-1.4855573637101438E-3</v>
      </c>
      <c r="FQ9" s="5"/>
      <c r="FR9" s="21">
        <v>3550.2735738179194</v>
      </c>
      <c r="FS9" s="22">
        <v>4885.4799999999996</v>
      </c>
      <c r="FU9" s="16" t="s">
        <v>967</v>
      </c>
      <c r="FV9" s="32" t="s">
        <v>175</v>
      </c>
      <c r="FW9" s="32" t="s">
        <v>408</v>
      </c>
      <c r="FX9" s="32" t="s">
        <v>1534</v>
      </c>
      <c r="FY9" s="32"/>
      <c r="FZ9" s="30" t="s">
        <v>968</v>
      </c>
      <c r="GA9" s="30" t="s">
        <v>26</v>
      </c>
      <c r="GB9" s="30" t="s">
        <v>326</v>
      </c>
      <c r="GC9" s="30" t="s">
        <v>28</v>
      </c>
      <c r="GD9" s="30" t="s">
        <v>83</v>
      </c>
      <c r="GE9" s="17">
        <v>53.74</v>
      </c>
      <c r="GF9" s="33">
        <f t="shared" si="8"/>
        <v>2.6892774262265395E-2</v>
      </c>
      <c r="GG9" s="33">
        <f t="shared" si="9"/>
        <v>2.5546911966547896E-2</v>
      </c>
      <c r="GI9" s="1">
        <v>1.1607000000000001</v>
      </c>
      <c r="GJ9" s="18">
        <v>89244.666153405604</v>
      </c>
      <c r="GK9" s="11">
        <v>5566726.9023888195</v>
      </c>
      <c r="GL9" s="5"/>
      <c r="GM9" s="11">
        <v>1</v>
      </c>
      <c r="GN9" s="11">
        <v>62.376018000000009</v>
      </c>
      <c r="GO9" s="5">
        <v>137.96468642683996</v>
      </c>
      <c r="GP9" s="8">
        <v>2.6899657762500005E-2</v>
      </c>
      <c r="GQ9" s="8">
        <v>2.5596095692770326E-4</v>
      </c>
      <c r="GR9" s="5"/>
      <c r="GS9" s="21">
        <v>2319.4341123638901</v>
      </c>
      <c r="GT9" s="22">
        <v>2307.9126660000002</v>
      </c>
      <c r="GV9" s="16" t="s">
        <v>991</v>
      </c>
      <c r="GW9" s="32" t="s">
        <v>187</v>
      </c>
      <c r="GX9" s="32">
        <v>9888</v>
      </c>
      <c r="GY9" s="32" t="s">
        <v>1553</v>
      </c>
      <c r="GZ9" s="32"/>
      <c r="HA9" s="30" t="s">
        <v>862</v>
      </c>
      <c r="HB9" s="30" t="s">
        <v>26</v>
      </c>
      <c r="HC9" s="30" t="s">
        <v>27</v>
      </c>
      <c r="HD9" s="30" t="s">
        <v>28</v>
      </c>
      <c r="HE9" s="30" t="s">
        <v>82</v>
      </c>
      <c r="HF9" s="17">
        <v>119.5</v>
      </c>
      <c r="HG9" s="33">
        <f t="shared" si="10"/>
        <v>2.4631948994618447E-2</v>
      </c>
      <c r="HH9" s="33">
        <f t="shared" si="29"/>
        <v>2.3398495045311569E-2</v>
      </c>
      <c r="HJ9" s="1">
        <v>0.12784999999999999</v>
      </c>
      <c r="HK9" s="18">
        <v>262942.91188481502</v>
      </c>
      <c r="HL9" s="11">
        <v>4017261.5284945951</v>
      </c>
      <c r="HM9" s="5"/>
      <c r="HN9" s="11">
        <v>50</v>
      </c>
      <c r="HO9" s="11">
        <v>763.90374999999995</v>
      </c>
      <c r="HP9" s="5">
        <v>10.318346621911338</v>
      </c>
      <c r="HQ9" s="8">
        <v>2.38719921875E-2</v>
      </c>
      <c r="HR9" s="8">
        <v>-3.0852483791862451E-2</v>
      </c>
      <c r="HS9" s="5"/>
      <c r="HT9" s="21">
        <v>31012.720518660401</v>
      </c>
      <c r="HU9" s="22">
        <v>28264.438749999998</v>
      </c>
      <c r="HW9" s="16" t="s">
        <v>997</v>
      </c>
      <c r="HX9" s="32" t="s">
        <v>728</v>
      </c>
      <c r="HY9" s="32">
        <v>1919</v>
      </c>
      <c r="HZ9" s="32" t="s">
        <v>1560</v>
      </c>
      <c r="IA9" s="32"/>
      <c r="IB9" s="30" t="s">
        <v>862</v>
      </c>
      <c r="IC9" s="30" t="s">
        <v>26</v>
      </c>
      <c r="ID9" s="30" t="s">
        <v>27</v>
      </c>
      <c r="IE9" s="30" t="s">
        <v>28</v>
      </c>
      <c r="IF9" s="30" t="s">
        <v>82</v>
      </c>
      <c r="IG9" s="17">
        <v>15.97</v>
      </c>
      <c r="IH9" s="33">
        <f t="shared" si="11"/>
        <v>4.5740336270798126E-2</v>
      </c>
      <c r="II9" s="33">
        <f t="shared" si="12"/>
        <v>4.3476724793866862E-2</v>
      </c>
      <c r="IK9" s="1">
        <v>1</v>
      </c>
      <c r="IL9" s="18">
        <v>542871.01684034395</v>
      </c>
      <c r="IM9" s="11">
        <v>8669650.1389402933</v>
      </c>
      <c r="IN9" s="5"/>
      <c r="IO9" s="11">
        <v>500</v>
      </c>
      <c r="IP9" s="11">
        <v>7985</v>
      </c>
      <c r="IQ9" s="5">
        <v>1.833050420370119</v>
      </c>
      <c r="IR9" s="8">
        <v>4.9906249999999999E-2</v>
      </c>
      <c r="IS9" s="8">
        <v>9.1077461795170622E-2</v>
      </c>
      <c r="IT9" s="5"/>
      <c r="IU9" s="21">
        <v>174572.39388722731</v>
      </c>
      <c r="IV9" s="22">
        <v>295445</v>
      </c>
      <c r="IX9" s="16" t="s">
        <v>991</v>
      </c>
      <c r="IY9" s="32" t="s">
        <v>225</v>
      </c>
      <c r="IZ9" s="32" t="s">
        <v>389</v>
      </c>
      <c r="JA9" s="32" t="s">
        <v>1598</v>
      </c>
      <c r="JB9" s="32"/>
      <c r="JC9" s="30" t="s">
        <v>853</v>
      </c>
      <c r="JD9" s="30" t="s">
        <v>26</v>
      </c>
      <c r="JE9" s="30" t="s">
        <v>33</v>
      </c>
      <c r="JF9" s="30" t="s">
        <v>28</v>
      </c>
      <c r="JG9" s="30" t="s">
        <v>34</v>
      </c>
      <c r="JH9" s="17">
        <v>117.93</v>
      </c>
      <c r="JI9" s="33">
        <f t="shared" si="30"/>
        <v>4.7937979719698112E-2</v>
      </c>
      <c r="JJ9" s="33">
        <f t="shared" si="13"/>
        <v>4.5538632742224167E-2</v>
      </c>
      <c r="JL9" s="1">
        <v>1</v>
      </c>
      <c r="JM9" s="18">
        <v>49590.429889749103</v>
      </c>
      <c r="JN9" s="11">
        <v>5848199.3968981123</v>
      </c>
      <c r="JO9" s="5"/>
      <c r="JP9" s="11">
        <v>1</v>
      </c>
      <c r="JQ9" s="11">
        <v>117.93</v>
      </c>
      <c r="JR9" s="5">
        <v>130.07846612654453</v>
      </c>
      <c r="JS9" s="8">
        <v>4.7909062500000002E-2</v>
      </c>
      <c r="JT9" s="8">
        <v>-6.0322149300395811E-4</v>
      </c>
      <c r="JU9" s="5"/>
      <c r="JV9" s="21">
        <v>2460.0536086326056</v>
      </c>
      <c r="JW9" s="22">
        <v>4363.41</v>
      </c>
      <c r="JY9" s="16" t="s">
        <v>1052</v>
      </c>
      <c r="JZ9" s="32" t="s">
        <v>238</v>
      </c>
      <c r="KA9" s="32" t="s">
        <v>386</v>
      </c>
      <c r="KB9" s="32" t="s">
        <v>1618</v>
      </c>
      <c r="KC9" s="32"/>
      <c r="KD9" s="30" t="s">
        <v>853</v>
      </c>
      <c r="KE9" s="30" t="s">
        <v>26</v>
      </c>
      <c r="KF9" s="30" t="s">
        <v>33</v>
      </c>
      <c r="KG9" s="30" t="s">
        <v>28</v>
      </c>
      <c r="KH9" s="30" t="s">
        <v>34</v>
      </c>
      <c r="KI9" s="17">
        <v>28.35</v>
      </c>
      <c r="KJ9" s="33">
        <f t="shared" si="31"/>
        <v>2.4582407793186781E-2</v>
      </c>
      <c r="KK9" s="33">
        <f t="shared" si="32"/>
        <v>2.335707836294915E-2</v>
      </c>
      <c r="KM9" s="1">
        <v>1</v>
      </c>
      <c r="KN9" s="18">
        <v>86104.285743500703</v>
      </c>
      <c r="KO9" s="11">
        <v>2441056.5008282452</v>
      </c>
      <c r="KP9" s="5"/>
      <c r="KQ9" s="11">
        <v>1</v>
      </c>
      <c r="KR9" s="11">
        <v>28.35</v>
      </c>
      <c r="KS9" s="5">
        <v>277.47338602538866</v>
      </c>
      <c r="KT9" s="8">
        <v>2.4540468750000002E-2</v>
      </c>
      <c r="KU9" s="8">
        <v>-1.7060592086671766E-3</v>
      </c>
      <c r="KV9" s="5"/>
      <c r="KW9" s="21">
        <v>1153.2637583148971</v>
      </c>
      <c r="KX9" s="22">
        <v>1048.95</v>
      </c>
      <c r="KZ9" s="16" t="s">
        <v>1071</v>
      </c>
      <c r="LA9" s="32" t="s">
        <v>745</v>
      </c>
      <c r="LB9" s="32" t="s">
        <v>748</v>
      </c>
      <c r="LC9" s="32" t="s">
        <v>1641</v>
      </c>
      <c r="LD9" s="32"/>
      <c r="LE9" s="30" t="s">
        <v>850</v>
      </c>
      <c r="LF9" s="30" t="s">
        <v>26</v>
      </c>
      <c r="LG9" s="30" t="s">
        <v>33</v>
      </c>
      <c r="LH9" s="30" t="s">
        <v>28</v>
      </c>
      <c r="LI9" s="30" t="s">
        <v>34</v>
      </c>
      <c r="LJ9" s="17">
        <v>67.77</v>
      </c>
      <c r="LK9" s="33">
        <f t="shared" si="14"/>
        <v>6.7048800264707734E-2</v>
      </c>
      <c r="LL9" s="33">
        <f t="shared" si="15"/>
        <v>6.3667744157497444E-2</v>
      </c>
      <c r="LN9" s="1">
        <v>1</v>
      </c>
      <c r="LO9" s="18">
        <v>109331.87804434499</v>
      </c>
      <c r="LP9" s="11">
        <v>7409421.3750652596</v>
      </c>
      <c r="LQ9" s="5"/>
      <c r="LR9" s="11">
        <v>1</v>
      </c>
      <c r="LS9" s="11">
        <v>67.77</v>
      </c>
      <c r="LT9" s="5">
        <v>316.59460063016786</v>
      </c>
      <c r="LU9" s="8">
        <v>6.7134656249999994E-2</v>
      </c>
      <c r="LV9" s="8">
        <v>1.2804999485942492E-3</v>
      </c>
      <c r="LW9" s="5"/>
      <c r="LX9" s="21">
        <v>1010.7563406421141</v>
      </c>
      <c r="LY9" s="22">
        <v>2507.4899999999998</v>
      </c>
      <c r="MA9" s="16" t="s">
        <v>1413</v>
      </c>
      <c r="MB9" s="32" t="s">
        <v>1416</v>
      </c>
      <c r="MC9" s="32" t="s">
        <v>1410</v>
      </c>
      <c r="MD9" s="32" t="s">
        <v>1647</v>
      </c>
      <c r="ME9" s="32"/>
      <c r="MF9" s="30" t="s">
        <v>925</v>
      </c>
      <c r="MG9" s="30" t="s">
        <v>26</v>
      </c>
      <c r="MH9" s="30" t="s">
        <v>383</v>
      </c>
      <c r="MI9" s="30" t="s">
        <v>28</v>
      </c>
      <c r="MJ9" s="30" t="s">
        <v>926</v>
      </c>
      <c r="MK9" s="17">
        <v>35.545999999999999</v>
      </c>
      <c r="ML9" s="33">
        <f t="shared" si="16"/>
        <v>2.9964622587770707E-2</v>
      </c>
      <c r="MM9" s="33">
        <f t="shared" si="17"/>
        <v>2.84483431992547E-2</v>
      </c>
      <c r="MO9" s="1">
        <v>0.7319</v>
      </c>
      <c r="MP9" s="18">
        <v>206920.70650691999</v>
      </c>
      <c r="MQ9" s="11">
        <v>5383273.3929749737</v>
      </c>
      <c r="MR9" s="5"/>
      <c r="MS9" s="11">
        <v>1</v>
      </c>
      <c r="MT9" s="11">
        <v>26.016117399999999</v>
      </c>
      <c r="MU9" s="5">
        <v>368.56688031730005</v>
      </c>
      <c r="MV9" s="8">
        <v>2.9999835376875002E-2</v>
      </c>
      <c r="MW9" s="8">
        <v>1.1751454236126335E-3</v>
      </c>
      <c r="MX9" s="5"/>
      <c r="MY9" s="21">
        <v>868.22776838904053</v>
      </c>
      <c r="MZ9" s="22">
        <v>962.59634379999989</v>
      </c>
      <c r="NB9" s="16" t="s">
        <v>1089</v>
      </c>
      <c r="NC9" s="32" t="s">
        <v>267</v>
      </c>
      <c r="ND9" s="32" t="s">
        <v>341</v>
      </c>
      <c r="NE9" s="32" t="s">
        <v>1662</v>
      </c>
      <c r="NF9" s="32"/>
      <c r="NG9" s="30" t="s">
        <v>850</v>
      </c>
      <c r="NH9" s="30" t="s">
        <v>26</v>
      </c>
      <c r="NI9" s="30" t="s">
        <v>33</v>
      </c>
      <c r="NJ9" s="30" t="s">
        <v>28</v>
      </c>
      <c r="NK9" s="30" t="s">
        <v>34</v>
      </c>
      <c r="NL9" s="17">
        <v>189.9</v>
      </c>
      <c r="NM9" s="33">
        <f t="shared" si="18"/>
        <v>3.9928770566742267E-2</v>
      </c>
      <c r="NN9" s="33">
        <f t="shared" si="19"/>
        <v>3.7903417211697259E-2</v>
      </c>
      <c r="NP9" s="1">
        <v>1</v>
      </c>
      <c r="NQ9" s="18">
        <v>35945.423249304797</v>
      </c>
      <c r="NR9" s="11">
        <v>6826035.8750429815</v>
      </c>
      <c r="NS9" s="5"/>
      <c r="NT9" s="11">
        <v>1</v>
      </c>
      <c r="NU9" s="11">
        <v>189.9</v>
      </c>
      <c r="NV9" s="5">
        <v>67.283868253594122</v>
      </c>
      <c r="NW9" s="8">
        <v>3.9760312500000006E-2</v>
      </c>
      <c r="NX9" s="8">
        <v>-4.2189645298664757E-3</v>
      </c>
      <c r="NY9" s="5"/>
      <c r="NZ9" s="21">
        <v>4755.9691246334733</v>
      </c>
      <c r="OA9" s="22">
        <v>7026.3</v>
      </c>
      <c r="OC9" s="16" t="s">
        <v>1076</v>
      </c>
      <c r="OD9" s="45" t="s">
        <v>712</v>
      </c>
      <c r="OE9" s="32" t="s">
        <v>713</v>
      </c>
      <c r="OF9" s="32" t="s">
        <v>1646</v>
      </c>
      <c r="OG9" s="45"/>
      <c r="OH9" s="30" t="s">
        <v>886</v>
      </c>
      <c r="OI9" s="30" t="s">
        <v>26</v>
      </c>
      <c r="OJ9" s="30" t="s">
        <v>39</v>
      </c>
      <c r="OK9" s="30" t="s">
        <v>28</v>
      </c>
      <c r="OL9" s="51" t="s">
        <v>83</v>
      </c>
      <c r="OM9" s="17">
        <v>38.049999999999997</v>
      </c>
      <c r="ON9" s="33">
        <f t="shared" si="20"/>
        <v>2.9548281916536724E-2</v>
      </c>
      <c r="OO9" s="33">
        <f t="shared" si="33"/>
        <v>2.8017889221218634E-2</v>
      </c>
      <c r="OQ9" s="1">
        <v>1</v>
      </c>
      <c r="OR9" s="18">
        <v>143017.347854183</v>
      </c>
      <c r="OS9" s="11">
        <v>5441810.0858516628</v>
      </c>
      <c r="OT9" s="5"/>
      <c r="OU9" s="11">
        <v>1</v>
      </c>
      <c r="OV9" s="11">
        <v>38.049999999999997</v>
      </c>
      <c r="OW9" s="5">
        <v>248.5006626357885</v>
      </c>
      <c r="OX9" s="8">
        <v>2.9607656249999996E-2</v>
      </c>
      <c r="OY9" s="8">
        <v>2.0094005340474119E-3</v>
      </c>
      <c r="OZ9" s="5"/>
      <c r="PA9" s="21">
        <v>1287.7229243811053</v>
      </c>
      <c r="PB9" s="22">
        <v>1407.85</v>
      </c>
      <c r="PD9" s="16" t="s">
        <v>1100</v>
      </c>
      <c r="PE9" s="32" t="s">
        <v>281</v>
      </c>
      <c r="PF9" s="32">
        <v>3407</v>
      </c>
      <c r="PG9" s="32" t="s">
        <v>1681</v>
      </c>
      <c r="PH9" s="32"/>
      <c r="PI9" s="30" t="s">
        <v>902</v>
      </c>
      <c r="PJ9" s="30" t="s">
        <v>26</v>
      </c>
      <c r="PK9" s="71" t="s">
        <v>320</v>
      </c>
      <c r="PL9" s="30" t="s">
        <v>28</v>
      </c>
      <c r="PM9" s="30" t="s">
        <v>94</v>
      </c>
      <c r="PN9" s="17">
        <v>1710.5</v>
      </c>
      <c r="PO9" s="33">
        <f t="shared" si="21"/>
        <v>4.3095480655431756E-2</v>
      </c>
      <c r="PP9" s="33">
        <f t="shared" si="22"/>
        <v>4.0938482422130419E-2</v>
      </c>
      <c r="PR9" s="1">
        <v>1</v>
      </c>
      <c r="PS9" s="18">
        <v>4855.5010125664003</v>
      </c>
      <c r="PT9" s="11">
        <v>8305334.4819948273</v>
      </c>
      <c r="PU9" s="5"/>
      <c r="PV9" s="11">
        <v>100</v>
      </c>
      <c r="PW9" s="11">
        <v>171050</v>
      </c>
      <c r="PX9" s="5">
        <v>8.0622939548308459E-2</v>
      </c>
      <c r="PY9" s="8">
        <v>0</v>
      </c>
      <c r="PZ9" s="8">
        <v>-1</v>
      </c>
      <c r="QA9" s="5"/>
      <c r="QB9" s="21">
        <v>3969093.6821803576</v>
      </c>
      <c r="QC9" s="22">
        <v>6328850</v>
      </c>
      <c r="QE9" s="16" t="s">
        <v>863</v>
      </c>
      <c r="QF9" s="34" t="s">
        <v>45</v>
      </c>
      <c r="QG9" s="34"/>
      <c r="QH9" s="32" t="s">
        <v>1452</v>
      </c>
      <c r="QI9" s="34"/>
      <c r="QJ9" s="30" t="s">
        <v>853</v>
      </c>
      <c r="QK9" s="30" t="s">
        <v>26</v>
      </c>
      <c r="QL9" s="30"/>
      <c r="QM9" s="30" t="s">
        <v>28</v>
      </c>
      <c r="QN9" s="30" t="s">
        <v>34</v>
      </c>
      <c r="QO9" s="17">
        <v>80.010000000000005</v>
      </c>
      <c r="QP9" s="33">
        <f t="shared" si="23"/>
        <v>6.6052328447918043E-2</v>
      </c>
      <c r="QQ9" s="33">
        <f t="shared" si="24"/>
        <v>6.2765828288262396E-2</v>
      </c>
      <c r="QS9" s="1">
        <v>1</v>
      </c>
      <c r="QT9" s="18">
        <v>94179.417737609794</v>
      </c>
      <c r="QU9" s="11">
        <v>7535295.2131861597</v>
      </c>
      <c r="QV9" s="5"/>
      <c r="QW9" s="11">
        <v>1</v>
      </c>
      <c r="QX9" s="11">
        <v>80.010000000000005</v>
      </c>
      <c r="QY9" s="5">
        <v>264.17629175520278</v>
      </c>
      <c r="QZ9" s="8">
        <v>6.6008250000000004E-2</v>
      </c>
      <c r="RA9" s="8">
        <v>-6.6732617840703501E-4</v>
      </c>
      <c r="RB9" s="5"/>
      <c r="RC9" s="21">
        <v>1211.3123319049612</v>
      </c>
      <c r="RD9" s="22">
        <v>2960.37</v>
      </c>
      <c r="RF9" s="16" t="s">
        <v>1324</v>
      </c>
      <c r="RG9" s="34" t="s">
        <v>1298</v>
      </c>
      <c r="RH9" s="34"/>
      <c r="RI9" s="32" t="s">
        <v>1714</v>
      </c>
      <c r="RJ9" s="34"/>
      <c r="RK9" s="30" t="s">
        <v>853</v>
      </c>
    </row>
    <row r="10" spans="15:479" x14ac:dyDescent="0.2">
      <c r="O10" s="16" t="s">
        <v>859</v>
      </c>
      <c r="P10" s="32" t="s">
        <v>703</v>
      </c>
      <c r="Q10" s="32" t="s">
        <v>707</v>
      </c>
      <c r="R10" s="32" t="s">
        <v>1432</v>
      </c>
      <c r="S10" s="32"/>
      <c r="T10" s="30" t="s">
        <v>853</v>
      </c>
      <c r="U10" s="30" t="s">
        <v>26</v>
      </c>
      <c r="V10" s="30" t="s">
        <v>33</v>
      </c>
      <c r="W10" s="30" t="s">
        <v>28</v>
      </c>
      <c r="X10" s="30" t="s">
        <v>34</v>
      </c>
      <c r="Y10" s="17">
        <v>132.04</v>
      </c>
      <c r="Z10" s="33">
        <f t="shared" si="0"/>
        <v>3.0195390379697679E-2</v>
      </c>
      <c r="AA10" s="33">
        <f t="shared" si="1"/>
        <v>2.8686635658097124E-2</v>
      </c>
      <c r="AB10" s="4"/>
      <c r="AC10" s="1">
        <v>1</v>
      </c>
      <c r="AD10" s="18">
        <v>47061.021635719997</v>
      </c>
      <c r="AE10" s="11">
        <v>6213937.296780468</v>
      </c>
      <c r="AF10" s="5"/>
      <c r="AG10" s="11">
        <v>1</v>
      </c>
      <c r="AH10" s="11">
        <v>132.04</v>
      </c>
      <c r="AI10" s="5">
        <v>73.178770989876227</v>
      </c>
      <c r="AJ10" s="8">
        <v>3.0121624999999999E-2</v>
      </c>
      <c r="AK10" s="8">
        <v>-2.4429351225502272E-3</v>
      </c>
      <c r="AL10" s="5"/>
      <c r="AM10" s="21">
        <v>4372.8528871340259</v>
      </c>
      <c r="AN10" s="22">
        <v>4885.4799999999996</v>
      </c>
      <c r="AP10" s="16" t="s">
        <v>870</v>
      </c>
      <c r="AQ10" s="32" t="s">
        <v>95</v>
      </c>
      <c r="AR10" s="32" t="s">
        <v>360</v>
      </c>
      <c r="AS10" s="32" t="s">
        <v>1467</v>
      </c>
      <c r="AT10" s="32"/>
      <c r="AU10" s="30" t="s">
        <v>853</v>
      </c>
      <c r="AV10" s="30" t="s">
        <v>26</v>
      </c>
      <c r="AW10" s="30" t="s">
        <v>33</v>
      </c>
      <c r="AX10" s="30" t="s">
        <v>28</v>
      </c>
      <c r="AY10" s="30" t="s">
        <v>34</v>
      </c>
      <c r="AZ10" s="17">
        <v>145.13999999999999</v>
      </c>
      <c r="BA10" s="33">
        <f t="shared" si="2"/>
        <v>5.712854060596366E-2</v>
      </c>
      <c r="BB10" s="33">
        <f t="shared" si="25"/>
        <v>5.4253683826212172E-2</v>
      </c>
      <c r="BD10" s="1">
        <v>1</v>
      </c>
      <c r="BE10" s="18">
        <v>64805.4395378357</v>
      </c>
      <c r="BF10" s="11">
        <v>9405861.4945214726</v>
      </c>
      <c r="BG10" s="5"/>
      <c r="BH10" s="11">
        <v>1</v>
      </c>
      <c r="BI10" s="11">
        <v>145.13999999999999</v>
      </c>
      <c r="BJ10" s="5">
        <v>125.95516738258489</v>
      </c>
      <c r="BK10" s="8">
        <v>5.7148874999999995E-2</v>
      </c>
      <c r="BL10" s="8">
        <v>3.5594107289704802E-4</v>
      </c>
      <c r="BM10" s="5"/>
      <c r="BN10" s="21">
        <v>2540.5865170105326</v>
      </c>
      <c r="BO10" s="22">
        <v>5370.1799999999994</v>
      </c>
      <c r="BQ10" s="16" t="s">
        <v>911</v>
      </c>
      <c r="BR10" s="44" t="s">
        <v>740</v>
      </c>
      <c r="BS10" s="44">
        <v>3249</v>
      </c>
      <c r="BT10" s="32" t="s">
        <v>1485</v>
      </c>
      <c r="BU10" s="44"/>
      <c r="BV10" s="30" t="s">
        <v>902</v>
      </c>
      <c r="BW10" s="30" t="s">
        <v>26</v>
      </c>
      <c r="BX10" s="71" t="s">
        <v>320</v>
      </c>
      <c r="BY10" s="30" t="s">
        <v>28</v>
      </c>
      <c r="BZ10" s="30" t="s">
        <v>94</v>
      </c>
      <c r="CA10" s="17">
        <v>150000</v>
      </c>
      <c r="CB10" s="33">
        <f t="shared" si="3"/>
        <v>6.8237382452458528E-2</v>
      </c>
      <c r="CC10" s="33">
        <f t="shared" si="26"/>
        <v>6.4819672935628944E-2</v>
      </c>
      <c r="CE10" s="1">
        <v>1</v>
      </c>
      <c r="CF10" s="18">
        <v>285.40066397359499</v>
      </c>
      <c r="CG10" s="11">
        <v>42810099.59603925</v>
      </c>
      <c r="CH10" s="5"/>
      <c r="CI10" s="11">
        <v>1</v>
      </c>
      <c r="CJ10" s="11">
        <v>150000</v>
      </c>
      <c r="CK10" s="5">
        <v>0.14557308256524487</v>
      </c>
      <c r="CL10" s="8">
        <v>0</v>
      </c>
      <c r="CM10" s="8">
        <v>-1</v>
      </c>
      <c r="CN10" s="5"/>
      <c r="CO10" s="21">
        <v>2198208.5861002374</v>
      </c>
      <c r="CP10" s="22">
        <v>5550000</v>
      </c>
      <c r="CR10" s="16" t="s">
        <v>909</v>
      </c>
      <c r="CS10" s="32" t="s">
        <v>109</v>
      </c>
      <c r="CT10" s="32">
        <v>8984</v>
      </c>
      <c r="CU10" s="32" t="s">
        <v>1483</v>
      </c>
      <c r="CV10" s="32"/>
      <c r="CW10" s="30" t="s">
        <v>902</v>
      </c>
      <c r="CX10" s="30" t="s">
        <v>26</v>
      </c>
      <c r="CY10" s="30" t="s">
        <v>320</v>
      </c>
      <c r="CZ10" s="30" t="s">
        <v>28</v>
      </c>
      <c r="DA10" s="30" t="s">
        <v>94</v>
      </c>
      <c r="DB10" s="17">
        <v>130700</v>
      </c>
      <c r="DC10" s="33">
        <f t="shared" si="4"/>
        <v>4.6962800802134455E-2</v>
      </c>
      <c r="DD10" s="33">
        <f t="shared" si="5"/>
        <v>4.4599745004741641E-2</v>
      </c>
      <c r="DF10" s="1">
        <v>6.3369999999999998E-3</v>
      </c>
      <c r="DG10" s="18">
        <v>10283.190049389699</v>
      </c>
      <c r="DH10" s="11">
        <v>8517009.9973278157</v>
      </c>
      <c r="DI10" s="5"/>
      <c r="DJ10" s="11">
        <v>1</v>
      </c>
      <c r="DK10" s="11">
        <v>828.24590000000001</v>
      </c>
      <c r="DL10" s="5">
        <v>18.144486144372131</v>
      </c>
      <c r="DM10" s="8">
        <v>4.6588831875E-2</v>
      </c>
      <c r="DN10" s="8">
        <v>-7.963088247442407E-3</v>
      </c>
      <c r="DO10" s="5"/>
      <c r="DP10" s="21">
        <v>17636.211764489912</v>
      </c>
      <c r="DQ10" s="22">
        <v>30645.098299999998</v>
      </c>
      <c r="DS10" s="16" t="s">
        <v>945</v>
      </c>
      <c r="DT10" s="32" t="s">
        <v>133</v>
      </c>
      <c r="DU10" s="32" t="s">
        <v>134</v>
      </c>
      <c r="DV10" s="32" t="s">
        <v>1514</v>
      </c>
      <c r="DW10" s="32"/>
      <c r="DX10" s="30" t="s">
        <v>777</v>
      </c>
      <c r="DY10" s="30" t="s">
        <v>26</v>
      </c>
      <c r="DZ10" s="30" t="s">
        <v>129</v>
      </c>
      <c r="EA10" s="30" t="s">
        <v>28</v>
      </c>
      <c r="EB10" s="43" t="s">
        <v>827</v>
      </c>
      <c r="EC10" s="17">
        <v>2.0739999999999998</v>
      </c>
      <c r="ED10" s="33">
        <f t="shared" si="27"/>
        <v>4.7271951567294912E-2</v>
      </c>
      <c r="EE10" s="33">
        <f t="shared" si="28"/>
        <v>4.4842542517691666E-2</v>
      </c>
      <c r="EG10" s="1">
        <v>1</v>
      </c>
      <c r="EH10" s="18">
        <v>3761371.44394051</v>
      </c>
      <c r="EI10" s="11">
        <v>7801084.3747326173</v>
      </c>
      <c r="EJ10" s="5"/>
      <c r="EK10" s="11">
        <v>1</v>
      </c>
      <c r="EL10" s="11">
        <v>2.0739999999999998</v>
      </c>
      <c r="EM10" s="5">
        <v>7293.6473006433816</v>
      </c>
      <c r="EN10" s="8">
        <v>4.7274237499999996E-2</v>
      </c>
      <c r="EO10" s="8">
        <v>4.8357062259807293E-5</v>
      </c>
      <c r="EP10" s="5"/>
      <c r="EQ10" s="21">
        <v>43.873796854938739</v>
      </c>
      <c r="ER10" s="22">
        <v>76.737999999999985</v>
      </c>
      <c r="ET10" s="16" t="s">
        <v>881</v>
      </c>
      <c r="EU10" s="32" t="s">
        <v>171</v>
      </c>
      <c r="EV10" s="32" t="s">
        <v>429</v>
      </c>
      <c r="EW10" s="32" t="s">
        <v>1433</v>
      </c>
      <c r="EX10" s="32"/>
      <c r="EY10" s="30" t="s">
        <v>850</v>
      </c>
      <c r="EZ10" s="30" t="s">
        <v>26</v>
      </c>
      <c r="FA10" s="30" t="s">
        <v>33</v>
      </c>
      <c r="FB10" s="30" t="s">
        <v>28</v>
      </c>
      <c r="FC10" s="30" t="s">
        <v>34</v>
      </c>
      <c r="FD10" s="17">
        <v>210.58</v>
      </c>
      <c r="FE10" s="33">
        <f t="shared" si="6"/>
        <v>3.5641809101671647E-2</v>
      </c>
      <c r="FF10" s="33">
        <f t="shared" si="7"/>
        <v>3.3858776389893527E-2</v>
      </c>
      <c r="FH10" s="1">
        <v>1</v>
      </c>
      <c r="FI10" s="18">
        <v>34684.054523586099</v>
      </c>
      <c r="FJ10" s="11">
        <v>7303768.201576761</v>
      </c>
      <c r="FK10" s="5"/>
      <c r="FL10" s="11">
        <v>1</v>
      </c>
      <c r="FM10" s="11">
        <v>210.58</v>
      </c>
      <c r="FN10" s="5">
        <v>54.161738591200141</v>
      </c>
      <c r="FO10" s="8">
        <v>3.5535375000000008E-2</v>
      </c>
      <c r="FP10" s="8">
        <v>-2.9862149075549071E-3</v>
      </c>
      <c r="FQ10" s="5"/>
      <c r="FR10" s="21">
        <v>5908.2298375848586</v>
      </c>
      <c r="FS10" s="22">
        <v>7791.46</v>
      </c>
      <c r="FU10" s="16" t="s">
        <v>858</v>
      </c>
      <c r="FV10" s="32" t="s">
        <v>41</v>
      </c>
      <c r="FW10" s="32" t="s">
        <v>42</v>
      </c>
      <c r="FX10" s="32" t="s">
        <v>1434</v>
      </c>
      <c r="FY10" s="32"/>
      <c r="FZ10" s="30" t="s">
        <v>853</v>
      </c>
      <c r="GA10" s="30" t="s">
        <v>26</v>
      </c>
      <c r="GB10" s="30" t="s">
        <v>33</v>
      </c>
      <c r="GC10" s="30" t="s">
        <v>28</v>
      </c>
      <c r="GD10" s="30" t="s">
        <v>34</v>
      </c>
      <c r="GE10" s="17">
        <v>218.94</v>
      </c>
      <c r="GF10" s="33">
        <f t="shared" si="8"/>
        <v>3.0869948105460485E-2</v>
      </c>
      <c r="GG10" s="33">
        <f t="shared" si="9"/>
        <v>2.9325046161885575E-2</v>
      </c>
      <c r="GI10" s="1">
        <v>1</v>
      </c>
      <c r="GJ10" s="18">
        <v>29186.034738702299</v>
      </c>
      <c r="GK10" s="11">
        <v>6389990.4456914812</v>
      </c>
      <c r="GL10" s="5"/>
      <c r="GM10" s="11">
        <v>1</v>
      </c>
      <c r="GN10" s="11">
        <v>218.94</v>
      </c>
      <c r="GO10" s="5">
        <v>45.119134894251189</v>
      </c>
      <c r="GP10" s="8">
        <v>3.0788437499999998E-2</v>
      </c>
      <c r="GQ10" s="8">
        <v>-2.6404516516199683E-3</v>
      </c>
      <c r="GR10" s="5"/>
      <c r="GS10" s="21">
        <v>7092.3345660329251</v>
      </c>
      <c r="GT10" s="22">
        <v>8100.78</v>
      </c>
      <c r="GV10" s="16" t="s">
        <v>992</v>
      </c>
      <c r="GW10" s="32" t="s">
        <v>188</v>
      </c>
      <c r="GX10" s="32">
        <v>7832</v>
      </c>
      <c r="GY10" s="32" t="s">
        <v>1554</v>
      </c>
      <c r="GZ10" s="32"/>
      <c r="HA10" s="30" t="s">
        <v>902</v>
      </c>
      <c r="HB10" s="30" t="s">
        <v>26</v>
      </c>
      <c r="HC10" s="30" t="s">
        <v>320</v>
      </c>
      <c r="HD10" s="30" t="s">
        <v>28</v>
      </c>
      <c r="HE10" s="30" t="s">
        <v>94</v>
      </c>
      <c r="HF10" s="17">
        <v>4117</v>
      </c>
      <c r="HG10" s="33">
        <f t="shared" si="10"/>
        <v>2.3139106346340949E-2</v>
      </c>
      <c r="HH10" s="33">
        <f t="shared" si="29"/>
        <v>2.1980407044366844E-2</v>
      </c>
      <c r="HJ10" s="1">
        <v>6.3369999999999998E-3</v>
      </c>
      <c r="HK10" s="18">
        <v>144648.301063591</v>
      </c>
      <c r="HL10" s="11">
        <v>3773791.5805691816</v>
      </c>
      <c r="HM10" s="5"/>
      <c r="HN10" s="11">
        <v>100</v>
      </c>
      <c r="HO10" s="11">
        <v>2608.9428999999996</v>
      </c>
      <c r="HP10" s="5">
        <v>2.838128052104592</v>
      </c>
      <c r="HQ10" s="8">
        <v>2.4458839687499994E-2</v>
      </c>
      <c r="HR10" s="8">
        <v>5.7034758447693346E-2</v>
      </c>
      <c r="HS10" s="5"/>
      <c r="HT10" s="21">
        <v>112750.37423442064</v>
      </c>
      <c r="HU10" s="22">
        <v>96530.887299999973</v>
      </c>
      <c r="HW10" s="16" t="s">
        <v>1008</v>
      </c>
      <c r="HX10" s="32" t="s">
        <v>198</v>
      </c>
      <c r="HY10" s="32">
        <v>857</v>
      </c>
      <c r="HZ10" s="32" t="s">
        <v>1571</v>
      </c>
      <c r="IA10" s="32"/>
      <c r="IB10" s="30" t="s">
        <v>862</v>
      </c>
      <c r="IC10" s="30" t="s">
        <v>26</v>
      </c>
      <c r="ID10" s="30" t="s">
        <v>27</v>
      </c>
      <c r="IE10" s="30" t="s">
        <v>28</v>
      </c>
      <c r="IF10" s="30" t="s">
        <v>82</v>
      </c>
      <c r="IG10" s="17">
        <v>10.29</v>
      </c>
      <c r="IH10" s="33">
        <f t="shared" si="11"/>
        <v>4.5431167502392102E-2</v>
      </c>
      <c r="II10" s="33">
        <f t="shared" si="12"/>
        <v>4.3182856262178146E-2</v>
      </c>
      <c r="IK10" s="1">
        <v>1</v>
      </c>
      <c r="IL10" s="18">
        <v>836836.74532701296</v>
      </c>
      <c r="IM10" s="11">
        <v>8611050.1094149631</v>
      </c>
      <c r="IN10" s="5"/>
      <c r="IO10" s="11">
        <v>2000</v>
      </c>
      <c r="IP10" s="11">
        <v>20580</v>
      </c>
      <c r="IQ10" s="5">
        <v>0.70641271140745732</v>
      </c>
      <c r="IR10" s="8">
        <v>6.4312499999999995E-2</v>
      </c>
      <c r="IS10" s="8">
        <v>0.41560306581629725</v>
      </c>
      <c r="IT10" s="5"/>
      <c r="IU10" s="21">
        <v>452992.98106121516</v>
      </c>
      <c r="IV10" s="22">
        <v>761460</v>
      </c>
      <c r="IX10" s="16" t="s">
        <v>974</v>
      </c>
      <c r="IY10" s="32" t="s">
        <v>166</v>
      </c>
      <c r="IZ10" s="32" t="s">
        <v>391</v>
      </c>
      <c r="JA10" s="32" t="s">
        <v>1540</v>
      </c>
      <c r="JB10" s="32"/>
      <c r="JC10" s="30" t="s">
        <v>853</v>
      </c>
      <c r="JD10" s="30" t="s">
        <v>26</v>
      </c>
      <c r="JE10" s="30" t="s">
        <v>33</v>
      </c>
      <c r="JF10" s="30" t="s">
        <v>28</v>
      </c>
      <c r="JG10" s="30" t="s">
        <v>34</v>
      </c>
      <c r="JH10" s="17">
        <v>164.48</v>
      </c>
      <c r="JI10" s="33">
        <f t="shared" si="30"/>
        <v>3.201228805253533E-2</v>
      </c>
      <c r="JJ10" s="33">
        <f t="shared" si="13"/>
        <v>3.0410038916672922E-2</v>
      </c>
      <c r="JL10" s="1">
        <v>1</v>
      </c>
      <c r="JM10" s="18">
        <v>23743.572437499599</v>
      </c>
      <c r="JN10" s="11">
        <v>3905342.7945199339</v>
      </c>
      <c r="JO10" s="5"/>
      <c r="JP10" s="11">
        <v>1</v>
      </c>
      <c r="JQ10" s="11">
        <v>164.48</v>
      </c>
      <c r="JR10" s="5">
        <v>62.280716055516208</v>
      </c>
      <c r="JS10" s="8">
        <v>3.1868E-2</v>
      </c>
      <c r="JT10" s="8">
        <v>-4.5072708423258279E-3</v>
      </c>
      <c r="JU10" s="5"/>
      <c r="JV10" s="21">
        <v>5138.0269892008982</v>
      </c>
      <c r="JW10" s="22">
        <v>6085.7599999999993</v>
      </c>
      <c r="JY10" s="16" t="s">
        <v>970</v>
      </c>
      <c r="JZ10" s="32" t="s">
        <v>186</v>
      </c>
      <c r="KA10" s="32" t="s">
        <v>387</v>
      </c>
      <c r="KB10" s="32" t="s">
        <v>1536</v>
      </c>
      <c r="KC10" s="32"/>
      <c r="KD10" s="30" t="s">
        <v>850</v>
      </c>
      <c r="KE10" s="30" t="s">
        <v>26</v>
      </c>
      <c r="KF10" s="30" t="s">
        <v>33</v>
      </c>
      <c r="KG10" s="30" t="s">
        <v>28</v>
      </c>
      <c r="KH10" s="30" t="s">
        <v>34</v>
      </c>
      <c r="KI10" s="17">
        <v>22.06</v>
      </c>
      <c r="KJ10" s="33">
        <f t="shared" si="31"/>
        <v>3.0087165813612815E-2</v>
      </c>
      <c r="KK10" s="33">
        <f t="shared" si="32"/>
        <v>2.8587447394895622E-2</v>
      </c>
      <c r="KM10" s="1">
        <v>1</v>
      </c>
      <c r="KN10" s="18">
        <v>135434.46118752001</v>
      </c>
      <c r="KO10" s="11">
        <v>2987684.213796691</v>
      </c>
      <c r="KP10" s="5"/>
      <c r="KQ10" s="11">
        <v>1</v>
      </c>
      <c r="KR10" s="11">
        <v>22.06</v>
      </c>
      <c r="KS10" s="5">
        <v>436.44120853835454</v>
      </c>
      <c r="KT10" s="8">
        <v>3.005675E-2</v>
      </c>
      <c r="KU10" s="8">
        <v>-1.0109231890181869E-3</v>
      </c>
      <c r="KV10" s="5"/>
      <c r="KW10" s="21">
        <v>733.20299215484908</v>
      </c>
      <c r="KX10" s="22">
        <v>816.21999999999991</v>
      </c>
      <c r="KZ10" s="16" t="s">
        <v>929</v>
      </c>
      <c r="LA10" s="32" t="s">
        <v>120</v>
      </c>
      <c r="LB10" s="32" t="s">
        <v>372</v>
      </c>
      <c r="LC10" s="32" t="s">
        <v>1501</v>
      </c>
      <c r="LD10" s="32"/>
      <c r="LE10" s="30" t="s">
        <v>853</v>
      </c>
      <c r="LF10" s="30" t="s">
        <v>26</v>
      </c>
      <c r="LG10" s="30" t="s">
        <v>33</v>
      </c>
      <c r="LH10" s="30" t="s">
        <v>28</v>
      </c>
      <c r="LI10" s="30" t="s">
        <v>34</v>
      </c>
      <c r="LJ10" s="17">
        <v>49.36</v>
      </c>
      <c r="LK10" s="33">
        <f t="shared" si="14"/>
        <v>6.6756817775118132E-2</v>
      </c>
      <c r="LL10" s="33">
        <f t="shared" si="15"/>
        <v>6.3390485409059477E-2</v>
      </c>
      <c r="LN10" s="1">
        <v>1</v>
      </c>
      <c r="LO10" s="18">
        <v>149456.13870593999</v>
      </c>
      <c r="LP10" s="11">
        <v>7377155.006525198</v>
      </c>
      <c r="LQ10" s="5"/>
      <c r="LR10" s="11">
        <v>1</v>
      </c>
      <c r="LS10" s="11">
        <v>49.36</v>
      </c>
      <c r="LT10" s="5">
        <v>432.78325948212728</v>
      </c>
      <c r="LU10" s="8">
        <v>6.6790250000000009E-2</v>
      </c>
      <c r="LV10" s="8">
        <v>5.0080614978531557E-4</v>
      </c>
      <c r="LW10" s="5"/>
      <c r="LX10" s="21">
        <v>739.40013387512988</v>
      </c>
      <c r="LY10" s="22">
        <v>1826.32</v>
      </c>
      <c r="MA10" s="16" t="s">
        <v>993</v>
      </c>
      <c r="MB10" s="32" t="s">
        <v>189</v>
      </c>
      <c r="MC10" s="32" t="s">
        <v>322</v>
      </c>
      <c r="MD10" s="32" t="s">
        <v>1555</v>
      </c>
      <c r="ME10" s="32"/>
      <c r="MF10" s="30" t="s">
        <v>838</v>
      </c>
      <c r="MG10" s="30" t="s">
        <v>26</v>
      </c>
      <c r="MH10" s="30" t="s">
        <v>323</v>
      </c>
      <c r="MI10" s="30" t="s">
        <v>28</v>
      </c>
      <c r="MJ10" s="30" t="s">
        <v>431</v>
      </c>
      <c r="MK10" s="17">
        <v>52.81</v>
      </c>
      <c r="ML10" s="33">
        <f t="shared" si="16"/>
        <v>2.7046861715568173E-2</v>
      </c>
      <c r="MM10" s="33">
        <f t="shared" si="17"/>
        <v>2.5678227793240846E-2</v>
      </c>
      <c r="MO10" s="1">
        <v>0.70340000000000003</v>
      </c>
      <c r="MP10" s="18">
        <v>130808.502356554</v>
      </c>
      <c r="MQ10" s="11">
        <v>4859085.0964468606</v>
      </c>
      <c r="MR10" s="5"/>
      <c r="MS10" s="11">
        <v>1</v>
      </c>
      <c r="MT10" s="11">
        <v>37.146554000000002</v>
      </c>
      <c r="MU10" s="5">
        <v>232.99592605499328</v>
      </c>
      <c r="MV10" s="8">
        <v>2.7047334631250003E-2</v>
      </c>
      <c r="MW10" s="8">
        <v>1.7485048239729295E-5</v>
      </c>
      <c r="MX10" s="5"/>
      <c r="MY10" s="21">
        <v>1373.4145717400718</v>
      </c>
      <c r="MZ10" s="22">
        <v>1374.4224979999999</v>
      </c>
      <c r="NB10" s="16" t="s">
        <v>863</v>
      </c>
      <c r="NC10" s="32" t="s">
        <v>45</v>
      </c>
      <c r="ND10" s="32" t="s">
        <v>46</v>
      </c>
      <c r="NE10" s="32" t="s">
        <v>1452</v>
      </c>
      <c r="NF10" s="32"/>
      <c r="NG10" s="30" t="s">
        <v>853</v>
      </c>
      <c r="NH10" s="30" t="s">
        <v>26</v>
      </c>
      <c r="NI10" s="30" t="s">
        <v>33</v>
      </c>
      <c r="NJ10" s="30" t="s">
        <v>28</v>
      </c>
      <c r="NK10" s="30" t="s">
        <v>34</v>
      </c>
      <c r="NL10" s="17">
        <v>80.010000000000005</v>
      </c>
      <c r="NM10" s="33">
        <f t="shared" si="18"/>
        <v>3.906903039179152E-2</v>
      </c>
      <c r="NN10" s="33">
        <f t="shared" si="19"/>
        <v>3.7087286635116019E-2</v>
      </c>
      <c r="NP10" s="1">
        <v>1</v>
      </c>
      <c r="NQ10" s="18">
        <v>83477.799220260495</v>
      </c>
      <c r="NR10" s="11">
        <v>6679058.7156130429</v>
      </c>
      <c r="NS10" s="5"/>
      <c r="NT10" s="11">
        <v>1</v>
      </c>
      <c r="NU10" s="11">
        <v>80.010000000000005</v>
      </c>
      <c r="NV10" s="5">
        <v>156.2565894934794</v>
      </c>
      <c r="NW10" s="8">
        <v>3.9004875000000001E-2</v>
      </c>
      <c r="NX10" s="8">
        <v>-1.6421035062338385E-3</v>
      </c>
      <c r="NY10" s="5"/>
      <c r="NZ10" s="21">
        <v>2047.9136338333665</v>
      </c>
      <c r="OA10" s="22">
        <v>2960.37</v>
      </c>
      <c r="OC10" s="16" t="s">
        <v>946</v>
      </c>
      <c r="OD10" s="32" t="s">
        <v>135</v>
      </c>
      <c r="OE10" s="32" t="s">
        <v>136</v>
      </c>
      <c r="OF10" s="32" t="s">
        <v>1515</v>
      </c>
      <c r="OG10" s="32"/>
      <c r="OH10" s="30" t="s">
        <v>777</v>
      </c>
      <c r="OI10" s="30" t="s">
        <v>26</v>
      </c>
      <c r="OJ10" s="30" t="s">
        <v>129</v>
      </c>
      <c r="OK10" s="30" t="s">
        <v>28</v>
      </c>
      <c r="OL10" s="43" t="s">
        <v>827</v>
      </c>
      <c r="OM10" s="17">
        <v>45.42</v>
      </c>
      <c r="ON10" s="33">
        <f t="shared" si="20"/>
        <v>3.9432847178153693E-2</v>
      </c>
      <c r="OO10" s="33">
        <f t="shared" si="33"/>
        <v>3.7390503685983768E-2</v>
      </c>
      <c r="OQ10" s="1">
        <v>1.1509</v>
      </c>
      <c r="OR10" s="18">
        <v>138926.32995715499</v>
      </c>
      <c r="OS10" s="11">
        <v>7262218.0231680656</v>
      </c>
      <c r="OT10" s="5"/>
      <c r="OU10" s="11">
        <v>1</v>
      </c>
      <c r="OV10" s="11">
        <v>52.273878000000003</v>
      </c>
      <c r="OW10" s="5">
        <v>241.39228960608548</v>
      </c>
      <c r="OX10" s="8">
        <v>3.9368764368750003E-2</v>
      </c>
      <c r="OY10" s="8">
        <v>-1.6251124123543015E-3</v>
      </c>
      <c r="OZ10" s="5"/>
      <c r="PA10" s="21">
        <v>1325.6430042657535</v>
      </c>
      <c r="PB10" s="22">
        <v>1934.1334859999999</v>
      </c>
      <c r="PD10" s="16" t="s">
        <v>1113</v>
      </c>
      <c r="PE10" s="45" t="s">
        <v>292</v>
      </c>
      <c r="PF10" s="45">
        <v>4042</v>
      </c>
      <c r="PG10" s="32" t="s">
        <v>1682</v>
      </c>
      <c r="PH10" s="45"/>
      <c r="PI10" s="30" t="s">
        <v>902</v>
      </c>
      <c r="PJ10" s="30" t="s">
        <v>26</v>
      </c>
      <c r="PK10" s="71" t="s">
        <v>320</v>
      </c>
      <c r="PL10" s="30" t="s">
        <v>28</v>
      </c>
      <c r="PM10" s="30" t="s">
        <v>94</v>
      </c>
      <c r="PN10" s="17">
        <v>2498</v>
      </c>
      <c r="PO10" s="33">
        <f t="shared" si="21"/>
        <v>4.4309751415979148E-2</v>
      </c>
      <c r="PP10" s="33">
        <f t="shared" si="22"/>
        <v>4.2091976974931299E-2</v>
      </c>
      <c r="PR10" s="1">
        <v>1</v>
      </c>
      <c r="PS10" s="18">
        <v>3418.4739771374202</v>
      </c>
      <c r="PT10" s="11">
        <v>8539347.9948892761</v>
      </c>
      <c r="PU10" s="5"/>
      <c r="PV10" s="11">
        <v>100</v>
      </c>
      <c r="PW10" s="11">
        <v>249800</v>
      </c>
      <c r="PX10" s="5">
        <v>5.6761891325513722E-2</v>
      </c>
      <c r="PY10" s="8">
        <v>0</v>
      </c>
      <c r="PZ10" s="8">
        <v>-1</v>
      </c>
      <c r="QA10" s="5"/>
      <c r="QB10" s="21">
        <v>5637585.227118114</v>
      </c>
      <c r="QC10" s="22">
        <v>9242600</v>
      </c>
      <c r="QE10" s="16" t="s">
        <v>1116</v>
      </c>
      <c r="QF10" s="34" t="s">
        <v>296</v>
      </c>
      <c r="QG10" s="34"/>
      <c r="QH10" s="32" t="s">
        <v>1697</v>
      </c>
      <c r="QI10" s="34"/>
      <c r="QJ10" s="30" t="s">
        <v>850</v>
      </c>
      <c r="QK10" s="30" t="s">
        <v>26</v>
      </c>
      <c r="QL10" s="30"/>
      <c r="QM10" s="30" t="s">
        <v>28</v>
      </c>
      <c r="QN10" s="30" t="s">
        <v>34</v>
      </c>
      <c r="QO10" s="17">
        <v>47.42</v>
      </c>
      <c r="QP10" s="33">
        <f t="shared" si="23"/>
        <v>9.6614119693225725E-2</v>
      </c>
      <c r="QQ10" s="33">
        <f t="shared" si="24"/>
        <v>9.1806986814524261E-2</v>
      </c>
      <c r="QS10" s="1">
        <v>1</v>
      </c>
      <c r="QT10" s="18">
        <v>232429.469626076</v>
      </c>
      <c r="QU10" s="11">
        <v>11021805.449668525</v>
      </c>
      <c r="QV10" s="5"/>
      <c r="QW10" s="11">
        <v>1</v>
      </c>
      <c r="QX10" s="11">
        <v>47.42</v>
      </c>
      <c r="QY10" s="5">
        <v>651.97212783281805</v>
      </c>
      <c r="QZ10" s="8">
        <v>9.6618250000000003E-2</v>
      </c>
      <c r="RA10" s="8">
        <v>4.2750550203196624E-5</v>
      </c>
      <c r="RB10" s="5"/>
      <c r="RC10" s="21">
        <v>490.8185278774003</v>
      </c>
      <c r="RD10" s="22">
        <v>1754.54</v>
      </c>
      <c r="RF10" s="16" t="s">
        <v>1325</v>
      </c>
      <c r="RG10" s="34" t="s">
        <v>1299</v>
      </c>
      <c r="RH10" s="34"/>
      <c r="RI10" s="32" t="s">
        <v>1715</v>
      </c>
      <c r="RJ10" s="34"/>
      <c r="RK10" s="30" t="s">
        <v>850</v>
      </c>
    </row>
    <row r="11" spans="15:479" x14ac:dyDescent="0.2">
      <c r="O11" s="16" t="s">
        <v>881</v>
      </c>
      <c r="P11" s="32" t="s">
        <v>171</v>
      </c>
      <c r="Q11" s="32" t="s">
        <v>429</v>
      </c>
      <c r="R11" s="32" t="s">
        <v>1433</v>
      </c>
      <c r="S11" s="32"/>
      <c r="T11" s="30" t="s">
        <v>850</v>
      </c>
      <c r="U11" s="30" t="s">
        <v>26</v>
      </c>
      <c r="V11" s="30" t="s">
        <v>33</v>
      </c>
      <c r="W11" s="30" t="s">
        <v>28</v>
      </c>
      <c r="X11" s="30" t="s">
        <v>34</v>
      </c>
      <c r="Y11" s="17">
        <v>210.58</v>
      </c>
      <c r="Z11" s="33">
        <f t="shared" si="0"/>
        <v>2.8937212442941708E-2</v>
      </c>
      <c r="AA11" s="33">
        <f t="shared" si="1"/>
        <v>2.7491324333722183E-2</v>
      </c>
      <c r="AB11" s="4"/>
      <c r="AC11" s="1">
        <v>1</v>
      </c>
      <c r="AD11" s="18">
        <v>28279.113383048199</v>
      </c>
      <c r="AE11" s="11">
        <v>5955015.6962022902</v>
      </c>
      <c r="AF11" s="5"/>
      <c r="AG11" s="11">
        <v>1</v>
      </c>
      <c r="AH11" s="11">
        <v>210.58</v>
      </c>
      <c r="AI11" s="5">
        <v>43.973349709095572</v>
      </c>
      <c r="AJ11" s="8">
        <v>2.8954750000000001E-2</v>
      </c>
      <c r="AK11" s="8">
        <v>6.060555104563381E-4</v>
      </c>
      <c r="AL11" s="5"/>
      <c r="AM11" s="21">
        <v>7277.1349491669562</v>
      </c>
      <c r="AN11" s="22">
        <v>7791.46</v>
      </c>
      <c r="AP11" s="16" t="s">
        <v>893</v>
      </c>
      <c r="AQ11" s="32" t="s">
        <v>96</v>
      </c>
      <c r="AR11" s="32" t="s">
        <v>333</v>
      </c>
      <c r="AS11" s="32" t="s">
        <v>1468</v>
      </c>
      <c r="AT11" s="32"/>
      <c r="AU11" s="30" t="s">
        <v>777</v>
      </c>
      <c r="AV11" s="30" t="s">
        <v>26</v>
      </c>
      <c r="AW11" s="30" t="s">
        <v>129</v>
      </c>
      <c r="AX11" s="30" t="s">
        <v>28</v>
      </c>
      <c r="AY11" s="43" t="s">
        <v>827</v>
      </c>
      <c r="AZ11" s="17">
        <v>20.76</v>
      </c>
      <c r="BA11" s="33">
        <f t="shared" si="2"/>
        <v>5.8610014658552548E-2</v>
      </c>
      <c r="BB11" s="33">
        <f t="shared" si="25"/>
        <v>5.5660606250509219E-2</v>
      </c>
      <c r="BD11" s="1">
        <v>1.3359000000000001</v>
      </c>
      <c r="BE11" s="18">
        <v>347949.310674462</v>
      </c>
      <c r="BF11" s="11">
        <v>9649777.0505390875</v>
      </c>
      <c r="BG11" s="5"/>
      <c r="BH11" s="11">
        <v>1</v>
      </c>
      <c r="BI11" s="11">
        <v>27.733284000000005</v>
      </c>
      <c r="BJ11" s="5">
        <v>676.27060288773635</v>
      </c>
      <c r="BK11" s="8">
        <v>5.8586562450000011E-2</v>
      </c>
      <c r="BL11" s="8">
        <v>-4.0013995371201982E-4</v>
      </c>
      <c r="BM11" s="5"/>
      <c r="BN11" s="21">
        <v>473.18336570238483</v>
      </c>
      <c r="BO11" s="22">
        <v>1026.1315080000002</v>
      </c>
      <c r="BQ11" s="16" t="s">
        <v>912</v>
      </c>
      <c r="BR11" s="32" t="s">
        <v>110</v>
      </c>
      <c r="BS11" s="32">
        <v>8987</v>
      </c>
      <c r="BT11" s="32" t="s">
        <v>1486</v>
      </c>
      <c r="BU11" s="32"/>
      <c r="BV11" s="30" t="s">
        <v>902</v>
      </c>
      <c r="BW11" s="30" t="s">
        <v>26</v>
      </c>
      <c r="BX11" s="71" t="s">
        <v>320</v>
      </c>
      <c r="BY11" s="30" t="s">
        <v>28</v>
      </c>
      <c r="BZ11" s="30" t="s">
        <v>94</v>
      </c>
      <c r="CA11" s="17">
        <v>152000</v>
      </c>
      <c r="CB11" s="33">
        <f t="shared" si="3"/>
        <v>6.7313943413242427E-2</v>
      </c>
      <c r="CC11" s="33">
        <f t="shared" si="26"/>
        <v>6.3942484884934273E-2</v>
      </c>
      <c r="CE11" s="1">
        <v>1</v>
      </c>
      <c r="CF11" s="18">
        <v>277.833957042956</v>
      </c>
      <c r="CG11" s="11">
        <v>42230761.47052931</v>
      </c>
      <c r="CH11" s="5"/>
      <c r="CI11" s="11">
        <v>1</v>
      </c>
      <c r="CJ11" s="11">
        <v>152000</v>
      </c>
      <c r="CK11" s="5">
        <v>0.14171356508051039</v>
      </c>
      <c r="CL11" s="8">
        <v>0</v>
      </c>
      <c r="CM11" s="8">
        <v>-1</v>
      </c>
      <c r="CN11" s="5"/>
      <c r="CO11" s="21">
        <v>2258075.998710508</v>
      </c>
      <c r="CP11" s="22">
        <v>5624000</v>
      </c>
      <c r="CR11" s="16" t="s">
        <v>928</v>
      </c>
      <c r="CS11" s="32" t="s">
        <v>253</v>
      </c>
      <c r="CT11" s="32" t="s">
        <v>371</v>
      </c>
      <c r="CU11" s="32" t="s">
        <v>1500</v>
      </c>
      <c r="CV11" s="32"/>
      <c r="CW11" s="30" t="s">
        <v>850</v>
      </c>
      <c r="CX11" s="30" t="s">
        <v>26</v>
      </c>
      <c r="CY11" s="30" t="s">
        <v>33</v>
      </c>
      <c r="CZ11" s="30" t="s">
        <v>28</v>
      </c>
      <c r="DA11" s="30" t="s">
        <v>34</v>
      </c>
      <c r="DB11" s="17">
        <v>57.56</v>
      </c>
      <c r="DC11" s="33">
        <f t="shared" si="4"/>
        <v>5.7399318823052402E-2</v>
      </c>
      <c r="DD11" s="33">
        <f t="shared" si="5"/>
        <v>5.451112240387615E-2</v>
      </c>
      <c r="DF11" s="1">
        <v>1</v>
      </c>
      <c r="DG11" s="18">
        <v>180850.25292923299</v>
      </c>
      <c r="DH11" s="11">
        <v>10409740.558606651</v>
      </c>
      <c r="DI11" s="5"/>
      <c r="DJ11" s="11">
        <v>1</v>
      </c>
      <c r="DK11" s="11">
        <v>57.56</v>
      </c>
      <c r="DL11" s="5">
        <v>319.10670645199383</v>
      </c>
      <c r="DM11" s="8">
        <v>5.7380124999999997E-2</v>
      </c>
      <c r="DN11" s="8">
        <v>-3.3439112947619698E-4</v>
      </c>
      <c r="DO11" s="5"/>
      <c r="DP11" s="21">
        <v>1002.7993568607136</v>
      </c>
      <c r="DQ11" s="22">
        <v>2129.7199999999998</v>
      </c>
      <c r="DS11" s="16" t="s">
        <v>946</v>
      </c>
      <c r="DT11" s="32" t="s">
        <v>135</v>
      </c>
      <c r="DU11" s="32" t="s">
        <v>136</v>
      </c>
      <c r="DV11" s="32" t="s">
        <v>1515</v>
      </c>
      <c r="DW11" s="32"/>
      <c r="DX11" s="30" t="s">
        <v>777</v>
      </c>
      <c r="DY11" s="30" t="s">
        <v>26</v>
      </c>
      <c r="DZ11" s="30" t="s">
        <v>129</v>
      </c>
      <c r="EA11" s="30" t="s">
        <v>28</v>
      </c>
      <c r="EB11" s="43" t="s">
        <v>827</v>
      </c>
      <c r="EC11" s="17">
        <v>45.42</v>
      </c>
      <c r="ED11" s="33">
        <f t="shared" si="27"/>
        <v>5.7518406041142577E-2</v>
      </c>
      <c r="EE11" s="33">
        <f t="shared" si="28"/>
        <v>5.4562409270918641E-2</v>
      </c>
      <c r="EG11" s="1">
        <v>1</v>
      </c>
      <c r="EH11" s="18">
        <v>208983.09444997099</v>
      </c>
      <c r="EI11" s="11">
        <v>9492012.1499176826</v>
      </c>
      <c r="EJ11" s="5"/>
      <c r="EK11" s="11">
        <v>1</v>
      </c>
      <c r="EL11" s="11">
        <v>45.42</v>
      </c>
      <c r="EM11" s="5">
        <v>405.2375590745404</v>
      </c>
      <c r="EN11" s="8">
        <v>5.7484687500000006E-2</v>
      </c>
      <c r="EO11" s="8">
        <v>-5.8622175862199644E-4</v>
      </c>
      <c r="EP11" s="5"/>
      <c r="EQ11" s="21">
        <v>789.66026922775541</v>
      </c>
      <c r="ER11" s="22">
        <v>1680.54</v>
      </c>
      <c r="ET11" s="16" t="s">
        <v>858</v>
      </c>
      <c r="EU11" s="32" t="s">
        <v>41</v>
      </c>
      <c r="EV11" s="32" t="s">
        <v>42</v>
      </c>
      <c r="EW11" s="32" t="s">
        <v>1434</v>
      </c>
      <c r="EX11" s="32"/>
      <c r="EY11" s="30" t="s">
        <v>853</v>
      </c>
      <c r="EZ11" s="30" t="s">
        <v>26</v>
      </c>
      <c r="FA11" s="30" t="s">
        <v>33</v>
      </c>
      <c r="FB11" s="30" t="s">
        <v>28</v>
      </c>
      <c r="FC11" s="30" t="s">
        <v>34</v>
      </c>
      <c r="FD11" s="17">
        <v>218.94</v>
      </c>
      <c r="FE11" s="33">
        <f t="shared" si="6"/>
        <v>3.5780250022961771E-2</v>
      </c>
      <c r="FF11" s="33">
        <f t="shared" si="7"/>
        <v>3.3990291605179093E-2</v>
      </c>
      <c r="FH11" s="1">
        <v>1</v>
      </c>
      <c r="FI11" s="18">
        <v>33489.255979965099</v>
      </c>
      <c r="FJ11" s="11">
        <v>7332137.704253559</v>
      </c>
      <c r="FK11" s="5"/>
      <c r="FL11" s="11">
        <v>1</v>
      </c>
      <c r="FM11" s="11">
        <v>218.94</v>
      </c>
      <c r="FN11" s="5">
        <v>52.29597153260147</v>
      </c>
      <c r="FO11" s="8">
        <v>3.5577749999999998E-2</v>
      </c>
      <c r="FP11" s="8">
        <v>-5.6595474551413005E-3</v>
      </c>
      <c r="FQ11" s="5"/>
      <c r="FR11" s="21">
        <v>6119.0181695068231</v>
      </c>
      <c r="FS11" s="22">
        <v>8100.78</v>
      </c>
      <c r="FU11" s="16" t="s">
        <v>969</v>
      </c>
      <c r="FV11" s="32" t="s">
        <v>176</v>
      </c>
      <c r="FW11" s="32" t="s">
        <v>409</v>
      </c>
      <c r="FX11" s="32" t="s">
        <v>1535</v>
      </c>
      <c r="FY11" s="32"/>
      <c r="FZ11" s="30" t="s">
        <v>853</v>
      </c>
      <c r="GA11" s="30" t="s">
        <v>26</v>
      </c>
      <c r="GB11" s="30" t="s">
        <v>33</v>
      </c>
      <c r="GC11" s="30" t="s">
        <v>28</v>
      </c>
      <c r="GD11" s="30" t="s">
        <v>34</v>
      </c>
      <c r="GE11" s="17">
        <v>68.47</v>
      </c>
      <c r="GF11" s="33">
        <f t="shared" si="8"/>
        <v>3.016959132330067E-2</v>
      </c>
      <c r="GG11" s="33">
        <f t="shared" si="9"/>
        <v>2.8659739084061452E-2</v>
      </c>
      <c r="GI11" s="1">
        <v>1</v>
      </c>
      <c r="GJ11" s="18">
        <v>91208.099995544602</v>
      </c>
      <c r="GK11" s="11">
        <v>6245018.6066949386</v>
      </c>
      <c r="GL11" s="5"/>
      <c r="GM11" s="11">
        <v>1</v>
      </c>
      <c r="GN11" s="11">
        <v>68.47</v>
      </c>
      <c r="GO11" s="5">
        <v>140.99998865862736</v>
      </c>
      <c r="GP11" s="8">
        <v>3.0169593750000001E-2</v>
      </c>
      <c r="GQ11" s="8">
        <v>8.0435273552836861E-8</v>
      </c>
      <c r="GR11" s="5"/>
      <c r="GS11" s="21">
        <v>2269.5037286474294</v>
      </c>
      <c r="GT11" s="22">
        <v>2533.39</v>
      </c>
      <c r="GV11" s="16" t="s">
        <v>993</v>
      </c>
      <c r="GW11" s="32" t="s">
        <v>189</v>
      </c>
      <c r="GX11" s="32" t="s">
        <v>322</v>
      </c>
      <c r="GY11" s="32" t="s">
        <v>1555</v>
      </c>
      <c r="GZ11" s="32"/>
      <c r="HA11" s="30" t="s">
        <v>838</v>
      </c>
      <c r="HB11" s="30" t="s">
        <v>26</v>
      </c>
      <c r="HC11" s="30" t="s">
        <v>323</v>
      </c>
      <c r="HD11" s="30" t="s">
        <v>28</v>
      </c>
      <c r="HE11" s="30" t="s">
        <v>431</v>
      </c>
      <c r="HF11" s="17">
        <v>52.81</v>
      </c>
      <c r="HG11" s="33">
        <f t="shared" si="10"/>
        <v>3.8784397809954393E-2</v>
      </c>
      <c r="HH11" s="33">
        <f t="shared" si="29"/>
        <v>3.6842254755800254E-2</v>
      </c>
      <c r="HJ11" s="1">
        <v>0.70340000000000003</v>
      </c>
      <c r="HK11" s="18">
        <v>170282.43441908</v>
      </c>
      <c r="HL11" s="11">
        <v>6325405.6453998145</v>
      </c>
      <c r="HM11" s="5"/>
      <c r="HN11" s="11">
        <v>1</v>
      </c>
      <c r="HO11" s="11">
        <v>37.146554000000002</v>
      </c>
      <c r="HP11" s="5">
        <v>334.10925005817245</v>
      </c>
      <c r="HQ11" s="8">
        <v>3.8771715737499997E-2</v>
      </c>
      <c r="HR11" s="8">
        <v>-3.2698902575567512E-4</v>
      </c>
      <c r="HS11" s="5"/>
      <c r="HT11" s="21">
        <v>957.77054943640189</v>
      </c>
      <c r="HU11" s="22">
        <v>1374.4224979999999</v>
      </c>
      <c r="HW11" s="16" t="s">
        <v>1023</v>
      </c>
      <c r="HX11" s="32" t="s">
        <v>727</v>
      </c>
      <c r="HY11" s="32">
        <v>1883</v>
      </c>
      <c r="HZ11" s="32" t="s">
        <v>1583</v>
      </c>
      <c r="IA11" s="32"/>
      <c r="IB11" s="30" t="s">
        <v>862</v>
      </c>
      <c r="IC11" s="30" t="s">
        <v>26</v>
      </c>
      <c r="ID11" s="30" t="s">
        <v>27</v>
      </c>
      <c r="IE11" s="30" t="s">
        <v>28</v>
      </c>
      <c r="IF11" s="30" t="s">
        <v>82</v>
      </c>
      <c r="IG11" s="17">
        <v>2.65</v>
      </c>
      <c r="IH11" s="33">
        <f t="shared" si="11"/>
        <v>4.5365364211027707E-2</v>
      </c>
      <c r="II11" s="33">
        <f t="shared" si="12"/>
        <v>4.3120309463828374E-2</v>
      </c>
      <c r="IK11" s="1">
        <v>1</v>
      </c>
      <c r="IL11" s="18">
        <v>3244746.3075514799</v>
      </c>
      <c r="IM11" s="11">
        <v>8598577.7150114216</v>
      </c>
      <c r="IN11" s="5"/>
      <c r="IO11" s="11">
        <v>1000</v>
      </c>
      <c r="IP11" s="11">
        <v>2650</v>
      </c>
      <c r="IQ11" s="5">
        <v>5.4780817160486288</v>
      </c>
      <c r="IR11" s="8">
        <v>4.1406249999999999E-2</v>
      </c>
      <c r="IS11" s="8">
        <v>-8.7271738690578027E-2</v>
      </c>
      <c r="IT11" s="5"/>
      <c r="IU11" s="21">
        <v>58414.608723803009</v>
      </c>
      <c r="IV11" s="22">
        <v>98050</v>
      </c>
      <c r="IX11" s="16" t="s">
        <v>863</v>
      </c>
      <c r="IY11" s="32" t="s">
        <v>45</v>
      </c>
      <c r="IZ11" s="32" t="s">
        <v>46</v>
      </c>
      <c r="JA11" s="32" t="s">
        <v>1452</v>
      </c>
      <c r="JB11" s="32"/>
      <c r="JC11" s="30" t="s">
        <v>853</v>
      </c>
      <c r="JD11" s="30" t="s">
        <v>26</v>
      </c>
      <c r="JE11" s="30" t="s">
        <v>33</v>
      </c>
      <c r="JF11" s="30" t="s">
        <v>28</v>
      </c>
      <c r="JG11" s="30" t="s">
        <v>34</v>
      </c>
      <c r="JH11" s="17">
        <v>80.010000000000005</v>
      </c>
      <c r="JI11" s="33">
        <f t="shared" si="30"/>
        <v>4.2119777773704903E-2</v>
      </c>
      <c r="JJ11" s="33">
        <f t="shared" si="13"/>
        <v>4.0011638004692339E-2</v>
      </c>
      <c r="JL11" s="1">
        <v>1</v>
      </c>
      <c r="JM11" s="18">
        <v>64222.061936788399</v>
      </c>
      <c r="JN11" s="11">
        <v>5138407.1755624404</v>
      </c>
      <c r="JO11" s="5"/>
      <c r="JP11" s="11">
        <v>1</v>
      </c>
      <c r="JQ11" s="11">
        <v>80.010000000000005</v>
      </c>
      <c r="JR11" s="5">
        <v>168.45805383808982</v>
      </c>
      <c r="JS11" s="8">
        <v>4.2005250000000001E-2</v>
      </c>
      <c r="JT11" s="8">
        <v>-2.719097292493311E-3</v>
      </c>
      <c r="JU11" s="5"/>
      <c r="JV11" s="21">
        <v>1899.5826718238222</v>
      </c>
      <c r="JW11" s="22">
        <v>2960.37</v>
      </c>
      <c r="JY11" s="16" t="s">
        <v>972</v>
      </c>
      <c r="JZ11" s="32" t="s">
        <v>177</v>
      </c>
      <c r="KA11" s="32" t="s">
        <v>388</v>
      </c>
      <c r="KB11" s="32" t="s">
        <v>1538</v>
      </c>
      <c r="KC11" s="32"/>
      <c r="KD11" s="30" t="s">
        <v>853</v>
      </c>
      <c r="KE11" s="30" t="s">
        <v>26</v>
      </c>
      <c r="KF11" s="30" t="s">
        <v>33</v>
      </c>
      <c r="KG11" s="30" t="s">
        <v>28</v>
      </c>
      <c r="KH11" s="30" t="s">
        <v>34</v>
      </c>
      <c r="KI11" s="17">
        <v>264.12</v>
      </c>
      <c r="KJ11" s="33">
        <f t="shared" si="31"/>
        <v>3.2899198962256897E-2</v>
      </c>
      <c r="KK11" s="33">
        <f t="shared" si="32"/>
        <v>3.1259312541901049E-2</v>
      </c>
      <c r="KM11" s="1">
        <v>1</v>
      </c>
      <c r="KN11" s="18">
        <v>12369.0814138604</v>
      </c>
      <c r="KO11" s="11">
        <v>3266921.7830288089</v>
      </c>
      <c r="KP11" s="5"/>
      <c r="KQ11" s="11">
        <v>1</v>
      </c>
      <c r="KR11" s="11">
        <v>264.12</v>
      </c>
      <c r="KS11" s="5">
        <v>39.85969887900275</v>
      </c>
      <c r="KT11" s="8">
        <v>3.3014999999999996E-2</v>
      </c>
      <c r="KU11" s="8">
        <v>3.5198740819175622E-3</v>
      </c>
      <c r="KV11" s="5"/>
      <c r="KW11" s="21">
        <v>8028.1589926553424</v>
      </c>
      <c r="KX11" s="22">
        <v>9772.44</v>
      </c>
      <c r="KZ11" s="16" t="s">
        <v>1072</v>
      </c>
      <c r="LA11" s="32" t="s">
        <v>254</v>
      </c>
      <c r="LB11" s="32" t="s">
        <v>373</v>
      </c>
      <c r="LC11" s="32" t="s">
        <v>1642</v>
      </c>
      <c r="LD11" s="32"/>
      <c r="LE11" s="30" t="s">
        <v>853</v>
      </c>
      <c r="LF11" s="30" t="s">
        <v>26</v>
      </c>
      <c r="LG11" s="30" t="s">
        <v>33</v>
      </c>
      <c r="LH11" s="30" t="s">
        <v>28</v>
      </c>
      <c r="LI11" s="30" t="s">
        <v>34</v>
      </c>
      <c r="LJ11" s="17">
        <v>138.46</v>
      </c>
      <c r="LK11" s="33">
        <f t="shared" si="14"/>
        <v>7.0520511241952646E-2</v>
      </c>
      <c r="LL11" s="33">
        <f t="shared" si="15"/>
        <v>6.696438787692803E-2</v>
      </c>
      <c r="LN11" s="1">
        <v>1</v>
      </c>
      <c r="LO11" s="18">
        <v>56283.929122247202</v>
      </c>
      <c r="LP11" s="11">
        <v>7793072.8262663484</v>
      </c>
      <c r="LQ11" s="5"/>
      <c r="LR11" s="11">
        <v>1</v>
      </c>
      <c r="LS11" s="11">
        <v>138.46</v>
      </c>
      <c r="LT11" s="5">
        <v>162.98254800971287</v>
      </c>
      <c r="LU11" s="8">
        <v>7.0528062500000002E-2</v>
      </c>
      <c r="LV11" s="8">
        <v>1.0707888973526813E-4</v>
      </c>
      <c r="LW11" s="5"/>
      <c r="LX11" s="21">
        <v>1963.400400274327</v>
      </c>
      <c r="LY11" s="22">
        <v>5123.0200000000004</v>
      </c>
      <c r="MA11" s="16" t="s">
        <v>1077</v>
      </c>
      <c r="MB11" s="32" t="s">
        <v>317</v>
      </c>
      <c r="MC11" s="32" t="s">
        <v>324</v>
      </c>
      <c r="MD11" s="32" t="s">
        <v>1458</v>
      </c>
      <c r="ME11" s="32"/>
      <c r="MF11" s="30" t="s">
        <v>850</v>
      </c>
      <c r="MG11" s="30" t="s">
        <v>26</v>
      </c>
      <c r="MH11" s="30" t="s">
        <v>33</v>
      </c>
      <c r="MI11" s="30" t="s">
        <v>28</v>
      </c>
      <c r="MJ11" s="30" t="s">
        <v>34</v>
      </c>
      <c r="MK11" s="17">
        <v>60.74</v>
      </c>
      <c r="ML11" s="33">
        <f t="shared" si="16"/>
        <v>2.9512088413688641E-2</v>
      </c>
      <c r="MM11" s="33">
        <f t="shared" si="17"/>
        <v>2.8018708303771921E-2</v>
      </c>
      <c r="MO11" s="1">
        <v>1</v>
      </c>
      <c r="MP11" s="18">
        <v>87289.655601517399</v>
      </c>
      <c r="MQ11" s="11">
        <v>5301973.6812361674</v>
      </c>
      <c r="MR11" s="5"/>
      <c r="MS11" s="11">
        <v>1</v>
      </c>
      <c r="MT11" s="11">
        <v>60.74</v>
      </c>
      <c r="MU11" s="5">
        <v>155.48021554791512</v>
      </c>
      <c r="MV11" s="8">
        <v>2.9420937500000001E-2</v>
      </c>
      <c r="MW11" s="8">
        <v>-3.088595846248654E-3</v>
      </c>
      <c r="MX11" s="5"/>
      <c r="MY11" s="21">
        <v>2058.1396730916158</v>
      </c>
      <c r="MZ11" s="22">
        <v>2247.38</v>
      </c>
      <c r="NB11" s="16" t="s">
        <v>1078</v>
      </c>
      <c r="NC11" s="32" t="s">
        <v>268</v>
      </c>
      <c r="ND11" s="32" t="s">
        <v>342</v>
      </c>
      <c r="NE11" s="32" t="s">
        <v>1663</v>
      </c>
      <c r="NF11" s="32"/>
      <c r="NG11" s="30" t="s">
        <v>850</v>
      </c>
      <c r="NH11" s="30" t="s">
        <v>26</v>
      </c>
      <c r="NI11" s="30" t="s">
        <v>33</v>
      </c>
      <c r="NJ11" s="30" t="s">
        <v>28</v>
      </c>
      <c r="NK11" s="30" t="s">
        <v>34</v>
      </c>
      <c r="NL11" s="17">
        <v>105.52</v>
      </c>
      <c r="NM11" s="33">
        <f t="shared" si="18"/>
        <v>3.6091167794548552E-2</v>
      </c>
      <c r="NN11" s="33">
        <f t="shared" si="19"/>
        <v>3.4260473617326231E-2</v>
      </c>
      <c r="NP11" s="1">
        <v>1</v>
      </c>
      <c r="NQ11" s="18">
        <v>58472.111950514103</v>
      </c>
      <c r="NR11" s="11">
        <v>6169977.2530182479</v>
      </c>
      <c r="NS11" s="5"/>
      <c r="NT11" s="11">
        <v>1</v>
      </c>
      <c r="NU11" s="11">
        <v>105.52</v>
      </c>
      <c r="NV11" s="5">
        <v>109.45009187126172</v>
      </c>
      <c r="NW11" s="8">
        <v>3.5942750000000002E-2</v>
      </c>
      <c r="NX11" s="8">
        <v>-4.1123023614372256E-3</v>
      </c>
      <c r="NY11" s="5"/>
      <c r="NZ11" s="21">
        <v>2923.7070022416519</v>
      </c>
      <c r="OA11" s="22">
        <v>3904.24</v>
      </c>
      <c r="OC11" s="16" t="s">
        <v>865</v>
      </c>
      <c r="OD11" s="32" t="s">
        <v>257</v>
      </c>
      <c r="OE11" s="32" t="s">
        <v>343</v>
      </c>
      <c r="OF11" s="32" t="s">
        <v>1460</v>
      </c>
      <c r="OG11" s="32"/>
      <c r="OH11" s="30" t="s">
        <v>855</v>
      </c>
      <c r="OI11" s="30" t="s">
        <v>26</v>
      </c>
      <c r="OJ11" s="30" t="s">
        <v>39</v>
      </c>
      <c r="OK11" s="30" t="s">
        <v>28</v>
      </c>
      <c r="OL11" s="30" t="s">
        <v>83</v>
      </c>
      <c r="OM11" s="17">
        <v>32.97</v>
      </c>
      <c r="ON11" s="33">
        <f t="shared" si="20"/>
        <v>3.5853619670720475E-2</v>
      </c>
      <c r="OO11" s="33">
        <f t="shared" si="33"/>
        <v>3.399665493078155E-2</v>
      </c>
      <c r="OQ11" s="1">
        <v>1</v>
      </c>
      <c r="OR11" s="18">
        <v>200274.29306154</v>
      </c>
      <c r="OS11" s="11">
        <v>6603043.4422389735</v>
      </c>
      <c r="OT11" s="5"/>
      <c r="OU11" s="11">
        <v>1</v>
      </c>
      <c r="OV11" s="11">
        <v>32.97</v>
      </c>
      <c r="OW11" s="5">
        <v>347.98781603368371</v>
      </c>
      <c r="OX11" s="8">
        <v>3.5854875000000001E-2</v>
      </c>
      <c r="OY11" s="8">
        <v>3.5012623301522439E-5</v>
      </c>
      <c r="OZ11" s="5"/>
      <c r="PA11" s="21">
        <v>919.57242540073696</v>
      </c>
      <c r="PB11" s="22">
        <v>1219.8899999999999</v>
      </c>
      <c r="PD11" s="16" t="s">
        <v>1109</v>
      </c>
      <c r="PE11" s="32" t="s">
        <v>288</v>
      </c>
      <c r="PF11" s="32">
        <v>4204</v>
      </c>
      <c r="PG11" s="32" t="s">
        <v>1683</v>
      </c>
      <c r="PH11" s="32"/>
      <c r="PI11" s="30" t="s">
        <v>902</v>
      </c>
      <c r="PJ11" s="30" t="s">
        <v>26</v>
      </c>
      <c r="PK11" s="71" t="s">
        <v>320</v>
      </c>
      <c r="PL11" s="30" t="s">
        <v>28</v>
      </c>
      <c r="PM11" s="30" t="s">
        <v>94</v>
      </c>
      <c r="PN11" s="17">
        <v>2834.5</v>
      </c>
      <c r="PO11" s="33">
        <f t="shared" si="21"/>
        <v>4.3343637112653252E-2</v>
      </c>
      <c r="PP11" s="33">
        <f t="shared" si="22"/>
        <v>4.1174218248889782E-2</v>
      </c>
      <c r="PR11" s="1">
        <v>1</v>
      </c>
      <c r="PS11" s="18">
        <v>2946.9603251184699</v>
      </c>
      <c r="PT11" s="11">
        <v>8353159.0415483033</v>
      </c>
      <c r="PU11" s="5"/>
      <c r="PV11" s="11">
        <v>100</v>
      </c>
      <c r="PW11" s="11">
        <v>283450</v>
      </c>
      <c r="PX11" s="5">
        <v>4.893266493578776E-2</v>
      </c>
      <c r="PY11" s="8">
        <v>0</v>
      </c>
      <c r="PZ11" s="8">
        <v>-1</v>
      </c>
      <c r="QA11" s="5"/>
      <c r="QB11" s="21">
        <v>6539598.8634570036</v>
      </c>
      <c r="QC11" s="22">
        <v>10487650</v>
      </c>
      <c r="QE11" s="16" t="s">
        <v>1117</v>
      </c>
      <c r="QF11" s="34" t="s">
        <v>610</v>
      </c>
      <c r="QG11" s="34"/>
      <c r="QH11" s="32" t="s">
        <v>1698</v>
      </c>
      <c r="QI11" s="34"/>
      <c r="QJ11" s="30" t="s">
        <v>850</v>
      </c>
      <c r="QK11" s="30" t="s">
        <v>26</v>
      </c>
      <c r="QL11" s="30"/>
      <c r="QM11" s="30" t="s">
        <v>28</v>
      </c>
      <c r="QN11" s="30" t="s">
        <v>34</v>
      </c>
      <c r="QO11" s="17">
        <v>192.31</v>
      </c>
      <c r="QP11" s="33">
        <f t="shared" si="23"/>
        <v>2.9460726814883962E-2</v>
      </c>
      <c r="QQ11" s="33">
        <f t="shared" si="24"/>
        <v>2.7994878666063112E-2</v>
      </c>
      <c r="QS11" s="1">
        <v>1</v>
      </c>
      <c r="QT11" s="18">
        <v>17476.4705236136</v>
      </c>
      <c r="QU11" s="11">
        <v>3360900.0463961312</v>
      </c>
      <c r="QV11" s="5"/>
      <c r="QW11" s="11">
        <v>1</v>
      </c>
      <c r="QX11" s="11">
        <v>192.31</v>
      </c>
      <c r="QY11" s="5">
        <v>49.022061155233054</v>
      </c>
      <c r="QZ11" s="8">
        <v>2.9447468750000001E-2</v>
      </c>
      <c r="RA11" s="8">
        <v>-4.5002504409574762E-4</v>
      </c>
      <c r="RB11" s="5"/>
      <c r="RC11" s="21">
        <v>6527.6733058344762</v>
      </c>
      <c r="RD11" s="22">
        <v>7115.4699999999993</v>
      </c>
      <c r="RF11" s="16" t="s">
        <v>991</v>
      </c>
      <c r="RG11" s="34" t="s">
        <v>225</v>
      </c>
      <c r="RH11" s="34"/>
      <c r="RI11" s="32" t="s">
        <v>1598</v>
      </c>
      <c r="RJ11" s="34"/>
      <c r="RK11" s="30" t="s">
        <v>853</v>
      </c>
    </row>
    <row r="12" spans="15:479" x14ac:dyDescent="0.2">
      <c r="O12" s="16" t="s">
        <v>858</v>
      </c>
      <c r="P12" s="32" t="s">
        <v>41</v>
      </c>
      <c r="Q12" s="32" t="s">
        <v>42</v>
      </c>
      <c r="R12" s="32" t="s">
        <v>1434</v>
      </c>
      <c r="S12" s="32"/>
      <c r="T12" s="30" t="s">
        <v>853</v>
      </c>
      <c r="U12" s="30" t="s">
        <v>26</v>
      </c>
      <c r="V12" s="30" t="s">
        <v>33</v>
      </c>
      <c r="W12" s="30" t="s">
        <v>28</v>
      </c>
      <c r="X12" s="30" t="s">
        <v>34</v>
      </c>
      <c r="Y12" s="17">
        <v>218.94</v>
      </c>
      <c r="Z12" s="33">
        <f t="shared" si="0"/>
        <v>2.9049611180579849E-2</v>
      </c>
      <c r="AA12" s="33">
        <f t="shared" si="1"/>
        <v>2.759810691194059E-2</v>
      </c>
      <c r="AB12" s="4"/>
      <c r="AC12" s="1">
        <v>1</v>
      </c>
      <c r="AD12" s="18">
        <v>27304.952664266501</v>
      </c>
      <c r="AE12" s="11">
        <v>5978146.3363145078</v>
      </c>
      <c r="AF12" s="5"/>
      <c r="AG12" s="11">
        <v>1</v>
      </c>
      <c r="AH12" s="11">
        <v>218.94</v>
      </c>
      <c r="AI12" s="5">
        <v>42.458552926763275</v>
      </c>
      <c r="AJ12" s="8">
        <v>2.8735874999999998E-2</v>
      </c>
      <c r="AK12" s="8">
        <v>-1.080001307520384E-2</v>
      </c>
      <c r="AL12" s="5"/>
      <c r="AM12" s="21">
        <v>7536.7618051413046</v>
      </c>
      <c r="AN12" s="22">
        <v>8100.78</v>
      </c>
      <c r="AP12" s="16" t="s">
        <v>894</v>
      </c>
      <c r="AQ12" s="32" t="s">
        <v>97</v>
      </c>
      <c r="AR12" s="32" t="s">
        <v>361</v>
      </c>
      <c r="AS12" s="32" t="s">
        <v>1469</v>
      </c>
      <c r="AT12" s="32"/>
      <c r="AU12" s="30" t="s">
        <v>850</v>
      </c>
      <c r="AV12" s="30" t="s">
        <v>26</v>
      </c>
      <c r="AW12" s="30" t="s">
        <v>33</v>
      </c>
      <c r="AX12" s="30" t="s">
        <v>28</v>
      </c>
      <c r="AY12" s="30" t="s">
        <v>34</v>
      </c>
      <c r="AZ12" s="17">
        <v>534.47</v>
      </c>
      <c r="BA12" s="33">
        <f t="shared" si="2"/>
        <v>5.9085845090174019E-2</v>
      </c>
      <c r="BB12" s="33">
        <f t="shared" si="25"/>
        <v>5.611249165696728E-2</v>
      </c>
      <c r="BD12" s="1">
        <v>1</v>
      </c>
      <c r="BE12" s="18">
        <v>18201.432434542301</v>
      </c>
      <c r="BF12" s="11">
        <v>9728119.5932898242</v>
      </c>
      <c r="BG12" s="5"/>
      <c r="BH12" s="11">
        <v>1</v>
      </c>
      <c r="BI12" s="11">
        <v>534.47</v>
      </c>
      <c r="BJ12" s="5">
        <v>35.37611171600966</v>
      </c>
      <c r="BK12" s="8">
        <v>5.8457656250000004E-2</v>
      </c>
      <c r="BL12" s="8">
        <v>-1.0631799193449809E-2</v>
      </c>
      <c r="BM12" s="5"/>
      <c r="BN12" s="21">
        <v>9045.6521216598867</v>
      </c>
      <c r="BO12" s="22">
        <v>19775.39</v>
      </c>
      <c r="BQ12" s="16" t="s">
        <v>913</v>
      </c>
      <c r="BR12" s="32" t="s">
        <v>752</v>
      </c>
      <c r="BS12" s="32">
        <v>8985</v>
      </c>
      <c r="BT12" s="32" t="s">
        <v>1487</v>
      </c>
      <c r="BU12" s="32"/>
      <c r="BV12" s="30" t="s">
        <v>902</v>
      </c>
      <c r="BW12" s="30" t="s">
        <v>26</v>
      </c>
      <c r="BX12" s="71" t="s">
        <v>320</v>
      </c>
      <c r="BY12" s="30" t="s">
        <v>28</v>
      </c>
      <c r="BZ12" s="30" t="s">
        <v>94</v>
      </c>
      <c r="CA12" s="17">
        <v>80500</v>
      </c>
      <c r="CB12" s="33">
        <f t="shared" si="3"/>
        <v>5.8397420189974965E-2</v>
      </c>
      <c r="CC12" s="33">
        <f t="shared" si="26"/>
        <v>5.5472550982387375E-2</v>
      </c>
      <c r="CE12" s="1">
        <v>1</v>
      </c>
      <c r="CF12" s="18">
        <v>455.11553542337299</v>
      </c>
      <c r="CG12" s="11">
        <v>36636800.601581529</v>
      </c>
      <c r="CH12" s="5"/>
      <c r="CI12" s="11">
        <v>1</v>
      </c>
      <c r="CJ12" s="11">
        <v>80500</v>
      </c>
      <c r="CK12" s="5">
        <v>0.23213881317754026</v>
      </c>
      <c r="CL12" s="8">
        <v>0</v>
      </c>
      <c r="CM12" s="8">
        <v>-1</v>
      </c>
      <c r="CN12" s="5"/>
      <c r="CO12" s="21">
        <v>1378485.5518980506</v>
      </c>
      <c r="CP12" s="22">
        <v>2978500</v>
      </c>
      <c r="CR12" s="16" t="s">
        <v>929</v>
      </c>
      <c r="CS12" s="32" t="s">
        <v>120</v>
      </c>
      <c r="CT12" s="32" t="s">
        <v>372</v>
      </c>
      <c r="CU12" s="32" t="s">
        <v>1501</v>
      </c>
      <c r="CV12" s="32"/>
      <c r="CW12" s="30" t="s">
        <v>853</v>
      </c>
      <c r="CX12" s="30" t="s">
        <v>26</v>
      </c>
      <c r="CY12" s="30" t="s">
        <v>33</v>
      </c>
      <c r="CZ12" s="30" t="s">
        <v>28</v>
      </c>
      <c r="DA12" s="30" t="s">
        <v>34</v>
      </c>
      <c r="DB12" s="17">
        <v>49.36</v>
      </c>
      <c r="DC12" s="33">
        <f t="shared" si="4"/>
        <v>5.4027602065163167E-2</v>
      </c>
      <c r="DD12" s="33">
        <f t="shared" si="5"/>
        <v>5.130906236781374E-2</v>
      </c>
      <c r="DF12" s="1">
        <v>1</v>
      </c>
      <c r="DG12" s="18">
        <v>198506.032212069</v>
      </c>
      <c r="DH12" s="11">
        <v>9798257.7499877252</v>
      </c>
      <c r="DI12" s="5"/>
      <c r="DJ12" s="11">
        <v>1</v>
      </c>
      <c r="DK12" s="11">
        <v>49.36</v>
      </c>
      <c r="DL12" s="5">
        <v>350.25998097350515</v>
      </c>
      <c r="DM12" s="8">
        <v>5.3987500000000001E-2</v>
      </c>
      <c r="DN12" s="8">
        <v>-7.4225143501283064E-4</v>
      </c>
      <c r="DO12" s="5"/>
      <c r="DP12" s="21">
        <v>913.60708440227404</v>
      </c>
      <c r="DQ12" s="22">
        <v>1826.32</v>
      </c>
      <c r="DS12" s="16" t="s">
        <v>893</v>
      </c>
      <c r="DT12" s="32" t="s">
        <v>96</v>
      </c>
      <c r="DU12" s="32" t="s">
        <v>333</v>
      </c>
      <c r="DV12" s="32" t="s">
        <v>1468</v>
      </c>
      <c r="DW12" s="32"/>
      <c r="DX12" s="30" t="s">
        <v>777</v>
      </c>
      <c r="DY12" s="30" t="s">
        <v>26</v>
      </c>
      <c r="DZ12" s="30" t="s">
        <v>129</v>
      </c>
      <c r="EA12" s="30" t="s">
        <v>28</v>
      </c>
      <c r="EB12" s="43" t="s">
        <v>827</v>
      </c>
      <c r="EC12" s="17">
        <v>20.76</v>
      </c>
      <c r="ED12" s="33">
        <f t="shared" si="27"/>
        <v>6.0269076103072076E-2</v>
      </c>
      <c r="EE12" s="33">
        <f t="shared" si="28"/>
        <v>5.7171716378297578E-2</v>
      </c>
      <c r="EG12" s="1">
        <v>1</v>
      </c>
      <c r="EH12" s="18">
        <v>479091.67897621699</v>
      </c>
      <c r="EI12" s="11">
        <v>9945943.2555462662</v>
      </c>
      <c r="EJ12" s="5"/>
      <c r="EK12" s="11">
        <v>1</v>
      </c>
      <c r="EL12" s="11">
        <v>20.76</v>
      </c>
      <c r="EM12" s="5">
        <v>929.0030998546755</v>
      </c>
      <c r="EN12" s="8">
        <v>6.0268875E-2</v>
      </c>
      <c r="EO12" s="8">
        <v>-3.3367538558870535E-6</v>
      </c>
      <c r="EP12" s="5"/>
      <c r="EQ12" s="21">
        <v>344.45525537003891</v>
      </c>
      <c r="ER12" s="22">
        <v>768.12</v>
      </c>
      <c r="ET12" s="16" t="s">
        <v>887</v>
      </c>
      <c r="EU12" s="32" t="s">
        <v>74</v>
      </c>
      <c r="EV12" s="32" t="s">
        <v>75</v>
      </c>
      <c r="EW12" s="32" t="s">
        <v>1436</v>
      </c>
      <c r="EX12" s="32"/>
      <c r="EY12" s="30" t="s">
        <v>850</v>
      </c>
      <c r="EZ12" s="30" t="s">
        <v>26</v>
      </c>
      <c r="FA12" s="30" t="s">
        <v>33</v>
      </c>
      <c r="FB12" s="30" t="s">
        <v>28</v>
      </c>
      <c r="FC12" s="30" t="s">
        <v>34</v>
      </c>
      <c r="FD12" s="17">
        <v>51.18</v>
      </c>
      <c r="FE12" s="33">
        <f t="shared" si="6"/>
        <v>3.7127865324902053E-2</v>
      </c>
      <c r="FF12" s="33">
        <f t="shared" si="7"/>
        <v>3.52704905153364E-2</v>
      </c>
      <c r="FH12" s="1">
        <v>1</v>
      </c>
      <c r="FI12" s="18">
        <v>148657.539518042</v>
      </c>
      <c r="FJ12" s="11">
        <v>7608292.8725333894</v>
      </c>
      <c r="FK12" s="5"/>
      <c r="FL12" s="11">
        <v>1</v>
      </c>
      <c r="FM12" s="11">
        <v>51.18</v>
      </c>
      <c r="FN12" s="5">
        <v>232.13983790481939</v>
      </c>
      <c r="FO12" s="8">
        <v>3.71055E-2</v>
      </c>
      <c r="FP12" s="8">
        <v>-6.0238650152211193E-4</v>
      </c>
      <c r="FQ12" s="5"/>
      <c r="FR12" s="21">
        <v>1378.4794668944521</v>
      </c>
      <c r="FS12" s="22">
        <v>1893.6599999999999</v>
      </c>
      <c r="FU12" s="16" t="s">
        <v>860</v>
      </c>
      <c r="FV12" s="32" t="s">
        <v>31</v>
      </c>
      <c r="FW12" s="32" t="s">
        <v>32</v>
      </c>
      <c r="FX12" s="32" t="s">
        <v>1429</v>
      </c>
      <c r="FY12" s="32"/>
      <c r="FZ12" s="30" t="s">
        <v>853</v>
      </c>
      <c r="GA12" s="30" t="s">
        <v>26</v>
      </c>
      <c r="GB12" s="30" t="s">
        <v>33</v>
      </c>
      <c r="GC12" s="30" t="s">
        <v>28</v>
      </c>
      <c r="GD12" s="30" t="s">
        <v>34</v>
      </c>
      <c r="GE12" s="17">
        <v>260.29000000000002</v>
      </c>
      <c r="GF12" s="33">
        <f t="shared" si="8"/>
        <v>3.1973112129702434E-2</v>
      </c>
      <c r="GG12" s="33">
        <f t="shared" si="9"/>
        <v>3.0373001792536741E-2</v>
      </c>
      <c r="GI12" s="1">
        <v>1</v>
      </c>
      <c r="GJ12" s="18">
        <v>25426.8017401043</v>
      </c>
      <c r="GK12" s="11">
        <v>6618342.2249317486</v>
      </c>
      <c r="GL12" s="5"/>
      <c r="GM12" s="11">
        <v>1</v>
      </c>
      <c r="GN12" s="11">
        <v>260.29000000000002</v>
      </c>
      <c r="GO12" s="5">
        <v>39.307679440258092</v>
      </c>
      <c r="GP12" s="8">
        <v>3.1722843750000007E-2</v>
      </c>
      <c r="GQ12" s="8">
        <v>-7.8274638604833857E-3</v>
      </c>
      <c r="GR12" s="5"/>
      <c r="GS12" s="21">
        <v>8140.9028606319307</v>
      </c>
      <c r="GT12" s="22">
        <v>9630.73</v>
      </c>
      <c r="GV12" s="16" t="s">
        <v>994</v>
      </c>
      <c r="GW12" s="32" t="s">
        <v>190</v>
      </c>
      <c r="GX12" s="32">
        <v>5108</v>
      </c>
      <c r="GY12" s="32" t="s">
        <v>1556</v>
      </c>
      <c r="GZ12" s="32"/>
      <c r="HA12" s="30" t="s">
        <v>902</v>
      </c>
      <c r="HB12" s="30" t="s">
        <v>26</v>
      </c>
      <c r="HC12" s="30" t="s">
        <v>320</v>
      </c>
      <c r="HD12" s="30" t="s">
        <v>28</v>
      </c>
      <c r="HE12" s="30" t="s">
        <v>94</v>
      </c>
      <c r="HF12" s="17">
        <v>3465</v>
      </c>
      <c r="HG12" s="33">
        <f t="shared" si="10"/>
        <v>1.3659893936878109E-2</v>
      </c>
      <c r="HH12" s="33">
        <f t="shared" si="29"/>
        <v>1.2975869699606568E-2</v>
      </c>
      <c r="HJ12" s="1">
        <v>6.3369999999999998E-3</v>
      </c>
      <c r="HK12" s="18">
        <v>101459.264643755</v>
      </c>
      <c r="HL12" s="11">
        <v>2227812.6025645025</v>
      </c>
      <c r="HM12" s="5"/>
      <c r="HN12" s="11">
        <v>100</v>
      </c>
      <c r="HO12" s="11">
        <v>2195.7704999999996</v>
      </c>
      <c r="HP12" s="5">
        <v>1.9907208243306829</v>
      </c>
      <c r="HQ12" s="8">
        <v>1.3723565624999998E-2</v>
      </c>
      <c r="HR12" s="8">
        <v>4.6612139461779112E-3</v>
      </c>
      <c r="HS12" s="5"/>
      <c r="HT12" s="21">
        <v>160745.79423138849</v>
      </c>
      <c r="HU12" s="22">
        <v>81243.508499999982</v>
      </c>
      <c r="HW12" s="16" t="s">
        <v>1020</v>
      </c>
      <c r="HX12" s="45" t="s">
        <v>209</v>
      </c>
      <c r="HY12" s="32">
        <v>1088</v>
      </c>
      <c r="HZ12" s="32" t="s">
        <v>1584</v>
      </c>
      <c r="IA12" s="45"/>
      <c r="IB12" s="30" t="s">
        <v>862</v>
      </c>
      <c r="IC12" s="30" t="s">
        <v>26</v>
      </c>
      <c r="ID12" s="30" t="s">
        <v>27</v>
      </c>
      <c r="IE12" s="30" t="s">
        <v>28</v>
      </c>
      <c r="IF12" s="30" t="s">
        <v>82</v>
      </c>
      <c r="IG12" s="17">
        <v>45.34</v>
      </c>
      <c r="IH12" s="33">
        <f t="shared" si="11"/>
        <v>4.473980974386698E-2</v>
      </c>
      <c r="II12" s="33">
        <f t="shared" si="12"/>
        <v>4.2525712623715413E-2</v>
      </c>
      <c r="IK12" s="1">
        <v>1</v>
      </c>
      <c r="IL12" s="18">
        <v>187031.53407043699</v>
      </c>
      <c r="IM12" s="11">
        <v>8480009.7547536138</v>
      </c>
      <c r="IN12" s="5"/>
      <c r="IO12" s="11">
        <v>500</v>
      </c>
      <c r="IP12" s="11">
        <v>22670</v>
      </c>
      <c r="IQ12" s="5">
        <v>0.63152797168228647</v>
      </c>
      <c r="IR12" s="8">
        <v>7.0843749999999997E-2</v>
      </c>
      <c r="IS12" s="8">
        <v>0.58346113686170509</v>
      </c>
      <c r="IT12" s="5"/>
      <c r="IU12" s="21">
        <v>506707.56379574561</v>
      </c>
      <c r="IV12" s="22">
        <v>838790</v>
      </c>
      <c r="IX12" s="16" t="s">
        <v>1034</v>
      </c>
      <c r="IY12" s="32" t="s">
        <v>226</v>
      </c>
      <c r="IZ12" s="32" t="s">
        <v>394</v>
      </c>
      <c r="JA12" s="32" t="s">
        <v>1599</v>
      </c>
      <c r="JB12" s="32"/>
      <c r="JC12" s="30" t="s">
        <v>850</v>
      </c>
      <c r="JD12" s="30" t="s">
        <v>26</v>
      </c>
      <c r="JE12" s="30" t="s">
        <v>33</v>
      </c>
      <c r="JF12" s="30" t="s">
        <v>28</v>
      </c>
      <c r="JG12" s="30" t="s">
        <v>34</v>
      </c>
      <c r="JH12" s="17">
        <v>590.69000000000005</v>
      </c>
      <c r="JI12" s="33">
        <f t="shared" si="30"/>
        <v>4.4806350814294502E-2</v>
      </c>
      <c r="JJ12" s="33">
        <f t="shared" si="13"/>
        <v>4.2563745201239435E-2</v>
      </c>
      <c r="JL12" s="1">
        <v>1</v>
      </c>
      <c r="JM12" s="18">
        <v>9253.84882984674</v>
      </c>
      <c r="JN12" s="11">
        <v>5466155.9653021712</v>
      </c>
      <c r="JO12" s="5"/>
      <c r="JP12" s="11">
        <v>1</v>
      </c>
      <c r="JQ12" s="11">
        <v>590.69000000000005</v>
      </c>
      <c r="JR12" s="5">
        <v>24.273362102920718</v>
      </c>
      <c r="JS12" s="8">
        <v>4.4301750000000001E-2</v>
      </c>
      <c r="JT12" s="8">
        <v>-1.1261814566999262E-2</v>
      </c>
      <c r="JU12" s="5"/>
      <c r="JV12" s="21">
        <v>13183.175805773344</v>
      </c>
      <c r="JW12" s="22">
        <v>21855.530000000002</v>
      </c>
      <c r="JY12" s="16" t="s">
        <v>991</v>
      </c>
      <c r="JZ12" s="32" t="s">
        <v>225</v>
      </c>
      <c r="KA12" s="32" t="s">
        <v>389</v>
      </c>
      <c r="KB12" s="32" t="s">
        <v>1598</v>
      </c>
      <c r="KC12" s="32"/>
      <c r="KD12" s="30" t="s">
        <v>853</v>
      </c>
      <c r="KE12" s="30" t="s">
        <v>26</v>
      </c>
      <c r="KF12" s="30" t="s">
        <v>33</v>
      </c>
      <c r="KG12" s="30" t="s">
        <v>28</v>
      </c>
      <c r="KH12" s="30" t="s">
        <v>34</v>
      </c>
      <c r="KI12" s="17">
        <v>117.93</v>
      </c>
      <c r="KJ12" s="33">
        <f t="shared" si="31"/>
        <v>2.424069718018252E-2</v>
      </c>
      <c r="KK12" s="33">
        <f t="shared" si="32"/>
        <v>2.3032400583923612E-2</v>
      </c>
      <c r="KM12" s="1">
        <v>1</v>
      </c>
      <c r="KN12" s="18">
        <v>20411.4670701746</v>
      </c>
      <c r="KO12" s="11">
        <v>2407124.3115856908</v>
      </c>
      <c r="KP12" s="5"/>
      <c r="KQ12" s="11">
        <v>1</v>
      </c>
      <c r="KR12" s="11">
        <v>117.93</v>
      </c>
      <c r="KS12" s="5">
        <v>65.776503838365187</v>
      </c>
      <c r="KT12" s="8">
        <v>2.4323062499999999E-2</v>
      </c>
      <c r="KU12" s="8">
        <v>3.3978115070392167E-3</v>
      </c>
      <c r="KV12" s="5"/>
      <c r="KW12" s="21">
        <v>4864.9590860947364</v>
      </c>
      <c r="KX12" s="22">
        <v>4363.41</v>
      </c>
      <c r="KZ12" s="16" t="s">
        <v>1073</v>
      </c>
      <c r="LA12" s="32" t="s">
        <v>255</v>
      </c>
      <c r="LB12" s="32" t="s">
        <v>374</v>
      </c>
      <c r="LC12" s="32" t="s">
        <v>1643</v>
      </c>
      <c r="LD12" s="32"/>
      <c r="LE12" s="30" t="s">
        <v>850</v>
      </c>
      <c r="LF12" s="30" t="s">
        <v>26</v>
      </c>
      <c r="LG12" s="30" t="s">
        <v>33</v>
      </c>
      <c r="LH12" s="30" t="s">
        <v>28</v>
      </c>
      <c r="LI12" s="30" t="s">
        <v>34</v>
      </c>
      <c r="LJ12" s="17">
        <v>84.06</v>
      </c>
      <c r="LK12" s="33">
        <f t="shared" si="14"/>
        <v>6.8141865058957751E-2</v>
      </c>
      <c r="LL12" s="33">
        <f t="shared" si="15"/>
        <v>6.4705689197425462E-2</v>
      </c>
      <c r="LN12" s="1">
        <v>1</v>
      </c>
      <c r="LO12" s="18">
        <v>89581.413966008404</v>
      </c>
      <c r="LP12" s="11">
        <v>7530213.657982667</v>
      </c>
      <c r="LQ12" s="5"/>
      <c r="LR12" s="11">
        <v>1</v>
      </c>
      <c r="LS12" s="11">
        <v>84.06</v>
      </c>
      <c r="LT12" s="5">
        <v>259.40276967483322</v>
      </c>
      <c r="LU12" s="8">
        <v>6.8036062500000008E-2</v>
      </c>
      <c r="LV12" s="8">
        <v>-1.5526807032094636E-3</v>
      </c>
      <c r="LW12" s="5"/>
      <c r="LX12" s="21">
        <v>1233.6028655404361</v>
      </c>
      <c r="LY12" s="22">
        <v>3110.22</v>
      </c>
      <c r="MA12" s="16" t="s">
        <v>1078</v>
      </c>
      <c r="MB12" s="32" t="s">
        <v>259</v>
      </c>
      <c r="MC12" s="32" t="s">
        <v>335</v>
      </c>
      <c r="MD12" s="32" t="s">
        <v>1648</v>
      </c>
      <c r="ME12" s="32"/>
      <c r="MF12" s="30" t="s">
        <v>1079</v>
      </c>
      <c r="MG12" s="30" t="s">
        <v>26</v>
      </c>
      <c r="MH12" s="30" t="s">
        <v>336</v>
      </c>
      <c r="MI12" s="30" t="s">
        <v>28</v>
      </c>
      <c r="MJ12" s="30" t="s">
        <v>1080</v>
      </c>
      <c r="MK12" s="17">
        <v>186.59</v>
      </c>
      <c r="ML12" s="33">
        <f t="shared" si="16"/>
        <v>2.8732340814295022E-2</v>
      </c>
      <c r="MM12" s="33">
        <f t="shared" si="17"/>
        <v>2.7278417741080238E-2</v>
      </c>
      <c r="MO12" s="1">
        <v>5.6529999999999997E-2</v>
      </c>
      <c r="MP12" s="18">
        <v>489374.44107516302</v>
      </c>
      <c r="MQ12" s="11">
        <v>5161888.6695609353</v>
      </c>
      <c r="MR12" s="5"/>
      <c r="MS12" s="11">
        <v>1</v>
      </c>
      <c r="MT12" s="11">
        <v>10.5479327</v>
      </c>
      <c r="MU12" s="5">
        <v>871.6730872367441</v>
      </c>
      <c r="MV12" s="8">
        <v>2.8743116607500001E-2</v>
      </c>
      <c r="MW12" s="8">
        <v>3.7504056055248647E-4</v>
      </c>
      <c r="MX12" s="5"/>
      <c r="MY12" s="21">
        <v>367.11010662772571</v>
      </c>
      <c r="MZ12" s="22">
        <v>390.27350990000002</v>
      </c>
      <c r="NB12" s="16" t="s">
        <v>864</v>
      </c>
      <c r="NC12" s="32" t="s">
        <v>43</v>
      </c>
      <c r="ND12" s="32" t="s">
        <v>44</v>
      </c>
      <c r="NE12" s="32" t="s">
        <v>1457</v>
      </c>
      <c r="NF12" s="32"/>
      <c r="NG12" s="30" t="s">
        <v>853</v>
      </c>
      <c r="NH12" s="30" t="s">
        <v>26</v>
      </c>
      <c r="NI12" s="30" t="s">
        <v>33</v>
      </c>
      <c r="NJ12" s="30" t="s">
        <v>28</v>
      </c>
      <c r="NK12" s="30" t="s">
        <v>34</v>
      </c>
      <c r="NL12" s="17">
        <v>31.6</v>
      </c>
      <c r="NM12" s="33">
        <f t="shared" si="18"/>
        <v>3.8994345450813678E-2</v>
      </c>
      <c r="NN12" s="33">
        <f t="shared" si="19"/>
        <v>3.7016390025049285E-2</v>
      </c>
      <c r="NP12" s="1">
        <v>1</v>
      </c>
      <c r="NQ12" s="18">
        <v>210958.57365171099</v>
      </c>
      <c r="NR12" s="11">
        <v>6666290.9273940679</v>
      </c>
      <c r="NS12" s="5"/>
      <c r="NT12" s="11">
        <v>1</v>
      </c>
      <c r="NU12" s="11">
        <v>31.6</v>
      </c>
      <c r="NV12" s="5">
        <v>394.87944760317646</v>
      </c>
      <c r="NW12" s="8">
        <v>3.9006249999999999E-2</v>
      </c>
      <c r="NX12" s="8">
        <v>3.052891143240366E-4</v>
      </c>
      <c r="NY12" s="5"/>
      <c r="NZ12" s="21">
        <v>810.37390510527518</v>
      </c>
      <c r="OA12" s="22">
        <v>1169.2</v>
      </c>
      <c r="OC12" s="16" t="s">
        <v>1081</v>
      </c>
      <c r="OD12" s="32" t="s">
        <v>260</v>
      </c>
      <c r="OE12" s="32" t="s">
        <v>325</v>
      </c>
      <c r="OF12" s="32" t="s">
        <v>1649</v>
      </c>
      <c r="OG12" s="32"/>
      <c r="OH12" s="30" t="s">
        <v>968</v>
      </c>
      <c r="OI12" s="30" t="s">
        <v>26</v>
      </c>
      <c r="OJ12" s="30" t="s">
        <v>326</v>
      </c>
      <c r="OK12" s="30" t="s">
        <v>28</v>
      </c>
      <c r="OL12" s="30" t="s">
        <v>83</v>
      </c>
      <c r="OM12" s="17">
        <v>33.03</v>
      </c>
      <c r="ON12" s="33">
        <f t="shared" si="20"/>
        <v>3.8663139151151237E-2</v>
      </c>
      <c r="OO12" s="33">
        <f t="shared" si="33"/>
        <v>3.6660661108531972E-2</v>
      </c>
      <c r="OQ12" s="1">
        <v>1</v>
      </c>
      <c r="OR12" s="18">
        <v>215575.641007153</v>
      </c>
      <c r="OS12" s="11">
        <v>7120463.4224662641</v>
      </c>
      <c r="OT12" s="5"/>
      <c r="OU12" s="11">
        <v>1</v>
      </c>
      <c r="OV12" s="11">
        <v>33.03</v>
      </c>
      <c r="OW12" s="5">
        <v>374.57476622368745</v>
      </c>
      <c r="OX12" s="8">
        <v>3.8707031250000003E-2</v>
      </c>
      <c r="OY12" s="8">
        <v>1.1352440544771802E-3</v>
      </c>
      <c r="OZ12" s="5"/>
      <c r="PA12" s="21">
        <v>854.30207492648708</v>
      </c>
      <c r="PB12" s="22">
        <v>1222.1099999999999</v>
      </c>
      <c r="PD12" s="16" t="s">
        <v>1013</v>
      </c>
      <c r="PE12" s="32" t="s">
        <v>203</v>
      </c>
      <c r="PF12" s="32">
        <v>4502</v>
      </c>
      <c r="PG12" s="32" t="s">
        <v>1576</v>
      </c>
      <c r="PH12" s="32"/>
      <c r="PI12" s="30" t="s">
        <v>902</v>
      </c>
      <c r="PJ12" s="30" t="s">
        <v>26</v>
      </c>
      <c r="PK12" s="71" t="s">
        <v>320</v>
      </c>
      <c r="PL12" s="30" t="s">
        <v>28</v>
      </c>
      <c r="PM12" s="30" t="s">
        <v>94</v>
      </c>
      <c r="PN12" s="17">
        <v>5679</v>
      </c>
      <c r="PO12" s="33">
        <f t="shared" si="21"/>
        <v>4.3334926598759281E-2</v>
      </c>
      <c r="PP12" s="33">
        <f t="shared" si="22"/>
        <v>4.1165943710248773E-2</v>
      </c>
      <c r="PR12" s="1">
        <v>1</v>
      </c>
      <c r="PS12" s="18">
        <v>1470.5899553930201</v>
      </c>
      <c r="PT12" s="11">
        <v>8351480.3566769613</v>
      </c>
      <c r="PU12" s="5"/>
      <c r="PV12" s="11">
        <v>100</v>
      </c>
      <c r="PW12" s="11">
        <v>567900</v>
      </c>
      <c r="PX12" s="5">
        <v>2.441834215813166E-2</v>
      </c>
      <c r="PY12" s="8">
        <v>0</v>
      </c>
      <c r="PZ12" s="8">
        <v>-1</v>
      </c>
      <c r="QA12" s="5"/>
      <c r="QB12" s="21">
        <v>13104902.778726744</v>
      </c>
      <c r="QC12" s="22">
        <v>21012300</v>
      </c>
      <c r="QE12" s="16" t="s">
        <v>1118</v>
      </c>
      <c r="QF12" s="34" t="s">
        <v>297</v>
      </c>
      <c r="QG12" s="34"/>
      <c r="QH12" s="32" t="s">
        <v>1699</v>
      </c>
      <c r="QI12" s="34"/>
      <c r="QJ12" s="30" t="s">
        <v>1274</v>
      </c>
      <c r="QK12" s="30" t="s">
        <v>26</v>
      </c>
      <c r="QL12" s="30"/>
      <c r="QM12" s="30" t="s">
        <v>28</v>
      </c>
      <c r="QN12" s="30" t="s">
        <v>34</v>
      </c>
      <c r="QO12" s="17">
        <v>408.85</v>
      </c>
      <c r="QP12" s="33">
        <f t="shared" si="23"/>
        <v>5.4801349642933359E-2</v>
      </c>
      <c r="QQ12" s="33">
        <f t="shared" si="24"/>
        <v>5.2074653270785684E-2</v>
      </c>
      <c r="QS12" s="1">
        <v>1</v>
      </c>
      <c r="QT12" s="18">
        <v>15291.123362161101</v>
      </c>
      <c r="QU12" s="11">
        <v>6251775.7866195664</v>
      </c>
      <c r="QV12" s="5"/>
      <c r="QW12" s="11">
        <v>1</v>
      </c>
      <c r="QX12" s="11">
        <v>408.85</v>
      </c>
      <c r="QY12" s="5">
        <v>42.892092174975353</v>
      </c>
      <c r="QZ12" s="8">
        <v>5.4939218749999998E-2</v>
      </c>
      <c r="RA12" s="8">
        <v>2.5157976576297703E-3</v>
      </c>
      <c r="RB12" s="5"/>
      <c r="RC12" s="21">
        <v>7460.5826802428264</v>
      </c>
      <c r="RD12" s="22">
        <v>15127.45</v>
      </c>
      <c r="RF12" s="16" t="s">
        <v>1326</v>
      </c>
      <c r="RG12" s="34" t="s">
        <v>1300</v>
      </c>
      <c r="RH12" s="34"/>
      <c r="RI12" s="32" t="s">
        <v>1622</v>
      </c>
      <c r="RJ12" s="34"/>
      <c r="RK12" s="30" t="s">
        <v>862</v>
      </c>
    </row>
    <row r="13" spans="15:479" x14ac:dyDescent="0.2">
      <c r="O13" s="16" t="s">
        <v>866</v>
      </c>
      <c r="P13" s="32" t="s">
        <v>262</v>
      </c>
      <c r="Q13" s="32" t="s">
        <v>329</v>
      </c>
      <c r="R13" s="32" t="s">
        <v>1435</v>
      </c>
      <c r="S13" s="32"/>
      <c r="T13" s="30" t="s">
        <v>867</v>
      </c>
      <c r="U13" s="30" t="s">
        <v>26</v>
      </c>
      <c r="V13" s="30" t="s">
        <v>330</v>
      </c>
      <c r="W13" s="30" t="s">
        <v>28</v>
      </c>
      <c r="X13" s="30" t="s">
        <v>868</v>
      </c>
      <c r="Y13" s="17">
        <v>307.3</v>
      </c>
      <c r="Z13" s="33">
        <f t="shared" si="0"/>
        <v>3.1575307761088439E-2</v>
      </c>
      <c r="AA13" s="33">
        <f t="shared" si="1"/>
        <v>2.9997603546256899E-2</v>
      </c>
      <c r="AB13" s="4"/>
      <c r="AC13" s="1">
        <v>0.10349999999999999</v>
      </c>
      <c r="AD13" s="18">
        <v>204301.19177934699</v>
      </c>
      <c r="AE13" s="11">
        <v>6497911.7701976094</v>
      </c>
      <c r="AF13" s="5"/>
      <c r="AG13" s="11">
        <v>1</v>
      </c>
      <c r="AH13" s="11">
        <v>31.80555</v>
      </c>
      <c r="AI13" s="5">
        <v>317.68350126151887</v>
      </c>
      <c r="AJ13" s="8">
        <v>3.16067653125E-2</v>
      </c>
      <c r="AK13" s="8">
        <v>9.9627061910467773E-4</v>
      </c>
      <c r="AL13" s="5"/>
      <c r="AM13" s="21">
        <v>1007.2918446481557</v>
      </c>
      <c r="AN13" s="22">
        <v>1176.8053499999999</v>
      </c>
      <c r="AP13" s="16" t="s">
        <v>895</v>
      </c>
      <c r="AQ13" s="32" t="s">
        <v>98</v>
      </c>
      <c r="AR13" s="32" t="s">
        <v>362</v>
      </c>
      <c r="AS13" s="32" t="s">
        <v>1470</v>
      </c>
      <c r="AT13" s="32"/>
      <c r="AU13" s="30" t="s">
        <v>853</v>
      </c>
      <c r="AV13" s="30" t="s">
        <v>26</v>
      </c>
      <c r="AW13" s="30" t="s">
        <v>33</v>
      </c>
      <c r="AX13" s="30" t="s">
        <v>28</v>
      </c>
      <c r="AY13" s="30" t="s">
        <v>34</v>
      </c>
      <c r="AZ13" s="17">
        <v>97.33</v>
      </c>
      <c r="BA13" s="33">
        <f t="shared" si="2"/>
        <v>5.1710451896000723E-2</v>
      </c>
      <c r="BB13" s="33">
        <f t="shared" si="25"/>
        <v>4.9108247434966196E-2</v>
      </c>
      <c r="BD13" s="1">
        <v>1</v>
      </c>
      <c r="BE13" s="18">
        <v>87473.611837520803</v>
      </c>
      <c r="BF13" s="11">
        <v>8513806.6401458997</v>
      </c>
      <c r="BG13" s="5"/>
      <c r="BH13" s="11">
        <v>1</v>
      </c>
      <c r="BI13" s="11">
        <v>97.33</v>
      </c>
      <c r="BJ13" s="5">
        <v>170.0127874932727</v>
      </c>
      <c r="BK13" s="8">
        <v>5.1706562499999997E-2</v>
      </c>
      <c r="BL13" s="8">
        <v>-7.521489095763112E-5</v>
      </c>
      <c r="BM13" s="5"/>
      <c r="BN13" s="21">
        <v>1882.2113602052564</v>
      </c>
      <c r="BO13" s="22">
        <v>3601.2099999999996</v>
      </c>
      <c r="BQ13" s="16" t="s">
        <v>914</v>
      </c>
      <c r="BR13" s="44" t="s">
        <v>306</v>
      </c>
      <c r="BS13" s="44">
        <v>8955</v>
      </c>
      <c r="BT13" s="32" t="s">
        <v>1488</v>
      </c>
      <c r="BU13" s="44"/>
      <c r="BV13" s="30" t="s">
        <v>902</v>
      </c>
      <c r="BW13" s="30" t="s">
        <v>26</v>
      </c>
      <c r="BX13" s="71" t="s">
        <v>320</v>
      </c>
      <c r="BY13" s="30" t="s">
        <v>28</v>
      </c>
      <c r="BZ13" s="30" t="s">
        <v>94</v>
      </c>
      <c r="CA13" s="17">
        <v>103900</v>
      </c>
      <c r="CB13" s="33">
        <f t="shared" si="3"/>
        <v>6.4584512091046847E-2</v>
      </c>
      <c r="CC13" s="33">
        <f t="shared" si="26"/>
        <v>6.1349758739141072E-2</v>
      </c>
      <c r="CE13" s="1">
        <v>1</v>
      </c>
      <c r="CF13" s="18">
        <v>389.97495306315699</v>
      </c>
      <c r="CG13" s="11">
        <v>40518397.623262011</v>
      </c>
      <c r="CH13" s="5"/>
      <c r="CI13" s="11">
        <v>1</v>
      </c>
      <c r="CJ13" s="11">
        <v>103900</v>
      </c>
      <c r="CK13" s="5">
        <v>0.19891283800899895</v>
      </c>
      <c r="CL13" s="8">
        <v>0</v>
      </c>
      <c r="CM13" s="8">
        <v>-1</v>
      </c>
      <c r="CN13" s="5"/>
      <c r="CO13" s="21">
        <v>1608744.8311683279</v>
      </c>
      <c r="CP13" s="22">
        <v>3844300</v>
      </c>
      <c r="CR13" s="16" t="s">
        <v>911</v>
      </c>
      <c r="CS13" s="32" t="s">
        <v>740</v>
      </c>
      <c r="CT13" s="32">
        <v>3249</v>
      </c>
      <c r="CU13" s="32" t="s">
        <v>1485</v>
      </c>
      <c r="CV13" s="32"/>
      <c r="CW13" s="30" t="s">
        <v>902</v>
      </c>
      <c r="CX13" s="30" t="s">
        <v>26</v>
      </c>
      <c r="CY13" s="30" t="s">
        <v>320</v>
      </c>
      <c r="CZ13" s="30" t="s">
        <v>28</v>
      </c>
      <c r="DA13" s="30" t="s">
        <v>94</v>
      </c>
      <c r="DB13" s="17">
        <v>150000</v>
      </c>
      <c r="DC13" s="33">
        <f t="shared" si="4"/>
        <v>4.9983276126963676E-2</v>
      </c>
      <c r="DD13" s="33">
        <f t="shared" si="5"/>
        <v>4.7468237236456552E-2</v>
      </c>
      <c r="DF13" s="1">
        <v>6.3369999999999998E-3</v>
      </c>
      <c r="DG13" s="18">
        <v>9536.3661910541796</v>
      </c>
      <c r="DH13" s="11">
        <v>9064792.8829065487</v>
      </c>
      <c r="DI13" s="5"/>
      <c r="DJ13" s="11">
        <v>1</v>
      </c>
      <c r="DK13" s="11">
        <v>950.55</v>
      </c>
      <c r="DL13" s="5">
        <v>16.826730167406634</v>
      </c>
      <c r="DM13" s="8">
        <v>5.0497968749999997E-2</v>
      </c>
      <c r="DN13" s="8">
        <v>1.0297296674370404E-2</v>
      </c>
      <c r="DO13" s="5"/>
      <c r="DP13" s="21">
        <v>19017.360878576386</v>
      </c>
      <c r="DQ13" s="22">
        <v>35170.35</v>
      </c>
      <c r="DS13" s="16" t="s">
        <v>947</v>
      </c>
      <c r="DT13" s="32" t="s">
        <v>137</v>
      </c>
      <c r="DU13" s="32" t="s">
        <v>138</v>
      </c>
      <c r="DV13" s="32" t="s">
        <v>1516</v>
      </c>
      <c r="DW13" s="32"/>
      <c r="DX13" s="30" t="s">
        <v>777</v>
      </c>
      <c r="DY13" s="30" t="s">
        <v>26</v>
      </c>
      <c r="DZ13" s="30" t="s">
        <v>129</v>
      </c>
      <c r="EA13" s="30" t="s">
        <v>28</v>
      </c>
      <c r="EB13" s="43" t="s">
        <v>827</v>
      </c>
      <c r="EC13" s="17">
        <v>12.1</v>
      </c>
      <c r="ED13" s="33">
        <f t="shared" si="27"/>
        <v>3.2142373300012655E-2</v>
      </c>
      <c r="EE13" s="33">
        <f t="shared" si="28"/>
        <v>3.0490506389893358E-2</v>
      </c>
      <c r="EG13" s="1">
        <v>1</v>
      </c>
      <c r="EH13" s="18">
        <v>438373.21801440499</v>
      </c>
      <c r="EI13" s="11">
        <v>5304315.9379743002</v>
      </c>
      <c r="EJ13" s="5"/>
      <c r="EK13" s="11">
        <v>1</v>
      </c>
      <c r="EL13" s="11">
        <v>12.1</v>
      </c>
      <c r="EM13" s="5">
        <v>850.04623603339257</v>
      </c>
      <c r="EN13" s="8">
        <v>3.2140624999999999E-2</v>
      </c>
      <c r="EO13" s="8">
        <v>-5.4392374711609293E-5</v>
      </c>
      <c r="EP13" s="5"/>
      <c r="EQ13" s="21">
        <v>376.45011110599091</v>
      </c>
      <c r="ER13" s="22">
        <v>447.7</v>
      </c>
      <c r="ET13" s="16" t="s">
        <v>890</v>
      </c>
      <c r="EU13" s="32" t="s">
        <v>92</v>
      </c>
      <c r="EV13" s="32" t="s">
        <v>321</v>
      </c>
      <c r="EW13" s="32" t="s">
        <v>1437</v>
      </c>
      <c r="EX13" s="32"/>
      <c r="EY13" s="30" t="s">
        <v>850</v>
      </c>
      <c r="EZ13" s="30" t="s">
        <v>26</v>
      </c>
      <c r="FA13" s="30" t="s">
        <v>33</v>
      </c>
      <c r="FB13" s="30" t="s">
        <v>28</v>
      </c>
      <c r="FC13" s="30" t="s">
        <v>34</v>
      </c>
      <c r="FD13" s="17">
        <v>232.35</v>
      </c>
      <c r="FE13" s="33">
        <f t="shared" si="6"/>
        <v>3.5498833292383555E-2</v>
      </c>
      <c r="FF13" s="33">
        <f t="shared" si="7"/>
        <v>3.3722953150897995E-2</v>
      </c>
      <c r="FH13" s="1">
        <v>1</v>
      </c>
      <c r="FI13" s="18">
        <v>31308.239309049099</v>
      </c>
      <c r="FJ13" s="11">
        <v>7274469.4034575578</v>
      </c>
      <c r="FK13" s="5"/>
      <c r="FL13" s="11">
        <v>1</v>
      </c>
      <c r="FM13" s="11">
        <v>232.35</v>
      </c>
      <c r="FN13" s="5">
        <v>48.890151295729453</v>
      </c>
      <c r="FO13" s="8">
        <v>3.5578593749999998E-2</v>
      </c>
      <c r="FP13" s="8">
        <v>2.2468472966281627E-3</v>
      </c>
      <c r="FQ13" s="5"/>
      <c r="FR13" s="21">
        <v>6545.2855333657344</v>
      </c>
      <c r="FS13" s="22">
        <v>8596.9499999999989</v>
      </c>
      <c r="FU13" s="16" t="s">
        <v>970</v>
      </c>
      <c r="FV13" s="32" t="s">
        <v>186</v>
      </c>
      <c r="FW13" s="32" t="s">
        <v>387</v>
      </c>
      <c r="FX13" s="32" t="s">
        <v>1536</v>
      </c>
      <c r="FY13" s="32"/>
      <c r="FZ13" s="30" t="s">
        <v>850</v>
      </c>
      <c r="GA13" s="30" t="s">
        <v>26</v>
      </c>
      <c r="GB13" s="30" t="s">
        <v>33</v>
      </c>
      <c r="GC13" s="30" t="s">
        <v>28</v>
      </c>
      <c r="GD13" s="30" t="s">
        <v>34</v>
      </c>
      <c r="GE13" s="17">
        <v>22.06</v>
      </c>
      <c r="GF13" s="33">
        <f t="shared" si="8"/>
        <v>5.0682232662717895E-2</v>
      </c>
      <c r="GG13" s="33">
        <f t="shared" si="9"/>
        <v>4.8145815060788119E-2</v>
      </c>
      <c r="GI13" s="1">
        <v>1</v>
      </c>
      <c r="GJ13" s="18">
        <v>475570.09744113998</v>
      </c>
      <c r="GK13" s="11">
        <v>10491076.349551547</v>
      </c>
      <c r="GL13" s="5"/>
      <c r="GM13" s="11">
        <v>1</v>
      </c>
      <c r="GN13" s="11">
        <v>22.06</v>
      </c>
      <c r="GO13" s="5">
        <v>735.19104497142916</v>
      </c>
      <c r="GP13" s="8">
        <v>5.0669062499999994E-2</v>
      </c>
      <c r="GQ13" s="8">
        <v>-2.5985758767865796E-4</v>
      </c>
      <c r="GR13" s="5"/>
      <c r="GS13" s="21">
        <v>435.26101438359575</v>
      </c>
      <c r="GT13" s="22">
        <v>816.21999999999991</v>
      </c>
      <c r="GV13" s="16" t="s">
        <v>861</v>
      </c>
      <c r="GW13" s="32" t="s">
        <v>25</v>
      </c>
      <c r="GX13" s="32">
        <v>1211</v>
      </c>
      <c r="GY13" s="32" t="s">
        <v>1557</v>
      </c>
      <c r="GZ13" s="32"/>
      <c r="HA13" s="30" t="s">
        <v>862</v>
      </c>
      <c r="HB13" s="30" t="s">
        <v>26</v>
      </c>
      <c r="HC13" s="30" t="s">
        <v>27</v>
      </c>
      <c r="HD13" s="30" t="s">
        <v>28</v>
      </c>
      <c r="HE13" s="30" t="s">
        <v>82</v>
      </c>
      <c r="HF13" s="17">
        <v>93.4</v>
      </c>
      <c r="HG13" s="33">
        <f t="shared" si="10"/>
        <v>2.3528439420758399E-2</v>
      </c>
      <c r="HH13" s="33">
        <f t="shared" si="29"/>
        <v>2.2350244121194299E-2</v>
      </c>
      <c r="HJ13" s="1">
        <v>0.12784999999999999</v>
      </c>
      <c r="HK13" s="18">
        <v>321348.918824377</v>
      </c>
      <c r="HL13" s="11">
        <v>3837288.4959764625</v>
      </c>
      <c r="HM13" s="5"/>
      <c r="HN13" s="11">
        <v>100</v>
      </c>
      <c r="HO13" s="11">
        <v>1194.1189999999999</v>
      </c>
      <c r="HP13" s="5">
        <v>6.3051510064262333</v>
      </c>
      <c r="HQ13" s="8">
        <v>2.2389731249999999E-2</v>
      </c>
      <c r="HR13" s="8">
        <v>-4.8397097248776833E-2</v>
      </c>
      <c r="HS13" s="5"/>
      <c r="HT13" s="21">
        <v>50752.154813398563</v>
      </c>
      <c r="HU13" s="22">
        <v>44182.402999999991</v>
      </c>
      <c r="HW13" s="16" t="s">
        <v>1024</v>
      </c>
      <c r="HX13" s="45" t="s">
        <v>212</v>
      </c>
      <c r="HY13" s="32">
        <v>2</v>
      </c>
      <c r="HZ13" s="32" t="s">
        <v>1585</v>
      </c>
      <c r="IA13" s="45"/>
      <c r="IB13" s="30" t="s">
        <v>862</v>
      </c>
      <c r="IC13" s="30" t="s">
        <v>26</v>
      </c>
      <c r="ID13" s="30" t="s">
        <v>27</v>
      </c>
      <c r="IE13" s="30" t="s">
        <v>28</v>
      </c>
      <c r="IF13" s="30" t="s">
        <v>82</v>
      </c>
      <c r="IG13" s="17">
        <v>75</v>
      </c>
      <c r="IH13" s="33">
        <f t="shared" si="11"/>
        <v>4.5685689157997804E-2</v>
      </c>
      <c r="II13" s="33">
        <f t="shared" si="12"/>
        <v>4.3424782073771123E-2</v>
      </c>
      <c r="IK13" s="1">
        <v>1</v>
      </c>
      <c r="IL13" s="18">
        <v>115457.23057545201</v>
      </c>
      <c r="IM13" s="11">
        <v>8659292.2931589</v>
      </c>
      <c r="IN13" s="5"/>
      <c r="IO13" s="11">
        <v>500</v>
      </c>
      <c r="IP13" s="11">
        <v>37500</v>
      </c>
      <c r="IQ13" s="5">
        <v>0.38985121414824792</v>
      </c>
      <c r="IR13" s="8">
        <v>0</v>
      </c>
      <c r="IS13" s="8">
        <v>-1</v>
      </c>
      <c r="IT13" s="5"/>
      <c r="IU13" s="21">
        <v>820825.96741205547</v>
      </c>
      <c r="IV13" s="22">
        <v>1387500</v>
      </c>
      <c r="IX13" s="16" t="s">
        <v>1035</v>
      </c>
      <c r="IY13" s="32" t="s">
        <v>227</v>
      </c>
      <c r="IZ13" s="32">
        <v>2638</v>
      </c>
      <c r="JA13" s="32" t="s">
        <v>1600</v>
      </c>
      <c r="JB13" s="32"/>
      <c r="JC13" s="30" t="s">
        <v>902</v>
      </c>
      <c r="JD13" s="30" t="s">
        <v>26</v>
      </c>
      <c r="JE13" s="30" t="s">
        <v>320</v>
      </c>
      <c r="JF13" s="30" t="s">
        <v>28</v>
      </c>
      <c r="JG13" s="30" t="s">
        <v>94</v>
      </c>
      <c r="JH13" s="17">
        <v>2507</v>
      </c>
      <c r="JI13" s="33">
        <f t="shared" si="30"/>
        <v>7.3047372761210899E-2</v>
      </c>
      <c r="JJ13" s="33">
        <f t="shared" si="13"/>
        <v>6.9391273900311135E-2</v>
      </c>
      <c r="JL13" s="1">
        <v>6.3369999999999998E-3</v>
      </c>
      <c r="JM13" s="18">
        <v>560930.43400117499</v>
      </c>
      <c r="JN13" s="11">
        <v>8911422.7137854733</v>
      </c>
      <c r="JO13" s="5"/>
      <c r="JP13" s="11">
        <v>1</v>
      </c>
      <c r="JQ13" s="11">
        <v>15.886858999999999</v>
      </c>
      <c r="JR13" s="5">
        <v>1471.3518439099564</v>
      </c>
      <c r="JS13" s="8">
        <v>7.3029904965625003E-2</v>
      </c>
      <c r="JT13" s="8">
        <v>-2.391296897562567E-4</v>
      </c>
      <c r="JU13" s="5"/>
      <c r="JV13" s="21">
        <v>217.48706900018897</v>
      </c>
      <c r="JW13" s="22">
        <v>587.81378299999994</v>
      </c>
      <c r="JY13" s="16" t="s">
        <v>1053</v>
      </c>
      <c r="JZ13" s="32" t="s">
        <v>239</v>
      </c>
      <c r="KA13" s="32" t="s">
        <v>1374</v>
      </c>
      <c r="KB13" s="32" t="s">
        <v>1619</v>
      </c>
      <c r="KC13" s="32"/>
      <c r="KD13" s="30" t="s">
        <v>986</v>
      </c>
      <c r="KE13" s="30" t="s">
        <v>26</v>
      </c>
      <c r="KF13" s="30" t="s">
        <v>406</v>
      </c>
      <c r="KG13" s="30" t="s">
        <v>28</v>
      </c>
      <c r="KH13" s="30" t="s">
        <v>987</v>
      </c>
      <c r="KI13" s="17">
        <v>110.7</v>
      </c>
      <c r="KJ13" s="33">
        <f t="shared" si="31"/>
        <v>2.9654443529759714E-2</v>
      </c>
      <c r="KK13" s="33">
        <f t="shared" si="32"/>
        <v>2.8176294493260309E-2</v>
      </c>
      <c r="KM13" s="1">
        <v>0.108429</v>
      </c>
      <c r="KN13" s="18">
        <v>245329.69471862001</v>
      </c>
      <c r="KO13" s="11">
        <v>2944714.4789790292</v>
      </c>
      <c r="KP13" s="5"/>
      <c r="KQ13" s="11">
        <v>1</v>
      </c>
      <c r="KR13" s="11">
        <v>12.0030903</v>
      </c>
      <c r="KS13" s="5">
        <v>790.58156627573726</v>
      </c>
      <c r="KT13" s="8">
        <v>2.9670138835312502E-2</v>
      </c>
      <c r="KU13" s="8">
        <v>5.292733123465343E-4</v>
      </c>
      <c r="KV13" s="5"/>
      <c r="KW13" s="21">
        <v>404.76531916555103</v>
      </c>
      <c r="KX13" s="22">
        <v>444.11434109999999</v>
      </c>
      <c r="KZ13" s="16" t="s">
        <v>934</v>
      </c>
      <c r="LA13" s="32" t="s">
        <v>121</v>
      </c>
      <c r="LB13" s="32" t="s">
        <v>375</v>
      </c>
      <c r="LC13" s="32" t="s">
        <v>1504</v>
      </c>
      <c r="LD13" s="32"/>
      <c r="LE13" s="30" t="s">
        <v>850</v>
      </c>
      <c r="LF13" s="30" t="s">
        <v>26</v>
      </c>
      <c r="LG13" s="30" t="s">
        <v>33</v>
      </c>
      <c r="LH13" s="30" t="s">
        <v>28</v>
      </c>
      <c r="LI13" s="30" t="s">
        <v>34</v>
      </c>
      <c r="LJ13" s="17">
        <v>45</v>
      </c>
      <c r="LK13" s="33">
        <f t="shared" si="14"/>
        <v>6.7177808065159536E-2</v>
      </c>
      <c r="LL13" s="33">
        <f t="shared" si="15"/>
        <v>6.3790246508040035E-2</v>
      </c>
      <c r="LN13" s="1">
        <v>1</v>
      </c>
      <c r="LO13" s="18">
        <v>164970.616772301</v>
      </c>
      <c r="LP13" s="11">
        <v>7423677.7547535449</v>
      </c>
      <c r="LQ13" s="5"/>
      <c r="LR13" s="11">
        <v>1</v>
      </c>
      <c r="LS13" s="11">
        <v>45</v>
      </c>
      <c r="LT13" s="5">
        <v>477.70885735224562</v>
      </c>
      <c r="LU13" s="8">
        <v>6.7218749999999994E-2</v>
      </c>
      <c r="LV13" s="8">
        <v>6.0945624782426933E-4</v>
      </c>
      <c r="LW13" s="5"/>
      <c r="LX13" s="21">
        <v>669.86407112825066</v>
      </c>
      <c r="LY13" s="22">
        <v>1665</v>
      </c>
      <c r="MA13" s="16" t="s">
        <v>864</v>
      </c>
      <c r="MB13" s="32" t="s">
        <v>43</v>
      </c>
      <c r="MC13" s="32" t="s">
        <v>44</v>
      </c>
      <c r="MD13" s="32" t="s">
        <v>1457</v>
      </c>
      <c r="ME13" s="32"/>
      <c r="MF13" s="30" t="s">
        <v>853</v>
      </c>
      <c r="MG13" s="30" t="s">
        <v>26</v>
      </c>
      <c r="MH13" s="30" t="s">
        <v>33</v>
      </c>
      <c r="MI13" s="30" t="s">
        <v>28</v>
      </c>
      <c r="MJ13" s="30" t="s">
        <v>34</v>
      </c>
      <c r="MK13" s="17">
        <v>31.6</v>
      </c>
      <c r="ML13" s="33">
        <f t="shared" si="16"/>
        <v>3.0930506397535296E-2</v>
      </c>
      <c r="MM13" s="33">
        <f t="shared" si="17"/>
        <v>2.9365351048437526E-2</v>
      </c>
      <c r="MO13" s="1">
        <v>1</v>
      </c>
      <c r="MP13" s="18">
        <v>175848.05619724299</v>
      </c>
      <c r="MQ13" s="11">
        <v>5556798.5758328782</v>
      </c>
      <c r="MR13" s="5"/>
      <c r="MS13" s="11">
        <v>1</v>
      </c>
      <c r="MT13" s="11">
        <v>31.6</v>
      </c>
      <c r="MU13" s="5">
        <v>313.22031794972446</v>
      </c>
      <c r="MV13" s="8">
        <v>3.0908750000000002E-2</v>
      </c>
      <c r="MW13" s="8">
        <v>-7.0339609884395582E-4</v>
      </c>
      <c r="MX13" s="5"/>
      <c r="MY13" s="21">
        <v>1021.6450902503832</v>
      </c>
      <c r="MZ13" s="22">
        <v>1169.2</v>
      </c>
      <c r="NB13" s="16" t="s">
        <v>961</v>
      </c>
      <c r="NC13" s="32" t="s">
        <v>167</v>
      </c>
      <c r="ND13" s="32" t="s">
        <v>344</v>
      </c>
      <c r="NE13" s="32" t="s">
        <v>1530</v>
      </c>
      <c r="NF13" s="32"/>
      <c r="NG13" s="30" t="s">
        <v>850</v>
      </c>
      <c r="NH13" s="30" t="s">
        <v>26</v>
      </c>
      <c r="NI13" s="30" t="s">
        <v>33</v>
      </c>
      <c r="NJ13" s="30" t="s">
        <v>28</v>
      </c>
      <c r="NK13" s="30" t="s">
        <v>34</v>
      </c>
      <c r="NL13" s="17">
        <v>131.61000000000001</v>
      </c>
      <c r="NM13" s="33">
        <f t="shared" si="18"/>
        <v>4.0146869470351079E-2</v>
      </c>
      <c r="NN13" s="33">
        <f t="shared" si="19"/>
        <v>3.8110453231578731E-2</v>
      </c>
      <c r="NP13" s="1">
        <v>1</v>
      </c>
      <c r="NQ13" s="18">
        <v>52148.932783125303</v>
      </c>
      <c r="NR13" s="11">
        <v>6863321.0435871221</v>
      </c>
      <c r="NS13" s="5"/>
      <c r="NT13" s="11">
        <v>1</v>
      </c>
      <c r="NU13" s="11">
        <v>131.61000000000001</v>
      </c>
      <c r="NV13" s="5">
        <v>97.614149612585237</v>
      </c>
      <c r="NW13" s="8">
        <v>4.0305562500000003E-2</v>
      </c>
      <c r="NX13" s="8">
        <v>3.952812055896926E-3</v>
      </c>
      <c r="NY13" s="5"/>
      <c r="NZ13" s="21">
        <v>3278.2132638559901</v>
      </c>
      <c r="OA13" s="22">
        <v>4869.5700000000006</v>
      </c>
      <c r="OC13" s="16" t="s">
        <v>1082</v>
      </c>
      <c r="OD13" s="32" t="s">
        <v>261</v>
      </c>
      <c r="OE13" s="32" t="s">
        <v>327</v>
      </c>
      <c r="OF13" s="32" t="s">
        <v>1650</v>
      </c>
      <c r="OG13" s="32"/>
      <c r="OH13" s="30" t="s">
        <v>832</v>
      </c>
      <c r="OI13" s="30" t="s">
        <v>26</v>
      </c>
      <c r="OJ13" s="30" t="s">
        <v>328</v>
      </c>
      <c r="OK13" s="30" t="s">
        <v>28</v>
      </c>
      <c r="OL13" s="30" t="s">
        <v>83</v>
      </c>
      <c r="OM13" s="17">
        <v>9.4619999999999997</v>
      </c>
      <c r="ON13" s="33">
        <f t="shared" si="20"/>
        <v>3.7502427861717251E-2</v>
      </c>
      <c r="OO13" s="33">
        <f t="shared" si="33"/>
        <v>3.5560066481167898E-2</v>
      </c>
      <c r="OQ13" s="1">
        <v>1</v>
      </c>
      <c r="OR13" s="18">
        <v>729940.71384733601</v>
      </c>
      <c r="OS13" s="11">
        <v>6906699.0344234928</v>
      </c>
      <c r="OT13" s="5"/>
      <c r="OU13" s="11">
        <v>1</v>
      </c>
      <c r="OV13" s="11">
        <v>9.4619999999999997</v>
      </c>
      <c r="OW13" s="5">
        <v>1268.3129270502559</v>
      </c>
      <c r="OX13" s="8">
        <v>3.7493174999999997E-2</v>
      </c>
      <c r="OY13" s="8">
        <v>-2.4672700528538538E-4</v>
      </c>
      <c r="OZ13" s="5"/>
      <c r="PA13" s="21">
        <v>252.30366510907623</v>
      </c>
      <c r="PB13" s="22">
        <v>350.09399999999999</v>
      </c>
      <c r="PD13" s="16" t="s">
        <v>1107</v>
      </c>
      <c r="PE13" s="32" t="s">
        <v>102</v>
      </c>
      <c r="PF13" s="32">
        <v>4528</v>
      </c>
      <c r="PG13" s="32" t="s">
        <v>1684</v>
      </c>
      <c r="PH13" s="32"/>
      <c r="PI13" s="30" t="s">
        <v>902</v>
      </c>
      <c r="PJ13" s="30" t="s">
        <v>26</v>
      </c>
      <c r="PK13" s="71" t="s">
        <v>320</v>
      </c>
      <c r="PL13" s="30" t="s">
        <v>28</v>
      </c>
      <c r="PM13" s="30" t="s">
        <v>94</v>
      </c>
      <c r="PN13" s="17">
        <v>2516</v>
      </c>
      <c r="PO13" s="33">
        <f t="shared" si="21"/>
        <v>4.4207576224359786E-2</v>
      </c>
      <c r="PP13" s="33">
        <f t="shared" si="22"/>
        <v>4.1994915816255959E-2</v>
      </c>
      <c r="PR13" s="1">
        <v>1</v>
      </c>
      <c r="PS13" s="18">
        <v>3386.1911188027302</v>
      </c>
      <c r="PT13" s="11">
        <v>8519656.8549076691</v>
      </c>
      <c r="PU13" s="5"/>
      <c r="PV13" s="11">
        <v>100</v>
      </c>
      <c r="PW13" s="11">
        <v>251600</v>
      </c>
      <c r="PX13" s="5">
        <v>5.6225852113653149E-2</v>
      </c>
      <c r="PY13" s="8">
        <v>0</v>
      </c>
      <c r="PZ13" s="8">
        <v>-1</v>
      </c>
      <c r="QA13" s="5"/>
      <c r="QB13" s="21">
        <v>5691332.1536357012</v>
      </c>
      <c r="QC13" s="22">
        <v>9309200</v>
      </c>
      <c r="QE13" s="16" t="s">
        <v>975</v>
      </c>
      <c r="QF13" s="34" t="s">
        <v>179</v>
      </c>
      <c r="QG13" s="34"/>
      <c r="QH13" s="32" t="s">
        <v>1541</v>
      </c>
      <c r="QI13" s="34"/>
      <c r="QJ13" s="30" t="s">
        <v>853</v>
      </c>
      <c r="QK13" s="30" t="s">
        <v>26</v>
      </c>
      <c r="QL13" s="30"/>
      <c r="QM13" s="30" t="s">
        <v>28</v>
      </c>
      <c r="QN13" s="30" t="s">
        <v>34</v>
      </c>
      <c r="QO13" s="17">
        <v>283.64</v>
      </c>
      <c r="QP13" s="33">
        <f t="shared" si="23"/>
        <v>5.1546333062756231E-2</v>
      </c>
      <c r="QQ13" s="33">
        <f t="shared" si="24"/>
        <v>4.8981593320477683E-2</v>
      </c>
      <c r="QS13" s="1">
        <v>1</v>
      </c>
      <c r="QT13" s="18">
        <v>20732.059120046699</v>
      </c>
      <c r="QU13" s="11">
        <v>5880441.2488100454</v>
      </c>
      <c r="QV13" s="5"/>
      <c r="QW13" s="11">
        <v>1</v>
      </c>
      <c r="QX13" s="11">
        <v>283.64</v>
      </c>
      <c r="QY13" s="5">
        <v>58.154091736292465</v>
      </c>
      <c r="QZ13" s="8">
        <v>5.1409749999999997E-2</v>
      </c>
      <c r="RA13" s="8">
        <v>-2.6497144343894385E-3</v>
      </c>
      <c r="RB13" s="5"/>
      <c r="RC13" s="21">
        <v>5502.622265189575</v>
      </c>
      <c r="RD13" s="22">
        <v>10494.679999999998</v>
      </c>
      <c r="RF13" s="16" t="s">
        <v>1327</v>
      </c>
      <c r="RG13" s="34" t="s">
        <v>1301</v>
      </c>
      <c r="RH13" s="34"/>
      <c r="RI13" s="32" t="s">
        <v>1716</v>
      </c>
      <c r="RJ13" s="34"/>
      <c r="RK13" s="30" t="s">
        <v>853</v>
      </c>
    </row>
    <row r="14" spans="15:479" x14ac:dyDescent="0.2">
      <c r="O14" s="16" t="s">
        <v>887</v>
      </c>
      <c r="P14" s="32" t="s">
        <v>74</v>
      </c>
      <c r="Q14" s="32" t="s">
        <v>75</v>
      </c>
      <c r="R14" s="32" t="s">
        <v>1436</v>
      </c>
      <c r="S14" s="32"/>
      <c r="T14" s="30" t="s">
        <v>850</v>
      </c>
      <c r="U14" s="30" t="s">
        <v>26</v>
      </c>
      <c r="V14" s="30" t="s">
        <v>33</v>
      </c>
      <c r="W14" s="30" t="s">
        <v>28</v>
      </c>
      <c r="X14" s="30" t="s">
        <v>34</v>
      </c>
      <c r="Y14" s="17">
        <v>51.18</v>
      </c>
      <c r="Z14" s="33">
        <f t="shared" si="0"/>
        <v>3.014372596505567E-2</v>
      </c>
      <c r="AA14" s="33">
        <f t="shared" si="1"/>
        <v>2.8637552727865473E-2</v>
      </c>
      <c r="AB14" s="4"/>
      <c r="AC14" s="1">
        <v>1</v>
      </c>
      <c r="AD14" s="18">
        <v>121205.651214073</v>
      </c>
      <c r="AE14" s="11">
        <v>6203305.2291362565</v>
      </c>
      <c r="AF14" s="5"/>
      <c r="AG14" s="11">
        <v>1</v>
      </c>
      <c r="AH14" s="11">
        <v>51.18</v>
      </c>
      <c r="AI14" s="5">
        <v>188.47190912109838</v>
      </c>
      <c r="AJ14" s="8">
        <v>3.0068250000000001E-2</v>
      </c>
      <c r="AK14" s="8">
        <v>-2.5038697984172131E-3</v>
      </c>
      <c r="AL14" s="5"/>
      <c r="AM14" s="21">
        <v>1697.8657535346088</v>
      </c>
      <c r="AN14" s="22">
        <v>1893.6599999999999</v>
      </c>
      <c r="AP14" s="16" t="s">
        <v>896</v>
      </c>
      <c r="AQ14" s="32" t="s">
        <v>100</v>
      </c>
      <c r="AR14" s="32" t="s">
        <v>334</v>
      </c>
      <c r="AS14" s="32" t="s">
        <v>1471</v>
      </c>
      <c r="AT14" s="32"/>
      <c r="AU14" s="30" t="s">
        <v>850</v>
      </c>
      <c r="AV14" s="30" t="s">
        <v>26</v>
      </c>
      <c r="AW14" s="30" t="s">
        <v>33</v>
      </c>
      <c r="AX14" s="30" t="s">
        <v>28</v>
      </c>
      <c r="AY14" s="30" t="s">
        <v>34</v>
      </c>
      <c r="AZ14" s="17">
        <v>239.63</v>
      </c>
      <c r="BA14" s="33">
        <f t="shared" si="2"/>
        <v>5.7858105320777661E-2</v>
      </c>
      <c r="BB14" s="33">
        <f t="shared" si="25"/>
        <v>5.4946534946658049E-2</v>
      </c>
      <c r="BD14" s="1">
        <v>1</v>
      </c>
      <c r="BE14" s="18">
        <v>39752.868256995302</v>
      </c>
      <c r="BF14" s="11">
        <v>9525979.8204237837</v>
      </c>
      <c r="BG14" s="5"/>
      <c r="BH14" s="11">
        <v>1</v>
      </c>
      <c r="BI14" s="11">
        <v>239.63</v>
      </c>
      <c r="BJ14" s="5">
        <v>77.263254611896883</v>
      </c>
      <c r="BK14" s="8">
        <v>5.7660968749999993E-2</v>
      </c>
      <c r="BL14" s="8">
        <v>-3.4072420741173559E-3</v>
      </c>
      <c r="BM14" s="5"/>
      <c r="BN14" s="21">
        <v>4141.6841887828896</v>
      </c>
      <c r="BO14" s="22">
        <v>8866.31</v>
      </c>
      <c r="BQ14" s="16" t="s">
        <v>915</v>
      </c>
      <c r="BR14" s="32" t="s">
        <v>111</v>
      </c>
      <c r="BS14" s="32">
        <v>3234</v>
      </c>
      <c r="BT14" s="32" t="s">
        <v>1489</v>
      </c>
      <c r="BU14" s="32"/>
      <c r="BV14" s="30" t="s">
        <v>902</v>
      </c>
      <c r="BW14" s="30" t="s">
        <v>26</v>
      </c>
      <c r="BX14" s="71" t="s">
        <v>320</v>
      </c>
      <c r="BY14" s="30" t="s">
        <v>28</v>
      </c>
      <c r="BZ14" s="30" t="s">
        <v>94</v>
      </c>
      <c r="CA14" s="17">
        <v>145200</v>
      </c>
      <c r="CB14" s="33">
        <f t="shared" si="3"/>
        <v>6.469837336417178E-2</v>
      </c>
      <c r="CC14" s="33">
        <f t="shared" si="26"/>
        <v>6.1457917203295735E-2</v>
      </c>
      <c r="CE14" s="1">
        <v>1</v>
      </c>
      <c r="CF14" s="18">
        <v>279.54428919985497</v>
      </c>
      <c r="CG14" s="11">
        <v>40589830.791818939</v>
      </c>
      <c r="CH14" s="5"/>
      <c r="CI14" s="11">
        <v>1</v>
      </c>
      <c r="CJ14" s="11">
        <v>145200</v>
      </c>
      <c r="CK14" s="5">
        <v>0.14258594680809208</v>
      </c>
      <c r="CL14" s="8">
        <v>0</v>
      </c>
      <c r="CM14" s="8">
        <v>-1</v>
      </c>
      <c r="CN14" s="5"/>
      <c r="CO14" s="21">
        <v>2244260.4419542928</v>
      </c>
      <c r="CP14" s="22">
        <v>5372400</v>
      </c>
      <c r="CR14" s="16" t="s">
        <v>930</v>
      </c>
      <c r="CS14" s="32" t="s">
        <v>309</v>
      </c>
      <c r="CT14" s="32" t="s">
        <v>380</v>
      </c>
      <c r="CU14" s="32" t="s">
        <v>1502</v>
      </c>
      <c r="CV14" s="32"/>
      <c r="CW14" s="30" t="s">
        <v>886</v>
      </c>
      <c r="CX14" s="30" t="s">
        <v>26</v>
      </c>
      <c r="CY14" s="30" t="s">
        <v>39</v>
      </c>
      <c r="CZ14" s="30" t="s">
        <v>28</v>
      </c>
      <c r="DA14" s="30" t="s">
        <v>83</v>
      </c>
      <c r="DB14" s="17">
        <v>34.24</v>
      </c>
      <c r="DC14" s="33">
        <f t="shared" si="4"/>
        <v>5.0794542787197354E-2</v>
      </c>
      <c r="DD14" s="33">
        <f t="shared" si="5"/>
        <v>4.8238682898965372E-2</v>
      </c>
      <c r="DF14" s="1">
        <v>1.1607000000000001</v>
      </c>
      <c r="DG14" s="18">
        <v>231790.95364999</v>
      </c>
      <c r="DH14" s="11">
        <v>9211921.3790288456</v>
      </c>
      <c r="DI14" s="5"/>
      <c r="DJ14" s="11">
        <v>1</v>
      </c>
      <c r="DK14" s="11">
        <v>39.742368000000006</v>
      </c>
      <c r="DL14" s="5">
        <v>408.99056875280183</v>
      </c>
      <c r="DM14" s="8">
        <v>5.0795714100000007E-2</v>
      </c>
      <c r="DN14" s="8">
        <v>2.3059815845938303E-5</v>
      </c>
      <c r="DO14" s="5"/>
      <c r="DP14" s="21">
        <v>782.41412992926826</v>
      </c>
      <c r="DQ14" s="22">
        <v>1470.4676160000001</v>
      </c>
      <c r="DS14" s="16" t="s">
        <v>948</v>
      </c>
      <c r="DT14" s="32" t="s">
        <v>139</v>
      </c>
      <c r="DU14" s="32" t="s">
        <v>140</v>
      </c>
      <c r="DV14" s="32" t="s">
        <v>1517</v>
      </c>
      <c r="DW14" s="32"/>
      <c r="DX14" s="30" t="s">
        <v>777</v>
      </c>
      <c r="DY14" s="30" t="s">
        <v>26</v>
      </c>
      <c r="DZ14" s="30" t="s">
        <v>129</v>
      </c>
      <c r="EA14" s="30" t="s">
        <v>28</v>
      </c>
      <c r="EB14" s="43" t="s">
        <v>827</v>
      </c>
      <c r="EC14" s="17">
        <v>12.788</v>
      </c>
      <c r="ED14" s="33">
        <f t="shared" si="27"/>
        <v>5.4188639155496841E-2</v>
      </c>
      <c r="EE14" s="33">
        <f t="shared" si="28"/>
        <v>5.1403766392995355E-2</v>
      </c>
      <c r="EG14" s="1">
        <v>1</v>
      </c>
      <c r="EH14" s="18">
        <v>699289.58527490206</v>
      </c>
      <c r="EI14" s="11">
        <v>8942515.2164954469</v>
      </c>
      <c r="EJ14" s="5"/>
      <c r="EK14" s="11">
        <v>1</v>
      </c>
      <c r="EL14" s="11">
        <v>12.788</v>
      </c>
      <c r="EM14" s="5">
        <v>1355.9872169032678</v>
      </c>
      <c r="EN14" s="8">
        <v>5.4189150000000005E-2</v>
      </c>
      <c r="EO14" s="8">
        <v>9.4271513573218613E-6</v>
      </c>
      <c r="EP14" s="5"/>
      <c r="EQ14" s="21">
        <v>235.99042528645597</v>
      </c>
      <c r="ER14" s="22">
        <v>473.15600000000001</v>
      </c>
      <c r="ET14" s="16" t="s">
        <v>889</v>
      </c>
      <c r="EU14" s="32" t="s">
        <v>705</v>
      </c>
      <c r="EV14" s="32" t="s">
        <v>709</v>
      </c>
      <c r="EW14" s="32" t="s">
        <v>1438</v>
      </c>
      <c r="EX14" s="32"/>
      <c r="EY14" s="30" t="s">
        <v>850</v>
      </c>
      <c r="EZ14" s="30" t="s">
        <v>26</v>
      </c>
      <c r="FA14" s="30" t="s">
        <v>33</v>
      </c>
      <c r="FB14" s="30" t="s">
        <v>28</v>
      </c>
      <c r="FC14" s="30" t="s">
        <v>34</v>
      </c>
      <c r="FD14" s="17">
        <v>246.09</v>
      </c>
      <c r="FE14" s="33">
        <f t="shared" si="6"/>
        <v>3.6417100097939928E-2</v>
      </c>
      <c r="FF14" s="33">
        <f t="shared" si="7"/>
        <v>3.4595282340106767E-2</v>
      </c>
      <c r="FH14" s="1">
        <v>1</v>
      </c>
      <c r="FI14" s="18">
        <v>30324.8481914894</v>
      </c>
      <c r="FJ14" s="11">
        <v>7462641.891443627</v>
      </c>
      <c r="FK14" s="5"/>
      <c r="FL14" s="11">
        <v>1</v>
      </c>
      <c r="FM14" s="11">
        <v>246.09</v>
      </c>
      <c r="FN14" s="5">
        <v>47.354512704054514</v>
      </c>
      <c r="FO14" s="8">
        <v>3.6144468749999999E-2</v>
      </c>
      <c r="FP14" s="8">
        <v>-7.4863552344013318E-3</v>
      </c>
      <c r="FQ14" s="5"/>
      <c r="FR14" s="21">
        <v>6757.5397090423739</v>
      </c>
      <c r="FS14" s="22">
        <v>9105.33</v>
      </c>
      <c r="FU14" s="16" t="s">
        <v>971</v>
      </c>
      <c r="FV14" s="32" t="s">
        <v>754</v>
      </c>
      <c r="FW14" s="32" t="s">
        <v>759</v>
      </c>
      <c r="FX14" s="32" t="s">
        <v>1537</v>
      </c>
      <c r="FY14" s="32"/>
      <c r="FZ14" s="30" t="s">
        <v>783</v>
      </c>
      <c r="GA14" s="30" t="s">
        <v>26</v>
      </c>
      <c r="GB14" s="30" t="s">
        <v>39</v>
      </c>
      <c r="GC14" s="30" t="s">
        <v>28</v>
      </c>
      <c r="GD14" s="30" t="s">
        <v>83</v>
      </c>
      <c r="GE14" s="17">
        <v>1186</v>
      </c>
      <c r="GF14" s="33">
        <f t="shared" si="8"/>
        <v>4.4505923717353894E-2</v>
      </c>
      <c r="GG14" s="33">
        <f t="shared" si="9"/>
        <v>4.2278602575878621E-2</v>
      </c>
      <c r="GI14" s="1">
        <v>1.1607000000000001</v>
      </c>
      <c r="GJ14" s="18">
        <v>6692.3316517592602</v>
      </c>
      <c r="GK14" s="11">
        <v>9212598.1669616103</v>
      </c>
      <c r="GL14" s="5"/>
      <c r="GM14" s="11">
        <v>1</v>
      </c>
      <c r="GN14" s="11">
        <v>1376.5902000000001</v>
      </c>
      <c r="GO14" s="5">
        <v>10.345777261492378</v>
      </c>
      <c r="GP14" s="8">
        <v>4.3018443750000003E-2</v>
      </c>
      <c r="GQ14" s="8">
        <v>-3.3422067066858574E-2</v>
      </c>
      <c r="GR14" s="5"/>
      <c r="GS14" s="21">
        <v>30930.493853860527</v>
      </c>
      <c r="GT14" s="22">
        <v>50933.837400000004</v>
      </c>
      <c r="GV14" s="16" t="s">
        <v>995</v>
      </c>
      <c r="GW14" s="32" t="s">
        <v>191</v>
      </c>
      <c r="GX14" s="32">
        <v>7751</v>
      </c>
      <c r="GY14" s="32" t="s">
        <v>1558</v>
      </c>
      <c r="GZ14" s="32"/>
      <c r="HA14" s="30" t="s">
        <v>902</v>
      </c>
      <c r="HB14" s="30" t="s">
        <v>26</v>
      </c>
      <c r="HC14" s="30" t="s">
        <v>320</v>
      </c>
      <c r="HD14" s="30" t="s">
        <v>28</v>
      </c>
      <c r="HE14" s="30" t="s">
        <v>94</v>
      </c>
      <c r="HF14" s="17">
        <v>4526</v>
      </c>
      <c r="HG14" s="33">
        <f t="shared" si="10"/>
        <v>2.8744334409914543E-2</v>
      </c>
      <c r="HH14" s="33">
        <f t="shared" si="29"/>
        <v>2.7304951241093722E-2</v>
      </c>
      <c r="HJ14" s="1">
        <v>6.3369999999999998E-3</v>
      </c>
      <c r="HK14" s="18">
        <v>163450.15214574401</v>
      </c>
      <c r="HL14" s="11">
        <v>4687956.6376319453</v>
      </c>
      <c r="HM14" s="5"/>
      <c r="HN14" s="11">
        <v>100</v>
      </c>
      <c r="HO14" s="11">
        <v>2868.1261999999997</v>
      </c>
      <c r="HP14" s="5">
        <v>3.207037058262169</v>
      </c>
      <c r="HQ14" s="8">
        <v>2.6888683125E-2</v>
      </c>
      <c r="HR14" s="8">
        <v>-6.4557114402151172E-2</v>
      </c>
      <c r="HS14" s="5"/>
      <c r="HT14" s="21">
        <v>99780.574463770536</v>
      </c>
      <c r="HU14" s="22">
        <v>106120.66939999998</v>
      </c>
      <c r="HW14" s="16" t="s">
        <v>1022</v>
      </c>
      <c r="HX14" s="45" t="s">
        <v>211</v>
      </c>
      <c r="HY14" s="32">
        <v>267</v>
      </c>
      <c r="HZ14" s="32" t="s">
        <v>1586</v>
      </c>
      <c r="IA14" s="45"/>
      <c r="IB14" s="30" t="s">
        <v>862</v>
      </c>
      <c r="IC14" s="30" t="s">
        <v>26</v>
      </c>
      <c r="ID14" s="30" t="s">
        <v>27</v>
      </c>
      <c r="IE14" s="30" t="s">
        <v>28</v>
      </c>
      <c r="IF14" s="30" t="s">
        <v>82</v>
      </c>
      <c r="IG14" s="17">
        <v>11.91</v>
      </c>
      <c r="IH14" s="33">
        <f t="shared" si="11"/>
        <v>4.5874654620566606E-2</v>
      </c>
      <c r="II14" s="33">
        <f t="shared" si="12"/>
        <v>4.3604395956865695E-2</v>
      </c>
      <c r="IK14" s="1">
        <v>1</v>
      </c>
      <c r="IL14" s="18">
        <v>730067.919199083</v>
      </c>
      <c r="IM14" s="11">
        <v>8695108.9176610783</v>
      </c>
      <c r="IN14" s="5"/>
      <c r="IO14" s="11">
        <v>1000</v>
      </c>
      <c r="IP14" s="11">
        <v>11910</v>
      </c>
      <c r="IQ14" s="5">
        <v>1.2325683861109415</v>
      </c>
      <c r="IR14" s="8">
        <v>3.7218750000000002E-2</v>
      </c>
      <c r="IS14" s="8">
        <v>-0.18868598994718044</v>
      </c>
      <c r="IT14" s="5"/>
      <c r="IU14" s="21">
        <v>259620.48321690224</v>
      </c>
      <c r="IV14" s="22">
        <v>440670</v>
      </c>
      <c r="IX14" s="16" t="s">
        <v>1036</v>
      </c>
      <c r="IY14" s="32" t="s">
        <v>228</v>
      </c>
      <c r="IZ14" s="32">
        <v>9807</v>
      </c>
      <c r="JA14" s="32" t="s">
        <v>1601</v>
      </c>
      <c r="JB14" s="32"/>
      <c r="JC14" s="30" t="s">
        <v>862</v>
      </c>
      <c r="JD14" s="30" t="s">
        <v>26</v>
      </c>
      <c r="JE14" s="30" t="s">
        <v>27</v>
      </c>
      <c r="JF14" s="30" t="s">
        <v>28</v>
      </c>
      <c r="JG14" s="30" t="s">
        <v>34</v>
      </c>
      <c r="JH14" s="17">
        <v>7.8650000000000002</v>
      </c>
      <c r="JI14" s="33">
        <f t="shared" si="30"/>
        <v>3.0088414645567215E-2</v>
      </c>
      <c r="JJ14" s="33">
        <f t="shared" si="13"/>
        <v>2.8582457424196035E-2</v>
      </c>
      <c r="JL14" s="1">
        <v>1</v>
      </c>
      <c r="JM14" s="18">
        <v>466705.61157787702</v>
      </c>
      <c r="JN14" s="11">
        <v>3670639.635060003</v>
      </c>
      <c r="JO14" s="5"/>
      <c r="JP14" s="11">
        <v>50</v>
      </c>
      <c r="JQ14" s="11">
        <v>393.25</v>
      </c>
      <c r="JR14" s="5">
        <v>24.483897486539117</v>
      </c>
      <c r="JS14" s="8">
        <v>2.9493749999999999E-2</v>
      </c>
      <c r="JT14" s="8">
        <v>-1.9763907556187066E-2</v>
      </c>
      <c r="JU14" s="5"/>
      <c r="JV14" s="21">
        <v>13069.814565917506</v>
      </c>
      <c r="JW14" s="22">
        <v>14550.25</v>
      </c>
      <c r="JY14" s="16" t="s">
        <v>1386</v>
      </c>
      <c r="JZ14" s="32" t="s">
        <v>1370</v>
      </c>
      <c r="KA14" s="32" t="s">
        <v>1375</v>
      </c>
      <c r="KB14" s="32" t="s">
        <v>1620</v>
      </c>
      <c r="KC14" s="32"/>
      <c r="KD14" s="30" t="s">
        <v>838</v>
      </c>
      <c r="KE14" s="30" t="s">
        <v>26</v>
      </c>
      <c r="KF14" s="30" t="s">
        <v>323</v>
      </c>
      <c r="KG14" s="30" t="s">
        <v>28</v>
      </c>
      <c r="KH14" s="30" t="s">
        <v>431</v>
      </c>
      <c r="KI14" s="17">
        <v>24.4</v>
      </c>
      <c r="KJ14" s="33">
        <f t="shared" si="31"/>
        <v>3.1589351071205252E-2</v>
      </c>
      <c r="KK14" s="33">
        <f t="shared" si="32"/>
        <v>3.0014755048093776E-2</v>
      </c>
      <c r="KM14" s="1">
        <v>0.70340000000000003</v>
      </c>
      <c r="KN14" s="18">
        <v>182768.74386654401</v>
      </c>
      <c r="KO14" s="11">
        <v>3136852.6402317402</v>
      </c>
      <c r="KP14" s="5"/>
      <c r="KQ14" s="11">
        <v>1</v>
      </c>
      <c r="KR14" s="11">
        <v>17.162959999999998</v>
      </c>
      <c r="KS14" s="5">
        <v>588.97721271771775</v>
      </c>
      <c r="KT14" s="8">
        <v>3.1590573249999997E-2</v>
      </c>
      <c r="KU14" s="8">
        <v>3.8689582194662009E-5</v>
      </c>
      <c r="KV14" s="5"/>
      <c r="KW14" s="21">
        <v>543.31473797334854</v>
      </c>
      <c r="KX14" s="22">
        <v>635.02951999999993</v>
      </c>
      <c r="KZ14" s="16" t="s">
        <v>935</v>
      </c>
      <c r="LA14" s="44" t="s">
        <v>310</v>
      </c>
      <c r="LB14" s="32" t="s">
        <v>376</v>
      </c>
      <c r="LC14" s="32" t="s">
        <v>1505</v>
      </c>
      <c r="LD14" s="44"/>
      <c r="LE14" s="30" t="s">
        <v>850</v>
      </c>
      <c r="LF14" s="30" t="s">
        <v>26</v>
      </c>
      <c r="LG14" s="30" t="s">
        <v>33</v>
      </c>
      <c r="LH14" s="30" t="s">
        <v>28</v>
      </c>
      <c r="LI14" s="30" t="s">
        <v>34</v>
      </c>
      <c r="LJ14" s="17">
        <v>47.07</v>
      </c>
      <c r="LK14" s="33">
        <f t="shared" si="14"/>
        <v>6.7643177815248687E-2</v>
      </c>
      <c r="LL14" s="33">
        <f t="shared" si="15"/>
        <v>6.4232149153133453E-2</v>
      </c>
      <c r="LN14" s="1">
        <v>1</v>
      </c>
      <c r="LO14" s="18">
        <v>158808.259686112</v>
      </c>
      <c r="LP14" s="11">
        <v>7475104.783425292</v>
      </c>
      <c r="LQ14" s="5"/>
      <c r="LR14" s="11">
        <v>1</v>
      </c>
      <c r="LS14" s="11">
        <v>47.07</v>
      </c>
      <c r="LT14" s="5">
        <v>459.86439135074528</v>
      </c>
      <c r="LU14" s="8">
        <v>6.7663125000000005E-2</v>
      </c>
      <c r="LV14" s="8">
        <v>2.9488834492363836E-4</v>
      </c>
      <c r="LW14" s="5"/>
      <c r="LX14" s="21">
        <v>695.85731363125126</v>
      </c>
      <c r="LY14" s="22">
        <v>1741.59</v>
      </c>
      <c r="MA14" s="16" t="s">
        <v>1081</v>
      </c>
      <c r="MB14" s="32" t="s">
        <v>260</v>
      </c>
      <c r="MC14" s="32" t="s">
        <v>325</v>
      </c>
      <c r="MD14" s="32" t="s">
        <v>1649</v>
      </c>
      <c r="ME14" s="32"/>
      <c r="MF14" s="30" t="s">
        <v>968</v>
      </c>
      <c r="MG14" s="30" t="s">
        <v>26</v>
      </c>
      <c r="MH14" s="30" t="s">
        <v>326</v>
      </c>
      <c r="MI14" s="30" t="s">
        <v>28</v>
      </c>
      <c r="MJ14" s="30" t="s">
        <v>83</v>
      </c>
      <c r="MK14" s="17">
        <v>33.03</v>
      </c>
      <c r="ML14" s="33">
        <f t="shared" si="16"/>
        <v>2.8463645058212313E-2</v>
      </c>
      <c r="MM14" s="33">
        <f t="shared" si="17"/>
        <v>2.7023318613339387E-2</v>
      </c>
      <c r="MO14" s="1">
        <v>1.1607000000000001</v>
      </c>
      <c r="MP14" s="18">
        <v>133382.72361501501</v>
      </c>
      <c r="MQ14" s="11">
        <v>5113616.3207172798</v>
      </c>
      <c r="MR14" s="5"/>
      <c r="MS14" s="11">
        <v>1</v>
      </c>
      <c r="MT14" s="11">
        <v>38.337921000000001</v>
      </c>
      <c r="MU14" s="5">
        <v>237.58112545090643</v>
      </c>
      <c r="MV14" s="8">
        <v>2.8513828743750004E-2</v>
      </c>
      <c r="MW14" s="8">
        <v>1.7630800775887412E-3</v>
      </c>
      <c r="MX14" s="5"/>
      <c r="MY14" s="21">
        <v>1346.9083429614636</v>
      </c>
      <c r="MZ14" s="22">
        <v>1418.5030770000001</v>
      </c>
      <c r="NB14" s="16" t="s">
        <v>1414</v>
      </c>
      <c r="NC14" s="32" t="s">
        <v>1408</v>
      </c>
      <c r="ND14" s="32" t="s">
        <v>1411</v>
      </c>
      <c r="NE14" s="32" t="s">
        <v>1651</v>
      </c>
      <c r="NF14" s="32"/>
      <c r="NG14" s="30" t="s">
        <v>850</v>
      </c>
      <c r="NH14" s="30" t="s">
        <v>26</v>
      </c>
      <c r="NI14" s="30" t="s">
        <v>33</v>
      </c>
      <c r="NJ14" s="30" t="s">
        <v>28</v>
      </c>
      <c r="NK14" s="30" t="s">
        <v>34</v>
      </c>
      <c r="NL14" s="17">
        <v>73.87</v>
      </c>
      <c r="NM14" s="33">
        <f t="shared" si="18"/>
        <v>3.8836485600953284E-2</v>
      </c>
      <c r="NN14" s="33">
        <f t="shared" si="19"/>
        <v>3.6866537483503263E-2</v>
      </c>
      <c r="NP14" s="1">
        <v>1</v>
      </c>
      <c r="NQ14" s="18">
        <v>89878.217757539896</v>
      </c>
      <c r="NR14" s="11">
        <v>6639303.9457494728</v>
      </c>
      <c r="NS14" s="5"/>
      <c r="NT14" s="11">
        <v>1</v>
      </c>
      <c r="NU14" s="11">
        <v>73.87</v>
      </c>
      <c r="NV14" s="5">
        <v>168.23711103702519</v>
      </c>
      <c r="NW14" s="8">
        <v>3.8781749999999997E-2</v>
      </c>
      <c r="NX14" s="8">
        <v>-1.409386047844241E-3</v>
      </c>
      <c r="NY14" s="5"/>
      <c r="NZ14" s="21">
        <v>1902.0773599088684</v>
      </c>
      <c r="OA14" s="22">
        <v>2733.19</v>
      </c>
      <c r="OC14" s="16" t="s">
        <v>1093</v>
      </c>
      <c r="OD14" s="32" t="s">
        <v>276</v>
      </c>
      <c r="OE14" s="32" t="s">
        <v>352</v>
      </c>
      <c r="OF14" s="32" t="s">
        <v>1672</v>
      </c>
      <c r="OG14" s="32"/>
      <c r="OH14" s="30" t="s">
        <v>886</v>
      </c>
      <c r="OI14" s="30" t="s">
        <v>26</v>
      </c>
      <c r="OJ14" s="30" t="s">
        <v>39</v>
      </c>
      <c r="OK14" s="30" t="s">
        <v>28</v>
      </c>
      <c r="OL14" s="30" t="s">
        <v>83</v>
      </c>
      <c r="OM14" s="17">
        <v>26.52</v>
      </c>
      <c r="ON14" s="33">
        <f t="shared" si="20"/>
        <v>4.5431529675485409E-2</v>
      </c>
      <c r="OO14" s="33">
        <f t="shared" si="33"/>
        <v>4.3078496719157124E-2</v>
      </c>
      <c r="OQ14" s="1">
        <v>1</v>
      </c>
      <c r="OR14" s="18">
        <v>315496.82079647703</v>
      </c>
      <c r="OS14" s="11">
        <v>8366975.6875225706</v>
      </c>
      <c r="OT14" s="5"/>
      <c r="OU14" s="11">
        <v>1</v>
      </c>
      <c r="OV14" s="11">
        <v>26.52</v>
      </c>
      <c r="OW14" s="5">
        <v>548.19341991535941</v>
      </c>
      <c r="OX14" s="8">
        <v>4.5415499999999998E-2</v>
      </c>
      <c r="OY14" s="8">
        <v>-3.5283151590781436E-4</v>
      </c>
      <c r="OZ14" s="5"/>
      <c r="PA14" s="21">
        <v>583.73557283742616</v>
      </c>
      <c r="PB14" s="22">
        <v>981.2399999999999</v>
      </c>
      <c r="PD14" s="16" t="s">
        <v>994</v>
      </c>
      <c r="PE14" s="32" t="s">
        <v>190</v>
      </c>
      <c r="PF14" s="32">
        <v>5108</v>
      </c>
      <c r="PG14" s="32" t="s">
        <v>1556</v>
      </c>
      <c r="PH14" s="32"/>
      <c r="PI14" s="30" t="s">
        <v>902</v>
      </c>
      <c r="PJ14" s="30" t="s">
        <v>26</v>
      </c>
      <c r="PK14" s="71" t="s">
        <v>320</v>
      </c>
      <c r="PL14" s="30" t="s">
        <v>28</v>
      </c>
      <c r="PM14" s="30" t="s">
        <v>94</v>
      </c>
      <c r="PN14" s="17">
        <v>3465</v>
      </c>
      <c r="PO14" s="33">
        <f t="shared" si="21"/>
        <v>4.2547559870965687E-2</v>
      </c>
      <c r="PP14" s="33">
        <f t="shared" si="22"/>
        <v>4.041798595562316E-2</v>
      </c>
      <c r="PR14" s="1">
        <v>1</v>
      </c>
      <c r="PS14" s="18">
        <v>2366.4471936424802</v>
      </c>
      <c r="PT14" s="11">
        <v>8199739.5259711938</v>
      </c>
      <c r="PU14" s="5"/>
      <c r="PV14" s="11">
        <v>100</v>
      </c>
      <c r="PW14" s="11">
        <v>346500</v>
      </c>
      <c r="PX14" s="5">
        <v>3.9293561785596016E-2</v>
      </c>
      <c r="PY14" s="8">
        <v>0</v>
      </c>
      <c r="PZ14" s="8">
        <v>-1</v>
      </c>
      <c r="QA14" s="5"/>
      <c r="QB14" s="21">
        <v>8143827.7788628358</v>
      </c>
      <c r="QC14" s="22">
        <v>12820500</v>
      </c>
      <c r="QE14" s="16" t="s">
        <v>1119</v>
      </c>
      <c r="QF14" s="34" t="s">
        <v>298</v>
      </c>
      <c r="QG14" s="34"/>
      <c r="QH14" s="32" t="s">
        <v>1700</v>
      </c>
      <c r="QI14" s="34"/>
      <c r="QJ14" s="30" t="s">
        <v>853</v>
      </c>
      <c r="QK14" s="30" t="s">
        <v>26</v>
      </c>
      <c r="QL14" s="30"/>
      <c r="QM14" s="30" t="s">
        <v>28</v>
      </c>
      <c r="QN14" s="30" t="s">
        <v>34</v>
      </c>
      <c r="QO14" s="17">
        <v>84.42</v>
      </c>
      <c r="QP14" s="33">
        <f t="shared" si="23"/>
        <v>4.3342605844256622E-2</v>
      </c>
      <c r="QQ14" s="33">
        <f t="shared" si="24"/>
        <v>4.1186050816232771E-2</v>
      </c>
      <c r="QS14" s="1">
        <v>1</v>
      </c>
      <c r="QT14" s="18">
        <v>58570.888251485303</v>
      </c>
      <c r="QU14" s="11">
        <v>4944554.3861903893</v>
      </c>
      <c r="QV14" s="5"/>
      <c r="QW14" s="11">
        <v>1</v>
      </c>
      <c r="QX14" s="11">
        <v>84.42</v>
      </c>
      <c r="QY14" s="5">
        <v>164.2932228164193</v>
      </c>
      <c r="QZ14" s="8">
        <v>4.3265250000000005E-2</v>
      </c>
      <c r="RA14" s="8">
        <v>-1.7847529641983328E-3</v>
      </c>
      <c r="RB14" s="5"/>
      <c r="RC14" s="21">
        <v>1947.73706738693</v>
      </c>
      <c r="RD14" s="22">
        <v>3123.54</v>
      </c>
      <c r="RF14" s="16" t="s">
        <v>1328</v>
      </c>
      <c r="RG14" s="34" t="s">
        <v>1302</v>
      </c>
      <c r="RH14" s="34"/>
      <c r="RI14" s="32" t="s">
        <v>1717</v>
      </c>
      <c r="RJ14" s="34"/>
      <c r="RK14" s="30" t="s">
        <v>853</v>
      </c>
    </row>
    <row r="15" spans="15:479" x14ac:dyDescent="0.2">
      <c r="O15" s="16" t="s">
        <v>890</v>
      </c>
      <c r="P15" s="32" t="s">
        <v>92</v>
      </c>
      <c r="Q15" s="32" t="s">
        <v>321</v>
      </c>
      <c r="R15" s="32" t="s">
        <v>1437</v>
      </c>
      <c r="S15" s="32"/>
      <c r="T15" s="30" t="s">
        <v>850</v>
      </c>
      <c r="U15" s="30" t="s">
        <v>26</v>
      </c>
      <c r="V15" s="30" t="s">
        <v>33</v>
      </c>
      <c r="W15" s="30" t="s">
        <v>28</v>
      </c>
      <c r="X15" s="30" t="s">
        <v>34</v>
      </c>
      <c r="Y15" s="17">
        <v>232.35</v>
      </c>
      <c r="Z15" s="33">
        <f t="shared" si="0"/>
        <v>2.8821131877116025E-2</v>
      </c>
      <c r="AA15" s="33">
        <f t="shared" si="1"/>
        <v>2.7381043894987862E-2</v>
      </c>
      <c r="AB15" s="4"/>
      <c r="AC15" s="1">
        <v>1</v>
      </c>
      <c r="AD15" s="18">
        <v>25526.694079036501</v>
      </c>
      <c r="AE15" s="11">
        <v>5931127.3692641305</v>
      </c>
      <c r="AF15" s="5"/>
      <c r="AG15" s="11">
        <v>1</v>
      </c>
      <c r="AH15" s="11">
        <v>232.35</v>
      </c>
      <c r="AI15" s="5">
        <v>39.693403058649146</v>
      </c>
      <c r="AJ15" s="8">
        <v>2.904375E-2</v>
      </c>
      <c r="AK15" s="8">
        <v>7.7241283872244715E-3</v>
      </c>
      <c r="AL15" s="5"/>
      <c r="AM15" s="21">
        <v>8061.7930270977959</v>
      </c>
      <c r="AN15" s="22">
        <v>8596.9499999999989</v>
      </c>
      <c r="AP15" s="16" t="s">
        <v>897</v>
      </c>
      <c r="AQ15" s="32" t="s">
        <v>101</v>
      </c>
      <c r="AR15" s="32" t="s">
        <v>363</v>
      </c>
      <c r="AS15" s="32" t="s">
        <v>1472</v>
      </c>
      <c r="AT15" s="32"/>
      <c r="AU15" s="30" t="s">
        <v>850</v>
      </c>
      <c r="AV15" s="30" t="s">
        <v>26</v>
      </c>
      <c r="AW15" s="30" t="s">
        <v>33</v>
      </c>
      <c r="AX15" s="30" t="s">
        <v>28</v>
      </c>
      <c r="AY15" s="30" t="s">
        <v>34</v>
      </c>
      <c r="AZ15" s="17">
        <v>275.92</v>
      </c>
      <c r="BA15" s="33">
        <f t="shared" si="2"/>
        <v>4.5113252111182056E-2</v>
      </c>
      <c r="BB15" s="33">
        <f t="shared" si="25"/>
        <v>4.2843035905537716E-2</v>
      </c>
      <c r="BD15" s="1">
        <v>1</v>
      </c>
      <c r="BE15" s="18">
        <v>26919.463711303601</v>
      </c>
      <c r="BF15" s="11">
        <v>7427618.4272228898</v>
      </c>
      <c r="BG15" s="5"/>
      <c r="BH15" s="11">
        <v>1</v>
      </c>
      <c r="BI15" s="11">
        <v>275.92</v>
      </c>
      <c r="BJ15" s="5">
        <v>52.320385168085885</v>
      </c>
      <c r="BK15" s="8">
        <v>4.4837000000000002E-2</v>
      </c>
      <c r="BL15" s="8">
        <v>-6.1235246463994253E-3</v>
      </c>
      <c r="BM15" s="5"/>
      <c r="BN15" s="21">
        <v>6116.1629252529265</v>
      </c>
      <c r="BO15" s="22">
        <v>10209.040000000001</v>
      </c>
      <c r="BQ15" s="16" t="s">
        <v>916</v>
      </c>
      <c r="BR15" s="32" t="s">
        <v>112</v>
      </c>
      <c r="BS15" s="32">
        <v>8961</v>
      </c>
      <c r="BT15" s="32" t="s">
        <v>1490</v>
      </c>
      <c r="BU15" s="32"/>
      <c r="BV15" s="30" t="s">
        <v>902</v>
      </c>
      <c r="BW15" s="30" t="s">
        <v>26</v>
      </c>
      <c r="BX15" s="71" t="s">
        <v>320</v>
      </c>
      <c r="BY15" s="30" t="s">
        <v>28</v>
      </c>
      <c r="BZ15" s="30" t="s">
        <v>94</v>
      </c>
      <c r="CA15" s="17">
        <v>77000</v>
      </c>
      <c r="CB15" s="33">
        <f t="shared" si="3"/>
        <v>6.4557071975443137E-2</v>
      </c>
      <c r="CC15" s="33">
        <f t="shared" si="26"/>
        <v>6.1323692977899608E-2</v>
      </c>
      <c r="CE15" s="1">
        <v>1</v>
      </c>
      <c r="CF15" s="18">
        <v>525.98938328209601</v>
      </c>
      <c r="CG15" s="11">
        <v>40501182.51272139</v>
      </c>
      <c r="CH15" s="5"/>
      <c r="CI15" s="11">
        <v>1</v>
      </c>
      <c r="CJ15" s="11">
        <v>77000</v>
      </c>
      <c r="CK15" s="5">
        <v>0.26828913028755591</v>
      </c>
      <c r="CL15" s="8">
        <v>0</v>
      </c>
      <c r="CM15" s="8">
        <v>-1</v>
      </c>
      <c r="CN15" s="5"/>
      <c r="CO15" s="21">
        <v>1192743.0666200293</v>
      </c>
      <c r="CP15" s="22">
        <v>2849000</v>
      </c>
      <c r="CR15" s="16" t="s">
        <v>931</v>
      </c>
      <c r="CS15" s="32" t="s">
        <v>741</v>
      </c>
      <c r="CT15" s="32" t="s">
        <v>743</v>
      </c>
      <c r="CU15" s="32" t="s">
        <v>1503</v>
      </c>
      <c r="CV15" s="32"/>
      <c r="CW15" s="30" t="s">
        <v>932</v>
      </c>
      <c r="CX15" s="30" t="s">
        <v>26</v>
      </c>
      <c r="CY15" s="30" t="s">
        <v>384</v>
      </c>
      <c r="CZ15" s="30" t="s">
        <v>28</v>
      </c>
      <c r="DA15" s="30" t="s">
        <v>933</v>
      </c>
      <c r="DB15" s="17">
        <v>1.39</v>
      </c>
      <c r="DC15" s="33">
        <f t="shared" si="4"/>
        <v>4.8042884102923851E-2</v>
      </c>
      <c r="DD15" s="33">
        <f t="shared" si="5"/>
        <v>4.5625481097485439E-2</v>
      </c>
      <c r="DF15" s="1">
        <v>0.7823</v>
      </c>
      <c r="DG15" s="18">
        <v>8012611.9008793002</v>
      </c>
      <c r="DH15" s="11">
        <v>8712890.1431804467</v>
      </c>
      <c r="DI15" s="5"/>
      <c r="DJ15" s="11">
        <v>100</v>
      </c>
      <c r="DK15" s="11">
        <v>108.7397</v>
      </c>
      <c r="DL15" s="5">
        <v>141.38095757975819</v>
      </c>
      <c r="DM15" s="8">
        <v>4.7913430312499998E-2</v>
      </c>
      <c r="DN15" s="8">
        <v>-2.6945466085366299E-3</v>
      </c>
      <c r="DO15" s="5"/>
      <c r="DP15" s="21">
        <v>2263.388263016087</v>
      </c>
      <c r="DQ15" s="22">
        <v>4023.3688999999999</v>
      </c>
      <c r="DS15" s="16" t="s">
        <v>949</v>
      </c>
      <c r="DT15" s="32" t="s">
        <v>724</v>
      </c>
      <c r="DU15" s="32" t="s">
        <v>726</v>
      </c>
      <c r="DV15" s="32" t="s">
        <v>1518</v>
      </c>
      <c r="DW15" s="32"/>
      <c r="DX15" s="30" t="s">
        <v>777</v>
      </c>
      <c r="DY15" s="30" t="s">
        <v>26</v>
      </c>
      <c r="DZ15" s="30" t="s">
        <v>129</v>
      </c>
      <c r="EA15" s="30" t="s">
        <v>28</v>
      </c>
      <c r="EB15" s="43" t="s">
        <v>827</v>
      </c>
      <c r="EC15" s="17">
        <v>13.43</v>
      </c>
      <c r="ED15" s="33">
        <f t="shared" si="27"/>
        <v>5.5782706927224625E-2</v>
      </c>
      <c r="EE15" s="33">
        <f t="shared" si="28"/>
        <v>5.2915911533185422E-2</v>
      </c>
      <c r="EG15" s="1">
        <v>1</v>
      </c>
      <c r="EH15" s="18">
        <v>685448.79235240095</v>
      </c>
      <c r="EI15" s="11">
        <v>9205577.281292744</v>
      </c>
      <c r="EJ15" s="5"/>
      <c r="EK15" s="11">
        <v>1</v>
      </c>
      <c r="EL15" s="11">
        <v>13.43</v>
      </c>
      <c r="EM15" s="5">
        <v>1329.1486386233717</v>
      </c>
      <c r="EN15" s="8">
        <v>5.5776468750000002E-2</v>
      </c>
      <c r="EO15" s="8">
        <v>-1.1182994817304781E-4</v>
      </c>
      <c r="EP15" s="5"/>
      <c r="EQ15" s="21">
        <v>240.75561656627886</v>
      </c>
      <c r="ER15" s="22">
        <v>496.90999999999997</v>
      </c>
      <c r="ET15" s="16" t="s">
        <v>874</v>
      </c>
      <c r="EU15" s="32" t="s">
        <v>170</v>
      </c>
      <c r="EV15" s="32" t="s">
        <v>358</v>
      </c>
      <c r="EW15" s="32" t="s">
        <v>1439</v>
      </c>
      <c r="EX15" s="32"/>
      <c r="EY15" s="30" t="s">
        <v>853</v>
      </c>
      <c r="EZ15" s="30" t="s">
        <v>26</v>
      </c>
      <c r="FA15" s="30" t="s">
        <v>33</v>
      </c>
      <c r="FB15" s="30" t="s">
        <v>28</v>
      </c>
      <c r="FC15" s="30" t="s">
        <v>34</v>
      </c>
      <c r="FD15" s="17">
        <v>660.57</v>
      </c>
      <c r="FE15" s="33">
        <f t="shared" si="6"/>
        <v>3.3271424400118418E-2</v>
      </c>
      <c r="FF15" s="33">
        <f t="shared" si="7"/>
        <v>3.1606973588891737E-2</v>
      </c>
      <c r="FH15" s="1">
        <v>1</v>
      </c>
      <c r="FI15" s="18">
        <v>10321.4280560797</v>
      </c>
      <c r="FJ15" s="11">
        <v>6818025.7310045678</v>
      </c>
      <c r="FK15" s="5"/>
      <c r="FL15" s="11">
        <v>1</v>
      </c>
      <c r="FM15" s="11">
        <v>660.57</v>
      </c>
      <c r="FN15" s="5">
        <v>16.117679894693815</v>
      </c>
      <c r="FO15" s="8">
        <v>3.3028500000000002E-2</v>
      </c>
      <c r="FP15" s="8">
        <v>-7.301292460371811E-3</v>
      </c>
      <c r="FQ15" s="5"/>
      <c r="FR15" s="21">
        <v>19853.974150792565</v>
      </c>
      <c r="FS15" s="22">
        <v>24441.09</v>
      </c>
      <c r="FU15" s="16" t="s">
        <v>972</v>
      </c>
      <c r="FV15" s="32" t="s">
        <v>177</v>
      </c>
      <c r="FW15" s="32" t="s">
        <v>388</v>
      </c>
      <c r="FX15" s="32" t="s">
        <v>1538</v>
      </c>
      <c r="FY15" s="32"/>
      <c r="FZ15" s="30" t="s">
        <v>853</v>
      </c>
      <c r="GA15" s="30" t="s">
        <v>26</v>
      </c>
      <c r="GB15" s="30" t="s">
        <v>33</v>
      </c>
      <c r="GC15" s="30" t="s">
        <v>28</v>
      </c>
      <c r="GD15" s="30" t="s">
        <v>34</v>
      </c>
      <c r="GE15" s="17">
        <v>264.12</v>
      </c>
      <c r="GF15" s="33">
        <f t="shared" si="8"/>
        <v>2.9721053620458692E-2</v>
      </c>
      <c r="GG15" s="33">
        <f t="shared" si="9"/>
        <v>2.8233648674182845E-2</v>
      </c>
      <c r="GI15" s="1">
        <v>1</v>
      </c>
      <c r="GJ15" s="18">
        <v>23293.096291986301</v>
      </c>
      <c r="GK15" s="11">
        <v>6152172.592639422</v>
      </c>
      <c r="GL15" s="5"/>
      <c r="GM15" s="11">
        <v>1</v>
      </c>
      <c r="GN15" s="11">
        <v>264.12</v>
      </c>
      <c r="GO15" s="5">
        <v>36.009151743702787</v>
      </c>
      <c r="GP15" s="8">
        <v>2.97135E-2</v>
      </c>
      <c r="GQ15" s="8">
        <v>-2.5415049396138034E-4</v>
      </c>
      <c r="GR15" s="5"/>
      <c r="GS15" s="21">
        <v>8886.6297733870106</v>
      </c>
      <c r="GT15" s="22">
        <v>9772.44</v>
      </c>
      <c r="GV15" s="16" t="s">
        <v>996</v>
      </c>
      <c r="GW15" s="32" t="s">
        <v>192</v>
      </c>
      <c r="GX15" s="32" t="s">
        <v>414</v>
      </c>
      <c r="GY15" s="32" t="s">
        <v>1559</v>
      </c>
      <c r="GZ15" s="32"/>
      <c r="HA15" s="30" t="s">
        <v>838</v>
      </c>
      <c r="HB15" s="30" t="s">
        <v>26</v>
      </c>
      <c r="HC15" s="30" t="s">
        <v>323</v>
      </c>
      <c r="HD15" s="30" t="s">
        <v>28</v>
      </c>
      <c r="HE15" s="30" t="s">
        <v>431</v>
      </c>
      <c r="HF15" s="17">
        <v>21.15</v>
      </c>
      <c r="HG15" s="33">
        <f t="shared" si="10"/>
        <v>2.8176807593536982E-2</v>
      </c>
      <c r="HH15" s="33">
        <f t="shared" si="29"/>
        <v>2.6765843539791119E-2</v>
      </c>
      <c r="HJ15" s="1">
        <v>0.70340000000000003</v>
      </c>
      <c r="HK15" s="18">
        <v>308894.64528723003</v>
      </c>
      <c r="HL15" s="11">
        <v>4595397.8374200454</v>
      </c>
      <c r="HM15" s="5"/>
      <c r="HN15" s="11">
        <v>1</v>
      </c>
      <c r="HO15" s="11">
        <v>14.876909999999999</v>
      </c>
      <c r="HP15" s="5">
        <v>606.07871056098577</v>
      </c>
      <c r="HQ15" s="8">
        <v>2.8173148312499997E-2</v>
      </c>
      <c r="HR15" s="8">
        <v>-1.2986854613805665E-4</v>
      </c>
      <c r="HS15" s="5"/>
      <c r="HT15" s="21">
        <v>527.98422783042213</v>
      </c>
      <c r="HU15" s="22">
        <v>550.44566999999995</v>
      </c>
      <c r="HW15" s="16" t="s">
        <v>1027</v>
      </c>
      <c r="HX15" s="32" t="s">
        <v>215</v>
      </c>
      <c r="HY15" s="32">
        <v>1339</v>
      </c>
      <c r="HZ15" s="32" t="s">
        <v>1587</v>
      </c>
      <c r="IA15" s="32"/>
      <c r="IB15" s="30" t="s">
        <v>862</v>
      </c>
      <c r="IC15" s="30" t="s">
        <v>26</v>
      </c>
      <c r="ID15" s="30" t="s">
        <v>27</v>
      </c>
      <c r="IE15" s="30" t="s">
        <v>28</v>
      </c>
      <c r="IF15" s="30" t="s">
        <v>82</v>
      </c>
      <c r="IG15" s="17">
        <v>6.4</v>
      </c>
      <c r="IH15" s="33">
        <f t="shared" si="11"/>
        <v>4.5534373499639812E-2</v>
      </c>
      <c r="II15" s="33">
        <f t="shared" si="12"/>
        <v>4.3280954770087018E-2</v>
      </c>
      <c r="IK15" s="1">
        <v>1</v>
      </c>
      <c r="IL15" s="18">
        <v>1348533.0991575399</v>
      </c>
      <c r="IM15" s="11">
        <v>8630611.834608255</v>
      </c>
      <c r="IN15" s="5"/>
      <c r="IO15" s="11">
        <v>1000</v>
      </c>
      <c r="IP15" s="11">
        <v>6400</v>
      </c>
      <c r="IQ15" s="5">
        <v>2.2767186749819905</v>
      </c>
      <c r="IR15" s="8">
        <v>0.04</v>
      </c>
      <c r="IS15" s="8">
        <v>-0.12154276152901478</v>
      </c>
      <c r="IT15" s="5"/>
      <c r="IU15" s="21">
        <v>140553.15815535764</v>
      </c>
      <c r="IV15" s="22">
        <v>236800</v>
      </c>
      <c r="IX15" s="16" t="s">
        <v>1037</v>
      </c>
      <c r="IY15" s="32" t="s">
        <v>229</v>
      </c>
      <c r="IZ15" s="32">
        <v>9191</v>
      </c>
      <c r="JA15" s="32" t="s">
        <v>1602</v>
      </c>
      <c r="JB15" s="32"/>
      <c r="JC15" s="30" t="s">
        <v>862</v>
      </c>
      <c r="JD15" s="30" t="s">
        <v>26</v>
      </c>
      <c r="JE15" s="30" t="s">
        <v>27</v>
      </c>
      <c r="JF15" s="30" t="s">
        <v>28</v>
      </c>
      <c r="JG15" s="30" t="s">
        <v>34</v>
      </c>
      <c r="JH15" s="17">
        <v>8.15</v>
      </c>
      <c r="JI15" s="33">
        <f t="shared" si="30"/>
        <v>3.533223152912391E-2</v>
      </c>
      <c r="JJ15" s="33">
        <f t="shared" si="13"/>
        <v>3.3563815683848336E-2</v>
      </c>
      <c r="JL15" s="1">
        <v>1</v>
      </c>
      <c r="JM15" s="18">
        <v>528878.48884329002</v>
      </c>
      <c r="JN15" s="11">
        <v>4310359.684072814</v>
      </c>
      <c r="JO15" s="5"/>
      <c r="JP15" s="11">
        <v>50</v>
      </c>
      <c r="JQ15" s="11">
        <v>407.5</v>
      </c>
      <c r="JR15" s="5">
        <v>27.745556047410187</v>
      </c>
      <c r="JS15" s="8">
        <v>3.565625E-2</v>
      </c>
      <c r="JT15" s="8">
        <v>9.1706200501093793E-3</v>
      </c>
      <c r="JU15" s="5"/>
      <c r="JV15" s="21">
        <v>11533.378514858392</v>
      </c>
      <c r="JW15" s="22">
        <v>15077.5</v>
      </c>
      <c r="JY15" s="16" t="s">
        <v>1054</v>
      </c>
      <c r="JZ15" s="32" t="s">
        <v>240</v>
      </c>
      <c r="KA15" s="32" t="s">
        <v>390</v>
      </c>
      <c r="KB15" s="32" t="s">
        <v>1621</v>
      </c>
      <c r="KC15" s="32"/>
      <c r="KD15" s="30" t="s">
        <v>430</v>
      </c>
      <c r="KE15" s="30" t="s">
        <v>26</v>
      </c>
      <c r="KF15" s="30" t="s">
        <v>61</v>
      </c>
      <c r="KG15" s="30" t="s">
        <v>28</v>
      </c>
      <c r="KH15" s="30" t="s">
        <v>814</v>
      </c>
      <c r="KI15" s="17">
        <v>372</v>
      </c>
      <c r="KJ15" s="33">
        <f t="shared" si="31"/>
        <v>2.9101959059120448E-2</v>
      </c>
      <c r="KK15" s="33">
        <f t="shared" si="32"/>
        <v>2.7651349045133361E-2</v>
      </c>
      <c r="KM15" s="1">
        <v>1.2806</v>
      </c>
      <c r="KN15" s="18">
        <v>6066.23458799117</v>
      </c>
      <c r="KO15" s="11">
        <v>2889852.2449779147</v>
      </c>
      <c r="KP15" s="5"/>
      <c r="KQ15" s="11">
        <v>1</v>
      </c>
      <c r="KR15" s="11">
        <v>476.38319999999999</v>
      </c>
      <c r="KS15" s="5">
        <v>19.548604776403835</v>
      </c>
      <c r="KT15" s="8">
        <v>2.977395E-2</v>
      </c>
      <c r="KU15" s="8">
        <v>2.3090917677205391E-2</v>
      </c>
      <c r="KV15" s="5"/>
      <c r="KW15" s="21">
        <v>16369.454682835285</v>
      </c>
      <c r="KX15" s="22">
        <v>17626.178399999997</v>
      </c>
      <c r="KZ15" s="16" t="s">
        <v>936</v>
      </c>
      <c r="LA15" s="32" t="s">
        <v>122</v>
      </c>
      <c r="LB15" s="32" t="s">
        <v>377</v>
      </c>
      <c r="LC15" s="32" t="s">
        <v>1506</v>
      </c>
      <c r="LD15" s="32"/>
      <c r="LE15" s="30" t="s">
        <v>850</v>
      </c>
      <c r="LF15" s="30" t="s">
        <v>26</v>
      </c>
      <c r="LG15" s="30" t="s">
        <v>33</v>
      </c>
      <c r="LH15" s="30" t="s">
        <v>28</v>
      </c>
      <c r="LI15" s="30" t="s">
        <v>34</v>
      </c>
      <c r="LJ15" s="17">
        <v>306.94</v>
      </c>
      <c r="LK15" s="33">
        <f t="shared" si="14"/>
        <v>6.6553964216626724E-2</v>
      </c>
      <c r="LL15" s="33">
        <f t="shared" si="15"/>
        <v>6.3197861105380962E-2</v>
      </c>
      <c r="LN15" s="1">
        <v>1</v>
      </c>
      <c r="LO15" s="18">
        <v>23961.484615907801</v>
      </c>
      <c r="LP15" s="11">
        <v>7354738.0880067404</v>
      </c>
      <c r="LQ15" s="5"/>
      <c r="LR15" s="11">
        <v>1</v>
      </c>
      <c r="LS15" s="11">
        <v>306.94</v>
      </c>
      <c r="LT15" s="5">
        <v>69.385770995375481</v>
      </c>
      <c r="LU15" s="8">
        <v>6.6183937499999998E-2</v>
      </c>
      <c r="LV15" s="8">
        <v>-5.5597997952807621E-3</v>
      </c>
      <c r="LW15" s="5"/>
      <c r="LX15" s="21">
        <v>4611.8965806595679</v>
      </c>
      <c r="LY15" s="22">
        <v>11356.779999999999</v>
      </c>
      <c r="MA15" s="16" t="s">
        <v>1082</v>
      </c>
      <c r="MB15" s="32" t="s">
        <v>261</v>
      </c>
      <c r="MC15" s="32" t="s">
        <v>327</v>
      </c>
      <c r="MD15" s="32" t="s">
        <v>1650</v>
      </c>
      <c r="ME15" s="32"/>
      <c r="MF15" s="30" t="s">
        <v>832</v>
      </c>
      <c r="MG15" s="30" t="s">
        <v>26</v>
      </c>
      <c r="MH15" s="30" t="s">
        <v>328</v>
      </c>
      <c r="MI15" s="30" t="s">
        <v>28</v>
      </c>
      <c r="MJ15" s="30" t="s">
        <v>83</v>
      </c>
      <c r="MK15" s="17">
        <v>9.4619999999999997</v>
      </c>
      <c r="ML15" s="33">
        <f t="shared" si="16"/>
        <v>2.765155985930369E-2</v>
      </c>
      <c r="MM15" s="33">
        <f t="shared" si="17"/>
        <v>2.6252326808656478E-2</v>
      </c>
      <c r="MO15" s="1">
        <v>1.1607000000000001</v>
      </c>
      <c r="MP15" s="18">
        <v>452328.89497460099</v>
      </c>
      <c r="MQ15" s="11">
        <v>4967721.7201325968</v>
      </c>
      <c r="MR15" s="5"/>
      <c r="MS15" s="11">
        <v>1</v>
      </c>
      <c r="MT15" s="11">
        <v>10.982543400000001</v>
      </c>
      <c r="MU15" s="5">
        <v>805.6876110298075</v>
      </c>
      <c r="MV15" s="8">
        <v>2.7662281188750002E-2</v>
      </c>
      <c r="MW15" s="8">
        <v>3.8772964349442773E-4</v>
      </c>
      <c r="MX15" s="5"/>
      <c r="MY15" s="21">
        <v>397.17626983364545</v>
      </c>
      <c r="MZ15" s="22">
        <v>406.35410580000001</v>
      </c>
      <c r="NB15" s="16" t="s">
        <v>1090</v>
      </c>
      <c r="NC15" s="32" t="s">
        <v>319</v>
      </c>
      <c r="ND15" s="32" t="s">
        <v>345</v>
      </c>
      <c r="NE15" s="32" t="s">
        <v>1664</v>
      </c>
      <c r="NF15" s="32"/>
      <c r="NG15" s="30" t="s">
        <v>853</v>
      </c>
      <c r="NH15" s="30" t="s">
        <v>26</v>
      </c>
      <c r="NI15" s="30" t="s">
        <v>33</v>
      </c>
      <c r="NJ15" s="30" t="s">
        <v>28</v>
      </c>
      <c r="NK15" s="30" t="s">
        <v>34</v>
      </c>
      <c r="NL15" s="17">
        <v>48.77</v>
      </c>
      <c r="NM15" s="33">
        <f t="shared" si="18"/>
        <v>3.9466559588308303E-2</v>
      </c>
      <c r="NN15" s="33">
        <f t="shared" si="19"/>
        <v>3.7464651496982228E-2</v>
      </c>
      <c r="NP15" s="1">
        <v>1</v>
      </c>
      <c r="NQ15" s="18">
        <v>138343.62205994199</v>
      </c>
      <c r="NR15" s="11">
        <v>6747018.4478633711</v>
      </c>
      <c r="NS15" s="5"/>
      <c r="NT15" s="11">
        <v>1</v>
      </c>
      <c r="NU15" s="11">
        <v>48.77</v>
      </c>
      <c r="NV15" s="5">
        <v>258.95630650520104</v>
      </c>
      <c r="NW15" s="8">
        <v>3.9473218750000004E-2</v>
      </c>
      <c r="NX15" s="8">
        <v>1.6872921686528208E-4</v>
      </c>
      <c r="NY15" s="5"/>
      <c r="NZ15" s="21">
        <v>1235.7297040517253</v>
      </c>
      <c r="OA15" s="22">
        <v>1804.49</v>
      </c>
      <c r="OC15" s="16" t="s">
        <v>866</v>
      </c>
      <c r="OD15" s="32" t="s">
        <v>262</v>
      </c>
      <c r="OE15" s="32" t="s">
        <v>329</v>
      </c>
      <c r="OF15" s="32" t="s">
        <v>1435</v>
      </c>
      <c r="OG15" s="32"/>
      <c r="OH15" s="30" t="s">
        <v>867</v>
      </c>
      <c r="OI15" s="30" t="s">
        <v>26</v>
      </c>
      <c r="OJ15" s="30" t="s">
        <v>330</v>
      </c>
      <c r="OK15" s="30" t="s">
        <v>28</v>
      </c>
      <c r="OL15" s="30" t="s">
        <v>868</v>
      </c>
      <c r="OM15" s="17">
        <v>307.3</v>
      </c>
      <c r="ON15" s="33">
        <f t="shared" si="20"/>
        <v>4.1370346794966352E-2</v>
      </c>
      <c r="OO15" s="33">
        <f t="shared" si="33"/>
        <v>3.9227654481530712E-2</v>
      </c>
      <c r="OQ15" s="1">
        <v>8.9200000000000002E-2</v>
      </c>
      <c r="OR15" s="18">
        <v>277953.97814580798</v>
      </c>
      <c r="OS15" s="11">
        <v>7619040.9675912466</v>
      </c>
      <c r="OT15" s="5"/>
      <c r="OU15" s="11">
        <v>1</v>
      </c>
      <c r="OV15" s="11">
        <v>27.411160000000002</v>
      </c>
      <c r="OW15" s="5">
        <v>482.96062532155634</v>
      </c>
      <c r="OX15" s="8">
        <v>4.1373719624999999E-2</v>
      </c>
      <c r="OY15" s="8">
        <v>8.1527719609564286E-5</v>
      </c>
      <c r="OZ15" s="5"/>
      <c r="PA15" s="21">
        <v>662.57989414135625</v>
      </c>
      <c r="PB15" s="22">
        <v>1014.2129200000001</v>
      </c>
      <c r="PD15" s="16" t="s">
        <v>1099</v>
      </c>
      <c r="PE15" s="32" t="s">
        <v>718</v>
      </c>
      <c r="PF15" s="32">
        <v>6436</v>
      </c>
      <c r="PG15" s="32" t="s">
        <v>1685</v>
      </c>
      <c r="PH15" s="32"/>
      <c r="PI15" s="30" t="s">
        <v>902</v>
      </c>
      <c r="PJ15" s="30" t="s">
        <v>26</v>
      </c>
      <c r="PK15" s="71" t="s">
        <v>320</v>
      </c>
      <c r="PL15" s="30" t="s">
        <v>28</v>
      </c>
      <c r="PM15" s="30" t="s">
        <v>94</v>
      </c>
      <c r="PN15" s="17">
        <v>3983</v>
      </c>
      <c r="PO15" s="33">
        <f t="shared" si="21"/>
        <v>4.3282147046662361E-2</v>
      </c>
      <c r="PP15" s="33">
        <f t="shared" si="22"/>
        <v>4.1115805859761774E-2</v>
      </c>
      <c r="PR15" s="1">
        <v>1</v>
      </c>
      <c r="PS15" s="18">
        <v>2094.2276459735999</v>
      </c>
      <c r="PT15" s="11">
        <v>8341308.7139128484</v>
      </c>
      <c r="PU15" s="5"/>
      <c r="PV15" s="11">
        <v>100</v>
      </c>
      <c r="PW15" s="11">
        <v>398300</v>
      </c>
      <c r="PX15" s="5">
        <v>3.4773505033723215E-2</v>
      </c>
      <c r="PY15" s="8">
        <v>0</v>
      </c>
      <c r="PZ15" s="8">
        <v>-1</v>
      </c>
      <c r="QA15" s="5"/>
      <c r="QB15" s="21">
        <v>9202408.5489704069</v>
      </c>
      <c r="QC15" s="22">
        <v>14737100</v>
      </c>
      <c r="QE15" s="16" t="s">
        <v>1120</v>
      </c>
      <c r="QF15" s="34" t="s">
        <v>299</v>
      </c>
      <c r="QG15" s="34"/>
      <c r="QH15" s="32" t="s">
        <v>1701</v>
      </c>
      <c r="QI15" s="34"/>
      <c r="QJ15" s="30" t="s">
        <v>853</v>
      </c>
      <c r="QK15" s="30" t="s">
        <v>26</v>
      </c>
      <c r="QL15" s="30"/>
      <c r="QM15" s="30" t="s">
        <v>28</v>
      </c>
      <c r="QN15" s="30" t="s">
        <v>34</v>
      </c>
      <c r="QO15" s="17">
        <v>22.61</v>
      </c>
      <c r="QP15" s="33">
        <f t="shared" si="23"/>
        <v>4.1410066933540747E-2</v>
      </c>
      <c r="QQ15" s="33">
        <f t="shared" si="24"/>
        <v>3.9349667326345338E-2</v>
      </c>
      <c r="QS15" s="1">
        <v>1</v>
      </c>
      <c r="QT15" s="18">
        <v>208938.03686765101</v>
      </c>
      <c r="QU15" s="11">
        <v>4724089.0135775888</v>
      </c>
      <c r="QV15" s="5"/>
      <c r="QW15" s="11">
        <v>1</v>
      </c>
      <c r="QX15" s="11">
        <v>22.61</v>
      </c>
      <c r="QY15" s="5">
        <v>586.07790441101463</v>
      </c>
      <c r="QZ15" s="8">
        <v>4.1404562499999999E-2</v>
      </c>
      <c r="RA15" s="8">
        <v>-1.3292500950512487E-4</v>
      </c>
      <c r="RB15" s="5"/>
      <c r="RC15" s="21">
        <v>546.00249828832489</v>
      </c>
      <c r="RD15" s="22">
        <v>836.56999999999994</v>
      </c>
      <c r="RF15" s="16" t="s">
        <v>1329</v>
      </c>
      <c r="RG15" s="34" t="s">
        <v>1303</v>
      </c>
      <c r="RH15" s="34"/>
      <c r="RI15" s="32" t="s">
        <v>1718</v>
      </c>
      <c r="RJ15" s="34"/>
      <c r="RK15" s="30" t="s">
        <v>1125</v>
      </c>
    </row>
    <row r="16" spans="15:479" x14ac:dyDescent="0.2">
      <c r="O16" s="16" t="s">
        <v>889</v>
      </c>
      <c r="P16" s="32" t="s">
        <v>705</v>
      </c>
      <c r="Q16" s="32" t="s">
        <v>709</v>
      </c>
      <c r="R16" s="32" t="s">
        <v>1438</v>
      </c>
      <c r="S16" s="32"/>
      <c r="T16" s="30" t="s">
        <v>850</v>
      </c>
      <c r="U16" s="30" t="s">
        <v>26</v>
      </c>
      <c r="V16" s="30" t="s">
        <v>33</v>
      </c>
      <c r="W16" s="30" t="s">
        <v>28</v>
      </c>
      <c r="X16" s="30" t="s">
        <v>34</v>
      </c>
      <c r="Y16" s="17">
        <v>246.09</v>
      </c>
      <c r="Z16" s="33">
        <f t="shared" si="0"/>
        <v>2.9566663102983039E-2</v>
      </c>
      <c r="AA16" s="33">
        <f t="shared" si="1"/>
        <v>2.8089323615145455E-2</v>
      </c>
      <c r="AB16" s="4"/>
      <c r="AC16" s="1">
        <v>1</v>
      </c>
      <c r="AD16" s="18">
        <v>24724.901171738398</v>
      </c>
      <c r="AE16" s="11">
        <v>6084550.9293531021</v>
      </c>
      <c r="AF16" s="5"/>
      <c r="AG16" s="11">
        <v>1</v>
      </c>
      <c r="AH16" s="11">
        <v>246.09</v>
      </c>
      <c r="AI16" s="5">
        <v>38.446634129605314</v>
      </c>
      <c r="AJ16" s="8">
        <v>2.9223187500000001E-2</v>
      </c>
      <c r="AK16" s="8">
        <v>-1.1616989099739961E-2</v>
      </c>
      <c r="AL16" s="5"/>
      <c r="AM16" s="21">
        <v>8323.2253549495581</v>
      </c>
      <c r="AN16" s="22">
        <v>9105.33</v>
      </c>
      <c r="AP16" s="16" t="s">
        <v>898</v>
      </c>
      <c r="AQ16" s="32" t="s">
        <v>53</v>
      </c>
      <c r="AR16" s="32" t="s">
        <v>54</v>
      </c>
      <c r="AS16" s="32" t="s">
        <v>1473</v>
      </c>
      <c r="AT16" s="32"/>
      <c r="AU16" s="30" t="s">
        <v>850</v>
      </c>
      <c r="AV16" s="30" t="s">
        <v>26</v>
      </c>
      <c r="AW16" s="30" t="s">
        <v>33</v>
      </c>
      <c r="AX16" s="30" t="s">
        <v>28</v>
      </c>
      <c r="AY16" s="30" t="s">
        <v>34</v>
      </c>
      <c r="AZ16" s="17">
        <v>93.01</v>
      </c>
      <c r="BA16" s="33">
        <f t="shared" si="2"/>
        <v>4.5396128289281502E-2</v>
      </c>
      <c r="BB16" s="33">
        <f t="shared" si="25"/>
        <v>4.3111677018469845E-2</v>
      </c>
      <c r="BD16" s="1">
        <v>1</v>
      </c>
      <c r="BE16" s="18">
        <v>80359.017777082699</v>
      </c>
      <c r="BF16" s="11">
        <v>7474192.2434464619</v>
      </c>
      <c r="BG16" s="5"/>
      <c r="BH16" s="11">
        <v>1</v>
      </c>
      <c r="BI16" s="11">
        <v>93.01</v>
      </c>
      <c r="BJ16" s="5">
        <v>156.18493766874616</v>
      </c>
      <c r="BK16" s="8">
        <v>4.5342375000000004E-2</v>
      </c>
      <c r="BL16" s="8">
        <v>-1.1840941354945844E-3</v>
      </c>
      <c r="BM16" s="5"/>
      <c r="BN16" s="21">
        <v>2048.8531402348826</v>
      </c>
      <c r="BO16" s="22">
        <v>3441.37</v>
      </c>
      <c r="BQ16" s="16" t="s">
        <v>917</v>
      </c>
      <c r="BR16" s="32" t="s">
        <v>113</v>
      </c>
      <c r="BS16" s="32">
        <v>3296</v>
      </c>
      <c r="BT16" s="32" t="s">
        <v>1491</v>
      </c>
      <c r="BU16" s="32"/>
      <c r="BV16" s="30" t="s">
        <v>902</v>
      </c>
      <c r="BW16" s="30" t="s">
        <v>26</v>
      </c>
      <c r="BX16" s="71" t="s">
        <v>320</v>
      </c>
      <c r="BY16" s="30" t="s">
        <v>28</v>
      </c>
      <c r="BZ16" s="30" t="s">
        <v>94</v>
      </c>
      <c r="CA16" s="17">
        <v>93000</v>
      </c>
      <c r="CB16" s="33">
        <f t="shared" si="3"/>
        <v>6.2265033542231139E-2</v>
      </c>
      <c r="CC16" s="33">
        <f t="shared" si="26"/>
        <v>5.9146452640461367E-2</v>
      </c>
      <c r="CE16" s="1">
        <v>1</v>
      </c>
      <c r="CF16" s="18">
        <v>420.03468736915602</v>
      </c>
      <c r="CG16" s="11">
        <v>39063225.925331511</v>
      </c>
      <c r="CH16" s="5"/>
      <c r="CI16" s="11">
        <v>1</v>
      </c>
      <c r="CJ16" s="11">
        <v>93000</v>
      </c>
      <c r="CK16" s="5">
        <v>0.21424527670445123</v>
      </c>
      <c r="CL16" s="8">
        <v>0</v>
      </c>
      <c r="CM16" s="8">
        <v>-1</v>
      </c>
      <c r="CN16" s="5"/>
      <c r="CO16" s="21">
        <v>1493615.191533189</v>
      </c>
      <c r="CP16" s="22">
        <v>3441000</v>
      </c>
      <c r="CR16" s="16" t="s">
        <v>916</v>
      </c>
      <c r="CS16" s="32" t="s">
        <v>112</v>
      </c>
      <c r="CT16" s="32">
        <v>8961</v>
      </c>
      <c r="CU16" s="32" t="s">
        <v>1490</v>
      </c>
      <c r="CV16" s="32"/>
      <c r="CW16" s="30" t="s">
        <v>902</v>
      </c>
      <c r="CX16" s="30" t="s">
        <v>26</v>
      </c>
      <c r="CY16" s="30" t="s">
        <v>320</v>
      </c>
      <c r="CZ16" s="30" t="s">
        <v>28</v>
      </c>
      <c r="DA16" s="30" t="s">
        <v>94</v>
      </c>
      <c r="DB16" s="17">
        <v>77000</v>
      </c>
      <c r="DC16" s="33">
        <f t="shared" si="4"/>
        <v>4.7287481414530493E-2</v>
      </c>
      <c r="DD16" s="33">
        <f t="shared" si="5"/>
        <v>4.490808846538525E-2</v>
      </c>
      <c r="DF16" s="1">
        <v>6.3369999999999998E-3</v>
      </c>
      <c r="DG16" s="18">
        <v>17575.387883641699</v>
      </c>
      <c r="DH16" s="11">
        <v>8575892.942435082</v>
      </c>
      <c r="DI16" s="5"/>
      <c r="DJ16" s="11">
        <v>1</v>
      </c>
      <c r="DK16" s="11">
        <v>487.94899999999996</v>
      </c>
      <c r="DL16" s="5">
        <v>31.011425482273268</v>
      </c>
      <c r="DM16" s="8">
        <v>4.7270059374999993E-2</v>
      </c>
      <c r="DN16" s="8">
        <v>-3.6842815496507253E-4</v>
      </c>
      <c r="DO16" s="5"/>
      <c r="DP16" s="21">
        <v>10318.777515819716</v>
      </c>
      <c r="DQ16" s="22">
        <v>18054.112999999998</v>
      </c>
      <c r="DS16" s="16" t="s">
        <v>950</v>
      </c>
      <c r="DT16" s="44" t="s">
        <v>141</v>
      </c>
      <c r="DU16" s="44" t="s">
        <v>142</v>
      </c>
      <c r="DV16" s="32" t="s">
        <v>1519</v>
      </c>
      <c r="DW16" s="44"/>
      <c r="DX16" s="30" t="s">
        <v>777</v>
      </c>
      <c r="DY16" s="30" t="s">
        <v>26</v>
      </c>
      <c r="DZ16" s="30" t="s">
        <v>129</v>
      </c>
      <c r="EA16" s="30" t="s">
        <v>28</v>
      </c>
      <c r="EB16" s="43" t="s">
        <v>827</v>
      </c>
      <c r="EC16" s="17">
        <v>0.78500000000000003</v>
      </c>
      <c r="ED16" s="33">
        <f t="shared" si="27"/>
        <v>4.346058275281986E-2</v>
      </c>
      <c r="EE16" s="33">
        <f t="shared" si="28"/>
        <v>4.1227048288087091E-2</v>
      </c>
      <c r="EG16" s="1">
        <v>1</v>
      </c>
      <c r="EH16" s="18">
        <v>9136446.8427876607</v>
      </c>
      <c r="EI16" s="11">
        <v>7172110.7715883143</v>
      </c>
      <c r="EJ16" s="5"/>
      <c r="EK16" s="11">
        <v>1</v>
      </c>
      <c r="EL16" s="11">
        <v>0.78500000000000003</v>
      </c>
      <c r="EM16" s="5">
        <v>17716.415899238666</v>
      </c>
      <c r="EN16" s="8">
        <v>4.3459562500000007E-2</v>
      </c>
      <c r="EO16" s="8">
        <v>-2.3475359860136713E-5</v>
      </c>
      <c r="EP16" s="5"/>
      <c r="EQ16" s="21">
        <v>18.062344089232599</v>
      </c>
      <c r="ER16" s="22">
        <v>29.044999999999998</v>
      </c>
      <c r="ET16" s="16" t="s">
        <v>869</v>
      </c>
      <c r="EU16" s="32" t="s">
        <v>76</v>
      </c>
      <c r="EV16" s="32" t="s">
        <v>77</v>
      </c>
      <c r="EW16" s="32" t="s">
        <v>1443</v>
      </c>
      <c r="EX16" s="32"/>
      <c r="EY16" s="30" t="s">
        <v>850</v>
      </c>
      <c r="EZ16" s="30" t="s">
        <v>26</v>
      </c>
      <c r="FA16" s="30" t="s">
        <v>33</v>
      </c>
      <c r="FB16" s="30" t="s">
        <v>28</v>
      </c>
      <c r="FC16" s="30" t="s">
        <v>34</v>
      </c>
      <c r="FD16" s="17">
        <v>150.76</v>
      </c>
      <c r="FE16" s="33">
        <f t="shared" si="6"/>
        <v>3.4008536147538633E-2</v>
      </c>
      <c r="FF16" s="33">
        <f t="shared" si="7"/>
        <v>3.2307210262037894E-2</v>
      </c>
      <c r="FH16" s="1">
        <v>1</v>
      </c>
      <c r="FI16" s="18">
        <v>46226.2913043999</v>
      </c>
      <c r="FJ16" s="11">
        <v>6969075.6770513281</v>
      </c>
      <c r="FK16" s="5"/>
      <c r="FL16" s="11">
        <v>1</v>
      </c>
      <c r="FM16" s="11">
        <v>150.76</v>
      </c>
      <c r="FN16" s="5">
        <v>72.185802382676854</v>
      </c>
      <c r="FO16" s="8">
        <v>3.3921E-2</v>
      </c>
      <c r="FP16" s="8">
        <v>-2.5739463515535022E-3</v>
      </c>
      <c r="FQ16" s="5"/>
      <c r="FR16" s="21">
        <v>4433.0046828819841</v>
      </c>
      <c r="FS16" s="22">
        <v>5578.119999999999</v>
      </c>
      <c r="FU16" s="16" t="s">
        <v>973</v>
      </c>
      <c r="FV16" s="32" t="s">
        <v>755</v>
      </c>
      <c r="FW16" s="32" t="s">
        <v>760</v>
      </c>
      <c r="FX16" s="32" t="s">
        <v>1539</v>
      </c>
      <c r="FY16" s="32"/>
      <c r="FZ16" s="30" t="s">
        <v>853</v>
      </c>
      <c r="GA16" s="30" t="s">
        <v>26</v>
      </c>
      <c r="GB16" s="30" t="s">
        <v>33</v>
      </c>
      <c r="GC16" s="30" t="s">
        <v>28</v>
      </c>
      <c r="GD16" s="30" t="s">
        <v>34</v>
      </c>
      <c r="GE16" s="17">
        <v>299.83999999999997</v>
      </c>
      <c r="GF16" s="33">
        <f t="shared" si="8"/>
        <v>3.1635865299404098E-2</v>
      </c>
      <c r="GG16" s="33">
        <f t="shared" si="9"/>
        <v>3.005263264799973E-2</v>
      </c>
      <c r="GI16" s="1">
        <v>1</v>
      </c>
      <c r="GJ16" s="18">
        <v>21840.091719955501</v>
      </c>
      <c r="GK16" s="11">
        <v>6548533.1013114564</v>
      </c>
      <c r="GL16" s="5"/>
      <c r="GM16" s="11">
        <v>1</v>
      </c>
      <c r="GN16" s="11">
        <v>299.83999999999997</v>
      </c>
      <c r="GO16" s="5">
        <v>33.762929881968091</v>
      </c>
      <c r="GP16" s="8">
        <v>3.1857999999999997E-2</v>
      </c>
      <c r="GQ16" s="8">
        <v>7.0216097613768902E-3</v>
      </c>
      <c r="GR16" s="5"/>
      <c r="GS16" s="21">
        <v>9477.8504448129588</v>
      </c>
      <c r="GT16" s="22">
        <v>11094.079999999998</v>
      </c>
      <c r="GV16" s="16" t="s">
        <v>997</v>
      </c>
      <c r="GW16" s="32" t="s">
        <v>728</v>
      </c>
      <c r="GX16" s="32">
        <v>1919</v>
      </c>
      <c r="GY16" s="32" t="s">
        <v>1560</v>
      </c>
      <c r="GZ16" s="32"/>
      <c r="HA16" s="30" t="s">
        <v>862</v>
      </c>
      <c r="HB16" s="30" t="s">
        <v>26</v>
      </c>
      <c r="HC16" s="30" t="s">
        <v>27</v>
      </c>
      <c r="HD16" s="30" t="s">
        <v>28</v>
      </c>
      <c r="HE16" s="30" t="s">
        <v>82</v>
      </c>
      <c r="HF16" s="17">
        <v>15.97</v>
      </c>
      <c r="HG16" s="33">
        <f t="shared" si="10"/>
        <v>3.8185074364077483E-2</v>
      </c>
      <c r="HH16" s="33">
        <f t="shared" si="29"/>
        <v>3.6272942652971776E-2</v>
      </c>
      <c r="HJ16" s="1">
        <v>0.12784999999999999</v>
      </c>
      <c r="HK16" s="18">
        <v>3050136.8229114302</v>
      </c>
      <c r="HL16" s="11">
        <v>6227661.0851633446</v>
      </c>
      <c r="HM16" s="5"/>
      <c r="HN16" s="11">
        <v>500</v>
      </c>
      <c r="HO16" s="11">
        <v>1020.88225</v>
      </c>
      <c r="HP16" s="5">
        <v>11.969278334014325</v>
      </c>
      <c r="HQ16" s="8">
        <v>3.8283084374999998E-2</v>
      </c>
      <c r="HR16" s="8">
        <v>2.566709965994507E-3</v>
      </c>
      <c r="HS16" s="5"/>
      <c r="HT16" s="21">
        <v>26735.112265759853</v>
      </c>
      <c r="HU16" s="22">
        <v>37772.643250000001</v>
      </c>
      <c r="HW16" s="16" t="s">
        <v>1028</v>
      </c>
      <c r="HX16" s="45" t="s">
        <v>216</v>
      </c>
      <c r="HY16" s="32">
        <v>6198</v>
      </c>
      <c r="HZ16" s="32" t="s">
        <v>1588</v>
      </c>
      <c r="IA16" s="45"/>
      <c r="IB16" s="30" t="s">
        <v>862</v>
      </c>
      <c r="IC16" s="30" t="s">
        <v>26</v>
      </c>
      <c r="ID16" s="30" t="s">
        <v>27</v>
      </c>
      <c r="IE16" s="30" t="s">
        <v>28</v>
      </c>
      <c r="IF16" s="30" t="s">
        <v>82</v>
      </c>
      <c r="IG16" s="17">
        <v>7.3</v>
      </c>
      <c r="IH16" s="33">
        <f t="shared" si="11"/>
        <v>4.4926778123224216E-2</v>
      </c>
      <c r="II16" s="33">
        <f t="shared" si="12"/>
        <v>4.2703428255851231E-2</v>
      </c>
      <c r="IK16" s="1">
        <v>1</v>
      </c>
      <c r="IL16" s="18">
        <v>1166499.70560735</v>
      </c>
      <c r="IM16" s="11">
        <v>8515447.8509336542</v>
      </c>
      <c r="IN16" s="5"/>
      <c r="IO16" s="11">
        <v>1000</v>
      </c>
      <c r="IP16" s="11">
        <v>7300</v>
      </c>
      <c r="IQ16" s="5">
        <v>1.9693930136207876</v>
      </c>
      <c r="IR16" s="8">
        <v>4.5624999999999999E-2</v>
      </c>
      <c r="IS16" s="8">
        <v>1.5541329824736438E-2</v>
      </c>
      <c r="IT16" s="5"/>
      <c r="IU16" s="21">
        <v>162486.61277195785</v>
      </c>
      <c r="IV16" s="22">
        <v>270100</v>
      </c>
      <c r="IX16" s="16" t="s">
        <v>871</v>
      </c>
      <c r="IY16" s="32" t="s">
        <v>49</v>
      </c>
      <c r="IZ16" s="32" t="s">
        <v>50</v>
      </c>
      <c r="JA16" s="32" t="s">
        <v>1455</v>
      </c>
      <c r="JB16" s="32"/>
      <c r="JC16" s="30" t="s">
        <v>850</v>
      </c>
      <c r="JD16" s="30" t="s">
        <v>26</v>
      </c>
      <c r="JE16" s="30" t="s">
        <v>33</v>
      </c>
      <c r="JF16" s="30" t="s">
        <v>28</v>
      </c>
      <c r="JG16" s="30" t="s">
        <v>34</v>
      </c>
      <c r="JH16" s="17">
        <v>256.55</v>
      </c>
      <c r="JI16" s="33">
        <f t="shared" si="30"/>
        <v>3.9463486543919381E-2</v>
      </c>
      <c r="JJ16" s="33">
        <f t="shared" si="13"/>
        <v>3.7488296982044096E-2</v>
      </c>
      <c r="JL16" s="1">
        <v>1</v>
      </c>
      <c r="JM16" s="18">
        <v>18765.7478808987</v>
      </c>
      <c r="JN16" s="11">
        <v>4814352.6188445613</v>
      </c>
      <c r="JO16" s="5"/>
      <c r="JP16" s="11">
        <v>1</v>
      </c>
      <c r="JQ16" s="11">
        <v>256.55</v>
      </c>
      <c r="JR16" s="5">
        <v>49.223604342444752</v>
      </c>
      <c r="JS16" s="8">
        <v>3.9284218750000002E-2</v>
      </c>
      <c r="JT16" s="8">
        <v>-4.5426243248900544E-3</v>
      </c>
      <c r="JU16" s="5"/>
      <c r="JV16" s="21">
        <v>6500.9461268578607</v>
      </c>
      <c r="JW16" s="22">
        <v>9492.35</v>
      </c>
      <c r="JY16" s="16" t="s">
        <v>974</v>
      </c>
      <c r="JZ16" s="32" t="s">
        <v>166</v>
      </c>
      <c r="KA16" s="32" t="s">
        <v>391</v>
      </c>
      <c r="KB16" s="32" t="s">
        <v>1540</v>
      </c>
      <c r="KC16" s="32"/>
      <c r="KD16" s="30" t="s">
        <v>853</v>
      </c>
      <c r="KE16" s="30" t="s">
        <v>26</v>
      </c>
      <c r="KF16" s="30" t="s">
        <v>33</v>
      </c>
      <c r="KG16" s="30" t="s">
        <v>28</v>
      </c>
      <c r="KH16" s="30" t="s">
        <v>34</v>
      </c>
      <c r="KI16" s="17">
        <v>164.48</v>
      </c>
      <c r="KJ16" s="33">
        <f t="shared" si="31"/>
        <v>2.7411743825950258E-2</v>
      </c>
      <c r="KK16" s="33">
        <f t="shared" si="32"/>
        <v>2.6045383918220599E-2</v>
      </c>
      <c r="KM16" s="1">
        <v>1</v>
      </c>
      <c r="KN16" s="18">
        <v>16549.199069363702</v>
      </c>
      <c r="KO16" s="11">
        <v>2722012.2629289413</v>
      </c>
      <c r="KP16" s="5"/>
      <c r="KQ16" s="11">
        <v>1</v>
      </c>
      <c r="KR16" s="11">
        <v>164.48</v>
      </c>
      <c r="KS16" s="5">
        <v>53.330240906518014</v>
      </c>
      <c r="KT16" s="8">
        <v>2.7241999999999995E-2</v>
      </c>
      <c r="KU16" s="8">
        <v>-6.1923760497706315E-3</v>
      </c>
      <c r="KV16" s="5"/>
      <c r="KW16" s="21">
        <v>6000.3479181900648</v>
      </c>
      <c r="KX16" s="22">
        <v>6085.7599999999993</v>
      </c>
      <c r="KZ16" s="16" t="s">
        <v>1074</v>
      </c>
      <c r="LA16" s="32" t="s">
        <v>746</v>
      </c>
      <c r="LB16" s="32" t="s">
        <v>749</v>
      </c>
      <c r="LC16" s="32" t="s">
        <v>1644</v>
      </c>
      <c r="LD16" s="32"/>
      <c r="LE16" s="30" t="s">
        <v>850</v>
      </c>
      <c r="LF16" s="30" t="s">
        <v>26</v>
      </c>
      <c r="LG16" s="30" t="s">
        <v>33</v>
      </c>
      <c r="LH16" s="30" t="s">
        <v>28</v>
      </c>
      <c r="LI16" s="30" t="s">
        <v>34</v>
      </c>
      <c r="LJ16" s="17">
        <v>21.92</v>
      </c>
      <c r="LK16" s="33">
        <f t="shared" si="14"/>
        <v>5.9989799512474871E-2</v>
      </c>
      <c r="LL16" s="33">
        <f t="shared" si="15"/>
        <v>5.6964706189235555E-2</v>
      </c>
      <c r="LN16" s="1">
        <v>1</v>
      </c>
      <c r="LO16" s="18">
        <v>302433.67261473899</v>
      </c>
      <c r="LP16" s="11">
        <v>6629346.1037150789</v>
      </c>
      <c r="LQ16" s="5"/>
      <c r="LR16" s="11">
        <v>1</v>
      </c>
      <c r="LS16" s="11">
        <v>21.92</v>
      </c>
      <c r="LT16" s="5">
        <v>875.76349653247985</v>
      </c>
      <c r="LU16" s="8">
        <v>6.0006000000000004E-2</v>
      </c>
      <c r="LV16" s="8">
        <v>2.7005403679947193E-4</v>
      </c>
      <c r="LW16" s="5"/>
      <c r="LX16" s="21">
        <v>365.39545352942446</v>
      </c>
      <c r="LY16" s="22">
        <v>811.04</v>
      </c>
      <c r="MA16" s="16" t="s">
        <v>866</v>
      </c>
      <c r="MB16" s="32" t="s">
        <v>262</v>
      </c>
      <c r="MC16" s="32" t="s">
        <v>329</v>
      </c>
      <c r="MD16" s="32" t="s">
        <v>1435</v>
      </c>
      <c r="ME16" s="32"/>
      <c r="MF16" s="30" t="s">
        <v>867</v>
      </c>
      <c r="MG16" s="30" t="s">
        <v>26</v>
      </c>
      <c r="MH16" s="30" t="s">
        <v>330</v>
      </c>
      <c r="MI16" s="30" t="s">
        <v>28</v>
      </c>
      <c r="MJ16" s="30" t="s">
        <v>868</v>
      </c>
      <c r="MK16" s="17">
        <v>307.3</v>
      </c>
      <c r="ML16" s="33">
        <f t="shared" si="16"/>
        <v>3.2561003917533506E-2</v>
      </c>
      <c r="MM16" s="33">
        <f t="shared" si="17"/>
        <v>3.0913341612929853E-2</v>
      </c>
      <c r="MO16" s="1">
        <v>0.10349999999999999</v>
      </c>
      <c r="MP16" s="18">
        <v>183921.50023279601</v>
      </c>
      <c r="MQ16" s="11">
        <v>5849724.471729205</v>
      </c>
      <c r="MR16" s="5"/>
      <c r="MS16" s="11">
        <v>1</v>
      </c>
      <c r="MT16" s="11">
        <v>31.80555</v>
      </c>
      <c r="MU16" s="5">
        <v>327.60072545862971</v>
      </c>
      <c r="MV16" s="8">
        <v>3.2600688750000002E-2</v>
      </c>
      <c r="MW16" s="8">
        <v>1.2187840573651965E-3</v>
      </c>
      <c r="MX16" s="5"/>
      <c r="MY16" s="21">
        <v>976.79881371450256</v>
      </c>
      <c r="MZ16" s="22">
        <v>1176.8053499999999</v>
      </c>
      <c r="NB16" s="16" t="s">
        <v>1083</v>
      </c>
      <c r="NC16" s="32" t="s">
        <v>263</v>
      </c>
      <c r="ND16" s="32" t="s">
        <v>332</v>
      </c>
      <c r="NE16" s="32" t="s">
        <v>1652</v>
      </c>
      <c r="NF16" s="32"/>
      <c r="NG16" s="30" t="s">
        <v>850</v>
      </c>
      <c r="NH16" s="30" t="s">
        <v>26</v>
      </c>
      <c r="NI16" s="30" t="s">
        <v>33</v>
      </c>
      <c r="NJ16" s="30" t="s">
        <v>28</v>
      </c>
      <c r="NK16" s="30" t="s">
        <v>34</v>
      </c>
      <c r="NL16" s="17">
        <v>43.57</v>
      </c>
      <c r="NM16" s="33">
        <f t="shared" si="18"/>
        <v>3.7763439086668509E-2</v>
      </c>
      <c r="NN16" s="33">
        <f t="shared" si="19"/>
        <v>3.5847920352517264E-2</v>
      </c>
      <c r="NP16" s="1">
        <v>1</v>
      </c>
      <c r="NQ16" s="18">
        <v>148172.158185671</v>
      </c>
      <c r="NR16" s="11">
        <v>6455860.932149685</v>
      </c>
      <c r="NS16" s="5"/>
      <c r="NT16" s="11">
        <v>1</v>
      </c>
      <c r="NU16" s="11">
        <v>43.57</v>
      </c>
      <c r="NV16" s="5">
        <v>277.35369538062707</v>
      </c>
      <c r="NW16" s="8">
        <v>3.7715281249999996E-2</v>
      </c>
      <c r="NX16" s="8">
        <v>-1.2752502905784002E-3</v>
      </c>
      <c r="NY16" s="5"/>
      <c r="NZ16" s="21">
        <v>1153.7614437076352</v>
      </c>
      <c r="OA16" s="22">
        <v>1612.09</v>
      </c>
      <c r="OC16" s="16" t="s">
        <v>1094</v>
      </c>
      <c r="OD16" s="44" t="s">
        <v>277</v>
      </c>
      <c r="OE16" s="32" t="s">
        <v>353</v>
      </c>
      <c r="OF16" s="32" t="s">
        <v>1673</v>
      </c>
      <c r="OG16" s="44"/>
      <c r="OH16" s="30" t="s">
        <v>832</v>
      </c>
      <c r="OI16" s="30" t="s">
        <v>26</v>
      </c>
      <c r="OJ16" s="30" t="s">
        <v>328</v>
      </c>
      <c r="OK16" s="30" t="s">
        <v>28</v>
      </c>
      <c r="OL16" s="30" t="s">
        <v>83</v>
      </c>
      <c r="OM16" s="17">
        <v>33.75</v>
      </c>
      <c r="ON16" s="33">
        <f t="shared" si="20"/>
        <v>3.1702586022587E-2</v>
      </c>
      <c r="OO16" s="33">
        <f t="shared" si="33"/>
        <v>3.0060615561877821E-2</v>
      </c>
      <c r="OQ16" s="1">
        <v>1</v>
      </c>
      <c r="OR16" s="18">
        <v>172994.40596677901</v>
      </c>
      <c r="OS16" s="11">
        <v>5838561.2013787916</v>
      </c>
      <c r="OT16" s="5"/>
      <c r="OU16" s="11">
        <v>1</v>
      </c>
      <c r="OV16" s="11">
        <v>33.75</v>
      </c>
      <c r="OW16" s="5">
        <v>300.58748228823231</v>
      </c>
      <c r="OX16" s="8">
        <v>3.1746093750000003E-2</v>
      </c>
      <c r="OY16" s="8">
        <v>1.3723715592792729E-3</v>
      </c>
      <c r="OZ16" s="5"/>
      <c r="PA16" s="21">
        <v>1064.5819232523897</v>
      </c>
      <c r="PB16" s="22">
        <v>1248.75</v>
      </c>
      <c r="PD16" s="16" t="s">
        <v>1101</v>
      </c>
      <c r="PE16" s="32" t="s">
        <v>282</v>
      </c>
      <c r="PF16" s="32">
        <v>6448</v>
      </c>
      <c r="PG16" s="32" t="s">
        <v>1686</v>
      </c>
      <c r="PH16" s="32"/>
      <c r="PI16" s="30" t="s">
        <v>902</v>
      </c>
      <c r="PJ16" s="30" t="s">
        <v>26</v>
      </c>
      <c r="PK16" s="71" t="s">
        <v>320</v>
      </c>
      <c r="PL16" s="30" t="s">
        <v>28</v>
      </c>
      <c r="PM16" s="30" t="s">
        <v>94</v>
      </c>
      <c r="PN16" s="17">
        <v>3066</v>
      </c>
      <c r="PO16" s="33">
        <f t="shared" si="21"/>
        <v>4.3895544142555129E-2</v>
      </c>
      <c r="PP16" s="33">
        <f t="shared" si="22"/>
        <v>4.1698501442826975E-2</v>
      </c>
      <c r="PR16" s="1">
        <v>1</v>
      </c>
      <c r="PS16" s="18">
        <v>2759.1396687333699</v>
      </c>
      <c r="PT16" s="11">
        <v>8459522.2243365124</v>
      </c>
      <c r="PU16" s="5"/>
      <c r="PV16" s="11">
        <v>100</v>
      </c>
      <c r="PW16" s="11">
        <v>306600</v>
      </c>
      <c r="PX16" s="5">
        <v>4.5814005628237578E-2</v>
      </c>
      <c r="PY16" s="8">
        <v>0</v>
      </c>
      <c r="PZ16" s="8">
        <v>-1</v>
      </c>
      <c r="QA16" s="5"/>
      <c r="QB16" s="21">
        <v>6984763.6243962739</v>
      </c>
      <c r="QC16" s="22">
        <v>11344200</v>
      </c>
      <c r="QE16" s="16" t="s">
        <v>1121</v>
      </c>
      <c r="QF16" s="34" t="s">
        <v>611</v>
      </c>
      <c r="QG16" s="34"/>
      <c r="QH16" s="32" t="s">
        <v>1702</v>
      </c>
      <c r="QI16" s="34"/>
      <c r="QJ16" s="30" t="s">
        <v>902</v>
      </c>
      <c r="QK16" s="30" t="s">
        <v>26</v>
      </c>
      <c r="QL16" s="30"/>
      <c r="QM16" s="30" t="s">
        <v>28</v>
      </c>
      <c r="QN16" s="30" t="s">
        <v>94</v>
      </c>
      <c r="QO16" s="17">
        <v>1014</v>
      </c>
      <c r="QP16" s="33">
        <f t="shared" si="23"/>
        <v>3.1907475424702E-2</v>
      </c>
      <c r="QQ16" s="33">
        <f t="shared" si="24"/>
        <v>3.0319886833329687E-2</v>
      </c>
      <c r="QS16" s="1">
        <v>6.3369999999999998E-3</v>
      </c>
      <c r="QT16" s="18">
        <v>566477.83428209298</v>
      </c>
      <c r="QU16" s="11">
        <v>3640026.8163474621</v>
      </c>
      <c r="QV16" s="5"/>
      <c r="QW16" s="11">
        <v>100</v>
      </c>
      <c r="QX16" s="11">
        <v>642.57179999999994</v>
      </c>
      <c r="QY16" s="5">
        <v>15.889885201785452</v>
      </c>
      <c r="QZ16" s="8">
        <v>3.2128589999999999E-2</v>
      </c>
      <c r="RA16" s="8">
        <v>6.9298674481408362E-3</v>
      </c>
      <c r="RB16" s="5"/>
      <c r="RC16" s="21">
        <v>20138.597348962816</v>
      </c>
      <c r="RD16" s="22">
        <v>23775.156599999995</v>
      </c>
      <c r="RF16" s="16" t="s">
        <v>1330</v>
      </c>
      <c r="RG16" s="34" t="s">
        <v>1304</v>
      </c>
      <c r="RH16" s="34"/>
      <c r="RI16" s="32" t="s">
        <v>1719</v>
      </c>
      <c r="RJ16" s="34"/>
      <c r="RK16" s="30" t="s">
        <v>853</v>
      </c>
    </row>
    <row r="17" spans="15:479" x14ac:dyDescent="0.2">
      <c r="O17" s="16" t="s">
        <v>874</v>
      </c>
      <c r="P17" s="32" t="s">
        <v>170</v>
      </c>
      <c r="Q17" s="32" t="s">
        <v>358</v>
      </c>
      <c r="R17" s="32" t="s">
        <v>1439</v>
      </c>
      <c r="S17" s="32"/>
      <c r="T17" s="30" t="s">
        <v>853</v>
      </c>
      <c r="U17" s="30" t="s">
        <v>26</v>
      </c>
      <c r="V17" s="30" t="s">
        <v>33</v>
      </c>
      <c r="W17" s="30" t="s">
        <v>28</v>
      </c>
      <c r="X17" s="30" t="s">
        <v>34</v>
      </c>
      <c r="Y17" s="17">
        <v>660.57</v>
      </c>
      <c r="Z17" s="33">
        <f t="shared" si="0"/>
        <v>2.7012721868271979E-2</v>
      </c>
      <c r="AA17" s="33">
        <f t="shared" si="1"/>
        <v>2.5662993610099154E-2</v>
      </c>
      <c r="AB17" s="4"/>
      <c r="AC17" s="1">
        <v>1</v>
      </c>
      <c r="AD17" s="18">
        <v>8415.4185051913591</v>
      </c>
      <c r="AE17" s="11">
        <v>5558973.0019742567</v>
      </c>
      <c r="AF17" s="5"/>
      <c r="AG17" s="11">
        <v>1</v>
      </c>
      <c r="AH17" s="11">
        <v>660.57</v>
      </c>
      <c r="AI17" s="5">
        <v>13.08577591753642</v>
      </c>
      <c r="AJ17" s="8">
        <v>2.6835656249999999E-2</v>
      </c>
      <c r="AK17" s="8">
        <v>-6.5548973233960917E-3</v>
      </c>
      <c r="AL17" s="5"/>
      <c r="AM17" s="21">
        <v>24454.033296654867</v>
      </c>
      <c r="AN17" s="22">
        <v>24441.09</v>
      </c>
      <c r="AP17" s="16" t="s">
        <v>899</v>
      </c>
      <c r="AQ17" s="32" t="s">
        <v>57</v>
      </c>
      <c r="AR17" s="32" t="s">
        <v>58</v>
      </c>
      <c r="AS17" s="32" t="s">
        <v>1474</v>
      </c>
      <c r="AT17" s="32"/>
      <c r="AU17" s="30" t="s">
        <v>850</v>
      </c>
      <c r="AV17" s="30" t="s">
        <v>26</v>
      </c>
      <c r="AW17" s="30" t="s">
        <v>33</v>
      </c>
      <c r="AX17" s="30" t="s">
        <v>28</v>
      </c>
      <c r="AY17" s="30" t="s">
        <v>34</v>
      </c>
      <c r="AZ17" s="17">
        <v>116.07</v>
      </c>
      <c r="BA17" s="33">
        <f t="shared" si="2"/>
        <v>6.4157895107456828E-2</v>
      </c>
      <c r="BB17" s="33">
        <f t="shared" si="25"/>
        <v>6.0929302922747619E-2</v>
      </c>
      <c r="BD17" s="1">
        <v>1</v>
      </c>
      <c r="BE17" s="18">
        <v>91007.162172711396</v>
      </c>
      <c r="BF17" s="11">
        <v>10563201.313386612</v>
      </c>
      <c r="BG17" s="5"/>
      <c r="BH17" s="11">
        <v>1</v>
      </c>
      <c r="BI17" s="11">
        <v>116.07</v>
      </c>
      <c r="BJ17" s="5">
        <v>176.88055858004813</v>
      </c>
      <c r="BK17" s="8">
        <v>6.4201218749999997E-2</v>
      </c>
      <c r="BL17" s="8">
        <v>6.7526595862599237E-4</v>
      </c>
      <c r="BM17" s="5"/>
      <c r="BN17" s="21">
        <v>1809.1304243319794</v>
      </c>
      <c r="BO17" s="22">
        <v>4294.5899999999992</v>
      </c>
      <c r="BQ17" s="16" t="s">
        <v>918</v>
      </c>
      <c r="BR17" s="32" t="s">
        <v>753</v>
      </c>
      <c r="BS17" s="32">
        <v>3462</v>
      </c>
      <c r="BT17" s="32" t="s">
        <v>1492</v>
      </c>
      <c r="BU17" s="32"/>
      <c r="BV17" s="30" t="s">
        <v>902</v>
      </c>
      <c r="BW17" s="30" t="s">
        <v>26</v>
      </c>
      <c r="BX17" s="71" t="s">
        <v>320</v>
      </c>
      <c r="BY17" s="30" t="s">
        <v>28</v>
      </c>
      <c r="BZ17" s="30" t="s">
        <v>94</v>
      </c>
      <c r="CA17" s="17">
        <v>165500</v>
      </c>
      <c r="CB17" s="33">
        <f t="shared" si="3"/>
        <v>6.557983248865723E-2</v>
      </c>
      <c r="CC17" s="33">
        <f t="shared" si="26"/>
        <v>6.2295227928030522E-2</v>
      </c>
      <c r="CE17" s="1">
        <v>1</v>
      </c>
      <c r="CF17" s="18">
        <v>248.59717202566199</v>
      </c>
      <c r="CG17" s="11">
        <v>41142831.97024706</v>
      </c>
      <c r="CH17" s="5"/>
      <c r="CI17" s="11">
        <v>1</v>
      </c>
      <c r="CJ17" s="11">
        <v>165500</v>
      </c>
      <c r="CK17" s="5">
        <v>0.12680088457021338</v>
      </c>
      <c r="CL17" s="8">
        <v>0</v>
      </c>
      <c r="CM17" s="8">
        <v>-1</v>
      </c>
      <c r="CN17" s="5"/>
      <c r="CO17" s="21">
        <v>2523641.7008022256</v>
      </c>
      <c r="CP17" s="22">
        <v>6123500</v>
      </c>
      <c r="CR17" s="16" t="s">
        <v>934</v>
      </c>
      <c r="CS17" s="44" t="s">
        <v>121</v>
      </c>
      <c r="CT17" s="32" t="s">
        <v>375</v>
      </c>
      <c r="CU17" s="32" t="s">
        <v>1504</v>
      </c>
      <c r="CV17" s="44"/>
      <c r="CW17" s="30" t="s">
        <v>850</v>
      </c>
      <c r="CX17" s="30" t="s">
        <v>26</v>
      </c>
      <c r="CY17" s="30" t="s">
        <v>33</v>
      </c>
      <c r="CZ17" s="30" t="s">
        <v>28</v>
      </c>
      <c r="DA17" s="30" t="s">
        <v>34</v>
      </c>
      <c r="DB17" s="17">
        <v>45</v>
      </c>
      <c r="DC17" s="33">
        <f t="shared" si="4"/>
        <v>5.4368317764648323E-2</v>
      </c>
      <c r="DD17" s="33">
        <f t="shared" si="5"/>
        <v>5.1632634068321429E-2</v>
      </c>
      <c r="DF17" s="1">
        <v>1</v>
      </c>
      <c r="DG17" s="18">
        <v>219112.19472543299</v>
      </c>
      <c r="DH17" s="11">
        <v>9860048.7626444846</v>
      </c>
      <c r="DI17" s="5"/>
      <c r="DJ17" s="11">
        <v>1</v>
      </c>
      <c r="DK17" s="11">
        <v>45</v>
      </c>
      <c r="DL17" s="5">
        <v>386.61914854861033</v>
      </c>
      <c r="DM17" s="8">
        <v>5.4421875000000001E-2</v>
      </c>
      <c r="DN17" s="8">
        <v>9.8508170849642696E-4</v>
      </c>
      <c r="DO17" s="5"/>
      <c r="DP17" s="21">
        <v>827.68792285973871</v>
      </c>
      <c r="DQ17" s="22">
        <v>1665</v>
      </c>
      <c r="DS17" s="16" t="s">
        <v>951</v>
      </c>
      <c r="DT17" s="32" t="s">
        <v>143</v>
      </c>
      <c r="DU17" s="32" t="s">
        <v>144</v>
      </c>
      <c r="DV17" s="32" t="s">
        <v>1520</v>
      </c>
      <c r="DW17" s="32"/>
      <c r="DX17" s="30" t="s">
        <v>777</v>
      </c>
      <c r="DY17" s="30" t="s">
        <v>26</v>
      </c>
      <c r="DZ17" s="30" t="s">
        <v>129</v>
      </c>
      <c r="EA17" s="30" t="s">
        <v>28</v>
      </c>
      <c r="EB17" s="43" t="s">
        <v>827</v>
      </c>
      <c r="EC17" s="17">
        <v>3.4339999999999997</v>
      </c>
      <c r="ED17" s="33">
        <f t="shared" si="27"/>
        <v>4.9797615446689349E-2</v>
      </c>
      <c r="EE17" s="33">
        <f t="shared" si="28"/>
        <v>4.7238407002700572E-2</v>
      </c>
      <c r="EG17" s="1">
        <v>1</v>
      </c>
      <c r="EH17" s="18">
        <v>2393093.6778081502</v>
      </c>
      <c r="EI17" s="11">
        <v>8217883.6895931866</v>
      </c>
      <c r="EJ17" s="5"/>
      <c r="EK17" s="11">
        <v>1</v>
      </c>
      <c r="EL17" s="11">
        <v>3.4339999999999997</v>
      </c>
      <c r="EM17" s="5">
        <v>4640.4300940421062</v>
      </c>
      <c r="EN17" s="8">
        <v>4.9792999999999997E-2</v>
      </c>
      <c r="EO17" s="8">
        <v>-9.2684090351569104E-5</v>
      </c>
      <c r="EP17" s="5"/>
      <c r="EQ17" s="21">
        <v>68.959125235148164</v>
      </c>
      <c r="ER17" s="22">
        <v>127.05799999999998</v>
      </c>
      <c r="ET17" s="16" t="s">
        <v>959</v>
      </c>
      <c r="EU17" s="32" t="s">
        <v>165</v>
      </c>
      <c r="EV17" s="32" t="s">
        <v>7</v>
      </c>
      <c r="EW17" s="32" t="s">
        <v>1528</v>
      </c>
      <c r="EX17" s="32"/>
      <c r="EY17" s="30" t="s">
        <v>850</v>
      </c>
      <c r="EZ17" s="30" t="s">
        <v>26</v>
      </c>
      <c r="FA17" s="30" t="s">
        <v>33</v>
      </c>
      <c r="FB17" s="30" t="s">
        <v>28</v>
      </c>
      <c r="FC17" s="30" t="s">
        <v>34</v>
      </c>
      <c r="FD17" s="17">
        <v>28.97</v>
      </c>
      <c r="FE17" s="33">
        <f t="shared" si="6"/>
        <v>3.6450316271083583E-2</v>
      </c>
      <c r="FF17" s="33">
        <f t="shared" si="7"/>
        <v>3.4626836826462691E-2</v>
      </c>
      <c r="FH17" s="1">
        <v>1</v>
      </c>
      <c r="FI17" s="18">
        <v>257833.91767385899</v>
      </c>
      <c r="FJ17" s="11">
        <v>7469448.5950116944</v>
      </c>
      <c r="FK17" s="5"/>
      <c r="FL17" s="11">
        <v>1</v>
      </c>
      <c r="FM17" s="11">
        <v>28.97</v>
      </c>
      <c r="FN17" s="5">
        <v>402.62689702266994</v>
      </c>
      <c r="FO17" s="8">
        <v>3.6484093750000002E-2</v>
      </c>
      <c r="FP17" s="8">
        <v>9.2667176507377214E-4</v>
      </c>
      <c r="FQ17" s="5"/>
      <c r="FR17" s="21">
        <v>794.78048378368123</v>
      </c>
      <c r="FS17" s="22">
        <v>1071.8899999999999</v>
      </c>
      <c r="FU17" s="16" t="s">
        <v>974</v>
      </c>
      <c r="FV17" s="32" t="s">
        <v>166</v>
      </c>
      <c r="FW17" s="32" t="s">
        <v>391</v>
      </c>
      <c r="FX17" s="32" t="s">
        <v>1540</v>
      </c>
      <c r="FY17" s="32"/>
      <c r="FZ17" s="30" t="s">
        <v>853</v>
      </c>
      <c r="GA17" s="30" t="s">
        <v>26</v>
      </c>
      <c r="GB17" s="30" t="s">
        <v>33</v>
      </c>
      <c r="GC17" s="30" t="s">
        <v>28</v>
      </c>
      <c r="GD17" s="30" t="s">
        <v>34</v>
      </c>
      <c r="GE17" s="17">
        <v>164.48</v>
      </c>
      <c r="GF17" s="33">
        <f t="shared" si="8"/>
        <v>2.8130146896142665E-2</v>
      </c>
      <c r="GG17" s="33">
        <f t="shared" si="9"/>
        <v>2.6722359670053635E-2</v>
      </c>
      <c r="GI17" s="1">
        <v>1</v>
      </c>
      <c r="GJ17" s="18">
        <v>35401.626202021398</v>
      </c>
      <c r="GK17" s="11">
        <v>5822859.4777084794</v>
      </c>
      <c r="GL17" s="5"/>
      <c r="GM17" s="11">
        <v>1</v>
      </c>
      <c r="GN17" s="11">
        <v>164.48</v>
      </c>
      <c r="GO17" s="5">
        <v>54.727912249304808</v>
      </c>
      <c r="GP17" s="8">
        <v>2.827E-2</v>
      </c>
      <c r="GQ17" s="8">
        <v>4.971644989046009E-3</v>
      </c>
      <c r="GR17" s="5"/>
      <c r="GS17" s="21">
        <v>5847.1077526635399</v>
      </c>
      <c r="GT17" s="22">
        <v>6085.7599999999993</v>
      </c>
      <c r="GV17" s="16" t="s">
        <v>998</v>
      </c>
      <c r="GW17" s="32" t="s">
        <v>193</v>
      </c>
      <c r="GX17" s="32" t="s">
        <v>415</v>
      </c>
      <c r="GY17" s="32" t="s">
        <v>1561</v>
      </c>
      <c r="GZ17" s="32"/>
      <c r="HA17" s="30" t="s">
        <v>850</v>
      </c>
      <c r="HB17" s="30" t="s">
        <v>26</v>
      </c>
      <c r="HC17" s="30" t="s">
        <v>33</v>
      </c>
      <c r="HD17" s="30" t="s">
        <v>28</v>
      </c>
      <c r="HE17" s="30" t="s">
        <v>34</v>
      </c>
      <c r="HF17" s="17">
        <v>19.37</v>
      </c>
      <c r="HG17" s="33">
        <f t="shared" si="10"/>
        <v>1.7224174656967042E-2</v>
      </c>
      <c r="HH17" s="33">
        <f t="shared" si="29"/>
        <v>1.636166774536094E-2</v>
      </c>
      <c r="HJ17" s="1">
        <v>1</v>
      </c>
      <c r="HK17" s="18">
        <v>145024.083344338</v>
      </c>
      <c r="HL17" s="11">
        <v>2809116.4943798273</v>
      </c>
      <c r="HM17" s="5"/>
      <c r="HN17" s="11">
        <v>1</v>
      </c>
      <c r="HO17" s="11">
        <v>19.37</v>
      </c>
      <c r="HP17" s="5">
        <v>284.55012339852624</v>
      </c>
      <c r="HQ17" s="8">
        <v>1.7251406250000004E-2</v>
      </c>
      <c r="HR17" s="8">
        <v>1.5810100382340764E-3</v>
      </c>
      <c r="HS17" s="5"/>
      <c r="HT17" s="21">
        <v>1124.582186709596</v>
      </c>
      <c r="HU17" s="22">
        <v>716.68999999999994</v>
      </c>
      <c r="HW17" s="16" t="s">
        <v>1029</v>
      </c>
      <c r="HX17" s="45" t="s">
        <v>217</v>
      </c>
      <c r="HY17" s="32">
        <v>639</v>
      </c>
      <c r="HZ17" s="32" t="s">
        <v>1589</v>
      </c>
      <c r="IA17" s="45"/>
      <c r="IB17" s="30" t="s">
        <v>862</v>
      </c>
      <c r="IC17" s="30" t="s">
        <v>26</v>
      </c>
      <c r="ID17" s="30" t="s">
        <v>27</v>
      </c>
      <c r="IE17" s="30" t="s">
        <v>28</v>
      </c>
      <c r="IF17" s="30" t="s">
        <v>82</v>
      </c>
      <c r="IG17" s="17">
        <v>3.21</v>
      </c>
      <c r="IH17" s="33">
        <f t="shared" si="11"/>
        <v>4.4266894700257547E-2</v>
      </c>
      <c r="II17" s="33">
        <f t="shared" si="12"/>
        <v>4.2076201341591034E-2</v>
      </c>
      <c r="IK17" s="1">
        <v>1</v>
      </c>
      <c r="IL17" s="18">
        <v>2613823.4144164701</v>
      </c>
      <c r="IM17" s="11">
        <v>8390373.1602768693</v>
      </c>
      <c r="IN17" s="5"/>
      <c r="IO17" s="11">
        <v>2000</v>
      </c>
      <c r="IP17" s="11">
        <v>6420</v>
      </c>
      <c r="IQ17" s="5">
        <v>2.2064495800751427</v>
      </c>
      <c r="IR17" s="8">
        <v>4.0125000000000001E-2</v>
      </c>
      <c r="IS17" s="8">
        <v>-9.3566416354781023E-2</v>
      </c>
      <c r="IT17" s="5"/>
      <c r="IU17" s="21">
        <v>145029.37338323504</v>
      </c>
      <c r="IV17" s="22">
        <v>237540</v>
      </c>
      <c r="IX17" s="16" t="s">
        <v>1038</v>
      </c>
      <c r="IY17" s="32" t="s">
        <v>230</v>
      </c>
      <c r="IZ17" s="32" t="s">
        <v>398</v>
      </c>
      <c r="JA17" s="32" t="s">
        <v>1603</v>
      </c>
      <c r="JB17" s="32"/>
      <c r="JC17" s="30" t="s">
        <v>853</v>
      </c>
      <c r="JD17" s="30" t="s">
        <v>26</v>
      </c>
      <c r="JE17" s="30" t="s">
        <v>33</v>
      </c>
      <c r="JF17" s="30" t="s">
        <v>28</v>
      </c>
      <c r="JG17" s="30" t="s">
        <v>34</v>
      </c>
      <c r="JH17" s="17">
        <v>496.7</v>
      </c>
      <c r="JI17" s="33">
        <f t="shared" si="30"/>
        <v>3.7551635758914279E-2</v>
      </c>
      <c r="JJ17" s="33">
        <f t="shared" si="13"/>
        <v>3.5672136366487216E-2</v>
      </c>
      <c r="JL17" s="1">
        <v>1</v>
      </c>
      <c r="JM17" s="18">
        <v>9223.1048128562106</v>
      </c>
      <c r="JN17" s="11">
        <v>4581116.1605456797</v>
      </c>
      <c r="JO17" s="5"/>
      <c r="JP17" s="11">
        <v>1</v>
      </c>
      <c r="JQ17" s="11">
        <v>496.7</v>
      </c>
      <c r="JR17" s="5">
        <v>24.192718829983026</v>
      </c>
      <c r="JS17" s="8">
        <v>3.7252500000000001E-2</v>
      </c>
      <c r="JT17" s="8">
        <v>-7.965984779857882E-3</v>
      </c>
      <c r="JU17" s="5"/>
      <c r="JV17" s="21">
        <v>13227.120202935228</v>
      </c>
      <c r="JW17" s="22">
        <v>18377.899999999998</v>
      </c>
      <c r="JY17" s="16" t="s">
        <v>960</v>
      </c>
      <c r="JZ17" s="32" t="s">
        <v>178</v>
      </c>
      <c r="KA17" s="32" t="s">
        <v>392</v>
      </c>
      <c r="KB17" s="32" t="s">
        <v>1532</v>
      </c>
      <c r="KC17" s="32"/>
      <c r="KD17" s="30" t="s">
        <v>853</v>
      </c>
      <c r="KE17" s="30" t="s">
        <v>26</v>
      </c>
      <c r="KF17" s="30" t="s">
        <v>33</v>
      </c>
      <c r="KG17" s="30" t="s">
        <v>28</v>
      </c>
      <c r="KH17" s="30" t="s">
        <v>34</v>
      </c>
      <c r="KI17" s="17">
        <v>65.78</v>
      </c>
      <c r="KJ17" s="33">
        <f t="shared" si="31"/>
        <v>2.6638179656208662E-2</v>
      </c>
      <c r="KK17" s="33">
        <f t="shared" si="32"/>
        <v>2.5310378662289894E-2</v>
      </c>
      <c r="KM17" s="1">
        <v>1</v>
      </c>
      <c r="KN17" s="18">
        <v>40212.779025516997</v>
      </c>
      <c r="KO17" s="11">
        <v>2645196.6042985083</v>
      </c>
      <c r="KP17" s="5"/>
      <c r="KQ17" s="11">
        <v>1</v>
      </c>
      <c r="KR17" s="11">
        <v>65.78</v>
      </c>
      <c r="KS17" s="5">
        <v>129.5867663421522</v>
      </c>
      <c r="KT17" s="8">
        <v>2.6723125E-2</v>
      </c>
      <c r="KU17" s="8">
        <v>3.1888569297016112E-3</v>
      </c>
      <c r="KV17" s="5"/>
      <c r="KW17" s="21">
        <v>2469.3879555192657</v>
      </c>
      <c r="KX17" s="22">
        <v>2433.86</v>
      </c>
      <c r="KZ17" s="16" t="s">
        <v>1075</v>
      </c>
      <c r="LA17" s="32" t="s">
        <v>747</v>
      </c>
      <c r="LB17" s="32" t="s">
        <v>750</v>
      </c>
      <c r="LC17" s="32" t="s">
        <v>1645</v>
      </c>
      <c r="LD17" s="32"/>
      <c r="LE17" s="30" t="s">
        <v>853</v>
      </c>
      <c r="LF17" s="30" t="s">
        <v>26</v>
      </c>
      <c r="LG17" s="30" t="s">
        <v>33</v>
      </c>
      <c r="LH17" s="30" t="s">
        <v>28</v>
      </c>
      <c r="LI17" s="30" t="s">
        <v>34</v>
      </c>
      <c r="LJ17" s="17">
        <v>20.02</v>
      </c>
      <c r="LK17" s="33">
        <f t="shared" si="14"/>
        <v>6.7857142497335585E-2</v>
      </c>
      <c r="LL17" s="33">
        <f t="shared" si="15"/>
        <v>6.4435324282055464E-2</v>
      </c>
      <c r="LN17" s="1">
        <v>1</v>
      </c>
      <c r="LO17" s="18">
        <v>374562.91552229499</v>
      </c>
      <c r="LP17" s="11">
        <v>7498749.5687563457</v>
      </c>
      <c r="LQ17" s="5"/>
      <c r="LR17" s="11">
        <v>1</v>
      </c>
      <c r="LS17" s="11">
        <v>20.02</v>
      </c>
      <c r="LT17" s="5">
        <v>1084.6296503070623</v>
      </c>
      <c r="LU17" s="8">
        <v>6.7880312499999998E-2</v>
      </c>
      <c r="LV17" s="8">
        <v>3.4145267265461854E-4</v>
      </c>
      <c r="LW17" s="5"/>
      <c r="LX17" s="21">
        <v>295.03158051175063</v>
      </c>
      <c r="LY17" s="22">
        <v>740.7399999999999</v>
      </c>
      <c r="MA17" s="16" t="s">
        <v>1414</v>
      </c>
      <c r="MB17" s="32" t="s">
        <v>1408</v>
      </c>
      <c r="MC17" s="32" t="s">
        <v>1411</v>
      </c>
      <c r="MD17" s="32" t="s">
        <v>1651</v>
      </c>
      <c r="ME17" s="32"/>
      <c r="MF17" s="30" t="s">
        <v>850</v>
      </c>
      <c r="MG17" s="30" t="s">
        <v>26</v>
      </c>
      <c r="MH17" s="30" t="s">
        <v>33</v>
      </c>
      <c r="MI17" s="30" t="s">
        <v>28</v>
      </c>
      <c r="MJ17" s="30" t="s">
        <v>34</v>
      </c>
      <c r="MK17" s="17">
        <v>73.87</v>
      </c>
      <c r="ML17" s="33">
        <f t="shared" si="16"/>
        <v>2.9338207812652464E-2</v>
      </c>
      <c r="MM17" s="33">
        <f t="shared" si="17"/>
        <v>2.7853626464363446E-2</v>
      </c>
      <c r="MO17" s="1">
        <v>1</v>
      </c>
      <c r="MP17" s="18">
        <v>71351.499702306304</v>
      </c>
      <c r="MQ17" s="11">
        <v>5270735.2830093671</v>
      </c>
      <c r="MR17" s="5"/>
      <c r="MS17" s="11">
        <v>1</v>
      </c>
      <c r="MT17" s="11">
        <v>73.87</v>
      </c>
      <c r="MU17" s="5">
        <v>127.09119399010136</v>
      </c>
      <c r="MV17" s="8">
        <v>2.931715625E-2</v>
      </c>
      <c r="MW17" s="8">
        <v>-7.1754766981324547E-4</v>
      </c>
      <c r="MX17" s="5"/>
      <c r="MY17" s="21">
        <v>2517.8770452414155</v>
      </c>
      <c r="MZ17" s="22">
        <v>2733.19</v>
      </c>
      <c r="NB17" s="16" t="s">
        <v>893</v>
      </c>
      <c r="NC17" s="32" t="s">
        <v>710</v>
      </c>
      <c r="ND17" s="32" t="s">
        <v>333</v>
      </c>
      <c r="NE17" s="32" t="s">
        <v>1665</v>
      </c>
      <c r="NF17" s="32"/>
      <c r="NG17" s="30" t="s">
        <v>850</v>
      </c>
      <c r="NH17" s="30" t="s">
        <v>26</v>
      </c>
      <c r="NI17" s="30" t="s">
        <v>33</v>
      </c>
      <c r="NJ17" s="30" t="s">
        <v>28</v>
      </c>
      <c r="NK17" s="30" t="s">
        <v>34</v>
      </c>
      <c r="NL17" s="17">
        <v>55.27</v>
      </c>
      <c r="NM17" s="33">
        <f t="shared" si="18"/>
        <v>3.5912040844638705E-2</v>
      </c>
      <c r="NN17" s="33">
        <f t="shared" si="19"/>
        <v>3.4090432731520778E-2</v>
      </c>
      <c r="NP17" s="1">
        <v>1</v>
      </c>
      <c r="NQ17" s="18">
        <v>111079.329607605</v>
      </c>
      <c r="NR17" s="11">
        <v>6139354.5474123284</v>
      </c>
      <c r="NS17" s="5"/>
      <c r="NT17" s="11">
        <v>1</v>
      </c>
      <c r="NU17" s="11">
        <v>55.27</v>
      </c>
      <c r="NV17" s="5">
        <v>207.92207472922715</v>
      </c>
      <c r="NW17" s="8">
        <v>3.5925499999999999E-2</v>
      </c>
      <c r="NX17" s="8">
        <v>3.7478113314470818E-4</v>
      </c>
      <c r="NY17" s="5"/>
      <c r="NZ17" s="21">
        <v>1539.0381248202227</v>
      </c>
      <c r="OA17" s="22">
        <v>2044.99</v>
      </c>
      <c r="OC17" s="16" t="s">
        <v>893</v>
      </c>
      <c r="OD17" s="32" t="s">
        <v>96</v>
      </c>
      <c r="OE17" s="32" t="s">
        <v>333</v>
      </c>
      <c r="OF17" s="32" t="s">
        <v>1468</v>
      </c>
      <c r="OG17" s="32"/>
      <c r="OH17" s="30" t="s">
        <v>777</v>
      </c>
      <c r="OI17" s="30" t="s">
        <v>26</v>
      </c>
      <c r="OJ17" s="30" t="s">
        <v>129</v>
      </c>
      <c r="OK17" s="30" t="s">
        <v>28</v>
      </c>
      <c r="OL17" s="43" t="s">
        <v>827</v>
      </c>
      <c r="OM17" s="17">
        <v>20.76</v>
      </c>
      <c r="ON17" s="33">
        <f t="shared" si="20"/>
        <v>4.2893706290036686E-2</v>
      </c>
      <c r="OO17" s="33">
        <f t="shared" si="33"/>
        <v>4.0672114694057834E-2</v>
      </c>
      <c r="OQ17" s="1">
        <v>1.1509</v>
      </c>
      <c r="OR17" s="18">
        <v>330628.11550359399</v>
      </c>
      <c r="OS17" s="11">
        <v>7899593.0852428731</v>
      </c>
      <c r="OT17" s="5"/>
      <c r="OU17" s="11">
        <v>1</v>
      </c>
      <c r="OV17" s="11">
        <v>23.892684000000003</v>
      </c>
      <c r="OW17" s="5">
        <v>574.48489306650265</v>
      </c>
      <c r="OX17" s="8">
        <v>4.2857501924999999E-2</v>
      </c>
      <c r="OY17" s="8">
        <v>-8.4404842034124794E-4</v>
      </c>
      <c r="OZ17" s="5"/>
      <c r="PA17" s="21">
        <v>557.02073955660421</v>
      </c>
      <c r="PB17" s="22">
        <v>884.02930800000001</v>
      </c>
      <c r="PD17" s="16" t="s">
        <v>1102</v>
      </c>
      <c r="PE17" s="45" t="s">
        <v>283</v>
      </c>
      <c r="PF17" s="45">
        <v>7202</v>
      </c>
      <c r="PG17" s="32" t="s">
        <v>1687</v>
      </c>
      <c r="PH17" s="45"/>
      <c r="PI17" s="30" t="s">
        <v>902</v>
      </c>
      <c r="PJ17" s="30" t="s">
        <v>26</v>
      </c>
      <c r="PK17" s="71" t="s">
        <v>320</v>
      </c>
      <c r="PL17" s="30" t="s">
        <v>28</v>
      </c>
      <c r="PM17" s="30" t="s">
        <v>94</v>
      </c>
      <c r="PN17" s="17">
        <v>2613</v>
      </c>
      <c r="PO17" s="33">
        <f t="shared" si="21"/>
        <v>4.3231582031217582E-2</v>
      </c>
      <c r="PP17" s="33">
        <f t="shared" si="22"/>
        <v>4.106777170479986E-2</v>
      </c>
      <c r="PR17" s="1">
        <v>1</v>
      </c>
      <c r="PS17" s="18">
        <v>3188.5051110937702</v>
      </c>
      <c r="PT17" s="11">
        <v>8331563.8552880213</v>
      </c>
      <c r="PU17" s="5"/>
      <c r="PV17" s="11">
        <v>100</v>
      </c>
      <c r="PW17" s="11">
        <v>261300</v>
      </c>
      <c r="PX17" s="5">
        <v>5.2943384041292105E-2</v>
      </c>
      <c r="PY17" s="8">
        <v>0</v>
      </c>
      <c r="PZ17" s="8">
        <v>-1</v>
      </c>
      <c r="QA17" s="5"/>
      <c r="QB17" s="21">
        <v>6044192.4103382323</v>
      </c>
      <c r="QC17" s="22">
        <v>9668100</v>
      </c>
      <c r="QE17" s="16" t="s">
        <v>1122</v>
      </c>
      <c r="QF17" s="34" t="s">
        <v>300</v>
      </c>
      <c r="QG17" s="34"/>
      <c r="QH17" s="32" t="s">
        <v>1703</v>
      </c>
      <c r="QI17" s="34"/>
      <c r="QJ17" s="30" t="s">
        <v>850</v>
      </c>
      <c r="QK17" s="30" t="s">
        <v>26</v>
      </c>
      <c r="QL17" s="30"/>
      <c r="QM17" s="30" t="s">
        <v>28</v>
      </c>
      <c r="QN17" s="30" t="s">
        <v>34</v>
      </c>
      <c r="QO17" s="17">
        <v>175.66</v>
      </c>
      <c r="QP17" s="33">
        <f t="shared" si="23"/>
        <v>6.4388146725124565E-2</v>
      </c>
      <c r="QQ17" s="33">
        <f t="shared" si="24"/>
        <v>6.1184449604001767E-2</v>
      </c>
      <c r="QS17" s="1">
        <v>1</v>
      </c>
      <c r="QT17" s="18">
        <v>41816.259898493998</v>
      </c>
      <c r="QU17" s="11">
        <v>7345444.2137694554</v>
      </c>
      <c r="QV17" s="5"/>
      <c r="QW17" s="11">
        <v>1</v>
      </c>
      <c r="QX17" s="11">
        <v>175.66</v>
      </c>
      <c r="QY17" s="5">
        <v>117.29595213503281</v>
      </c>
      <c r="QZ17" s="8">
        <v>6.4225687500000003E-2</v>
      </c>
      <c r="RA17" s="8">
        <v>-2.523123173867825E-3</v>
      </c>
      <c r="RB17" s="5"/>
      <c r="RC17" s="21">
        <v>2728.1418853364298</v>
      </c>
      <c r="RD17" s="22">
        <v>6499.4199999999992</v>
      </c>
      <c r="RF17" s="16" t="s">
        <v>1331</v>
      </c>
      <c r="RG17" s="34" t="s">
        <v>1305</v>
      </c>
      <c r="RH17" s="34"/>
      <c r="RI17" s="32" t="s">
        <v>1720</v>
      </c>
      <c r="RJ17" s="34"/>
      <c r="RK17" s="30" t="s">
        <v>862</v>
      </c>
    </row>
    <row r="18" spans="15:479" x14ac:dyDescent="0.2">
      <c r="O18" s="16" t="s">
        <v>880</v>
      </c>
      <c r="P18" s="32" t="s">
        <v>68</v>
      </c>
      <c r="Q18" s="32" t="s">
        <v>69</v>
      </c>
      <c r="R18" s="32" t="s">
        <v>1440</v>
      </c>
      <c r="S18" s="32"/>
      <c r="T18" s="30" t="s">
        <v>850</v>
      </c>
      <c r="U18" s="30" t="s">
        <v>26</v>
      </c>
      <c r="V18" s="30" t="s">
        <v>33</v>
      </c>
      <c r="W18" s="30" t="s">
        <v>28</v>
      </c>
      <c r="X18" s="30" t="s">
        <v>34</v>
      </c>
      <c r="Y18" s="17">
        <v>153.99</v>
      </c>
      <c r="Z18" s="33">
        <f t="shared" si="0"/>
        <v>2.7105676607428058E-2</v>
      </c>
      <c r="AA18" s="33">
        <f t="shared" si="1"/>
        <v>2.5751303736291684E-2</v>
      </c>
      <c r="AB18" s="4"/>
      <c r="AC18" s="1">
        <v>1</v>
      </c>
      <c r="AD18" s="18">
        <v>36223.7953351916</v>
      </c>
      <c r="AE18" s="11">
        <v>5578102.2436661553</v>
      </c>
      <c r="AF18" s="5"/>
      <c r="AG18" s="11">
        <v>1</v>
      </c>
      <c r="AH18" s="11">
        <v>153.99</v>
      </c>
      <c r="AI18" s="5">
        <v>56.327141466179476</v>
      </c>
      <c r="AJ18" s="8">
        <v>2.694825E-2</v>
      </c>
      <c r="AK18" s="8">
        <v>-5.8078833341100866E-3</v>
      </c>
      <c r="AL18" s="5"/>
      <c r="AM18" s="21">
        <v>5681.0978095193714</v>
      </c>
      <c r="AN18" s="22">
        <v>5697.63</v>
      </c>
      <c r="AP18" s="16" t="s">
        <v>877</v>
      </c>
      <c r="AQ18" s="32" t="s">
        <v>62</v>
      </c>
      <c r="AR18" s="32" t="s">
        <v>63</v>
      </c>
      <c r="AS18" s="32" t="s">
        <v>1442</v>
      </c>
      <c r="AT18" s="32"/>
      <c r="AU18" s="30" t="s">
        <v>430</v>
      </c>
      <c r="AV18" s="30" t="s">
        <v>26</v>
      </c>
      <c r="AW18" s="30" t="s">
        <v>61</v>
      </c>
      <c r="AX18" s="30" t="s">
        <v>28</v>
      </c>
      <c r="AY18" s="30" t="s">
        <v>814</v>
      </c>
      <c r="AZ18" s="17">
        <v>124.82</v>
      </c>
      <c r="BA18" s="33">
        <f t="shared" si="2"/>
        <v>5.6509154929311502E-2</v>
      </c>
      <c r="BB18" s="33">
        <f t="shared" si="25"/>
        <v>5.3665467248103706E-2</v>
      </c>
      <c r="BD18" s="1">
        <v>1.2806</v>
      </c>
      <c r="BE18" s="18">
        <v>58205.843383068699</v>
      </c>
      <c r="BF18" s="11">
        <v>9303883.4669981766</v>
      </c>
      <c r="BG18" s="5"/>
      <c r="BH18" s="11">
        <v>1</v>
      </c>
      <c r="BI18" s="11">
        <v>159.84449199999997</v>
      </c>
      <c r="BJ18" s="5">
        <v>113.12826204471082</v>
      </c>
      <c r="BK18" s="8">
        <v>5.644508623749999E-2</v>
      </c>
      <c r="BL18" s="8">
        <v>-1.1337754367705122E-3</v>
      </c>
      <c r="BM18" s="5"/>
      <c r="BN18" s="21">
        <v>2828.6477155772873</v>
      </c>
      <c r="BO18" s="22">
        <v>5914.2462039999991</v>
      </c>
      <c r="BQ18" s="16" t="s">
        <v>919</v>
      </c>
      <c r="BR18" s="44" t="s">
        <v>307</v>
      </c>
      <c r="BS18" s="44">
        <v>3309</v>
      </c>
      <c r="BT18" s="32" t="s">
        <v>1493</v>
      </c>
      <c r="BU18" s="44"/>
      <c r="BV18" s="30" t="s">
        <v>902</v>
      </c>
      <c r="BW18" s="30" t="s">
        <v>26</v>
      </c>
      <c r="BX18" s="71" t="s">
        <v>320</v>
      </c>
      <c r="BY18" s="30" t="s">
        <v>28</v>
      </c>
      <c r="BZ18" s="30" t="s">
        <v>94</v>
      </c>
      <c r="CA18" s="17">
        <v>93000</v>
      </c>
      <c r="CB18" s="33">
        <f t="shared" si="3"/>
        <v>7.6398332454717319E-2</v>
      </c>
      <c r="CC18" s="33">
        <f t="shared" si="26"/>
        <v>7.2571876947249495E-2</v>
      </c>
      <c r="CE18" s="1">
        <v>1</v>
      </c>
      <c r="CF18" s="18">
        <v>515.37673494349099</v>
      </c>
      <c r="CG18" s="11">
        <v>47930036.349744663</v>
      </c>
      <c r="CH18" s="5"/>
      <c r="CI18" s="11">
        <v>1</v>
      </c>
      <c r="CJ18" s="11">
        <v>93000</v>
      </c>
      <c r="CK18" s="5">
        <v>0.26287598263988754</v>
      </c>
      <c r="CL18" s="8">
        <v>0</v>
      </c>
      <c r="CM18" s="8">
        <v>-1</v>
      </c>
      <c r="CN18" s="5"/>
      <c r="CO18" s="21">
        <v>1217304.0564088593</v>
      </c>
      <c r="CP18" s="22">
        <v>3441000</v>
      </c>
      <c r="CR18" s="16" t="s">
        <v>935</v>
      </c>
      <c r="CS18" s="32" t="s">
        <v>310</v>
      </c>
      <c r="CT18" s="32" t="s">
        <v>376</v>
      </c>
      <c r="CU18" s="32" t="s">
        <v>1505</v>
      </c>
      <c r="CV18" s="32"/>
      <c r="CW18" s="30" t="s">
        <v>850</v>
      </c>
      <c r="CX18" s="30" t="s">
        <v>26</v>
      </c>
      <c r="CY18" s="30" t="s">
        <v>33</v>
      </c>
      <c r="CZ18" s="30" t="s">
        <v>28</v>
      </c>
      <c r="DA18" s="30" t="s">
        <v>34</v>
      </c>
      <c r="DB18" s="17">
        <v>47.07</v>
      </c>
      <c r="DC18" s="33">
        <f t="shared" si="4"/>
        <v>5.4744950631656408E-2</v>
      </c>
      <c r="DD18" s="33">
        <f t="shared" si="5"/>
        <v>5.1990315670399169E-2</v>
      </c>
      <c r="DF18" s="1">
        <v>1</v>
      </c>
      <c r="DG18" s="18">
        <v>210927.418477064</v>
      </c>
      <c r="DH18" s="11">
        <v>9928353.5877154022</v>
      </c>
      <c r="DI18" s="5"/>
      <c r="DJ18" s="11">
        <v>1</v>
      </c>
      <c r="DK18" s="11">
        <v>47.07</v>
      </c>
      <c r="DL18" s="5">
        <v>372.17727219311774</v>
      </c>
      <c r="DM18" s="8">
        <v>5.4718875E-2</v>
      </c>
      <c r="DN18" s="8">
        <v>-4.7631117309532289E-4</v>
      </c>
      <c r="DO18" s="5"/>
      <c r="DP18" s="21">
        <v>859.80532372206858</v>
      </c>
      <c r="DQ18" s="22">
        <v>1741.59</v>
      </c>
      <c r="DS18" s="16" t="s">
        <v>952</v>
      </c>
      <c r="DT18" s="32" t="s">
        <v>145</v>
      </c>
      <c r="DU18" s="32" t="s">
        <v>146</v>
      </c>
      <c r="DV18" s="32" t="s">
        <v>1521</v>
      </c>
      <c r="DW18" s="32"/>
      <c r="DX18" s="30" t="s">
        <v>777</v>
      </c>
      <c r="DY18" s="30" t="s">
        <v>26</v>
      </c>
      <c r="DZ18" s="30" t="s">
        <v>129</v>
      </c>
      <c r="EA18" s="30" t="s">
        <v>28</v>
      </c>
      <c r="EB18" s="43" t="s">
        <v>827</v>
      </c>
      <c r="EC18" s="17">
        <v>0.96900000000000008</v>
      </c>
      <c r="ED18" s="33">
        <f t="shared" si="27"/>
        <v>5.1574187715369778E-2</v>
      </c>
      <c r="EE18" s="33">
        <f t="shared" si="28"/>
        <v>4.8923677334318766E-2</v>
      </c>
      <c r="EG18" s="1">
        <v>1</v>
      </c>
      <c r="EH18" s="18">
        <v>8783347.4478973206</v>
      </c>
      <c r="EI18" s="11">
        <v>8511063.677012505</v>
      </c>
      <c r="EJ18" s="5"/>
      <c r="EK18" s="11">
        <v>1</v>
      </c>
      <c r="EL18" s="11">
        <v>0.96900000000000008</v>
      </c>
      <c r="EM18" s="5">
        <v>17031.723497335737</v>
      </c>
      <c r="EN18" s="8">
        <v>5.1575025000000004E-2</v>
      </c>
      <c r="EO18" s="8">
        <v>1.623456747101848E-5</v>
      </c>
      <c r="EP18" s="5"/>
      <c r="EQ18" s="21">
        <v>18.788468474729374</v>
      </c>
      <c r="ER18" s="22">
        <v>35.853000000000002</v>
      </c>
      <c r="ET18" s="16" t="s">
        <v>856</v>
      </c>
      <c r="EU18" s="32" t="s">
        <v>702</v>
      </c>
      <c r="EV18" s="32" t="s">
        <v>706</v>
      </c>
      <c r="EW18" s="32" t="s">
        <v>1444</v>
      </c>
      <c r="EX18" s="32"/>
      <c r="EY18" s="30" t="s">
        <v>850</v>
      </c>
      <c r="EZ18" s="30" t="s">
        <v>26</v>
      </c>
      <c r="FA18" s="30" t="s">
        <v>33</v>
      </c>
      <c r="FB18" s="30" t="s">
        <v>28</v>
      </c>
      <c r="FC18" s="30" t="s">
        <v>34</v>
      </c>
      <c r="FD18" s="17">
        <v>211.62</v>
      </c>
      <c r="FE18" s="33">
        <f t="shared" si="6"/>
        <v>3.6102671989543485E-2</v>
      </c>
      <c r="FF18" s="33">
        <f t="shared" si="7"/>
        <v>3.4296583949614767E-2</v>
      </c>
      <c r="FH18" s="1">
        <v>1</v>
      </c>
      <c r="FI18" s="18">
        <v>34959.875503342599</v>
      </c>
      <c r="FJ18" s="11">
        <v>7398208.8540173611</v>
      </c>
      <c r="FK18" s="5"/>
      <c r="FL18" s="11">
        <v>1</v>
      </c>
      <c r="FM18" s="11">
        <v>211.62</v>
      </c>
      <c r="FN18" s="5">
        <v>54.592453627511176</v>
      </c>
      <c r="FO18" s="8">
        <v>3.63721875E-2</v>
      </c>
      <c r="FP18" s="8">
        <v>7.4652510632613467E-3</v>
      </c>
      <c r="FQ18" s="5"/>
      <c r="FR18" s="21">
        <v>5861.6160061862483</v>
      </c>
      <c r="FS18" s="22">
        <v>7829.94</v>
      </c>
      <c r="FU18" s="16" t="s">
        <v>863</v>
      </c>
      <c r="FV18" s="32" t="s">
        <v>45</v>
      </c>
      <c r="FW18" s="32" t="s">
        <v>46</v>
      </c>
      <c r="FX18" s="32" t="s">
        <v>1452</v>
      </c>
      <c r="FY18" s="32"/>
      <c r="FZ18" s="30" t="s">
        <v>853</v>
      </c>
      <c r="GA18" s="30" t="s">
        <v>26</v>
      </c>
      <c r="GB18" s="30" t="s">
        <v>33</v>
      </c>
      <c r="GC18" s="30" t="s">
        <v>28</v>
      </c>
      <c r="GD18" s="30" t="s">
        <v>34</v>
      </c>
      <c r="GE18" s="17">
        <v>80.010000000000005</v>
      </c>
      <c r="GF18" s="33">
        <f t="shared" si="8"/>
        <v>3.3978013202867627E-2</v>
      </c>
      <c r="GG18" s="33">
        <f t="shared" si="9"/>
        <v>3.2277566591924385E-2</v>
      </c>
      <c r="GI18" s="1">
        <v>1</v>
      </c>
      <c r="GJ18" s="18">
        <v>87905.899000401696</v>
      </c>
      <c r="GK18" s="11">
        <v>7033350.9790221397</v>
      </c>
      <c r="GL18" s="5"/>
      <c r="GM18" s="11">
        <v>1</v>
      </c>
      <c r="GN18" s="11">
        <v>80.010000000000005</v>
      </c>
      <c r="GO18" s="5">
        <v>135.89506592822949</v>
      </c>
      <c r="GP18" s="8">
        <v>3.400425E-2</v>
      </c>
      <c r="GQ18" s="8">
        <v>7.7216984335493066E-4</v>
      </c>
      <c r="GR18" s="5"/>
      <c r="GS18" s="21">
        <v>2354.7580466902473</v>
      </c>
      <c r="GT18" s="22">
        <v>2960.37</v>
      </c>
      <c r="GV18" s="16" t="s">
        <v>999</v>
      </c>
      <c r="GW18" s="32" t="s">
        <v>194</v>
      </c>
      <c r="GX18" s="32" t="s">
        <v>419</v>
      </c>
      <c r="GY18" s="32" t="s">
        <v>1562</v>
      </c>
      <c r="GZ18" s="32"/>
      <c r="HA18" s="30" t="s">
        <v>932</v>
      </c>
      <c r="HB18" s="30" t="s">
        <v>26</v>
      </c>
      <c r="HC18" s="30" t="s">
        <v>384</v>
      </c>
      <c r="HD18" s="30" t="s">
        <v>28</v>
      </c>
      <c r="HE18" s="30" t="s">
        <v>933</v>
      </c>
      <c r="HF18" s="17">
        <v>55.08</v>
      </c>
      <c r="HG18" s="33">
        <f t="shared" si="10"/>
        <v>3.0335413217116448E-2</v>
      </c>
      <c r="HH18" s="33">
        <f t="shared" si="29"/>
        <v>2.8816356188998891E-2</v>
      </c>
      <c r="HJ18" s="1">
        <v>0.7823</v>
      </c>
      <c r="HK18" s="18">
        <v>114819.058770117</v>
      </c>
      <c r="HL18" s="11">
        <v>4947448.0681465082</v>
      </c>
      <c r="HM18" s="5"/>
      <c r="HN18" s="11">
        <v>100</v>
      </c>
      <c r="HO18" s="11">
        <v>4308.9084000000003</v>
      </c>
      <c r="HP18" s="5">
        <v>2.2528518428187669</v>
      </c>
      <c r="HQ18" s="8">
        <v>2.6930677500000003E-2</v>
      </c>
      <c r="HR18" s="8">
        <v>-0.11223633885413364</v>
      </c>
      <c r="HS18" s="5"/>
      <c r="HT18" s="21">
        <v>142042.18578333862</v>
      </c>
      <c r="HU18" s="22">
        <v>159429.61079999999</v>
      </c>
      <c r="HW18" s="16" t="s">
        <v>1033</v>
      </c>
      <c r="HX18" s="59" t="s">
        <v>221</v>
      </c>
      <c r="HY18" s="32">
        <v>811</v>
      </c>
      <c r="HZ18" s="32" t="s">
        <v>1590</v>
      </c>
      <c r="IA18" s="59"/>
      <c r="IB18" s="30" t="s">
        <v>862</v>
      </c>
      <c r="IC18" s="30" t="s">
        <v>26</v>
      </c>
      <c r="ID18" s="30" t="s">
        <v>27</v>
      </c>
      <c r="IE18" s="30" t="s">
        <v>28</v>
      </c>
      <c r="IF18" s="30" t="s">
        <v>82</v>
      </c>
      <c r="IG18" s="17">
        <v>10.34</v>
      </c>
      <c r="IH18" s="33">
        <f t="shared" si="11"/>
        <v>4.5472189500397019E-2</v>
      </c>
      <c r="II18" s="33">
        <f t="shared" si="12"/>
        <v>4.3221848151245065E-2</v>
      </c>
      <c r="IK18" s="1">
        <v>1</v>
      </c>
      <c r="IL18" s="18">
        <v>833542.11247139401</v>
      </c>
      <c r="IM18" s="11">
        <v>8618825.4429542143</v>
      </c>
      <c r="IN18" s="5"/>
      <c r="IO18" s="11">
        <v>1000</v>
      </c>
      <c r="IP18" s="11">
        <v>10340</v>
      </c>
      <c r="IQ18" s="5">
        <v>1.4072631180006814</v>
      </c>
      <c r="IR18" s="8">
        <v>3.2312500000000001E-2</v>
      </c>
      <c r="IS18" s="8">
        <v>-0.28940083257442706</v>
      </c>
      <c r="IT18" s="5"/>
      <c r="IU18" s="21">
        <v>227391.73357618332</v>
      </c>
      <c r="IV18" s="22">
        <v>382580</v>
      </c>
      <c r="IX18" s="16" t="s">
        <v>874</v>
      </c>
      <c r="IY18" s="32" t="s">
        <v>170</v>
      </c>
      <c r="IZ18" s="32" t="s">
        <v>358</v>
      </c>
      <c r="JA18" s="32" t="s">
        <v>1439</v>
      </c>
      <c r="JB18" s="32"/>
      <c r="JC18" s="30" t="s">
        <v>853</v>
      </c>
      <c r="JD18" s="30" t="s">
        <v>26</v>
      </c>
      <c r="JE18" s="30" t="s">
        <v>33</v>
      </c>
      <c r="JF18" s="30" t="s">
        <v>28</v>
      </c>
      <c r="JG18" s="30" t="s">
        <v>34</v>
      </c>
      <c r="JH18" s="17">
        <v>660.57</v>
      </c>
      <c r="JI18" s="33">
        <f t="shared" si="30"/>
        <v>3.0508136118839405E-2</v>
      </c>
      <c r="JJ18" s="33">
        <f t="shared" si="13"/>
        <v>2.8981171390390019E-2</v>
      </c>
      <c r="JL18" s="1">
        <v>1</v>
      </c>
      <c r="JM18" s="18">
        <v>5634.2909985030801</v>
      </c>
      <c r="JN18" s="11">
        <v>3721843.60488118</v>
      </c>
      <c r="JO18" s="5"/>
      <c r="JP18" s="11">
        <v>1</v>
      </c>
      <c r="JQ18" s="11">
        <v>660.57</v>
      </c>
      <c r="JR18" s="5">
        <v>14.779059839273065</v>
      </c>
      <c r="JS18" s="8">
        <v>3.0964218750000005E-2</v>
      </c>
      <c r="JT18" s="8">
        <v>1.4949540980937259E-2</v>
      </c>
      <c r="JU18" s="5"/>
      <c r="JV18" s="21">
        <v>21652.256874259991</v>
      </c>
      <c r="JW18" s="22">
        <v>24441.09</v>
      </c>
      <c r="JY18" s="16" t="s">
        <v>1326</v>
      </c>
      <c r="JZ18" s="32" t="s">
        <v>1300</v>
      </c>
      <c r="KA18" s="32">
        <v>3750</v>
      </c>
      <c r="KB18" s="32" t="s">
        <v>1622</v>
      </c>
      <c r="KC18" s="32"/>
      <c r="KD18" s="30" t="s">
        <v>862</v>
      </c>
      <c r="KE18" s="30" t="s">
        <v>26</v>
      </c>
      <c r="KF18" s="30" t="s">
        <v>27</v>
      </c>
      <c r="KG18" s="30" t="s">
        <v>28</v>
      </c>
      <c r="KH18" s="30" t="s">
        <v>82</v>
      </c>
      <c r="KI18" s="17">
        <v>503.5</v>
      </c>
      <c r="KJ18" s="33">
        <f t="shared" si="31"/>
        <v>2.959484122051502E-2</v>
      </c>
      <c r="KK18" s="33">
        <f t="shared" si="32"/>
        <v>2.811966310794797E-2</v>
      </c>
      <c r="KM18" s="1">
        <v>0.12784999999999999</v>
      </c>
      <c r="KN18" s="18">
        <v>45652.989308220502</v>
      </c>
      <c r="KO18" s="11">
        <v>2938795.9129186915</v>
      </c>
      <c r="KP18" s="5"/>
      <c r="KQ18" s="11">
        <v>100</v>
      </c>
      <c r="KR18" s="11">
        <v>6437.2474999999995</v>
      </c>
      <c r="KS18" s="5">
        <v>1.4711799088919304</v>
      </c>
      <c r="KT18" s="8">
        <v>2.0116398437499999E-2</v>
      </c>
      <c r="KU18" s="8">
        <v>-0.32027347984028398</v>
      </c>
      <c r="KV18" s="5"/>
      <c r="KW18" s="21">
        <v>217512.48645110914</v>
      </c>
      <c r="KX18" s="22">
        <v>238178.15749999997</v>
      </c>
      <c r="KZ18" s="16" t="s">
        <v>939</v>
      </c>
      <c r="LA18" s="44" t="s">
        <v>124</v>
      </c>
      <c r="LB18" s="32" t="s">
        <v>378</v>
      </c>
      <c r="LC18" s="32" t="s">
        <v>1508</v>
      </c>
      <c r="LD18" s="44"/>
      <c r="LE18" s="30" t="s">
        <v>850</v>
      </c>
      <c r="LF18" s="30" t="s">
        <v>26</v>
      </c>
      <c r="LG18" s="30" t="s">
        <v>33</v>
      </c>
      <c r="LH18" s="30" t="s">
        <v>28</v>
      </c>
      <c r="LI18" s="30" t="s">
        <v>34</v>
      </c>
      <c r="LJ18" s="17">
        <v>201.03</v>
      </c>
      <c r="LK18" s="33">
        <f t="shared" si="14"/>
        <v>6.9084405173850172E-2</v>
      </c>
      <c r="LL18" s="33">
        <f t="shared" si="15"/>
        <v>6.5600700035147133E-2</v>
      </c>
      <c r="LN18" s="1">
        <v>1</v>
      </c>
      <c r="LO18" s="18">
        <v>37976.2810344065</v>
      </c>
      <c r="LP18" s="11">
        <v>7634371.7763467385</v>
      </c>
      <c r="LQ18" s="5"/>
      <c r="LR18" s="11">
        <v>1</v>
      </c>
      <c r="LS18" s="11">
        <v>201.03</v>
      </c>
      <c r="LT18" s="5">
        <v>109.96870942462347</v>
      </c>
      <c r="LU18" s="8">
        <v>6.9104062499999994E-2</v>
      </c>
      <c r="LV18" s="8">
        <v>2.8454071653882806E-4</v>
      </c>
      <c r="LW18" s="5"/>
      <c r="LX18" s="21">
        <v>2909.9186639026584</v>
      </c>
      <c r="LY18" s="22">
        <v>7438.11</v>
      </c>
      <c r="MA18" s="16" t="s">
        <v>1083</v>
      </c>
      <c r="MB18" s="32" t="s">
        <v>263</v>
      </c>
      <c r="MC18" s="32" t="s">
        <v>332</v>
      </c>
      <c r="MD18" s="32" t="s">
        <v>1652</v>
      </c>
      <c r="ME18" s="32"/>
      <c r="MF18" s="30" t="s">
        <v>850</v>
      </c>
      <c r="MG18" s="30" t="s">
        <v>26</v>
      </c>
      <c r="MH18" s="30" t="s">
        <v>33</v>
      </c>
      <c r="MI18" s="30" t="s">
        <v>28</v>
      </c>
      <c r="MJ18" s="51" t="s">
        <v>34</v>
      </c>
      <c r="MK18" s="60">
        <v>43.57</v>
      </c>
      <c r="ML18" s="33">
        <f t="shared" si="16"/>
        <v>2.9156703154775115E-2</v>
      </c>
      <c r="MM18" s="33">
        <f t="shared" si="17"/>
        <v>2.7681306363069546E-2</v>
      </c>
      <c r="MO18" s="1">
        <v>1</v>
      </c>
      <c r="MP18" s="18">
        <v>120223.254307158</v>
      </c>
      <c r="MQ18" s="11">
        <v>5238127.1901628738</v>
      </c>
      <c r="MR18" s="5"/>
      <c r="MS18" s="11">
        <v>1</v>
      </c>
      <c r="MT18" s="11">
        <v>43.57</v>
      </c>
      <c r="MU18" s="5">
        <v>214.14149666118971</v>
      </c>
      <c r="MV18" s="8">
        <v>2.9137437499999998E-2</v>
      </c>
      <c r="MW18" s="8">
        <v>-6.6076245564694602E-4</v>
      </c>
      <c r="MX18" s="5"/>
      <c r="MY18" s="21">
        <v>1494.3390467952945</v>
      </c>
      <c r="MZ18" s="22">
        <v>1612.09</v>
      </c>
      <c r="NB18" s="16" t="s">
        <v>871</v>
      </c>
      <c r="NC18" s="32" t="s">
        <v>49</v>
      </c>
      <c r="ND18" s="32" t="s">
        <v>50</v>
      </c>
      <c r="NE18" s="32" t="s">
        <v>1455</v>
      </c>
      <c r="NF18" s="32"/>
      <c r="NG18" s="30" t="s">
        <v>850</v>
      </c>
      <c r="NH18" s="30" t="s">
        <v>26</v>
      </c>
      <c r="NI18" s="30" t="s">
        <v>33</v>
      </c>
      <c r="NJ18" s="30" t="s">
        <v>28</v>
      </c>
      <c r="NK18" s="30" t="s">
        <v>34</v>
      </c>
      <c r="NL18" s="17">
        <v>256.55</v>
      </c>
      <c r="NM18" s="33">
        <f t="shared" si="18"/>
        <v>3.8581769865265375E-2</v>
      </c>
      <c r="NN18" s="33">
        <f t="shared" si="19"/>
        <v>3.6624741989599308E-2</v>
      </c>
      <c r="NP18" s="1">
        <v>1</v>
      </c>
      <c r="NQ18" s="18">
        <v>25709.448196627101</v>
      </c>
      <c r="NR18" s="11">
        <v>6595758.9348446829</v>
      </c>
      <c r="NS18" s="5"/>
      <c r="NT18" s="11">
        <v>1</v>
      </c>
      <c r="NU18" s="11">
        <v>256.55</v>
      </c>
      <c r="NV18" s="5">
        <v>48.123821309237648</v>
      </c>
      <c r="NW18" s="8">
        <v>3.8482500000000003E-2</v>
      </c>
      <c r="NX18" s="8">
        <v>-2.5729733397934496E-3</v>
      </c>
      <c r="NY18" s="5"/>
      <c r="NZ18" s="21">
        <v>6649.513511068044</v>
      </c>
      <c r="OA18" s="22">
        <v>9492.35</v>
      </c>
      <c r="OC18" s="16" t="s">
        <v>948</v>
      </c>
      <c r="OD18" s="32" t="s">
        <v>139</v>
      </c>
      <c r="OE18" s="32" t="s">
        <v>140</v>
      </c>
      <c r="OF18" s="32" t="s">
        <v>1517</v>
      </c>
      <c r="OG18" s="32"/>
      <c r="OH18" s="30" t="s">
        <v>777</v>
      </c>
      <c r="OI18" s="30" t="s">
        <v>26</v>
      </c>
      <c r="OJ18" s="30" t="s">
        <v>129</v>
      </c>
      <c r="OK18" s="30" t="s">
        <v>28</v>
      </c>
      <c r="OL18" s="43" t="s">
        <v>827</v>
      </c>
      <c r="OM18" s="17">
        <v>12.788</v>
      </c>
      <c r="ON18" s="33">
        <f t="shared" si="20"/>
        <v>3.870098182275785E-2</v>
      </c>
      <c r="OO18" s="33">
        <f t="shared" si="33"/>
        <v>3.669654379653068E-2</v>
      </c>
      <c r="OQ18" s="1">
        <v>1.1509</v>
      </c>
      <c r="OR18" s="18">
        <v>484275.96212284901</v>
      </c>
      <c r="OS18" s="11">
        <v>7127432.7830743063</v>
      </c>
      <c r="OT18" s="5"/>
      <c r="OU18" s="11">
        <v>1</v>
      </c>
      <c r="OV18" s="11">
        <v>14.717709200000002</v>
      </c>
      <c r="OW18" s="5">
        <v>841.45664348922662</v>
      </c>
      <c r="OX18" s="8">
        <v>3.8679979491250002E-2</v>
      </c>
      <c r="OY18" s="8">
        <v>-5.4268213669705911E-4</v>
      </c>
      <c r="OZ18" s="5"/>
      <c r="PA18" s="21">
        <v>380.29291523930675</v>
      </c>
      <c r="PB18" s="22">
        <v>544.5552404</v>
      </c>
      <c r="PD18" s="16" t="s">
        <v>1111</v>
      </c>
      <c r="PE18" s="32" t="s">
        <v>290</v>
      </c>
      <c r="PF18" s="32">
        <v>7270</v>
      </c>
      <c r="PG18" s="32" t="s">
        <v>1688</v>
      </c>
      <c r="PH18" s="32"/>
      <c r="PI18" s="30" t="s">
        <v>902</v>
      </c>
      <c r="PJ18" s="30" t="s">
        <v>26</v>
      </c>
      <c r="PK18" s="71" t="s">
        <v>320</v>
      </c>
      <c r="PL18" s="30" t="s">
        <v>28</v>
      </c>
      <c r="PM18" s="30" t="s">
        <v>94</v>
      </c>
      <c r="PN18" s="17">
        <v>2714</v>
      </c>
      <c r="PO18" s="33">
        <f t="shared" si="21"/>
        <v>4.348206459437997E-2</v>
      </c>
      <c r="PP18" s="33">
        <f t="shared" si="22"/>
        <v>4.1305717212150442E-2</v>
      </c>
      <c r="PR18" s="1">
        <v>1</v>
      </c>
      <c r="PS18" s="18">
        <v>3087.6332721243102</v>
      </c>
      <c r="PT18" s="11">
        <v>8379836.700545378</v>
      </c>
      <c r="PU18" s="5"/>
      <c r="PV18" s="11">
        <v>100</v>
      </c>
      <c r="PW18" s="11">
        <v>271400</v>
      </c>
      <c r="PX18" s="5">
        <v>5.1268462307301366E-2</v>
      </c>
      <c r="PY18" s="8">
        <v>0</v>
      </c>
      <c r="PZ18" s="8">
        <v>-1</v>
      </c>
      <c r="QA18" s="5"/>
      <c r="QB18" s="21">
        <v>6241653.9447181234</v>
      </c>
      <c r="QC18" s="22">
        <v>10041800</v>
      </c>
      <c r="QE18" s="16" t="s">
        <v>1123</v>
      </c>
      <c r="QF18" s="34" t="s">
        <v>612</v>
      </c>
      <c r="QG18" s="34"/>
      <c r="QH18" s="32" t="s">
        <v>1704</v>
      </c>
      <c r="QI18" s="34"/>
      <c r="QJ18" s="30" t="s">
        <v>853</v>
      </c>
      <c r="QK18" s="30" t="s">
        <v>26</v>
      </c>
      <c r="QL18" s="30"/>
      <c r="QM18" s="30" t="s">
        <v>28</v>
      </c>
      <c r="QN18" s="30" t="s">
        <v>34</v>
      </c>
      <c r="QO18" s="17">
        <v>30.06</v>
      </c>
      <c r="QP18" s="33">
        <f t="shared" si="23"/>
        <v>6.7824747984989359E-2</v>
      </c>
      <c r="QQ18" s="33">
        <f t="shared" si="24"/>
        <v>6.4450059305285495E-2</v>
      </c>
      <c r="QS18" s="1">
        <v>1</v>
      </c>
      <c r="QT18" s="18">
        <v>257401.66524126599</v>
      </c>
      <c r="QU18" s="11">
        <v>7737494.0571524557</v>
      </c>
      <c r="QV18" s="5"/>
      <c r="QW18" s="11">
        <v>1</v>
      </c>
      <c r="QX18" s="11">
        <v>30.06</v>
      </c>
      <c r="QY18" s="5">
        <v>722.01993862929464</v>
      </c>
      <c r="QZ18" s="8">
        <v>6.7822875000000005E-2</v>
      </c>
      <c r="RA18" s="8">
        <v>-2.7615067434760832E-5</v>
      </c>
      <c r="RB18" s="5"/>
      <c r="RC18" s="21">
        <v>443.20105703382387</v>
      </c>
      <c r="RD18" s="22">
        <v>1112.2199999999998</v>
      </c>
      <c r="RF18" s="16" t="s">
        <v>1332</v>
      </c>
      <c r="RG18" s="34" t="s">
        <v>1306</v>
      </c>
      <c r="RH18" s="34"/>
      <c r="RI18" s="32" t="s">
        <v>1721</v>
      </c>
      <c r="RJ18" s="34"/>
      <c r="RK18" s="30" t="s">
        <v>853</v>
      </c>
    </row>
    <row r="19" spans="15:479" x14ac:dyDescent="0.2">
      <c r="O19" s="16" t="s">
        <v>884</v>
      </c>
      <c r="P19" s="32" t="s">
        <v>29</v>
      </c>
      <c r="Q19" s="32">
        <v>700</v>
      </c>
      <c r="R19" s="32" t="s">
        <v>1441</v>
      </c>
      <c r="S19" s="32"/>
      <c r="T19" s="30" t="s">
        <v>862</v>
      </c>
      <c r="U19" s="30" t="s">
        <v>26</v>
      </c>
      <c r="V19" s="30" t="s">
        <v>27</v>
      </c>
      <c r="W19" s="30" t="s">
        <v>28</v>
      </c>
      <c r="X19" s="30" t="s">
        <v>82</v>
      </c>
      <c r="Y19" s="17">
        <v>520</v>
      </c>
      <c r="Z19" s="33">
        <f t="shared" si="0"/>
        <v>2.6123262801019405E-2</v>
      </c>
      <c r="AA19" s="33">
        <f t="shared" si="1"/>
        <v>2.4817977603542693E-2</v>
      </c>
      <c r="AB19" s="4"/>
      <c r="AC19" s="1">
        <v>0.12784999999999999</v>
      </c>
      <c r="AD19" s="18">
        <v>80862.946336896493</v>
      </c>
      <c r="AE19" s="11">
        <v>5375930.3983695516</v>
      </c>
      <c r="AF19" s="5"/>
      <c r="AG19" s="11">
        <v>100</v>
      </c>
      <c r="AH19" s="11">
        <v>6648.1999999999989</v>
      </c>
      <c r="AI19" s="5">
        <v>1.2573996113724333</v>
      </c>
      <c r="AJ19" s="8">
        <v>2.0775624999999995E-2</v>
      </c>
      <c r="AK19" s="8">
        <v>-0.20470788208013313</v>
      </c>
      <c r="AL19" s="5"/>
      <c r="AM19" s="21">
        <v>254493.47773435741</v>
      </c>
      <c r="AN19" s="22">
        <v>245983.39999999994</v>
      </c>
      <c r="AP19" s="16" t="s">
        <v>882</v>
      </c>
      <c r="AQ19" s="32" t="s">
        <v>70</v>
      </c>
      <c r="AR19" s="32" t="s">
        <v>71</v>
      </c>
      <c r="AS19" s="32" t="s">
        <v>1449</v>
      </c>
      <c r="AT19" s="32"/>
      <c r="AU19" s="30" t="s">
        <v>430</v>
      </c>
      <c r="AV19" s="30" t="s">
        <v>26</v>
      </c>
      <c r="AW19" s="30" t="s">
        <v>61</v>
      </c>
      <c r="AX19" s="30" t="s">
        <v>28</v>
      </c>
      <c r="AY19" s="30" t="s">
        <v>814</v>
      </c>
      <c r="AZ19" s="17">
        <v>351.5</v>
      </c>
      <c r="BA19" s="33">
        <f t="shared" si="2"/>
        <v>5.8198129223404137E-2</v>
      </c>
      <c r="BB19" s="33">
        <f t="shared" si="25"/>
        <v>5.5269447961952642E-2</v>
      </c>
      <c r="BD19" s="1">
        <v>1.2806</v>
      </c>
      <c r="BE19" s="18">
        <v>21287.058179422998</v>
      </c>
      <c r="BF19" s="11">
        <v>9581962.6566560362</v>
      </c>
      <c r="BG19" s="5"/>
      <c r="BH19" s="11">
        <v>1</v>
      </c>
      <c r="BI19" s="11">
        <v>450.1309</v>
      </c>
      <c r="BJ19" s="5">
        <v>41.373301302997248</v>
      </c>
      <c r="BK19" s="8">
        <v>5.7673021562500003E-2</v>
      </c>
      <c r="BL19" s="8">
        <v>-9.0227584273098183E-3</v>
      </c>
      <c r="BM19" s="5"/>
      <c r="BN19" s="21">
        <v>7734.4565195917285</v>
      </c>
      <c r="BO19" s="22">
        <v>16654.8433</v>
      </c>
      <c r="BQ19" s="16" t="s">
        <v>920</v>
      </c>
      <c r="BR19" s="44" t="s">
        <v>114</v>
      </c>
      <c r="BS19" s="44">
        <v>8850</v>
      </c>
      <c r="BT19" s="32" t="s">
        <v>1494</v>
      </c>
      <c r="BU19" s="44"/>
      <c r="BV19" s="30" t="s">
        <v>902</v>
      </c>
      <c r="BW19" s="30" t="s">
        <v>26</v>
      </c>
      <c r="BX19" s="71" t="s">
        <v>320</v>
      </c>
      <c r="BY19" s="30" t="s">
        <v>28</v>
      </c>
      <c r="BZ19" s="30" t="s">
        <v>94</v>
      </c>
      <c r="CA19" s="17">
        <v>5080</v>
      </c>
      <c r="CB19" s="33">
        <f t="shared" si="3"/>
        <v>6.9160143907120511E-2</v>
      </c>
      <c r="CC19" s="33">
        <f t="shared" si="26"/>
        <v>6.5696217338991225E-2</v>
      </c>
      <c r="CE19" s="1">
        <v>1</v>
      </c>
      <c r="CF19" s="18">
        <v>8541.1442175587999</v>
      </c>
      <c r="CG19" s="11">
        <v>43389012.625198707</v>
      </c>
      <c r="CH19" s="5"/>
      <c r="CI19" s="11">
        <v>100</v>
      </c>
      <c r="CJ19" s="11">
        <v>508000</v>
      </c>
      <c r="CK19" s="5">
        <v>4.3565444980863316E-2</v>
      </c>
      <c r="CL19" s="8">
        <v>0</v>
      </c>
      <c r="CM19" s="8">
        <v>-1</v>
      </c>
      <c r="CN19" s="5"/>
      <c r="CO19" s="21">
        <v>7345271.0087218015</v>
      </c>
      <c r="CP19" s="22">
        <v>18796000</v>
      </c>
      <c r="CR19" s="16" t="s">
        <v>936</v>
      </c>
      <c r="CS19" s="32" t="s">
        <v>122</v>
      </c>
      <c r="CT19" s="32" t="s">
        <v>377</v>
      </c>
      <c r="CU19" s="32" t="s">
        <v>1506</v>
      </c>
      <c r="CV19" s="32"/>
      <c r="CW19" s="30" t="s">
        <v>850</v>
      </c>
      <c r="CX19" s="30" t="s">
        <v>26</v>
      </c>
      <c r="CY19" s="30" t="s">
        <v>33</v>
      </c>
      <c r="CZ19" s="30" t="s">
        <v>28</v>
      </c>
      <c r="DA19" s="30" t="s">
        <v>34</v>
      </c>
      <c r="DB19" s="17">
        <v>306.94</v>
      </c>
      <c r="DC19" s="33">
        <f t="shared" si="4"/>
        <v>5.3863428701289025E-2</v>
      </c>
      <c r="DD19" s="33">
        <f t="shared" si="5"/>
        <v>5.1153149814893252E-2</v>
      </c>
      <c r="DF19" s="1">
        <v>1</v>
      </c>
      <c r="DG19" s="18">
        <v>31825.385549220999</v>
      </c>
      <c r="DH19" s="11">
        <v>9768483.8404778931</v>
      </c>
      <c r="DI19" s="5"/>
      <c r="DJ19" s="11">
        <v>1</v>
      </c>
      <c r="DK19" s="11">
        <v>306.94</v>
      </c>
      <c r="DL19" s="5">
        <v>56.155265473423107</v>
      </c>
      <c r="DM19" s="8">
        <v>5.3714499999999998E-2</v>
      </c>
      <c r="DN19" s="8">
        <v>-2.7649316963266335E-3</v>
      </c>
      <c r="DO19" s="5"/>
      <c r="DP19" s="21">
        <v>5698.486104592419</v>
      </c>
      <c r="DQ19" s="22">
        <v>11356.779999999999</v>
      </c>
      <c r="DS19" s="16" t="s">
        <v>953</v>
      </c>
      <c r="DT19" s="32" t="s">
        <v>147</v>
      </c>
      <c r="DU19" s="32" t="s">
        <v>148</v>
      </c>
      <c r="DV19" s="32" t="s">
        <v>1522</v>
      </c>
      <c r="DW19" s="32"/>
      <c r="DX19" s="30" t="s">
        <v>777</v>
      </c>
      <c r="DY19" s="30" t="s">
        <v>26</v>
      </c>
      <c r="DZ19" s="30" t="s">
        <v>129</v>
      </c>
      <c r="EA19" s="30" t="s">
        <v>28</v>
      </c>
      <c r="EB19" s="43" t="s">
        <v>827</v>
      </c>
      <c r="EC19" s="17">
        <v>5.86</v>
      </c>
      <c r="ED19" s="33">
        <f t="shared" si="27"/>
        <v>4.975872166844459E-2</v>
      </c>
      <c r="EE19" s="33">
        <f t="shared" si="28"/>
        <v>4.7201512060842055E-2</v>
      </c>
      <c r="EG19" s="1">
        <v>1</v>
      </c>
      <c r="EH19" s="18">
        <v>1401273.92810385</v>
      </c>
      <c r="EI19" s="11">
        <v>8211465.2186885616</v>
      </c>
      <c r="EJ19" s="5"/>
      <c r="EK19" s="11">
        <v>1</v>
      </c>
      <c r="EL19" s="11">
        <v>5.86</v>
      </c>
      <c r="EM19" s="5">
        <v>2717.1998180720593</v>
      </c>
      <c r="EN19" s="8">
        <v>4.9755062500000002E-2</v>
      </c>
      <c r="EO19" s="8">
        <v>-7.3538232532754932E-5</v>
      </c>
      <c r="EP19" s="5"/>
      <c r="EQ19" s="21">
        <v>117.76829877276022</v>
      </c>
      <c r="ER19" s="22">
        <v>216.82</v>
      </c>
      <c r="ET19" s="16" t="s">
        <v>888</v>
      </c>
      <c r="EU19" s="32" t="s">
        <v>704</v>
      </c>
      <c r="EV19" s="32" t="s">
        <v>708</v>
      </c>
      <c r="EW19" s="32" t="s">
        <v>1446</v>
      </c>
      <c r="EX19" s="32"/>
      <c r="EY19" s="30" t="s">
        <v>853</v>
      </c>
      <c r="EZ19" s="30" t="s">
        <v>26</v>
      </c>
      <c r="FA19" s="30" t="s">
        <v>33</v>
      </c>
      <c r="FB19" s="30" t="s">
        <v>28</v>
      </c>
      <c r="FC19" s="30" t="s">
        <v>34</v>
      </c>
      <c r="FD19" s="17">
        <v>123.31</v>
      </c>
      <c r="FE19" s="33">
        <f t="shared" si="6"/>
        <v>3.2600449146311411E-2</v>
      </c>
      <c r="FF19" s="33">
        <f t="shared" si="7"/>
        <v>3.0969564836238445E-2</v>
      </c>
      <c r="FH19" s="1">
        <v>1</v>
      </c>
      <c r="FI19" s="18">
        <v>54176.697474332002</v>
      </c>
      <c r="FJ19" s="11">
        <v>6680528.5655598789</v>
      </c>
      <c r="FK19" s="5"/>
      <c r="FL19" s="11">
        <v>1</v>
      </c>
      <c r="FM19" s="11">
        <v>123.31</v>
      </c>
      <c r="FN19" s="5">
        <v>84.600954722404111</v>
      </c>
      <c r="FO19" s="8">
        <v>3.2754218750000001E-2</v>
      </c>
      <c r="FP19" s="8">
        <v>4.7167940232499816E-3</v>
      </c>
      <c r="FQ19" s="5"/>
      <c r="FR19" s="21">
        <v>3782.4632245581179</v>
      </c>
      <c r="FS19" s="22">
        <v>4562.47</v>
      </c>
      <c r="FU19" s="16" t="s">
        <v>960</v>
      </c>
      <c r="FV19" s="32" t="s">
        <v>178</v>
      </c>
      <c r="FW19" s="32" t="s">
        <v>392</v>
      </c>
      <c r="FX19" s="32" t="s">
        <v>1532</v>
      </c>
      <c r="FY19" s="32"/>
      <c r="FZ19" s="30" t="s">
        <v>853</v>
      </c>
      <c r="GA19" s="30" t="s">
        <v>26</v>
      </c>
      <c r="GB19" s="30" t="s">
        <v>33</v>
      </c>
      <c r="GC19" s="30" t="s">
        <v>28</v>
      </c>
      <c r="GD19" s="30" t="s">
        <v>34</v>
      </c>
      <c r="GE19" s="17">
        <v>65.78</v>
      </c>
      <c r="GF19" s="33">
        <f t="shared" si="8"/>
        <v>3.0496887894804155E-2</v>
      </c>
      <c r="GG19" s="33">
        <f t="shared" si="9"/>
        <v>2.8970655935465842E-2</v>
      </c>
      <c r="GI19" s="1">
        <v>1</v>
      </c>
      <c r="GJ19" s="18">
        <v>95967.893818354598</v>
      </c>
      <c r="GK19" s="11">
        <v>6312768.0553713655</v>
      </c>
      <c r="GL19" s="5"/>
      <c r="GM19" s="11">
        <v>1</v>
      </c>
      <c r="GN19" s="11">
        <v>65.78</v>
      </c>
      <c r="GO19" s="5">
        <v>148.35822630491532</v>
      </c>
      <c r="GP19" s="8">
        <v>3.0423250000000002E-2</v>
      </c>
      <c r="GQ19" s="8">
        <v>-2.4146035837544488E-3</v>
      </c>
      <c r="GR19" s="5"/>
      <c r="GS19" s="21">
        <v>2156.9413976567471</v>
      </c>
      <c r="GT19" s="22">
        <v>2433.86</v>
      </c>
      <c r="GV19" s="16" t="s">
        <v>1000</v>
      </c>
      <c r="GW19" s="32" t="s">
        <v>195</v>
      </c>
      <c r="GX19" s="32">
        <v>1398</v>
      </c>
      <c r="GY19" s="32" t="s">
        <v>1563</v>
      </c>
      <c r="GZ19" s="32"/>
      <c r="HA19" s="30" t="s">
        <v>862</v>
      </c>
      <c r="HB19" s="30" t="s">
        <v>26</v>
      </c>
      <c r="HC19" s="30" t="s">
        <v>27</v>
      </c>
      <c r="HD19" s="30" t="s">
        <v>28</v>
      </c>
      <c r="HE19" s="30" t="s">
        <v>82</v>
      </c>
      <c r="HF19" s="17">
        <v>6.41</v>
      </c>
      <c r="HG19" s="33">
        <f t="shared" si="10"/>
        <v>3.2097664703242573E-2</v>
      </c>
      <c r="HH19" s="33">
        <f t="shared" si="29"/>
        <v>3.0490362280669665E-2</v>
      </c>
      <c r="HJ19" s="1">
        <v>0.12784999999999999</v>
      </c>
      <c r="HK19" s="18">
        <v>6387721.9461893104</v>
      </c>
      <c r="HL19" s="11">
        <v>5234856.3077581441</v>
      </c>
      <c r="HM19" s="5"/>
      <c r="HN19" s="11">
        <v>1000</v>
      </c>
      <c r="HO19" s="11">
        <v>819.51850000000002</v>
      </c>
      <c r="HP19" s="5">
        <v>12.533277412331293</v>
      </c>
      <c r="HQ19" s="8">
        <v>3.3292939062499999E-2</v>
      </c>
      <c r="HR19" s="8">
        <v>3.7238670486101633E-2</v>
      </c>
      <c r="HS19" s="5"/>
      <c r="HT19" s="21">
        <v>25532.028811965582</v>
      </c>
      <c r="HU19" s="22">
        <v>30322.184499999999</v>
      </c>
      <c r="HW19" s="16" t="s">
        <v>1000</v>
      </c>
      <c r="HX19" s="45" t="s">
        <v>195</v>
      </c>
      <c r="HY19" s="32">
        <v>1398</v>
      </c>
      <c r="HZ19" s="32" t="s">
        <v>1563</v>
      </c>
      <c r="IA19" s="45"/>
      <c r="IB19" s="30" t="s">
        <v>862</v>
      </c>
      <c r="IC19" s="30" t="s">
        <v>26</v>
      </c>
      <c r="ID19" s="30" t="s">
        <v>27</v>
      </c>
      <c r="IE19" s="30" t="s">
        <v>28</v>
      </c>
      <c r="IF19" s="30" t="s">
        <v>82</v>
      </c>
      <c r="IG19" s="17">
        <v>6.41</v>
      </c>
      <c r="IH19" s="33">
        <f t="shared" si="11"/>
        <v>4.5173922968092181E-2</v>
      </c>
      <c r="II19" s="33">
        <f t="shared" si="12"/>
        <v>4.2938342322528245E-2</v>
      </c>
      <c r="IK19" s="1">
        <v>1</v>
      </c>
      <c r="IL19" s="18">
        <v>1335770.95626331</v>
      </c>
      <c r="IM19" s="11">
        <v>8562291.8296478167</v>
      </c>
      <c r="IN19" s="5"/>
      <c r="IO19" s="11">
        <v>1000</v>
      </c>
      <c r="IP19" s="11">
        <v>6410</v>
      </c>
      <c r="IQ19" s="5">
        <v>2.2551724414648202</v>
      </c>
      <c r="IR19" s="8">
        <v>4.0062500000000001E-2</v>
      </c>
      <c r="IS19" s="8">
        <v>-0.11314985797674793</v>
      </c>
      <c r="IT19" s="5"/>
      <c r="IU19" s="21">
        <v>141896.02272372032</v>
      </c>
      <c r="IV19" s="22">
        <v>237170</v>
      </c>
      <c r="IX19" s="16" t="s">
        <v>1039</v>
      </c>
      <c r="IY19" s="32" t="s">
        <v>690</v>
      </c>
      <c r="IZ19" s="32">
        <v>6701</v>
      </c>
      <c r="JA19" s="32" t="s">
        <v>1604</v>
      </c>
      <c r="JB19" s="32"/>
      <c r="JC19" s="30" t="s">
        <v>902</v>
      </c>
      <c r="JD19" s="30" t="s">
        <v>26</v>
      </c>
      <c r="JE19" s="30" t="s">
        <v>320</v>
      </c>
      <c r="JF19" s="30" t="s">
        <v>28</v>
      </c>
      <c r="JG19" s="30" t="s">
        <v>94</v>
      </c>
      <c r="JH19" s="17">
        <v>4431</v>
      </c>
      <c r="JI19" s="33">
        <f t="shared" si="30"/>
        <v>3.3070017530862514E-2</v>
      </c>
      <c r="JJ19" s="33">
        <f t="shared" si="13"/>
        <v>3.1414827907277246E-2</v>
      </c>
      <c r="JL19" s="1">
        <v>6.3369999999999998E-3</v>
      </c>
      <c r="JM19" s="18">
        <v>143678.376593547</v>
      </c>
      <c r="JN19" s="11">
        <v>4034380.6249292246</v>
      </c>
      <c r="JO19" s="5"/>
      <c r="JP19" s="11">
        <v>100</v>
      </c>
      <c r="JQ19" s="11">
        <v>2807.9246999999996</v>
      </c>
      <c r="JR19" s="5">
        <v>3.7687640305582293</v>
      </c>
      <c r="JS19" s="8">
        <v>3.5099058749999995E-2</v>
      </c>
      <c r="JT19" s="8">
        <v>6.1355916042193925E-2</v>
      </c>
      <c r="JU19" s="5"/>
      <c r="JV19" s="21">
        <v>84908.473283375512</v>
      </c>
      <c r="JW19" s="22">
        <v>103893.21389999997</v>
      </c>
      <c r="JY19" s="16" t="s">
        <v>1055</v>
      </c>
      <c r="JZ19" s="32" t="s">
        <v>241</v>
      </c>
      <c r="KA19" s="32" t="s">
        <v>393</v>
      </c>
      <c r="KB19" s="32" t="s">
        <v>1623</v>
      </c>
      <c r="KC19" s="32"/>
      <c r="KD19" s="30" t="s">
        <v>850</v>
      </c>
      <c r="KE19" s="30" t="s">
        <v>26</v>
      </c>
      <c r="KF19" s="30" t="s">
        <v>33</v>
      </c>
      <c r="KG19" s="30" t="s">
        <v>28</v>
      </c>
      <c r="KH19" s="30" t="s">
        <v>34</v>
      </c>
      <c r="KI19" s="17">
        <v>76.59</v>
      </c>
      <c r="KJ19" s="33">
        <f t="shared" si="31"/>
        <v>3.1428652301822235E-2</v>
      </c>
      <c r="KK19" s="33">
        <f t="shared" si="32"/>
        <v>2.986206643512768E-2</v>
      </c>
      <c r="KM19" s="1">
        <v>1</v>
      </c>
      <c r="KN19" s="18">
        <v>40748.075459162799</v>
      </c>
      <c r="KO19" s="11">
        <v>3120895.099417279</v>
      </c>
      <c r="KP19" s="5"/>
      <c r="KQ19" s="11">
        <v>1</v>
      </c>
      <c r="KR19" s="11">
        <v>76.59</v>
      </c>
      <c r="KS19" s="5">
        <v>131.31177355507396</v>
      </c>
      <c r="KT19" s="8">
        <v>3.1354031250000004E-2</v>
      </c>
      <c r="KU19" s="8">
        <v>-2.3743000847001872E-3</v>
      </c>
      <c r="KV19" s="5"/>
      <c r="KW19" s="21">
        <v>2436.9482746022586</v>
      </c>
      <c r="KX19" s="22">
        <v>2833.83</v>
      </c>
      <c r="KZ19" s="16" t="s">
        <v>940</v>
      </c>
      <c r="LA19" s="32" t="s">
        <v>256</v>
      </c>
      <c r="LB19" s="32" t="s">
        <v>379</v>
      </c>
      <c r="LC19" s="32" t="s">
        <v>1509</v>
      </c>
      <c r="LD19" s="32"/>
      <c r="LE19" s="30" t="s">
        <v>850</v>
      </c>
      <c r="LF19" s="30" t="s">
        <v>26</v>
      </c>
      <c r="LG19" s="30" t="s">
        <v>33</v>
      </c>
      <c r="LH19" s="30" t="s">
        <v>28</v>
      </c>
      <c r="LI19" s="30" t="s">
        <v>34</v>
      </c>
      <c r="LJ19" s="17">
        <v>29.69</v>
      </c>
      <c r="LK19" s="33">
        <f t="shared" si="14"/>
        <v>5.9796109113447064E-2</v>
      </c>
      <c r="LL19" s="33">
        <f t="shared" si="15"/>
        <v>5.6780782976256647E-2</v>
      </c>
      <c r="LN19" s="1">
        <v>1</v>
      </c>
      <c r="LO19" s="18">
        <v>222564.56000691201</v>
      </c>
      <c r="LP19" s="11">
        <v>6607941.7866052175</v>
      </c>
      <c r="LQ19" s="5"/>
      <c r="LR19" s="11">
        <v>1</v>
      </c>
      <c r="LS19" s="11">
        <v>29.69</v>
      </c>
      <c r="LT19" s="5">
        <v>644.48484056258201</v>
      </c>
      <c r="LU19" s="8">
        <v>5.9751125000000002E-2</v>
      </c>
      <c r="LV19" s="8">
        <v>-7.5229164763412903E-4</v>
      </c>
      <c r="LW19" s="5"/>
      <c r="LX19" s="21">
        <v>496.52060042353588</v>
      </c>
      <c r="LY19" s="22">
        <v>1098.53</v>
      </c>
      <c r="MA19" s="16" t="s">
        <v>893</v>
      </c>
      <c r="MB19" s="32" t="s">
        <v>96</v>
      </c>
      <c r="MC19" s="32" t="s">
        <v>333</v>
      </c>
      <c r="MD19" s="32" t="s">
        <v>1468</v>
      </c>
      <c r="ME19" s="32"/>
      <c r="MF19" s="30" t="s">
        <v>777</v>
      </c>
      <c r="MG19" s="30" t="s">
        <v>26</v>
      </c>
      <c r="MH19" s="30" t="s">
        <v>129</v>
      </c>
      <c r="MI19" s="30" t="s">
        <v>28</v>
      </c>
      <c r="MJ19" s="43" t="s">
        <v>827</v>
      </c>
      <c r="MK19" s="17">
        <v>20.76</v>
      </c>
      <c r="ML19" s="33">
        <f t="shared" si="16"/>
        <v>2.8395972791362606E-2</v>
      </c>
      <c r="MM19" s="33">
        <f t="shared" si="17"/>
        <v>2.6959070720118872E-2</v>
      </c>
      <c r="MO19" s="1">
        <v>1.3359000000000001</v>
      </c>
      <c r="MP19" s="18">
        <v>183947.15558270901</v>
      </c>
      <c r="MQ19" s="11">
        <v>5101458.7067674547</v>
      </c>
      <c r="MR19" s="5"/>
      <c r="MS19" s="11">
        <v>1</v>
      </c>
      <c r="MT19" s="11">
        <v>27.733284000000005</v>
      </c>
      <c r="MU19" s="5">
        <v>327.64642273291662</v>
      </c>
      <c r="MV19" s="8">
        <v>2.8426616100000007E-2</v>
      </c>
      <c r="MW19" s="8">
        <v>1.0791427665659548E-3</v>
      </c>
      <c r="MX19" s="5"/>
      <c r="MY19" s="21">
        <v>976.66257830884467</v>
      </c>
      <c r="MZ19" s="22">
        <v>1026.1315080000002</v>
      </c>
      <c r="NB19" s="16" t="s">
        <v>872</v>
      </c>
      <c r="NC19" s="32" t="s">
        <v>51</v>
      </c>
      <c r="ND19" s="32" t="s">
        <v>52</v>
      </c>
      <c r="NE19" s="32" t="s">
        <v>1653</v>
      </c>
      <c r="NF19" s="32"/>
      <c r="NG19" s="30" t="s">
        <v>853</v>
      </c>
      <c r="NH19" s="30" t="s">
        <v>26</v>
      </c>
      <c r="NI19" s="30" t="s">
        <v>33</v>
      </c>
      <c r="NJ19" s="30" t="s">
        <v>28</v>
      </c>
      <c r="NK19" s="30" t="s">
        <v>34</v>
      </c>
      <c r="NL19" s="17">
        <v>104.91</v>
      </c>
      <c r="NM19" s="33">
        <f t="shared" si="18"/>
        <v>3.7215533883056547E-2</v>
      </c>
      <c r="NN19" s="33">
        <f t="shared" si="19"/>
        <v>3.5327807180230868E-2</v>
      </c>
      <c r="NP19" s="1">
        <v>1</v>
      </c>
      <c r="NQ19" s="18">
        <v>60644.301029578302</v>
      </c>
      <c r="NR19" s="11">
        <v>6362193.6210130593</v>
      </c>
      <c r="NS19" s="5"/>
      <c r="NT19" s="11">
        <v>1</v>
      </c>
      <c r="NU19" s="11">
        <v>104.91</v>
      </c>
      <c r="NV19" s="5">
        <v>113.51606941738724</v>
      </c>
      <c r="NW19" s="8">
        <v>3.7374187499999996E-2</v>
      </c>
      <c r="NX19" s="8">
        <v>4.2631020004171294E-3</v>
      </c>
      <c r="NY19" s="5"/>
      <c r="NZ19" s="21">
        <v>2818.9841459660834</v>
      </c>
      <c r="OA19" s="22">
        <v>3881.6699999999996</v>
      </c>
      <c r="OC19" s="16" t="s">
        <v>1095</v>
      </c>
      <c r="OD19" s="59" t="s">
        <v>278</v>
      </c>
      <c r="OE19" s="32" t="s">
        <v>355</v>
      </c>
      <c r="OF19" s="32" t="s">
        <v>1674</v>
      </c>
      <c r="OG19" s="59"/>
      <c r="OH19" s="30" t="s">
        <v>783</v>
      </c>
      <c r="OI19" s="30" t="s">
        <v>26</v>
      </c>
      <c r="OJ19" s="30" t="s">
        <v>39</v>
      </c>
      <c r="OK19" s="30" t="s">
        <v>28</v>
      </c>
      <c r="OL19" s="51" t="s">
        <v>83</v>
      </c>
      <c r="OM19" s="17">
        <v>40.770000000000003</v>
      </c>
      <c r="ON19" s="33">
        <f t="shared" si="20"/>
        <v>3.7727001750523251E-2</v>
      </c>
      <c r="OO19" s="33">
        <f t="shared" si="33"/>
        <v>3.5773009025723203E-2</v>
      </c>
      <c r="OQ19" s="1">
        <v>1</v>
      </c>
      <c r="OR19" s="18">
        <v>170420.85038857599</v>
      </c>
      <c r="OS19" s="11">
        <v>6948058.0703422436</v>
      </c>
      <c r="OT19" s="5"/>
      <c r="OU19" s="11">
        <v>1</v>
      </c>
      <c r="OV19" s="11">
        <v>40.770000000000003</v>
      </c>
      <c r="OW19" s="5">
        <v>296.11578514023643</v>
      </c>
      <c r="OX19" s="8">
        <v>3.7712250000000003E-2</v>
      </c>
      <c r="OY19" s="8">
        <v>-3.9101306329081265E-4</v>
      </c>
      <c r="OZ19" s="5"/>
      <c r="PA19" s="21">
        <v>1080.6583642559019</v>
      </c>
      <c r="PB19" s="22">
        <v>1508.49</v>
      </c>
      <c r="PD19" s="16" t="s">
        <v>995</v>
      </c>
      <c r="PE19" s="32" t="s">
        <v>191</v>
      </c>
      <c r="PF19" s="32">
        <v>7751</v>
      </c>
      <c r="PG19" s="32" t="s">
        <v>1558</v>
      </c>
      <c r="PH19" s="32"/>
      <c r="PI19" s="30" t="s">
        <v>902</v>
      </c>
      <c r="PJ19" s="30" t="s">
        <v>26</v>
      </c>
      <c r="PK19" s="71" t="s">
        <v>320</v>
      </c>
      <c r="PL19" s="30" t="s">
        <v>28</v>
      </c>
      <c r="PM19" s="30" t="s">
        <v>94</v>
      </c>
      <c r="PN19" s="17">
        <v>4526</v>
      </c>
      <c r="PO19" s="33">
        <f t="shared" si="21"/>
        <v>4.3088269767519539E-2</v>
      </c>
      <c r="PP19" s="33">
        <f t="shared" si="22"/>
        <v>4.0931632450774892E-2</v>
      </c>
      <c r="PR19" s="1">
        <v>1</v>
      </c>
      <c r="PS19" s="18">
        <v>1834.72046047698</v>
      </c>
      <c r="PT19" s="11">
        <v>8303944.8041188112</v>
      </c>
      <c r="PU19" s="5"/>
      <c r="PV19" s="11">
        <v>100</v>
      </c>
      <c r="PW19" s="11">
        <v>452600</v>
      </c>
      <c r="PX19" s="5">
        <v>3.0464530105183945E-2</v>
      </c>
      <c r="PY19" s="8">
        <v>0</v>
      </c>
      <c r="PZ19" s="8">
        <v>-1</v>
      </c>
      <c r="QA19" s="5"/>
      <c r="QB19" s="21">
        <v>10504018.899853235</v>
      </c>
      <c r="QC19" s="22">
        <v>16746200</v>
      </c>
      <c r="QE19" s="16" t="s">
        <v>1124</v>
      </c>
      <c r="QF19" s="34" t="s">
        <v>613</v>
      </c>
      <c r="QG19" s="34"/>
      <c r="QH19" s="32" t="s">
        <v>1705</v>
      </c>
      <c r="QI19" s="34"/>
      <c r="QJ19" s="30" t="s">
        <v>1125</v>
      </c>
      <c r="QK19" s="30" t="s">
        <v>26</v>
      </c>
      <c r="QL19" s="30"/>
      <c r="QM19" s="30" t="s">
        <v>28</v>
      </c>
      <c r="QN19" s="30" t="s">
        <v>34</v>
      </c>
      <c r="QO19" s="17">
        <v>10.97</v>
      </c>
      <c r="QP19" s="33">
        <f t="shared" si="23"/>
        <v>3.6237546863655476E-2</v>
      </c>
      <c r="QQ19" s="33">
        <f t="shared" si="24"/>
        <v>3.4434511204634949E-2</v>
      </c>
      <c r="QS19" s="1">
        <v>1</v>
      </c>
      <c r="QT19" s="18">
        <v>376846.340415682</v>
      </c>
      <c r="QU19" s="11">
        <v>4134004.3543600319</v>
      </c>
      <c r="QV19" s="5"/>
      <c r="QW19" s="11">
        <v>1</v>
      </c>
      <c r="QX19" s="11">
        <v>10.97</v>
      </c>
      <c r="QY19" s="5">
        <v>1057.0660890036238</v>
      </c>
      <c r="QZ19" s="8">
        <v>3.6235281250000001E-2</v>
      </c>
      <c r="RA19" s="8">
        <v>-6.2521165243301091E-5</v>
      </c>
      <c r="RB19" s="5"/>
      <c r="RC19" s="21">
        <v>302.72468611837479</v>
      </c>
      <c r="RD19" s="22">
        <v>405.89</v>
      </c>
      <c r="RF19" s="16" t="s">
        <v>1038</v>
      </c>
      <c r="RG19" s="34" t="s">
        <v>230</v>
      </c>
      <c r="RH19" s="34"/>
      <c r="RI19" s="32" t="s">
        <v>1603</v>
      </c>
      <c r="RJ19" s="34"/>
      <c r="RK19" s="30" t="s">
        <v>853</v>
      </c>
    </row>
    <row r="20" spans="15:479" x14ac:dyDescent="0.2">
      <c r="O20" s="16" t="s">
        <v>877</v>
      </c>
      <c r="P20" s="32" t="s">
        <v>62</v>
      </c>
      <c r="Q20" s="32" t="s">
        <v>63</v>
      </c>
      <c r="R20" s="32" t="s">
        <v>1442</v>
      </c>
      <c r="S20" s="32"/>
      <c r="T20" s="30" t="s">
        <v>430</v>
      </c>
      <c r="U20" s="30" t="s">
        <v>26</v>
      </c>
      <c r="V20" s="30" t="s">
        <v>61</v>
      </c>
      <c r="W20" s="30" t="s">
        <v>28</v>
      </c>
      <c r="X20" s="30" t="s">
        <v>814</v>
      </c>
      <c r="Y20" s="17">
        <v>124.82</v>
      </c>
      <c r="Z20" s="33">
        <f t="shared" si="0"/>
        <v>2.797946853614907E-2</v>
      </c>
      <c r="AA20" s="33">
        <f t="shared" si="1"/>
        <v>2.6581435434706792E-2</v>
      </c>
      <c r="AB20" s="4"/>
      <c r="AC20" s="1">
        <v>1.2806</v>
      </c>
      <c r="AD20" s="18">
        <v>36022.015024145003</v>
      </c>
      <c r="AE20" s="11">
        <v>5757920.6923508253</v>
      </c>
      <c r="AF20" s="5"/>
      <c r="AG20" s="11">
        <v>1</v>
      </c>
      <c r="AH20" s="11">
        <v>159.84449199999997</v>
      </c>
      <c r="AI20" s="5">
        <v>56.013377874588905</v>
      </c>
      <c r="AJ20" s="8">
        <v>2.7972786099999997E-2</v>
      </c>
      <c r="AK20" s="8">
        <v>-2.3883356256171329E-4</v>
      </c>
      <c r="AL20" s="5"/>
      <c r="AM20" s="21">
        <v>5712.9209510710753</v>
      </c>
      <c r="AN20" s="22">
        <v>5914.2462039999991</v>
      </c>
      <c r="AP20" s="16" t="s">
        <v>900</v>
      </c>
      <c r="AQ20" s="32" t="s">
        <v>103</v>
      </c>
      <c r="AR20" s="32" t="s">
        <v>338</v>
      </c>
      <c r="AS20" s="32" t="s">
        <v>1475</v>
      </c>
      <c r="AT20" s="32"/>
      <c r="AU20" s="30" t="s">
        <v>886</v>
      </c>
      <c r="AV20" s="30" t="s">
        <v>26</v>
      </c>
      <c r="AW20" s="30" t="s">
        <v>39</v>
      </c>
      <c r="AX20" s="30" t="s">
        <v>28</v>
      </c>
      <c r="AY20" s="30" t="s">
        <v>83</v>
      </c>
      <c r="AZ20" s="17">
        <v>77.73</v>
      </c>
      <c r="BA20" s="33">
        <f t="shared" si="2"/>
        <v>4.1515591400854021E-2</v>
      </c>
      <c r="BB20" s="33">
        <f t="shared" si="25"/>
        <v>3.942641884125115E-2</v>
      </c>
      <c r="BD20" s="1">
        <v>1.1607000000000001</v>
      </c>
      <c r="BE20" s="18">
        <v>75761.406079074397</v>
      </c>
      <c r="BF20" s="11">
        <v>6835285.8035168545</v>
      </c>
      <c r="BG20" s="5"/>
      <c r="BH20" s="11">
        <v>1</v>
      </c>
      <c r="BI20" s="11">
        <v>90.221211000000011</v>
      </c>
      <c r="BJ20" s="5">
        <v>147.24906816284349</v>
      </c>
      <c r="BK20" s="8">
        <v>4.1445368803125007E-2</v>
      </c>
      <c r="BL20" s="8">
        <v>-1.6914753074568356E-3</v>
      </c>
      <c r="BM20" s="5"/>
      <c r="BN20" s="21">
        <v>2173.1886251810461</v>
      </c>
      <c r="BO20" s="22">
        <v>3338.1848070000001</v>
      </c>
      <c r="BQ20" s="16" t="s">
        <v>921</v>
      </c>
      <c r="BR20" s="44" t="s">
        <v>115</v>
      </c>
      <c r="BS20" s="44">
        <v>8957</v>
      </c>
      <c r="BT20" s="32" t="s">
        <v>1495</v>
      </c>
      <c r="BU20" s="44"/>
      <c r="BV20" s="30" t="s">
        <v>902</v>
      </c>
      <c r="BW20" s="30" t="s">
        <v>26</v>
      </c>
      <c r="BX20" s="71" t="s">
        <v>320</v>
      </c>
      <c r="BY20" s="30" t="s">
        <v>28</v>
      </c>
      <c r="BZ20" s="30" t="s">
        <v>94</v>
      </c>
      <c r="CA20" s="17">
        <v>205900</v>
      </c>
      <c r="CB20" s="33">
        <f t="shared" si="3"/>
        <v>6.7811629023419084E-2</v>
      </c>
      <c r="CC20" s="33">
        <f t="shared" si="26"/>
        <v>6.4415243618006934E-2</v>
      </c>
      <c r="CE20" s="1">
        <v>1</v>
      </c>
      <c r="CF20" s="18">
        <v>206.619692017284</v>
      </c>
      <c r="CG20" s="11">
        <v>42542994.586358778</v>
      </c>
      <c r="CH20" s="5"/>
      <c r="CI20" s="11">
        <v>1</v>
      </c>
      <c r="CJ20" s="11">
        <v>205900</v>
      </c>
      <c r="CK20" s="5">
        <v>0.10538961285815496</v>
      </c>
      <c r="CL20" s="8">
        <v>0</v>
      </c>
      <c r="CM20" s="8">
        <v>-1</v>
      </c>
      <c r="CN20" s="5"/>
      <c r="CO20" s="21">
        <v>3036352.3626440447</v>
      </c>
      <c r="CP20" s="22">
        <v>7618300</v>
      </c>
      <c r="CR20" s="16" t="s">
        <v>937</v>
      </c>
      <c r="CS20" s="32" t="s">
        <v>123</v>
      </c>
      <c r="CT20" s="32" t="s">
        <v>381</v>
      </c>
      <c r="CU20" s="32" t="s">
        <v>1507</v>
      </c>
      <c r="CV20" s="32"/>
      <c r="CW20" s="30" t="s">
        <v>938</v>
      </c>
      <c r="CX20" s="30" t="s">
        <v>26</v>
      </c>
      <c r="CY20" s="30" t="s">
        <v>39</v>
      </c>
      <c r="CZ20" s="30" t="s">
        <v>28</v>
      </c>
      <c r="DA20" s="30" t="s">
        <v>83</v>
      </c>
      <c r="DB20" s="17">
        <v>66.400000000000006</v>
      </c>
      <c r="DC20" s="33">
        <f t="shared" si="4"/>
        <v>5.1898312586853713E-2</v>
      </c>
      <c r="DD20" s="33">
        <f t="shared" si="5"/>
        <v>4.9286913642613249E-2</v>
      </c>
      <c r="DF20" s="1">
        <v>1.1607000000000001</v>
      </c>
      <c r="DG20" s="18">
        <v>122123.246485861</v>
      </c>
      <c r="DH20" s="11">
        <v>9412097.2258236222</v>
      </c>
      <c r="DI20" s="5"/>
      <c r="DJ20" s="11">
        <v>1</v>
      </c>
      <c r="DK20" s="11">
        <v>77.070480000000018</v>
      </c>
      <c r="DL20" s="5">
        <v>215.48406118390835</v>
      </c>
      <c r="DM20" s="8">
        <v>5.1781728750000013E-2</v>
      </c>
      <c r="DN20" s="8">
        <v>-2.2463897387529075E-3</v>
      </c>
      <c r="DO20" s="5"/>
      <c r="DP20" s="21">
        <v>1485.0286292260421</v>
      </c>
      <c r="DQ20" s="22">
        <v>2851.6077600000003</v>
      </c>
      <c r="DS20" s="16" t="s">
        <v>954</v>
      </c>
      <c r="DT20" s="32" t="s">
        <v>149</v>
      </c>
      <c r="DU20" s="32" t="s">
        <v>150</v>
      </c>
      <c r="DV20" s="32" t="s">
        <v>1523</v>
      </c>
      <c r="DW20" s="32"/>
      <c r="DX20" s="30" t="s">
        <v>777</v>
      </c>
      <c r="DY20" s="30" t="s">
        <v>26</v>
      </c>
      <c r="DZ20" s="30" t="s">
        <v>129</v>
      </c>
      <c r="EA20" s="30" t="s">
        <v>28</v>
      </c>
      <c r="EB20" s="43" t="s">
        <v>827</v>
      </c>
      <c r="EC20" s="17">
        <v>67.87</v>
      </c>
      <c r="ED20" s="33">
        <f t="shared" si="27"/>
        <v>6.0854581960626764E-2</v>
      </c>
      <c r="EE20" s="33">
        <f t="shared" si="28"/>
        <v>5.7727131808404726E-2</v>
      </c>
      <c r="EG20" s="1">
        <v>1</v>
      </c>
      <c r="EH20" s="18">
        <v>147967.68437149501</v>
      </c>
      <c r="EI20" s="11">
        <v>10042566.738293367</v>
      </c>
      <c r="EJ20" s="5"/>
      <c r="EK20" s="11">
        <v>1</v>
      </c>
      <c r="EL20" s="11">
        <v>67.87</v>
      </c>
      <c r="EM20" s="5">
        <v>286.92303267129165</v>
      </c>
      <c r="EN20" s="8">
        <v>6.0870906250000009E-2</v>
      </c>
      <c r="EO20" s="8">
        <v>2.6825078485970266E-4</v>
      </c>
      <c r="EP20" s="5"/>
      <c r="EQ20" s="21">
        <v>1115.2816733489724</v>
      </c>
      <c r="ER20" s="22">
        <v>2511.19</v>
      </c>
      <c r="ET20" s="16" t="s">
        <v>962</v>
      </c>
      <c r="EU20" s="32" t="s">
        <v>168</v>
      </c>
      <c r="EV20" s="32" t="s">
        <v>427</v>
      </c>
      <c r="EW20" s="32" t="s">
        <v>1529</v>
      </c>
      <c r="EX20" s="32"/>
      <c r="EY20" s="30" t="s">
        <v>850</v>
      </c>
      <c r="EZ20" s="30" t="s">
        <v>26</v>
      </c>
      <c r="FA20" s="30" t="s">
        <v>33</v>
      </c>
      <c r="FB20" s="30" t="s">
        <v>28</v>
      </c>
      <c r="FC20" s="30" t="s">
        <v>34</v>
      </c>
      <c r="FD20" s="17">
        <v>131.03</v>
      </c>
      <c r="FE20" s="33">
        <f t="shared" si="6"/>
        <v>3.9250368973682351E-2</v>
      </c>
      <c r="FF20" s="33">
        <f t="shared" si="7"/>
        <v>3.7286812869394871E-2</v>
      </c>
      <c r="FH20" s="1">
        <v>1</v>
      </c>
      <c r="FI20" s="18">
        <v>61384.715097376902</v>
      </c>
      <c r="FJ20" s="11">
        <v>8043239.2192092957</v>
      </c>
      <c r="FK20" s="5"/>
      <c r="FL20" s="11">
        <v>1</v>
      </c>
      <c r="FM20" s="11">
        <v>131.03</v>
      </c>
      <c r="FN20" s="5">
        <v>95.856811963507226</v>
      </c>
      <c r="FO20" s="8">
        <v>3.9309000000000004E-2</v>
      </c>
      <c r="FP20" s="8">
        <v>1.4937700676640464E-3</v>
      </c>
      <c r="FQ20" s="5"/>
      <c r="FR20" s="21">
        <v>3338.312566892213</v>
      </c>
      <c r="FS20" s="22">
        <v>4848.1099999999997</v>
      </c>
      <c r="FU20" s="16" t="s">
        <v>975</v>
      </c>
      <c r="FV20" s="32" t="s">
        <v>179</v>
      </c>
      <c r="FW20" s="32" t="s">
        <v>395</v>
      </c>
      <c r="FX20" s="32" t="s">
        <v>1541</v>
      </c>
      <c r="FY20" s="32"/>
      <c r="FZ20" s="30" t="s">
        <v>853</v>
      </c>
      <c r="GA20" s="30" t="s">
        <v>26</v>
      </c>
      <c r="GB20" s="30" t="s">
        <v>33</v>
      </c>
      <c r="GC20" s="30" t="s">
        <v>28</v>
      </c>
      <c r="GD20" s="30" t="s">
        <v>34</v>
      </c>
      <c r="GE20" s="17">
        <v>283.64</v>
      </c>
      <c r="GF20" s="33">
        <f t="shared" si="8"/>
        <v>4.0756936509611978E-2</v>
      </c>
      <c r="GG20" s="33">
        <f t="shared" si="9"/>
        <v>3.8717235302057278E-2</v>
      </c>
      <c r="GI20" s="1">
        <v>1</v>
      </c>
      <c r="GJ20" s="18">
        <v>29743.931041848798</v>
      </c>
      <c r="GK20" s="11">
        <v>8436568.6007099934</v>
      </c>
      <c r="GL20" s="5"/>
      <c r="GM20" s="11">
        <v>1</v>
      </c>
      <c r="GN20" s="11">
        <v>283.64</v>
      </c>
      <c r="GO20" s="5">
        <v>45.981595272443357</v>
      </c>
      <c r="GP20" s="8">
        <v>4.0773249999999997E-2</v>
      </c>
      <c r="GQ20" s="8">
        <v>4.002629192743079E-4</v>
      </c>
      <c r="GR20" s="5"/>
      <c r="GS20" s="21">
        <v>6959.3061768297348</v>
      </c>
      <c r="GT20" s="22">
        <v>10494.679999999998</v>
      </c>
      <c r="GV20" s="16" t="s">
        <v>1001</v>
      </c>
      <c r="GW20" s="32" t="s">
        <v>314</v>
      </c>
      <c r="GX20" s="32" t="s">
        <v>418</v>
      </c>
      <c r="GY20" s="32" t="s">
        <v>1564</v>
      </c>
      <c r="GZ20" s="32"/>
      <c r="HA20" s="30" t="s">
        <v>932</v>
      </c>
      <c r="HB20" s="30" t="s">
        <v>26</v>
      </c>
      <c r="HC20" s="30" t="s">
        <v>384</v>
      </c>
      <c r="HD20" s="30" t="s">
        <v>28</v>
      </c>
      <c r="HE20" s="30" t="s">
        <v>34</v>
      </c>
      <c r="HF20" s="17">
        <v>75.209999999999994</v>
      </c>
      <c r="HG20" s="33">
        <f t="shared" si="10"/>
        <v>3.3625722351814151E-2</v>
      </c>
      <c r="HH20" s="33">
        <f t="shared" si="29"/>
        <v>3.1941901877754086E-2</v>
      </c>
      <c r="HJ20" s="1">
        <v>1</v>
      </c>
      <c r="HK20" s="18">
        <v>72916.760044292503</v>
      </c>
      <c r="HL20" s="11">
        <v>5484069.5229312386</v>
      </c>
      <c r="HM20" s="5"/>
      <c r="HN20" s="11">
        <v>100</v>
      </c>
      <c r="HO20" s="11">
        <v>7520.9999999999991</v>
      </c>
      <c r="HP20" s="5">
        <v>1.4306915506688644</v>
      </c>
      <c r="HQ20" s="8">
        <v>2.3503124999999996E-2</v>
      </c>
      <c r="HR20" s="8">
        <v>-0.30103732035567787</v>
      </c>
      <c r="HS20" s="5"/>
      <c r="HT20" s="21">
        <v>223668.0574861831</v>
      </c>
      <c r="HU20" s="22">
        <v>278276.99999999994</v>
      </c>
      <c r="HW20" s="16" t="s">
        <v>1031</v>
      </c>
      <c r="HX20" s="45" t="s">
        <v>219</v>
      </c>
      <c r="HY20" s="32">
        <v>303</v>
      </c>
      <c r="HZ20" s="32" t="s">
        <v>1591</v>
      </c>
      <c r="IA20" s="45"/>
      <c r="IB20" s="30" t="s">
        <v>862</v>
      </c>
      <c r="IC20" s="30" t="s">
        <v>26</v>
      </c>
      <c r="ID20" s="30" t="s">
        <v>27</v>
      </c>
      <c r="IE20" s="30" t="s">
        <v>28</v>
      </c>
      <c r="IF20" s="30" t="s">
        <v>82</v>
      </c>
      <c r="IG20" s="17">
        <v>62.9</v>
      </c>
      <c r="IH20" s="33">
        <f t="shared" si="11"/>
        <v>4.4858898505685849E-2</v>
      </c>
      <c r="II20" s="33">
        <f t="shared" si="12"/>
        <v>4.263890788517978E-2</v>
      </c>
      <c r="IK20" s="1">
        <v>1</v>
      </c>
      <c r="IL20" s="18">
        <v>135176.18296423601</v>
      </c>
      <c r="IM20" s="11">
        <v>8502581.9084504452</v>
      </c>
      <c r="IN20" s="5"/>
      <c r="IO20" s="11">
        <v>100</v>
      </c>
      <c r="IP20" s="11">
        <v>6290</v>
      </c>
      <c r="IQ20" s="5">
        <v>2.282169717300393</v>
      </c>
      <c r="IR20" s="8">
        <v>3.93125E-2</v>
      </c>
      <c r="IS20" s="8">
        <v>-0.12364098741708618</v>
      </c>
      <c r="IT20" s="5"/>
      <c r="IU20" s="21">
        <v>140217.44201326621</v>
      </c>
      <c r="IV20" s="22">
        <v>232730</v>
      </c>
      <c r="IX20" s="16" t="s">
        <v>1040</v>
      </c>
      <c r="IY20" s="32" t="s">
        <v>231</v>
      </c>
      <c r="IZ20" s="32" t="s">
        <v>421</v>
      </c>
      <c r="JA20" s="32" t="s">
        <v>1605</v>
      </c>
      <c r="JB20" s="32"/>
      <c r="JC20" s="30" t="s">
        <v>853</v>
      </c>
      <c r="JD20" s="30" t="s">
        <v>26</v>
      </c>
      <c r="JE20" s="30" t="s">
        <v>33</v>
      </c>
      <c r="JF20" s="30" t="s">
        <v>28</v>
      </c>
      <c r="JG20" s="30" t="s">
        <v>34</v>
      </c>
      <c r="JH20" s="17">
        <v>40.39</v>
      </c>
      <c r="JI20" s="33">
        <f t="shared" si="30"/>
        <v>2.1233048128602841E-2</v>
      </c>
      <c r="JJ20" s="33">
        <f t="shared" si="13"/>
        <v>2.0170311439493094E-2</v>
      </c>
      <c r="JL20" s="1">
        <v>1</v>
      </c>
      <c r="JM20" s="18">
        <v>64132.9083824142</v>
      </c>
      <c r="JN20" s="11">
        <v>2590328.1695657098</v>
      </c>
      <c r="JO20" s="5"/>
      <c r="JP20" s="11">
        <v>1</v>
      </c>
      <c r="JQ20" s="11">
        <v>40.39</v>
      </c>
      <c r="JR20" s="5">
        <v>168.22419908771747</v>
      </c>
      <c r="JS20" s="8">
        <v>2.1204750000000001E-2</v>
      </c>
      <c r="JT20" s="8">
        <v>-1.3327398134947988E-3</v>
      </c>
      <c r="JU20" s="5"/>
      <c r="JV20" s="21">
        <v>1902.2233527362002</v>
      </c>
      <c r="JW20" s="22">
        <v>1494.4299999999998</v>
      </c>
      <c r="JY20" s="16" t="s">
        <v>1056</v>
      </c>
      <c r="JZ20" s="32" t="s">
        <v>242</v>
      </c>
      <c r="KA20" s="32" t="s">
        <v>351</v>
      </c>
      <c r="KB20" s="32" t="s">
        <v>1624</v>
      </c>
      <c r="KC20" s="32"/>
      <c r="KD20" s="30" t="s">
        <v>886</v>
      </c>
      <c r="KE20" s="30" t="s">
        <v>26</v>
      </c>
      <c r="KF20" s="30" t="s">
        <v>1376</v>
      </c>
      <c r="KG20" s="30" t="s">
        <v>28</v>
      </c>
      <c r="KH20" s="30" t="s">
        <v>83</v>
      </c>
      <c r="KI20" s="17">
        <v>70.040000000000006</v>
      </c>
      <c r="KJ20" s="33">
        <f t="shared" si="31"/>
        <v>2.9531639256847261E-2</v>
      </c>
      <c r="KK20" s="33">
        <f t="shared" si="32"/>
        <v>2.8059611495815439E-2</v>
      </c>
      <c r="KM20" s="1">
        <v>1.1607000000000001</v>
      </c>
      <c r="KN20" s="18">
        <v>36072.384018282202</v>
      </c>
      <c r="KO20" s="11">
        <v>2932519.8977466119</v>
      </c>
      <c r="KP20" s="5"/>
      <c r="KQ20" s="11">
        <v>1</v>
      </c>
      <c r="KR20" s="11">
        <v>81.295428000000015</v>
      </c>
      <c r="KS20" s="5">
        <v>116.24423162137879</v>
      </c>
      <c r="KT20" s="8">
        <v>2.9469592650000005E-2</v>
      </c>
      <c r="KU20" s="8">
        <v>-2.1010214268031291E-3</v>
      </c>
      <c r="KV20" s="5"/>
      <c r="KW20" s="21">
        <v>2752.8247684777848</v>
      </c>
      <c r="KX20" s="22">
        <v>3007.9308360000005</v>
      </c>
      <c r="KZ20" s="16" t="s">
        <v>941</v>
      </c>
      <c r="LA20" s="32" t="s">
        <v>742</v>
      </c>
      <c r="LB20" s="32" t="s">
        <v>744</v>
      </c>
      <c r="LC20" s="32" t="s">
        <v>1510</v>
      </c>
      <c r="LD20" s="32"/>
      <c r="LE20" s="30" t="s">
        <v>850</v>
      </c>
      <c r="LF20" s="30" t="s">
        <v>26</v>
      </c>
      <c r="LG20" s="30" t="s">
        <v>33</v>
      </c>
      <c r="LH20" s="30" t="s">
        <v>28</v>
      </c>
      <c r="LI20" s="30" t="s">
        <v>34</v>
      </c>
      <c r="LJ20" s="17">
        <v>72.58</v>
      </c>
      <c r="LK20" s="33">
        <f t="shared" si="14"/>
        <v>6.6422041891273292E-2</v>
      </c>
      <c r="LL20" s="33">
        <f t="shared" si="15"/>
        <v>6.3072591200086542E-2</v>
      </c>
      <c r="LN20" s="1">
        <v>1</v>
      </c>
      <c r="LO20" s="18">
        <v>101131.98719102</v>
      </c>
      <c r="LP20" s="11">
        <v>7340159.6303242315</v>
      </c>
      <c r="LQ20" s="5"/>
      <c r="LR20" s="11">
        <v>1</v>
      </c>
      <c r="LS20" s="11">
        <v>72.58</v>
      </c>
      <c r="LT20" s="5">
        <v>292.8500055829079</v>
      </c>
      <c r="LU20" s="8">
        <v>6.6456062499999996E-2</v>
      </c>
      <c r="LV20" s="8">
        <v>5.1218854100265609E-4</v>
      </c>
      <c r="LW20" s="5"/>
      <c r="LX20" s="21">
        <v>1092.7095574509244</v>
      </c>
      <c r="LY20" s="22">
        <v>2685.4599999999996</v>
      </c>
      <c r="MA20" s="16" t="s">
        <v>1025</v>
      </c>
      <c r="MB20" s="32" t="s">
        <v>213</v>
      </c>
      <c r="MC20" s="32">
        <v>6823</v>
      </c>
      <c r="MD20" s="32" t="s">
        <v>1595</v>
      </c>
      <c r="ME20" s="32"/>
      <c r="MF20" s="30" t="s">
        <v>862</v>
      </c>
      <c r="MG20" s="30" t="s">
        <v>26</v>
      </c>
      <c r="MH20" s="30" t="s">
        <v>27</v>
      </c>
      <c r="MI20" s="30" t="s">
        <v>28</v>
      </c>
      <c r="MJ20" s="30" t="s">
        <v>82</v>
      </c>
      <c r="MK20" s="17">
        <v>12.21</v>
      </c>
      <c r="ML20" s="33">
        <f t="shared" si="16"/>
        <v>2.9986864158242126E-2</v>
      </c>
      <c r="MM20" s="33">
        <f t="shared" si="17"/>
        <v>2.8469459294683835E-2</v>
      </c>
      <c r="MO20" s="1">
        <v>0.12784999999999999</v>
      </c>
      <c r="MP20" s="18">
        <v>3451058.1745673302</v>
      </c>
      <c r="MQ20" s="11">
        <v>5387269.1868210686</v>
      </c>
      <c r="MR20" s="5"/>
      <c r="MS20" s="11">
        <v>1000</v>
      </c>
      <c r="MT20" s="11">
        <v>1561.0485000000001</v>
      </c>
      <c r="MU20" s="5">
        <v>6.1470201154144029</v>
      </c>
      <c r="MV20" s="8">
        <v>2.9269659375000003E-2</v>
      </c>
      <c r="MW20" s="8">
        <v>-2.3917298569713696E-2</v>
      </c>
      <c r="MX20" s="5"/>
      <c r="MY20" s="21">
        <v>52057.744076281931</v>
      </c>
      <c r="MZ20" s="22">
        <v>57758.794500000004</v>
      </c>
      <c r="NB20" s="16" t="s">
        <v>899</v>
      </c>
      <c r="NC20" s="32" t="s">
        <v>57</v>
      </c>
      <c r="ND20" s="32" t="s">
        <v>58</v>
      </c>
      <c r="NE20" s="32" t="s">
        <v>1474</v>
      </c>
      <c r="NF20" s="32"/>
      <c r="NG20" s="30" t="s">
        <v>850</v>
      </c>
      <c r="NH20" s="30" t="s">
        <v>26</v>
      </c>
      <c r="NI20" s="30" t="s">
        <v>33</v>
      </c>
      <c r="NJ20" s="30" t="s">
        <v>28</v>
      </c>
      <c r="NK20" s="30" t="s">
        <v>34</v>
      </c>
      <c r="NL20" s="17">
        <v>116.07</v>
      </c>
      <c r="NM20" s="33">
        <f t="shared" si="18"/>
        <v>3.6715473824396938E-2</v>
      </c>
      <c r="NN20" s="33">
        <f t="shared" si="19"/>
        <v>3.4853112248099186E-2</v>
      </c>
      <c r="NP20" s="1">
        <v>1</v>
      </c>
      <c r="NQ20" s="18">
        <v>54076.899216789097</v>
      </c>
      <c r="NR20" s="11">
        <v>6276705.6920927102</v>
      </c>
      <c r="NS20" s="5"/>
      <c r="NT20" s="11">
        <v>1</v>
      </c>
      <c r="NU20" s="11">
        <v>116.07</v>
      </c>
      <c r="NV20" s="5">
        <v>101.22298288797296</v>
      </c>
      <c r="NW20" s="8">
        <v>3.663459375E-2</v>
      </c>
      <c r="NX20" s="8">
        <v>-2.2028879372161247E-3</v>
      </c>
      <c r="NY20" s="5"/>
      <c r="NZ20" s="21">
        <v>3161.3373847533744</v>
      </c>
      <c r="OA20" s="22">
        <v>4294.5899999999992</v>
      </c>
      <c r="OC20" s="16" t="s">
        <v>1096</v>
      </c>
      <c r="OD20" s="45" t="s">
        <v>312</v>
      </c>
      <c r="OE20" s="32" t="s">
        <v>356</v>
      </c>
      <c r="OF20" s="32" t="s">
        <v>1675</v>
      </c>
      <c r="OG20" s="45"/>
      <c r="OH20" s="30" t="s">
        <v>783</v>
      </c>
      <c r="OI20" s="30" t="s">
        <v>26</v>
      </c>
      <c r="OJ20" s="30" t="s">
        <v>39</v>
      </c>
      <c r="OK20" s="30" t="s">
        <v>28</v>
      </c>
      <c r="OL20" s="30" t="s">
        <v>83</v>
      </c>
      <c r="OM20" s="17">
        <v>4.7039999999999997</v>
      </c>
      <c r="ON20" s="33">
        <f t="shared" si="20"/>
        <v>3.5674478814162719E-2</v>
      </c>
      <c r="OO20" s="33">
        <f t="shared" si="33"/>
        <v>3.3826792307695489E-2</v>
      </c>
      <c r="OQ20" s="1">
        <v>1</v>
      </c>
      <c r="OR20" s="18">
        <v>1396694.6553426101</v>
      </c>
      <c r="OS20" s="11">
        <v>6570051.6587316375</v>
      </c>
      <c r="OT20" s="5"/>
      <c r="OU20" s="11">
        <v>1</v>
      </c>
      <c r="OV20" s="11">
        <v>4.7039999999999997</v>
      </c>
      <c r="OW20" s="5">
        <v>2426.835293480457</v>
      </c>
      <c r="OX20" s="8">
        <v>3.5676899999999998E-2</v>
      </c>
      <c r="OY20" s="8">
        <v>6.7868849602303882E-5</v>
      </c>
      <c r="OZ20" s="5"/>
      <c r="PA20" s="21">
        <v>131.85896911078399</v>
      </c>
      <c r="PB20" s="22">
        <v>174.04799999999997</v>
      </c>
      <c r="PD20" s="16" t="s">
        <v>1105</v>
      </c>
      <c r="PE20" s="45" t="s">
        <v>721</v>
      </c>
      <c r="PF20" s="45">
        <v>8174</v>
      </c>
      <c r="PG20" s="32" t="s">
        <v>1689</v>
      </c>
      <c r="PH20" s="45"/>
      <c r="PI20" s="30" t="s">
        <v>902</v>
      </c>
      <c r="PJ20" s="30" t="s">
        <v>26</v>
      </c>
      <c r="PK20" s="71" t="s">
        <v>320</v>
      </c>
      <c r="PL20" s="30" t="s">
        <v>28</v>
      </c>
      <c r="PM20" s="30" t="s">
        <v>94</v>
      </c>
      <c r="PN20" s="17">
        <v>3078</v>
      </c>
      <c r="PO20" s="33">
        <f t="shared" si="21"/>
        <v>4.2544347279613273E-2</v>
      </c>
      <c r="PP20" s="33">
        <f t="shared" si="22"/>
        <v>4.0414934159643395E-2</v>
      </c>
      <c r="PR20" s="1">
        <v>1</v>
      </c>
      <c r="PS20" s="18">
        <v>2663.7818055051798</v>
      </c>
      <c r="PT20" s="11">
        <v>8199120.3973449431</v>
      </c>
      <c r="PU20" s="5"/>
      <c r="PV20" s="11">
        <v>100</v>
      </c>
      <c r="PW20" s="11">
        <v>307800</v>
      </c>
      <c r="PX20" s="5">
        <v>4.4230640446641475E-2</v>
      </c>
      <c r="PY20" s="8">
        <v>0</v>
      </c>
      <c r="PZ20" s="8">
        <v>-1</v>
      </c>
      <c r="QA20" s="5"/>
      <c r="QB20" s="21">
        <v>7234803.6738477349</v>
      </c>
      <c r="QC20" s="22">
        <v>11388600</v>
      </c>
      <c r="QE20" s="16" t="s">
        <v>1126</v>
      </c>
      <c r="QF20" s="34" t="s">
        <v>614</v>
      </c>
      <c r="QG20" s="34"/>
      <c r="QH20" s="32" t="s">
        <v>1706</v>
      </c>
      <c r="QI20" s="34"/>
      <c r="QJ20" s="30" t="s">
        <v>853</v>
      </c>
      <c r="QK20" s="30" t="s">
        <v>26</v>
      </c>
      <c r="QL20" s="30"/>
      <c r="QM20" s="30" t="s">
        <v>28</v>
      </c>
      <c r="QN20" s="30" t="s">
        <v>34</v>
      </c>
      <c r="QO20" s="17">
        <v>163.16</v>
      </c>
      <c r="QP20" s="33">
        <f t="shared" si="23"/>
        <v>4.3720350235748363E-2</v>
      </c>
      <c r="QQ20" s="33">
        <f t="shared" si="24"/>
        <v>4.1545000154891126E-2</v>
      </c>
      <c r="QS20" s="1">
        <v>1</v>
      </c>
      <c r="QT20" s="18">
        <v>30569.059371535099</v>
      </c>
      <c r="QU20" s="11">
        <v>4987647.727059667</v>
      </c>
      <c r="QV20" s="5"/>
      <c r="QW20" s="11">
        <v>1</v>
      </c>
      <c r="QX20" s="11">
        <v>163.16</v>
      </c>
      <c r="QY20" s="5">
        <v>85.747193401810961</v>
      </c>
      <c r="QZ20" s="8">
        <v>4.3849249999999999E-2</v>
      </c>
      <c r="RA20" s="8">
        <v>2.9482784002548001E-3</v>
      </c>
      <c r="RB20" s="5"/>
      <c r="RC20" s="21">
        <v>3731.9005707916463</v>
      </c>
      <c r="RD20" s="22">
        <v>6036.9199999999992</v>
      </c>
      <c r="RF20" s="16" t="s">
        <v>1333</v>
      </c>
      <c r="RG20" s="34" t="s">
        <v>1307</v>
      </c>
      <c r="RH20" s="34"/>
      <c r="RI20" s="32" t="s">
        <v>1722</v>
      </c>
      <c r="RJ20" s="34"/>
      <c r="RK20" s="30" t="s">
        <v>850</v>
      </c>
    </row>
    <row r="21" spans="15:479" x14ac:dyDescent="0.2">
      <c r="O21" s="16" t="s">
        <v>869</v>
      </c>
      <c r="P21" s="32" t="s">
        <v>76</v>
      </c>
      <c r="Q21" s="32" t="s">
        <v>77</v>
      </c>
      <c r="R21" s="32" t="s">
        <v>1443</v>
      </c>
      <c r="S21" s="32"/>
      <c r="T21" s="30" t="s">
        <v>850</v>
      </c>
      <c r="U21" s="30" t="s">
        <v>26</v>
      </c>
      <c r="V21" s="30" t="s">
        <v>33</v>
      </c>
      <c r="W21" s="30" t="s">
        <v>28</v>
      </c>
      <c r="X21" s="30" t="s">
        <v>34</v>
      </c>
      <c r="Y21" s="17">
        <v>150.76</v>
      </c>
      <c r="Z21" s="33">
        <f t="shared" si="0"/>
        <v>2.7611175195050072E-2</v>
      </c>
      <c r="AA21" s="33">
        <f t="shared" si="1"/>
        <v>2.6231544383173516E-2</v>
      </c>
      <c r="AB21" s="4"/>
      <c r="AC21" s="1">
        <v>1</v>
      </c>
      <c r="AD21" s="18">
        <v>37689.899610380897</v>
      </c>
      <c r="AE21" s="11">
        <v>5682129.2652610233</v>
      </c>
      <c r="AF21" s="5"/>
      <c r="AG21" s="11">
        <v>1</v>
      </c>
      <c r="AH21" s="11">
        <v>150.76</v>
      </c>
      <c r="AI21" s="5">
        <v>58.60689879554274</v>
      </c>
      <c r="AJ21" s="8">
        <v>2.7796375000000002E-2</v>
      </c>
      <c r="AK21" s="8">
        <v>6.7074220362461912E-3</v>
      </c>
      <c r="AL21" s="5"/>
      <c r="AM21" s="21">
        <v>5460.1080517220116</v>
      </c>
      <c r="AN21" s="22">
        <v>5578.119999999999</v>
      </c>
      <c r="AP21" s="16" t="s">
        <v>901</v>
      </c>
      <c r="AQ21" s="32" t="s">
        <v>289</v>
      </c>
      <c r="AR21" s="32" t="s">
        <v>364</v>
      </c>
      <c r="AS21" s="32" t="s">
        <v>1476</v>
      </c>
      <c r="AT21" s="32"/>
      <c r="AU21" s="30" t="s">
        <v>902</v>
      </c>
      <c r="AV21" s="30" t="s">
        <v>26</v>
      </c>
      <c r="AW21" s="30" t="s">
        <v>320</v>
      </c>
      <c r="AX21" s="30" t="s">
        <v>28</v>
      </c>
      <c r="AY21" s="30" t="s">
        <v>94</v>
      </c>
      <c r="AZ21" s="17">
        <v>3450</v>
      </c>
      <c r="BA21" s="33">
        <f t="shared" si="2"/>
        <v>6.3291473859316716E-2</v>
      </c>
      <c r="BB21" s="33">
        <f t="shared" si="25"/>
        <v>6.010648224575664E-2</v>
      </c>
      <c r="BD21" s="1">
        <v>6.3369999999999998E-3</v>
      </c>
      <c r="BE21" s="18">
        <v>476637.11417579802</v>
      </c>
      <c r="BF21" s="11">
        <v>10420550.40423551</v>
      </c>
      <c r="BG21" s="5"/>
      <c r="BH21" s="11">
        <v>100</v>
      </c>
      <c r="BI21" s="11">
        <v>2186.2649999999999</v>
      </c>
      <c r="BJ21" s="5">
        <v>9.2638685772225013</v>
      </c>
      <c r="BK21" s="8">
        <v>6.1488703124999995E-2</v>
      </c>
      <c r="BL21" s="8">
        <v>-2.8483627009917467E-2</v>
      </c>
      <c r="BM21" s="5"/>
      <c r="BN21" s="21">
        <v>34542.80437298071</v>
      </c>
      <c r="BO21" s="22">
        <v>80891.804999999993</v>
      </c>
      <c r="BQ21" s="16" t="s">
        <v>94</v>
      </c>
      <c r="BR21" s="45" t="s">
        <v>94</v>
      </c>
      <c r="BS21" s="45"/>
      <c r="BT21" s="45"/>
      <c r="BU21" s="45"/>
      <c r="BV21" s="30"/>
      <c r="BW21" s="30"/>
      <c r="BX21" s="30"/>
      <c r="BY21" s="30" t="s">
        <v>80</v>
      </c>
      <c r="BZ21" s="30" t="s">
        <v>94</v>
      </c>
      <c r="CA21" s="17">
        <v>1</v>
      </c>
      <c r="CB21" s="33">
        <f t="shared" si="3"/>
        <v>4.9103483252468331E-3</v>
      </c>
      <c r="CC21" s="33">
        <f>CC28</f>
        <v>5.475E-2</v>
      </c>
      <c r="CE21" s="1">
        <v>1</v>
      </c>
      <c r="CF21" s="18">
        <v>3080606.1619013301</v>
      </c>
      <c r="CG21" s="11">
        <v>3080606.1619013301</v>
      </c>
      <c r="CH21" s="5"/>
      <c r="CI21" s="11">
        <v>1</v>
      </c>
      <c r="CJ21" s="11">
        <v>1</v>
      </c>
      <c r="CK21" s="5">
        <v>1571.3114640789865</v>
      </c>
      <c r="CL21" s="8">
        <v>4.9093749999999997E-3</v>
      </c>
      <c r="CM21" s="8">
        <v>-1.9821918576101716E-4</v>
      </c>
      <c r="CN21" s="5"/>
      <c r="CO21" s="21">
        <v>203.6515403313536</v>
      </c>
      <c r="CP21" s="22">
        <v>37</v>
      </c>
      <c r="CR21" s="16" t="s">
        <v>939</v>
      </c>
      <c r="CS21" s="32" t="s">
        <v>124</v>
      </c>
      <c r="CT21" s="32" t="s">
        <v>378</v>
      </c>
      <c r="CU21" s="32" t="s">
        <v>1508</v>
      </c>
      <c r="CV21" s="32"/>
      <c r="CW21" s="30" t="s">
        <v>850</v>
      </c>
      <c r="CX21" s="30" t="s">
        <v>26</v>
      </c>
      <c r="CY21" s="30" t="s">
        <v>33</v>
      </c>
      <c r="CZ21" s="30" t="s">
        <v>28</v>
      </c>
      <c r="DA21" s="30" t="s">
        <v>34</v>
      </c>
      <c r="DB21" s="17">
        <v>201.03</v>
      </c>
      <c r="DC21" s="33">
        <f t="shared" si="4"/>
        <v>5.5911364202750502E-2</v>
      </c>
      <c r="DD21" s="33">
        <f t="shared" si="5"/>
        <v>5.3098038100755203E-2</v>
      </c>
      <c r="DF21" s="1">
        <v>1</v>
      </c>
      <c r="DG21" s="18">
        <v>50439.6870652652</v>
      </c>
      <c r="DH21" s="11">
        <v>10139890.290730264</v>
      </c>
      <c r="DI21" s="5"/>
      <c r="DJ21" s="11">
        <v>1</v>
      </c>
      <c r="DK21" s="11">
        <v>201.03</v>
      </c>
      <c r="DL21" s="5">
        <v>88.999833581456301</v>
      </c>
      <c r="DM21" s="8">
        <v>5.5911468750000005E-2</v>
      </c>
      <c r="DN21" s="8">
        <v>1.8698747739076538E-6</v>
      </c>
      <c r="DO21" s="5"/>
      <c r="DP21" s="21">
        <v>3595.5123411227828</v>
      </c>
      <c r="DQ21" s="22">
        <v>7438.11</v>
      </c>
      <c r="DS21" s="16" t="s">
        <v>955</v>
      </c>
      <c r="DT21" s="44" t="s">
        <v>151</v>
      </c>
      <c r="DU21" s="44" t="s">
        <v>152</v>
      </c>
      <c r="DV21" s="32" t="s">
        <v>1524</v>
      </c>
      <c r="DW21" s="44"/>
      <c r="DX21" s="30" t="s">
        <v>777</v>
      </c>
      <c r="DY21" s="30" t="s">
        <v>26</v>
      </c>
      <c r="DZ21" s="30" t="s">
        <v>129</v>
      </c>
      <c r="EA21" s="30" t="s">
        <v>28</v>
      </c>
      <c r="EB21" s="43" t="s">
        <v>827</v>
      </c>
      <c r="EC21" s="17">
        <v>3.4780000000000002</v>
      </c>
      <c r="ED21" s="33">
        <f t="shared" si="27"/>
        <v>4.6446671231109349E-2</v>
      </c>
      <c r="EE21" s="33">
        <f t="shared" si="28"/>
        <v>4.405967514417667E-2</v>
      </c>
      <c r="EG21" s="1">
        <v>1</v>
      </c>
      <c r="EH21" s="18">
        <v>2203821.7232905999</v>
      </c>
      <c r="EI21" s="11">
        <v>7664891.9536047066</v>
      </c>
      <c r="EJ21" s="5"/>
      <c r="EK21" s="11">
        <v>1</v>
      </c>
      <c r="EL21" s="11">
        <v>3.4780000000000002</v>
      </c>
      <c r="EM21" s="5">
        <v>4273.41425933151</v>
      </c>
      <c r="EN21" s="8">
        <v>4.6442168749999999E-2</v>
      </c>
      <c r="EO21" s="8">
        <v>-9.6938725424378092E-5</v>
      </c>
      <c r="EP21" s="5"/>
      <c r="EQ21" s="21">
        <v>74.881577254356245</v>
      </c>
      <c r="ER21" s="22">
        <v>128.68600000000001</v>
      </c>
      <c r="ET21" s="16" t="s">
        <v>984</v>
      </c>
      <c r="EU21" s="32" t="s">
        <v>183</v>
      </c>
      <c r="EV21" s="32" t="s">
        <v>340</v>
      </c>
      <c r="EW21" s="32" t="s">
        <v>1448</v>
      </c>
      <c r="EX21" s="32"/>
      <c r="EY21" s="30" t="s">
        <v>850</v>
      </c>
      <c r="EZ21" s="30" t="s">
        <v>26</v>
      </c>
      <c r="FA21" s="30" t="s">
        <v>33</v>
      </c>
      <c r="FB21" s="30" t="s">
        <v>28</v>
      </c>
      <c r="FC21" s="30" t="s">
        <v>34</v>
      </c>
      <c r="FD21" s="17">
        <v>210.56</v>
      </c>
      <c r="FE21" s="33">
        <f t="shared" si="6"/>
        <v>3.1715144340330535E-2</v>
      </c>
      <c r="FF21" s="33">
        <f t="shared" si="7"/>
        <v>3.0128548675215385E-2</v>
      </c>
      <c r="FH21" s="1">
        <v>1</v>
      </c>
      <c r="FI21" s="18">
        <v>30865.837269885698</v>
      </c>
      <c r="FJ21" s="11">
        <v>6499110.6955471328</v>
      </c>
      <c r="FK21" s="5"/>
      <c r="FL21" s="11">
        <v>1</v>
      </c>
      <c r="FM21" s="11">
        <v>210.56</v>
      </c>
      <c r="FN21" s="5">
        <v>48.199307508101114</v>
      </c>
      <c r="FO21" s="8">
        <v>3.1584000000000001E-2</v>
      </c>
      <c r="FP21" s="8">
        <v>-4.1350699502812338E-3</v>
      </c>
      <c r="FQ21" s="5"/>
      <c r="FR21" s="21">
        <v>6639.0995336647911</v>
      </c>
      <c r="FS21" s="22">
        <v>7790.7199999999993</v>
      </c>
      <c r="FU21" s="16" t="s">
        <v>871</v>
      </c>
      <c r="FV21" s="32" t="s">
        <v>49</v>
      </c>
      <c r="FW21" s="32" t="s">
        <v>50</v>
      </c>
      <c r="FX21" s="32" t="s">
        <v>1455</v>
      </c>
      <c r="FY21" s="32"/>
      <c r="FZ21" s="30" t="s">
        <v>850</v>
      </c>
      <c r="GA21" s="30" t="s">
        <v>26</v>
      </c>
      <c r="GB21" s="30" t="s">
        <v>33</v>
      </c>
      <c r="GC21" s="30" t="s">
        <v>28</v>
      </c>
      <c r="GD21" s="30" t="s">
        <v>34</v>
      </c>
      <c r="GE21" s="17">
        <v>256.55</v>
      </c>
      <c r="GF21" s="33">
        <f t="shared" si="8"/>
        <v>2.8311770655732513E-2</v>
      </c>
      <c r="GG21" s="33">
        <f t="shared" si="9"/>
        <v>2.6894893978043788E-2</v>
      </c>
      <c r="GI21" s="1">
        <v>1</v>
      </c>
      <c r="GJ21" s="18">
        <v>22843.325174103102</v>
      </c>
      <c r="GK21" s="11">
        <v>5860455.0734161511</v>
      </c>
      <c r="GL21" s="5"/>
      <c r="GM21" s="11">
        <v>1</v>
      </c>
      <c r="GN21" s="11">
        <v>256.55</v>
      </c>
      <c r="GO21" s="5">
        <v>35.313843733519406</v>
      </c>
      <c r="GP21" s="8">
        <v>2.8060156249999999E-2</v>
      </c>
      <c r="GQ21" s="8">
        <v>-8.8872719686844404E-3</v>
      </c>
      <c r="GR21" s="5"/>
      <c r="GS21" s="21">
        <v>9061.6020848577427</v>
      </c>
      <c r="GT21" s="22">
        <v>9492.35</v>
      </c>
      <c r="GV21" s="16" t="s">
        <v>1002</v>
      </c>
      <c r="GW21" s="32" t="s">
        <v>196</v>
      </c>
      <c r="GX21" s="32">
        <v>4452</v>
      </c>
      <c r="GY21" s="32" t="s">
        <v>1565</v>
      </c>
      <c r="GZ21" s="32"/>
      <c r="HA21" s="30" t="s">
        <v>902</v>
      </c>
      <c r="HB21" s="30" t="s">
        <v>26</v>
      </c>
      <c r="HC21" s="30" t="s">
        <v>320</v>
      </c>
      <c r="HD21" s="30" t="s">
        <v>28</v>
      </c>
      <c r="HE21" s="30" t="s">
        <v>94</v>
      </c>
      <c r="HF21" s="17">
        <v>6312</v>
      </c>
      <c r="HG21" s="33">
        <f t="shared" si="10"/>
        <v>2.6802721049876323E-2</v>
      </c>
      <c r="HH21" s="33">
        <f t="shared" si="29"/>
        <v>2.5460564887635023E-2</v>
      </c>
      <c r="HJ21" s="1">
        <v>6.3369999999999998E-3</v>
      </c>
      <c r="HK21" s="18">
        <v>109284.73871397199</v>
      </c>
      <c r="HL21" s="11">
        <v>4371296.0008225404</v>
      </c>
      <c r="HM21" s="5"/>
      <c r="HN21" s="11">
        <v>100</v>
      </c>
      <c r="HO21" s="11">
        <v>3999.9143999999997</v>
      </c>
      <c r="HP21" s="5">
        <v>2.1442635712305305</v>
      </c>
      <c r="HQ21" s="8">
        <v>2.4999464999999998E-2</v>
      </c>
      <c r="HR21" s="8">
        <v>-6.727884256679395E-2</v>
      </c>
      <c r="HS21" s="5"/>
      <c r="HT21" s="21">
        <v>149235.38518931295</v>
      </c>
      <c r="HU21" s="22">
        <v>147996.83279999997</v>
      </c>
      <c r="HW21" s="16" t="s">
        <v>1026</v>
      </c>
      <c r="HX21" s="32" t="s">
        <v>214</v>
      </c>
      <c r="HY21" s="32">
        <v>8</v>
      </c>
      <c r="HZ21" s="32" t="s">
        <v>1592</v>
      </c>
      <c r="IA21" s="32"/>
      <c r="IB21" s="30" t="s">
        <v>862</v>
      </c>
      <c r="IC21" s="30" t="s">
        <v>26</v>
      </c>
      <c r="ID21" s="30" t="s">
        <v>27</v>
      </c>
      <c r="IE21" s="30" t="s">
        <v>28</v>
      </c>
      <c r="IF21" s="30" t="s">
        <v>82</v>
      </c>
      <c r="IG21" s="17">
        <v>6.02</v>
      </c>
      <c r="IH21" s="33">
        <f t="shared" si="11"/>
        <v>4.6375385527424304E-2</v>
      </c>
      <c r="II21" s="33">
        <f t="shared" si="12"/>
        <v>4.4080346542457134E-2</v>
      </c>
      <c r="IK21" s="1">
        <v>1</v>
      </c>
      <c r="IL21" s="18">
        <v>1460135.83839817</v>
      </c>
      <c r="IM21" s="11">
        <v>8790017.7471569832</v>
      </c>
      <c r="IN21" s="5"/>
      <c r="IO21" s="11">
        <v>1000</v>
      </c>
      <c r="IP21" s="11">
        <v>6020</v>
      </c>
      <c r="IQ21" s="5">
        <v>2.4651367722218898</v>
      </c>
      <c r="IR21" s="8">
        <v>3.7624999999999999E-2</v>
      </c>
      <c r="IS21" s="8">
        <v>-0.18868598994718266</v>
      </c>
      <c r="IT21" s="5"/>
      <c r="IU21" s="21">
        <v>129810.24160845077</v>
      </c>
      <c r="IV21" s="22">
        <v>222740</v>
      </c>
      <c r="IX21" s="16" t="s">
        <v>1041</v>
      </c>
      <c r="IY21" s="32" t="s">
        <v>691</v>
      </c>
      <c r="IZ21" s="32" t="s">
        <v>697</v>
      </c>
      <c r="JA21" s="32" t="s">
        <v>1606</v>
      </c>
      <c r="JB21" s="32"/>
      <c r="JC21" s="30" t="s">
        <v>853</v>
      </c>
      <c r="JD21" s="30" t="s">
        <v>26</v>
      </c>
      <c r="JE21" s="30" t="s">
        <v>33</v>
      </c>
      <c r="JF21" s="30" t="s">
        <v>28</v>
      </c>
      <c r="JG21" s="30" t="s">
        <v>34</v>
      </c>
      <c r="JH21" s="17">
        <v>47.3</v>
      </c>
      <c r="JI21" s="33">
        <f t="shared" si="30"/>
        <v>3.2893722898179503E-2</v>
      </c>
      <c r="JJ21" s="33">
        <f t="shared" si="13"/>
        <v>3.124735700885559E-2</v>
      </c>
      <c r="JL21" s="1">
        <v>1</v>
      </c>
      <c r="JM21" s="18">
        <v>84838.764075352898</v>
      </c>
      <c r="JN21" s="11">
        <v>4012873.5407641917</v>
      </c>
      <c r="JO21" s="5"/>
      <c r="JP21" s="11">
        <v>1</v>
      </c>
      <c r="JQ21" s="11">
        <v>47.3</v>
      </c>
      <c r="JR21" s="5">
        <v>222.53681453313831</v>
      </c>
      <c r="JS21" s="8">
        <v>3.2962187499999997E-2</v>
      </c>
      <c r="JT21" s="8">
        <v>2.0813880518304462E-3</v>
      </c>
      <c r="JU21" s="5"/>
      <c r="JV21" s="21">
        <v>1437.9643236618197</v>
      </c>
      <c r="JW21" s="22">
        <v>1750.1</v>
      </c>
      <c r="JY21" s="16" t="s">
        <v>1034</v>
      </c>
      <c r="JZ21" s="32" t="s">
        <v>226</v>
      </c>
      <c r="KA21" s="32" t="s">
        <v>394</v>
      </c>
      <c r="KB21" s="32" t="s">
        <v>1599</v>
      </c>
      <c r="KC21" s="32"/>
      <c r="KD21" s="30" t="s">
        <v>850</v>
      </c>
      <c r="KE21" s="30" t="s">
        <v>26</v>
      </c>
      <c r="KF21" s="30" t="s">
        <v>33</v>
      </c>
      <c r="KG21" s="30" t="s">
        <v>28</v>
      </c>
      <c r="KH21" s="30" t="s">
        <v>34</v>
      </c>
      <c r="KI21" s="17">
        <v>590.69000000000005</v>
      </c>
      <c r="KJ21" s="33">
        <f t="shared" si="31"/>
        <v>3.0468855557492815E-2</v>
      </c>
      <c r="KK21" s="33">
        <f t="shared" si="32"/>
        <v>2.8950111513607782E-2</v>
      </c>
      <c r="KM21" s="1">
        <v>1</v>
      </c>
      <c r="KN21" s="18">
        <v>5122.1222109781402</v>
      </c>
      <c r="KO21" s="11">
        <v>3025586.3688026778</v>
      </c>
      <c r="KP21" s="5"/>
      <c r="KQ21" s="11">
        <v>1</v>
      </c>
      <c r="KR21" s="11">
        <v>590.69000000000005</v>
      </c>
      <c r="KS21" s="5">
        <v>16.506177146045641</v>
      </c>
      <c r="KT21" s="8">
        <v>3.1380406250000006E-2</v>
      </c>
      <c r="KU21" s="8">
        <v>2.9917457542412595E-2</v>
      </c>
      <c r="KV21" s="5"/>
      <c r="KW21" s="21">
        <v>19386.681553739527</v>
      </c>
      <c r="KX21" s="22">
        <v>21855.530000000002</v>
      </c>
      <c r="KZ21" s="16" t="s">
        <v>34</v>
      </c>
      <c r="LA21" s="32" t="s">
        <v>34</v>
      </c>
      <c r="LB21" s="32"/>
      <c r="LC21" s="32"/>
      <c r="LD21" s="32"/>
      <c r="LE21" s="30"/>
      <c r="LF21" s="30"/>
      <c r="LG21" s="30"/>
      <c r="LH21" s="30" t="s">
        <v>80</v>
      </c>
      <c r="LI21" s="30" t="s">
        <v>34</v>
      </c>
      <c r="LJ21" s="17">
        <v>1</v>
      </c>
      <c r="LK21" s="33">
        <f t="shared" si="14"/>
        <v>4.5527874611892959E-3</v>
      </c>
      <c r="LL21" s="33">
        <f>LL28</f>
        <v>5.475E-2</v>
      </c>
      <c r="LN21" s="1">
        <v>1</v>
      </c>
      <c r="LO21" s="18">
        <v>503118.93125433399</v>
      </c>
      <c r="LP21" s="11">
        <v>503118.93125433399</v>
      </c>
      <c r="LQ21" s="5"/>
      <c r="LR21" s="11">
        <v>1</v>
      </c>
      <c r="LS21" s="11">
        <v>1</v>
      </c>
      <c r="LT21" s="5">
        <v>1456.8919875805748</v>
      </c>
      <c r="LU21" s="8">
        <v>4.5531249999999999E-3</v>
      </c>
      <c r="LV21" s="8">
        <v>7.4138934352152575E-5</v>
      </c>
      <c r="LW21" s="5"/>
      <c r="LX21" s="21">
        <v>219.64565851681033</v>
      </c>
      <c r="LY21" s="22">
        <v>37</v>
      </c>
      <c r="MA21" s="16" t="s">
        <v>872</v>
      </c>
      <c r="MB21" s="32" t="s">
        <v>51</v>
      </c>
      <c r="MC21" s="32" t="s">
        <v>52</v>
      </c>
      <c r="MD21" s="32" t="s">
        <v>1653</v>
      </c>
      <c r="ME21" s="32"/>
      <c r="MF21" s="30" t="s">
        <v>853</v>
      </c>
      <c r="MG21" s="30" t="s">
        <v>26</v>
      </c>
      <c r="MH21" s="30" t="s">
        <v>33</v>
      </c>
      <c r="MI21" s="30" t="s">
        <v>28</v>
      </c>
      <c r="MJ21" s="51" t="s">
        <v>34</v>
      </c>
      <c r="MK21" s="17">
        <v>104.91</v>
      </c>
      <c r="ML21" s="33">
        <f t="shared" si="16"/>
        <v>2.8493987321597723E-2</v>
      </c>
      <c r="MM21" s="33">
        <f t="shared" si="17"/>
        <v>2.7052125487836198E-2</v>
      </c>
      <c r="MO21" s="1">
        <v>1</v>
      </c>
      <c r="MP21" s="18">
        <v>48794.847382562497</v>
      </c>
      <c r="MQ21" s="11">
        <v>5119067.438904631</v>
      </c>
      <c r="MR21" s="5"/>
      <c r="MS21" s="11">
        <v>1</v>
      </c>
      <c r="MT21" s="11">
        <v>104.91</v>
      </c>
      <c r="MU21" s="5">
        <v>86.913315631601108</v>
      </c>
      <c r="MV21" s="8">
        <v>2.852240625E-2</v>
      </c>
      <c r="MW21" s="8">
        <v>9.9736579796738667E-4</v>
      </c>
      <c r="MX21" s="5"/>
      <c r="MY21" s="21">
        <v>3681.8293914407996</v>
      </c>
      <c r="MZ21" s="22">
        <v>3881.6699999999996</v>
      </c>
      <c r="NB21" s="16" t="s">
        <v>877</v>
      </c>
      <c r="NC21" s="32" t="s">
        <v>269</v>
      </c>
      <c r="ND21" s="32" t="s">
        <v>346</v>
      </c>
      <c r="NE21" s="32" t="s">
        <v>1666</v>
      </c>
      <c r="NF21" s="32"/>
      <c r="NG21" s="30" t="s">
        <v>850</v>
      </c>
      <c r="NH21" s="30" t="s">
        <v>26</v>
      </c>
      <c r="NI21" s="30" t="s">
        <v>33</v>
      </c>
      <c r="NJ21" s="30" t="s">
        <v>28</v>
      </c>
      <c r="NK21" s="30" t="s">
        <v>34</v>
      </c>
      <c r="NL21" s="17">
        <v>161.01</v>
      </c>
      <c r="NM21" s="33">
        <f t="shared" si="18"/>
        <v>3.8278854029018344E-2</v>
      </c>
      <c r="NN21" s="33">
        <f t="shared" si="19"/>
        <v>3.6337191304758924E-2</v>
      </c>
      <c r="NP21" s="1">
        <v>1</v>
      </c>
      <c r="NQ21" s="18">
        <v>40643.275946668902</v>
      </c>
      <c r="NR21" s="11">
        <v>6543973.8601731593</v>
      </c>
      <c r="NS21" s="5"/>
      <c r="NT21" s="11">
        <v>1</v>
      </c>
      <c r="NU21" s="11">
        <v>161.01</v>
      </c>
      <c r="NV21" s="5">
        <v>76.077469034754799</v>
      </c>
      <c r="NW21" s="8">
        <v>3.8239874999999993E-2</v>
      </c>
      <c r="NX21" s="8">
        <v>-1.0182914302712121E-3</v>
      </c>
      <c r="NY21" s="5"/>
      <c r="NZ21" s="21">
        <v>4206.2387729251741</v>
      </c>
      <c r="OA21" s="22">
        <v>5957.369999999999</v>
      </c>
      <c r="OC21" s="16" t="s">
        <v>1097</v>
      </c>
      <c r="OD21" s="45" t="s">
        <v>714</v>
      </c>
      <c r="OE21" s="32" t="s">
        <v>716</v>
      </c>
      <c r="OF21" s="32" t="s">
        <v>1676</v>
      </c>
      <c r="OG21" s="45"/>
      <c r="OH21" s="30" t="s">
        <v>855</v>
      </c>
      <c r="OI21" s="30" t="s">
        <v>26</v>
      </c>
      <c r="OJ21" s="30" t="s">
        <v>39</v>
      </c>
      <c r="OK21" s="30" t="s">
        <v>28</v>
      </c>
      <c r="OL21" s="30" t="s">
        <v>83</v>
      </c>
      <c r="OM21" s="17">
        <v>531.79999999999995</v>
      </c>
      <c r="ON21" s="33">
        <f t="shared" si="20"/>
        <v>3.1782725596944589E-2</v>
      </c>
      <c r="OO21" s="33">
        <f t="shared" si="33"/>
        <v>3.0136604471247535E-2</v>
      </c>
      <c r="OQ21" s="1">
        <v>1</v>
      </c>
      <c r="OR21" s="18">
        <v>11006.619488009301</v>
      </c>
      <c r="OS21" s="11">
        <v>5853320.2437233459</v>
      </c>
      <c r="OT21" s="5"/>
      <c r="OU21" s="11">
        <v>1</v>
      </c>
      <c r="OV21" s="11">
        <v>531.79999999999995</v>
      </c>
      <c r="OW21" s="5">
        <v>19.124618636747403</v>
      </c>
      <c r="OX21" s="8">
        <v>3.1575624999999996E-2</v>
      </c>
      <c r="OY21" s="8">
        <v>-6.5161370856281486E-3</v>
      </c>
      <c r="OZ21" s="5"/>
      <c r="PA21" s="21">
        <v>16732.35979645258</v>
      </c>
      <c r="PB21" s="22">
        <v>19676.599999999999</v>
      </c>
      <c r="PD21" s="16" t="s">
        <v>1425</v>
      </c>
      <c r="PE21" s="59" t="s">
        <v>1422</v>
      </c>
      <c r="PF21" s="45">
        <v>8309</v>
      </c>
      <c r="PG21" s="32" t="s">
        <v>1690</v>
      </c>
      <c r="PH21" s="59"/>
      <c r="PI21" s="30" t="s">
        <v>902</v>
      </c>
      <c r="PJ21" s="30" t="s">
        <v>26</v>
      </c>
      <c r="PK21" s="71" t="s">
        <v>320</v>
      </c>
      <c r="PL21" s="30" t="s">
        <v>28</v>
      </c>
      <c r="PM21" s="30" t="s">
        <v>94</v>
      </c>
      <c r="PN21" s="17">
        <v>5189</v>
      </c>
      <c r="PO21" s="33">
        <f t="shared" si="21"/>
        <v>4.4589081826526135E-2</v>
      </c>
      <c r="PP21" s="33">
        <f t="shared" si="22"/>
        <v>4.235732644843121E-2</v>
      </c>
      <c r="PR21" s="1">
        <v>1</v>
      </c>
      <c r="PS21" s="18">
        <v>1656.0378453502101</v>
      </c>
      <c r="PT21" s="11">
        <v>8593180.3795222398</v>
      </c>
      <c r="PU21" s="5"/>
      <c r="PV21" s="11">
        <v>100</v>
      </c>
      <c r="PW21" s="11">
        <v>518900</v>
      </c>
      <c r="PX21" s="5">
        <v>2.7497602976466303E-2</v>
      </c>
      <c r="PY21" s="8">
        <v>0</v>
      </c>
      <c r="PZ21" s="8">
        <v>-1</v>
      </c>
      <c r="QA21" s="5"/>
      <c r="QB21" s="21">
        <v>11637378.002507003</v>
      </c>
      <c r="QC21" s="22">
        <v>19199300</v>
      </c>
      <c r="QE21" s="16" t="s">
        <v>1127</v>
      </c>
      <c r="QF21" s="34" t="s">
        <v>301</v>
      </c>
      <c r="QG21" s="34"/>
      <c r="QH21" s="32" t="s">
        <v>1707</v>
      </c>
      <c r="QI21" s="34"/>
      <c r="QJ21" s="30" t="s">
        <v>853</v>
      </c>
      <c r="QK21" s="30" t="s">
        <v>26</v>
      </c>
      <c r="QL21" s="30"/>
      <c r="QM21" s="30" t="s">
        <v>28</v>
      </c>
      <c r="QN21" s="30" t="s">
        <v>34</v>
      </c>
      <c r="QO21" s="17">
        <v>99.45</v>
      </c>
      <c r="QP21" s="33">
        <f t="shared" si="23"/>
        <v>3.6847474497875565E-2</v>
      </c>
      <c r="QQ21" s="33">
        <f t="shared" si="24"/>
        <v>3.50140912748199E-2</v>
      </c>
      <c r="QS21" s="1">
        <v>1</v>
      </c>
      <c r="QT21" s="18">
        <v>42268.3290074752</v>
      </c>
      <c r="QU21" s="11">
        <v>4203585.3197934087</v>
      </c>
      <c r="QV21" s="5"/>
      <c r="QW21" s="11">
        <v>1</v>
      </c>
      <c r="QX21" s="11">
        <v>99.45</v>
      </c>
      <c r="QY21" s="5">
        <v>118.56402050598473</v>
      </c>
      <c r="QZ21" s="8">
        <v>3.6982968750000005E-2</v>
      </c>
      <c r="RA21" s="8">
        <v>3.677165232375712E-3</v>
      </c>
      <c r="RB21" s="5"/>
      <c r="RC21" s="21">
        <v>2698.9638056668923</v>
      </c>
      <c r="RD21" s="22">
        <v>3679.65</v>
      </c>
      <c r="RF21" s="16" t="s">
        <v>1334</v>
      </c>
      <c r="RG21" s="34" t="s">
        <v>1308</v>
      </c>
      <c r="RH21" s="34"/>
      <c r="RI21" s="32" t="s">
        <v>1723</v>
      </c>
      <c r="RJ21" s="34"/>
      <c r="RK21" s="30" t="s">
        <v>853</v>
      </c>
    </row>
    <row r="22" spans="15:479" ht="15" thickBot="1" x14ac:dyDescent="0.25">
      <c r="O22" s="16" t="s">
        <v>856</v>
      </c>
      <c r="P22" s="32" t="s">
        <v>702</v>
      </c>
      <c r="Q22" s="32" t="s">
        <v>706</v>
      </c>
      <c r="R22" s="32" t="s">
        <v>1444</v>
      </c>
      <c r="S22" s="32"/>
      <c r="T22" s="30" t="s">
        <v>850</v>
      </c>
      <c r="U22" s="30" t="s">
        <v>26</v>
      </c>
      <c r="V22" s="30" t="s">
        <v>33</v>
      </c>
      <c r="W22" s="30" t="s">
        <v>28</v>
      </c>
      <c r="X22" s="30" t="s">
        <v>34</v>
      </c>
      <c r="Y22" s="17">
        <v>211.62</v>
      </c>
      <c r="Z22" s="33">
        <f t="shared" si="0"/>
        <v>2.931138220675391E-2</v>
      </c>
      <c r="AA22" s="33">
        <f t="shared" si="1"/>
        <v>2.7846798184326005E-2</v>
      </c>
      <c r="AB22" s="4"/>
      <c r="AC22" s="1">
        <v>1</v>
      </c>
      <c r="AD22" s="18">
        <v>28503.999800368601</v>
      </c>
      <c r="AE22" s="11">
        <v>6032016.4377540033</v>
      </c>
      <c r="AF22" s="5"/>
      <c r="AG22" s="11">
        <v>1</v>
      </c>
      <c r="AH22" s="11">
        <v>211.62</v>
      </c>
      <c r="AI22" s="5">
        <v>44.323042747194272</v>
      </c>
      <c r="AJ22" s="8">
        <v>2.9097750000000002E-2</v>
      </c>
      <c r="AK22" s="8">
        <v>-7.288370273602518E-3</v>
      </c>
      <c r="AL22" s="5"/>
      <c r="AM22" s="21">
        <v>7219.7209434647084</v>
      </c>
      <c r="AN22" s="22">
        <v>7829.94</v>
      </c>
      <c r="AP22" s="16" t="s">
        <v>903</v>
      </c>
      <c r="AQ22" s="32" t="s">
        <v>104</v>
      </c>
      <c r="AR22" s="32" t="s">
        <v>365</v>
      </c>
      <c r="AS22" s="32" t="s">
        <v>1477</v>
      </c>
      <c r="AT22" s="32"/>
      <c r="AU22" s="30" t="s">
        <v>855</v>
      </c>
      <c r="AV22" s="30" t="s">
        <v>26</v>
      </c>
      <c r="AW22" s="30" t="s">
        <v>39</v>
      </c>
      <c r="AX22" s="30" t="s">
        <v>28</v>
      </c>
      <c r="AY22" s="30" t="s">
        <v>83</v>
      </c>
      <c r="AZ22" s="17">
        <v>40.42</v>
      </c>
      <c r="BA22" s="33">
        <f t="shared" si="2"/>
        <v>3.9145552750914955E-2</v>
      </c>
      <c r="BB22" s="33">
        <f t="shared" si="25"/>
        <v>3.71756467016899E-2</v>
      </c>
      <c r="BD22" s="1">
        <v>1.1607000000000001</v>
      </c>
      <c r="BE22" s="18">
        <v>137376.22740614301</v>
      </c>
      <c r="BF22" s="11">
        <v>6445073.5726155387</v>
      </c>
      <c r="BG22" s="5"/>
      <c r="BH22" s="11">
        <v>1</v>
      </c>
      <c r="BI22" s="11">
        <v>46.915494000000002</v>
      </c>
      <c r="BJ22" s="5">
        <v>267.00298371136802</v>
      </c>
      <c r="BK22" s="8">
        <v>3.9145115306249999E-2</v>
      </c>
      <c r="BL22" s="8">
        <v>-1.1174824065984801E-5</v>
      </c>
      <c r="BM22" s="5"/>
      <c r="BN22" s="21">
        <v>1198.4884796116064</v>
      </c>
      <c r="BO22" s="22">
        <v>1735.873278</v>
      </c>
      <c r="BQ22" s="35" t="s">
        <v>81</v>
      </c>
      <c r="BR22" s="36"/>
      <c r="BS22" s="36"/>
      <c r="BT22" s="36"/>
      <c r="BU22" s="36"/>
      <c r="BV22" s="36"/>
      <c r="BW22" s="36"/>
      <c r="BX22" s="36"/>
      <c r="BY22" s="36"/>
      <c r="BZ22" s="36"/>
      <c r="CA22" s="25" t="s">
        <v>81</v>
      </c>
      <c r="CB22" s="37">
        <f>SUM(CB6:CB21)</f>
        <v>0.99999999999999989</v>
      </c>
      <c r="CC22" s="37">
        <f>SUM(CC6:CC21)</f>
        <v>0.99999999999999989</v>
      </c>
      <c r="CE22" s="1"/>
      <c r="CF22" s="5"/>
      <c r="CG22" s="24">
        <v>627370190.02546513</v>
      </c>
      <c r="CH22" s="5"/>
      <c r="CI22" s="11"/>
      <c r="CJ22" s="11"/>
      <c r="CK22" s="5"/>
      <c r="CL22" s="19"/>
      <c r="CM22" s="20"/>
      <c r="CN22" s="5"/>
      <c r="CO22" s="21"/>
      <c r="CP22" s="21"/>
      <c r="CR22" s="16" t="s">
        <v>920</v>
      </c>
      <c r="CS22" s="32" t="s">
        <v>114</v>
      </c>
      <c r="CT22" s="32">
        <v>8850</v>
      </c>
      <c r="CU22" s="32" t="s">
        <v>1494</v>
      </c>
      <c r="CV22" s="32"/>
      <c r="CW22" s="30" t="s">
        <v>902</v>
      </c>
      <c r="CX22" s="30" t="s">
        <v>26</v>
      </c>
      <c r="CY22" s="30" t="s">
        <v>320</v>
      </c>
      <c r="CZ22" s="30" t="s">
        <v>28</v>
      </c>
      <c r="DA22" s="30" t="s">
        <v>94</v>
      </c>
      <c r="DB22" s="17">
        <v>5080</v>
      </c>
      <c r="DC22" s="33">
        <f t="shared" si="4"/>
        <v>5.0659190690653444E-2</v>
      </c>
      <c r="DD22" s="33">
        <f t="shared" si="5"/>
        <v>4.8110141396145958E-2</v>
      </c>
      <c r="DF22" s="1">
        <v>6.3369999999999998E-3</v>
      </c>
      <c r="DG22" s="18">
        <v>285393.44588483998</v>
      </c>
      <c r="DH22" s="11">
        <v>9187374.3941869326</v>
      </c>
      <c r="DI22" s="5"/>
      <c r="DJ22" s="11">
        <v>100</v>
      </c>
      <c r="DK22" s="11">
        <v>3219.1959999999995</v>
      </c>
      <c r="DL22" s="5">
        <v>5.0357110971214878</v>
      </c>
      <c r="DM22" s="8">
        <v>5.0299937499999996E-2</v>
      </c>
      <c r="DN22" s="8">
        <v>-7.0915698761790935E-3</v>
      </c>
      <c r="DO22" s="5"/>
      <c r="DP22" s="21">
        <v>63546.139527924533</v>
      </c>
      <c r="DQ22" s="22">
        <v>119110.25199999998</v>
      </c>
      <c r="DS22" s="16" t="s">
        <v>883</v>
      </c>
      <c r="DT22" s="32" t="s">
        <v>153</v>
      </c>
      <c r="DU22" s="32" t="s">
        <v>154</v>
      </c>
      <c r="DV22" s="32" t="s">
        <v>1431</v>
      </c>
      <c r="DW22" s="32"/>
      <c r="DX22" s="30" t="s">
        <v>777</v>
      </c>
      <c r="DY22" s="30" t="s">
        <v>26</v>
      </c>
      <c r="DZ22" s="30" t="s">
        <v>129</v>
      </c>
      <c r="EA22" s="30" t="s">
        <v>28</v>
      </c>
      <c r="EB22" s="43" t="s">
        <v>827</v>
      </c>
      <c r="EC22" s="17">
        <v>31.08</v>
      </c>
      <c r="ED22" s="33">
        <f t="shared" si="27"/>
        <v>5.0804253998293449E-2</v>
      </c>
      <c r="EE22" s="33">
        <f t="shared" si="28"/>
        <v>4.819331219602635E-2</v>
      </c>
      <c r="EG22" s="1">
        <v>1</v>
      </c>
      <c r="EH22" s="18">
        <v>269755.62636717298</v>
      </c>
      <c r="EI22" s="11">
        <v>8384004.8674917361</v>
      </c>
      <c r="EJ22" s="5"/>
      <c r="EK22" s="11">
        <v>1</v>
      </c>
      <c r="EL22" s="11">
        <v>31.08</v>
      </c>
      <c r="EM22" s="5">
        <v>523.08112224755166</v>
      </c>
      <c r="EN22" s="8">
        <v>5.0796374999999998E-2</v>
      </c>
      <c r="EO22" s="8">
        <v>-1.5508540473230248E-4</v>
      </c>
      <c r="EP22" s="5"/>
      <c r="EQ22" s="21">
        <v>611.7597947810433</v>
      </c>
      <c r="ER22" s="22">
        <v>1149.9599999999998</v>
      </c>
      <c r="ET22" s="16" t="s">
        <v>961</v>
      </c>
      <c r="EU22" s="32" t="s">
        <v>167</v>
      </c>
      <c r="EV22" s="32" t="s">
        <v>344</v>
      </c>
      <c r="EW22" s="32" t="s">
        <v>1530</v>
      </c>
      <c r="EX22" s="32"/>
      <c r="EY22" s="30" t="s">
        <v>850</v>
      </c>
      <c r="EZ22" s="30" t="s">
        <v>26</v>
      </c>
      <c r="FA22" s="30" t="s">
        <v>33</v>
      </c>
      <c r="FB22" s="30" t="s">
        <v>28</v>
      </c>
      <c r="FC22" s="30" t="s">
        <v>34</v>
      </c>
      <c r="FD22" s="17">
        <v>131.61000000000001</v>
      </c>
      <c r="FE22" s="33">
        <f t="shared" si="6"/>
        <v>3.6881558844428668E-2</v>
      </c>
      <c r="FF22" s="33">
        <f t="shared" si="7"/>
        <v>3.5036505870450936E-2</v>
      </c>
      <c r="FH22" s="1">
        <v>1</v>
      </c>
      <c r="FI22" s="18">
        <v>57425.875025783098</v>
      </c>
      <c r="FJ22" s="11">
        <v>7557819.4121433143</v>
      </c>
      <c r="FK22" s="5"/>
      <c r="FL22" s="11">
        <v>1</v>
      </c>
      <c r="FM22" s="11">
        <v>131.61000000000001</v>
      </c>
      <c r="FN22" s="5">
        <v>89.674787859715622</v>
      </c>
      <c r="FO22" s="8">
        <v>3.7015312500000001E-2</v>
      </c>
      <c r="FP22" s="8">
        <v>3.6265727307114304E-3</v>
      </c>
      <c r="FQ22" s="5"/>
      <c r="FR22" s="21">
        <v>3568.450036375863</v>
      </c>
      <c r="FS22" s="22">
        <v>4869.5700000000006</v>
      </c>
      <c r="FU22" s="16" t="s">
        <v>874</v>
      </c>
      <c r="FV22" s="32" t="s">
        <v>170</v>
      </c>
      <c r="FW22" s="32" t="s">
        <v>358</v>
      </c>
      <c r="FX22" s="32" t="s">
        <v>1439</v>
      </c>
      <c r="FY22" s="32"/>
      <c r="FZ22" s="30" t="s">
        <v>853</v>
      </c>
      <c r="GA22" s="30" t="s">
        <v>26</v>
      </c>
      <c r="GB22" s="30" t="s">
        <v>33</v>
      </c>
      <c r="GC22" s="30" t="s">
        <v>28</v>
      </c>
      <c r="GD22" s="30" t="s">
        <v>34</v>
      </c>
      <c r="GE22" s="17">
        <v>660.57</v>
      </c>
      <c r="GF22" s="33">
        <f t="shared" si="8"/>
        <v>3.6078908553744661E-2</v>
      </c>
      <c r="GG22" s="33">
        <f t="shared" si="9"/>
        <v>3.4273321587536508E-2</v>
      </c>
      <c r="GI22" s="1">
        <v>1</v>
      </c>
      <c r="GJ22" s="18">
        <v>11305.7363677211</v>
      </c>
      <c r="GK22" s="11">
        <v>7468230.2724255277</v>
      </c>
      <c r="GL22" s="5"/>
      <c r="GM22" s="11">
        <v>1</v>
      </c>
      <c r="GN22" s="11">
        <v>660.57</v>
      </c>
      <c r="GO22" s="5">
        <v>17.477709761566967</v>
      </c>
      <c r="GP22" s="8">
        <v>3.5092781250000003E-2</v>
      </c>
      <c r="GQ22" s="8">
        <v>-2.7332514847994371E-2</v>
      </c>
      <c r="GR22" s="5"/>
      <c r="GS22" s="21">
        <v>18309.035014625988</v>
      </c>
      <c r="GT22" s="22">
        <v>24441.09</v>
      </c>
      <c r="GV22" s="16" t="s">
        <v>1003</v>
      </c>
      <c r="GW22" s="32" t="s">
        <v>197</v>
      </c>
      <c r="GX22" s="32">
        <v>992</v>
      </c>
      <c r="GY22" s="32" t="s">
        <v>1566</v>
      </c>
      <c r="GZ22" s="32"/>
      <c r="HA22" s="30" t="s">
        <v>862</v>
      </c>
      <c r="HB22" s="30" t="s">
        <v>26</v>
      </c>
      <c r="HC22" s="30" t="s">
        <v>27</v>
      </c>
      <c r="HD22" s="30" t="s">
        <v>28</v>
      </c>
      <c r="HE22" s="30" t="s">
        <v>82</v>
      </c>
      <c r="HF22" s="17">
        <v>9.4700000000000006</v>
      </c>
      <c r="HG22" s="33">
        <f t="shared" si="10"/>
        <v>2.3027030571278834E-2</v>
      </c>
      <c r="HH22" s="33">
        <f t="shared" si="29"/>
        <v>2.1873943505161593E-2</v>
      </c>
      <c r="HJ22" s="1">
        <v>0.12784999999999999</v>
      </c>
      <c r="HK22" s="18">
        <v>3101834.0231024199</v>
      </c>
      <c r="HL22" s="11">
        <v>3755512.9742140123</v>
      </c>
      <c r="HM22" s="5"/>
      <c r="HN22" s="11">
        <v>2000</v>
      </c>
      <c r="HO22" s="11">
        <v>2421.4790000000003</v>
      </c>
      <c r="HP22" s="5">
        <v>3.0430368311305718</v>
      </c>
      <c r="HQ22" s="8">
        <v>2.2701365625000001E-2</v>
      </c>
      <c r="HR22" s="8">
        <v>-1.4142724363471748E-2</v>
      </c>
      <c r="HS22" s="5"/>
      <c r="HT22" s="21">
        <v>105158.1094012297</v>
      </c>
      <c r="HU22" s="22">
        <v>89594.722999999998</v>
      </c>
      <c r="HW22" s="16" t="s">
        <v>1009</v>
      </c>
      <c r="HX22" s="45" t="s">
        <v>315</v>
      </c>
      <c r="HY22" s="32">
        <v>2328</v>
      </c>
      <c r="HZ22" s="32" t="s">
        <v>1572</v>
      </c>
      <c r="IA22" s="45"/>
      <c r="IB22" s="30" t="s">
        <v>862</v>
      </c>
      <c r="IC22" s="30" t="s">
        <v>26</v>
      </c>
      <c r="ID22" s="30" t="s">
        <v>27</v>
      </c>
      <c r="IE22" s="30" t="s">
        <v>28</v>
      </c>
      <c r="IF22" s="30" t="s">
        <v>82</v>
      </c>
      <c r="IG22" s="17">
        <v>15.72</v>
      </c>
      <c r="IH22" s="33">
        <f t="shared" si="11"/>
        <v>4.5227243710580844E-2</v>
      </c>
      <c r="II22" s="33">
        <f t="shared" si="12"/>
        <v>4.2989024312124036E-2</v>
      </c>
      <c r="IK22" s="1">
        <v>1</v>
      </c>
      <c r="IL22" s="18">
        <v>545317.95638823998</v>
      </c>
      <c r="IM22" s="11">
        <v>8572398.2744231336</v>
      </c>
      <c r="IN22" s="5"/>
      <c r="IO22" s="11">
        <v>2000</v>
      </c>
      <c r="IP22" s="11">
        <v>31440</v>
      </c>
      <c r="IQ22" s="5">
        <v>0.46032818026036482</v>
      </c>
      <c r="IR22" s="8">
        <v>0</v>
      </c>
      <c r="IS22" s="8">
        <v>-1</v>
      </c>
      <c r="IT22" s="5"/>
      <c r="IU22" s="21">
        <v>695156.22488939471</v>
      </c>
      <c r="IV22" s="22">
        <v>1163280</v>
      </c>
      <c r="IX22" s="16" t="s">
        <v>1042</v>
      </c>
      <c r="IY22" s="32" t="s">
        <v>232</v>
      </c>
      <c r="IZ22" s="32" t="s">
        <v>422</v>
      </c>
      <c r="JA22" s="32" t="s">
        <v>1607</v>
      </c>
      <c r="JB22" s="32"/>
      <c r="JC22" s="30" t="s">
        <v>853</v>
      </c>
      <c r="JD22" s="30" t="s">
        <v>26</v>
      </c>
      <c r="JE22" s="30" t="s">
        <v>33</v>
      </c>
      <c r="JF22" s="30" t="s">
        <v>28</v>
      </c>
      <c r="JG22" s="30" t="s">
        <v>34</v>
      </c>
      <c r="JH22" s="17">
        <v>164.25</v>
      </c>
      <c r="JI22" s="33">
        <f t="shared" si="30"/>
        <v>2.848046492172571E-2</v>
      </c>
      <c r="JJ22" s="33">
        <f t="shared" si="13"/>
        <v>2.7054987297792467E-2</v>
      </c>
      <c r="JL22" s="1">
        <v>1</v>
      </c>
      <c r="JM22" s="18">
        <v>21153.592827832501</v>
      </c>
      <c r="JN22" s="11">
        <v>3474477.6219714885</v>
      </c>
      <c r="JO22" s="5"/>
      <c r="JP22" s="11">
        <v>1</v>
      </c>
      <c r="JQ22" s="11">
        <v>164.25</v>
      </c>
      <c r="JR22" s="5">
        <v>55.4870549464367</v>
      </c>
      <c r="JS22" s="8">
        <v>2.8230468750000001E-2</v>
      </c>
      <c r="JT22" s="8">
        <v>-8.7778121745127891E-3</v>
      </c>
      <c r="JU22" s="5"/>
      <c r="JV22" s="21">
        <v>5767.1109109846529</v>
      </c>
      <c r="JW22" s="22">
        <v>6077.25</v>
      </c>
      <c r="JY22" s="16" t="s">
        <v>1057</v>
      </c>
      <c r="JZ22" s="32" t="s">
        <v>243</v>
      </c>
      <c r="KA22" s="32" t="s">
        <v>396</v>
      </c>
      <c r="KB22" s="32" t="s">
        <v>1625</v>
      </c>
      <c r="KC22" s="32"/>
      <c r="KD22" s="30" t="s">
        <v>1058</v>
      </c>
      <c r="KE22" s="30" t="s">
        <v>26</v>
      </c>
      <c r="KF22" s="30" t="s">
        <v>1377</v>
      </c>
      <c r="KG22" s="30" t="s">
        <v>28</v>
      </c>
      <c r="KH22" s="30" t="s">
        <v>83</v>
      </c>
      <c r="KI22" s="17">
        <v>19.53</v>
      </c>
      <c r="KJ22" s="33">
        <f t="shared" si="31"/>
        <v>2.9386215071722382E-2</v>
      </c>
      <c r="KK22" s="33">
        <f t="shared" si="32"/>
        <v>2.7921436093454273E-2</v>
      </c>
      <c r="KM22" s="1">
        <v>1.1607000000000001</v>
      </c>
      <c r="KN22" s="18">
        <v>128728.538316201</v>
      </c>
      <c r="KO22" s="11">
        <v>2918079.1376931914</v>
      </c>
      <c r="KP22" s="5"/>
      <c r="KQ22" s="11">
        <v>1</v>
      </c>
      <c r="KR22" s="11">
        <v>22.668471000000004</v>
      </c>
      <c r="KS22" s="5">
        <v>414.8311909943622</v>
      </c>
      <c r="KT22" s="8">
        <v>2.9398173328125006E-2</v>
      </c>
      <c r="KU22" s="8">
        <v>4.069342163812717E-4</v>
      </c>
      <c r="KV22" s="5"/>
      <c r="KW22" s="21">
        <v>771.3981179499807</v>
      </c>
      <c r="KX22" s="22">
        <v>838.73342700000012</v>
      </c>
      <c r="KZ22" s="35" t="s">
        <v>81</v>
      </c>
      <c r="LA22" s="36"/>
      <c r="LB22" s="36"/>
      <c r="LC22" s="36"/>
      <c r="LD22" s="36"/>
      <c r="LE22" s="36"/>
      <c r="LF22" s="36"/>
      <c r="LG22" s="36"/>
      <c r="LH22" s="36"/>
      <c r="LI22" s="36"/>
      <c r="LJ22" s="25" t="s">
        <v>81</v>
      </c>
      <c r="LK22" s="37">
        <f>SUM(LK6:LK21)</f>
        <v>0.99999999999999978</v>
      </c>
      <c r="LL22" s="37">
        <f>SUM(LL6:LL21)</f>
        <v>1</v>
      </c>
      <c r="LN22" s="1"/>
      <c r="LO22" s="26"/>
      <c r="LP22" s="11">
        <v>110507888.96763203</v>
      </c>
      <c r="LQ22" s="5"/>
      <c r="LR22" s="11"/>
      <c r="LS22" s="11"/>
      <c r="LT22" s="5"/>
      <c r="LU22" s="8"/>
      <c r="LV22" s="8"/>
      <c r="LW22" s="5"/>
      <c r="LX22" s="21"/>
      <c r="LY22" s="22"/>
      <c r="MA22" s="16" t="s">
        <v>1419</v>
      </c>
      <c r="MB22" s="32" t="s">
        <v>1417</v>
      </c>
      <c r="MC22" s="32" t="s">
        <v>1418</v>
      </c>
      <c r="MD22" s="32" t="s">
        <v>1654</v>
      </c>
      <c r="ME22" s="32"/>
      <c r="MF22" s="30" t="s">
        <v>968</v>
      </c>
      <c r="MG22" s="30" t="s">
        <v>26</v>
      </c>
      <c r="MH22" s="30" t="s">
        <v>326</v>
      </c>
      <c r="MI22" s="30" t="s">
        <v>28</v>
      </c>
      <c r="MJ22" s="30" t="s">
        <v>83</v>
      </c>
      <c r="MK22" s="17">
        <v>24.52</v>
      </c>
      <c r="ML22" s="33">
        <f t="shared" si="16"/>
        <v>2.7698902370309777E-2</v>
      </c>
      <c r="MM22" s="33">
        <f t="shared" si="17"/>
        <v>2.629727367882214E-2</v>
      </c>
      <c r="MO22" s="1">
        <v>1.1607000000000001</v>
      </c>
      <c r="MP22" s="18">
        <v>174847.623381107</v>
      </c>
      <c r="MQ22" s="11">
        <v>4976227.0059612161</v>
      </c>
      <c r="MR22" s="5"/>
      <c r="MS22" s="11">
        <v>1</v>
      </c>
      <c r="MT22" s="11">
        <v>28.460364000000002</v>
      </c>
      <c r="MU22" s="5">
        <v>311.43834838159933</v>
      </c>
      <c r="MV22" s="8">
        <v>2.7659916262500001E-2</v>
      </c>
      <c r="MW22" s="8">
        <v>-1.4074964880761431E-3</v>
      </c>
      <c r="MX22" s="5"/>
      <c r="MY22" s="21">
        <v>1027.4906788547125</v>
      </c>
      <c r="MZ22" s="22">
        <v>1053.0334680000001</v>
      </c>
      <c r="NB22" s="16" t="s">
        <v>965</v>
      </c>
      <c r="NC22" s="32" t="s">
        <v>311</v>
      </c>
      <c r="ND22" s="32" t="s">
        <v>337</v>
      </c>
      <c r="NE22" s="32" t="s">
        <v>1656</v>
      </c>
      <c r="NF22" s="32"/>
      <c r="NG22" s="30" t="s">
        <v>850</v>
      </c>
      <c r="NH22" s="30" t="s">
        <v>26</v>
      </c>
      <c r="NI22" s="30" t="s">
        <v>33</v>
      </c>
      <c r="NJ22" s="30" t="s">
        <v>28</v>
      </c>
      <c r="NK22" s="30" t="s">
        <v>34</v>
      </c>
      <c r="NL22" s="17">
        <v>26.61</v>
      </c>
      <c r="NM22" s="33">
        <f t="shared" si="18"/>
        <v>3.8615459361700452E-2</v>
      </c>
      <c r="NN22" s="33">
        <f t="shared" si="19"/>
        <v>3.6656722614619962E-2</v>
      </c>
      <c r="NP22" s="1">
        <v>1</v>
      </c>
      <c r="NQ22" s="18">
        <v>248084.11625683401</v>
      </c>
      <c r="NR22" s="11">
        <v>6601518.3335943529</v>
      </c>
      <c r="NS22" s="5"/>
      <c r="NT22" s="11">
        <v>1</v>
      </c>
      <c r="NU22" s="11">
        <v>26.61</v>
      </c>
      <c r="NV22" s="5">
        <v>464.37230348531176</v>
      </c>
      <c r="NW22" s="8">
        <v>3.8584499999999994E-2</v>
      </c>
      <c r="NX22" s="8">
        <v>-8.0173490649093626E-4</v>
      </c>
      <c r="NY22" s="5"/>
      <c r="NZ22" s="21">
        <v>689.10225178862697</v>
      </c>
      <c r="OA22" s="22">
        <v>984.56999999999994</v>
      </c>
      <c r="OC22" s="16" t="s">
        <v>877</v>
      </c>
      <c r="OD22" s="45" t="s">
        <v>62</v>
      </c>
      <c r="OE22" s="32" t="s">
        <v>63</v>
      </c>
      <c r="OF22" s="32" t="s">
        <v>1442</v>
      </c>
      <c r="OG22" s="45"/>
      <c r="OH22" s="30" t="s">
        <v>430</v>
      </c>
      <c r="OI22" s="30" t="s">
        <v>26</v>
      </c>
      <c r="OJ22" s="30" t="s">
        <v>61</v>
      </c>
      <c r="OK22" s="30" t="s">
        <v>28</v>
      </c>
      <c r="OL22" s="30" t="s">
        <v>814</v>
      </c>
      <c r="OM22" s="17">
        <v>124.82</v>
      </c>
      <c r="ON22" s="33">
        <f t="shared" si="20"/>
        <v>4.0705799058097208E-2</v>
      </c>
      <c r="OO22" s="33">
        <f t="shared" si="33"/>
        <v>3.8597525632536919E-2</v>
      </c>
      <c r="OQ22" s="1">
        <v>1.1032999999999999</v>
      </c>
      <c r="OR22" s="18">
        <v>54436.4299152608</v>
      </c>
      <c r="OS22" s="11">
        <v>7496653.392325813</v>
      </c>
      <c r="OT22" s="5"/>
      <c r="OU22" s="11">
        <v>1</v>
      </c>
      <c r="OV22" s="11">
        <v>137.71390599999998</v>
      </c>
      <c r="OW22" s="5">
        <v>94.586349896945833</v>
      </c>
      <c r="OX22" s="8">
        <v>4.0883815843749997E-2</v>
      </c>
      <c r="OY22" s="8">
        <v>4.3732536830616286E-3</v>
      </c>
      <c r="OZ22" s="5"/>
      <c r="PA22" s="21">
        <v>3383.1520124061021</v>
      </c>
      <c r="PB22" s="22">
        <v>5095.4145219999991</v>
      </c>
      <c r="PD22" s="16" t="s">
        <v>1004</v>
      </c>
      <c r="PE22" s="45" t="s">
        <v>720</v>
      </c>
      <c r="PF22" s="45">
        <v>8725</v>
      </c>
      <c r="PG22" s="32" t="s">
        <v>1567</v>
      </c>
      <c r="PH22" s="45"/>
      <c r="PI22" s="30" t="s">
        <v>902</v>
      </c>
      <c r="PJ22" s="30" t="s">
        <v>26</v>
      </c>
      <c r="PK22" s="71" t="s">
        <v>320</v>
      </c>
      <c r="PL22" s="30" t="s">
        <v>28</v>
      </c>
      <c r="PM22" s="30" t="s">
        <v>94</v>
      </c>
      <c r="PN22" s="17">
        <v>4116</v>
      </c>
      <c r="PO22" s="33">
        <f t="shared" si="21"/>
        <v>4.3760641815112869E-2</v>
      </c>
      <c r="PP22" s="33">
        <f t="shared" si="22"/>
        <v>4.1570351194199842E-2</v>
      </c>
      <c r="PR22" s="1">
        <v>1</v>
      </c>
      <c r="PS22" s="18">
        <v>2048.9611105202598</v>
      </c>
      <c r="PT22" s="11">
        <v>8433523.9309013896</v>
      </c>
      <c r="PU22" s="5"/>
      <c r="PV22" s="11">
        <v>100</v>
      </c>
      <c r="PW22" s="11">
        <v>411600</v>
      </c>
      <c r="PX22" s="5">
        <v>3.4021878962186877E-2</v>
      </c>
      <c r="PY22" s="8">
        <v>0</v>
      </c>
      <c r="PZ22" s="8">
        <v>-1</v>
      </c>
      <c r="QA22" s="5"/>
      <c r="QB22" s="21">
        <v>9405712.1405804586</v>
      </c>
      <c r="QC22" s="22">
        <v>15229200</v>
      </c>
      <c r="QE22" s="16" t="s">
        <v>1128</v>
      </c>
      <c r="QF22" s="34" t="s">
        <v>302</v>
      </c>
      <c r="QG22" s="34"/>
      <c r="QH22" s="32" t="s">
        <v>1708</v>
      </c>
      <c r="QI22" s="34"/>
      <c r="QJ22" s="30" t="s">
        <v>853</v>
      </c>
      <c r="QK22" s="30" t="s">
        <v>26</v>
      </c>
      <c r="QL22" s="30"/>
      <c r="QM22" s="30" t="s">
        <v>28</v>
      </c>
      <c r="QN22" s="30" t="s">
        <v>34</v>
      </c>
      <c r="QO22" s="17">
        <v>24.91</v>
      </c>
      <c r="QP22" s="33">
        <f t="shared" si="23"/>
        <v>5.468632393979253E-2</v>
      </c>
      <c r="QQ22" s="33">
        <f t="shared" si="24"/>
        <v>5.1965350787410443E-2</v>
      </c>
      <c r="QS22" s="1">
        <v>1</v>
      </c>
      <c r="QT22" s="18">
        <v>250447.754918669</v>
      </c>
      <c r="QU22" s="11">
        <v>6238653.5750240451</v>
      </c>
      <c r="QV22" s="5"/>
      <c r="QW22" s="11">
        <v>1</v>
      </c>
      <c r="QX22" s="11">
        <v>24.91</v>
      </c>
      <c r="QY22" s="5">
        <v>702.51399681788882</v>
      </c>
      <c r="QZ22" s="8">
        <v>5.4724156249999996E-2</v>
      </c>
      <c r="RA22" s="8">
        <v>6.9180569257354385E-4</v>
      </c>
      <c r="RB22" s="5"/>
      <c r="RC22" s="21">
        <v>455.50693857983435</v>
      </c>
      <c r="RD22" s="22">
        <v>921.67</v>
      </c>
      <c r="RF22" s="16" t="s">
        <v>1335</v>
      </c>
      <c r="RG22" s="34" t="s">
        <v>1309</v>
      </c>
      <c r="RH22" s="34"/>
      <c r="RI22" s="32" t="s">
        <v>1724</v>
      </c>
      <c r="RJ22" s="34"/>
      <c r="RK22" s="30" t="s">
        <v>853</v>
      </c>
    </row>
    <row r="23" spans="15:479" ht="15" thickBot="1" x14ac:dyDescent="0.25">
      <c r="O23" s="16" t="s">
        <v>854</v>
      </c>
      <c r="P23" s="32" t="s">
        <v>654</v>
      </c>
      <c r="Q23" s="32" t="s">
        <v>40</v>
      </c>
      <c r="R23" s="32" t="s">
        <v>1445</v>
      </c>
      <c r="S23" s="32"/>
      <c r="T23" s="30" t="s">
        <v>855</v>
      </c>
      <c r="U23" s="30" t="s">
        <v>26</v>
      </c>
      <c r="V23" s="30" t="s">
        <v>39</v>
      </c>
      <c r="W23" s="30" t="s">
        <v>28</v>
      </c>
      <c r="X23" s="30" t="s">
        <v>83</v>
      </c>
      <c r="Y23" s="17">
        <v>353.6</v>
      </c>
      <c r="Z23" s="33">
        <f t="shared" si="0"/>
        <v>2.5276420662477584E-2</v>
      </c>
      <c r="AA23" s="33">
        <f t="shared" si="1"/>
        <v>2.4013449111518068E-2</v>
      </c>
      <c r="AB23" s="4"/>
      <c r="AC23" s="1">
        <v>1.1607000000000001</v>
      </c>
      <c r="AD23" s="18">
        <v>12673.878855471999</v>
      </c>
      <c r="AE23" s="11">
        <v>5201657.9719163906</v>
      </c>
      <c r="AF23" s="5"/>
      <c r="AG23" s="11">
        <v>1</v>
      </c>
      <c r="AH23" s="11">
        <v>410.42352000000005</v>
      </c>
      <c r="AI23" s="5">
        <v>19.707580627915345</v>
      </c>
      <c r="AJ23" s="8">
        <v>2.5651470000000006E-2</v>
      </c>
      <c r="AK23" s="8">
        <v>1.4837913268280767E-2</v>
      </c>
      <c r="AL23" s="5"/>
      <c r="AM23" s="21">
        <v>16237.406612292491</v>
      </c>
      <c r="AN23" s="22">
        <v>15185.670240000001</v>
      </c>
      <c r="AP23" s="16" t="s">
        <v>904</v>
      </c>
      <c r="AQ23" s="32" t="s">
        <v>738</v>
      </c>
      <c r="AR23" s="32" t="s">
        <v>366</v>
      </c>
      <c r="AS23" s="32" t="s">
        <v>1478</v>
      </c>
      <c r="AT23" s="32"/>
      <c r="AU23" s="30" t="s">
        <v>777</v>
      </c>
      <c r="AV23" s="30" t="s">
        <v>26</v>
      </c>
      <c r="AW23" s="30" t="s">
        <v>129</v>
      </c>
      <c r="AX23" s="30" t="s">
        <v>28</v>
      </c>
      <c r="AY23" s="43" t="s">
        <v>827</v>
      </c>
      <c r="AZ23" s="17">
        <v>13.06</v>
      </c>
      <c r="BA23" s="33">
        <f t="shared" si="2"/>
        <v>4.4944121057915482E-2</v>
      </c>
      <c r="BB23" s="33">
        <f t="shared" si="25"/>
        <v>4.2682415966855763E-2</v>
      </c>
      <c r="BD23" s="1">
        <v>1.3359000000000001</v>
      </c>
      <c r="BE23" s="18">
        <v>424132.16981877701</v>
      </c>
      <c r="BF23" s="11">
        <v>7399772.0435314104</v>
      </c>
      <c r="BG23" s="5"/>
      <c r="BH23" s="11">
        <v>1</v>
      </c>
      <c r="BI23" s="11">
        <v>17.446854000000002</v>
      </c>
      <c r="BJ23" s="5">
        <v>824.33880277401033</v>
      </c>
      <c r="BK23" s="8">
        <v>4.4925649050000002E-2</v>
      </c>
      <c r="BL23" s="8">
        <v>-4.109994250789395E-4</v>
      </c>
      <c r="BM23" s="5"/>
      <c r="BN23" s="21">
        <v>388.18990313589171</v>
      </c>
      <c r="BO23" s="22">
        <v>645.53359799999998</v>
      </c>
      <c r="CR23" s="16" t="s">
        <v>940</v>
      </c>
      <c r="CS23" s="45" t="s">
        <v>256</v>
      </c>
      <c r="CT23" s="32" t="s">
        <v>379</v>
      </c>
      <c r="CU23" s="32" t="s">
        <v>1509</v>
      </c>
      <c r="CV23" s="45"/>
      <c r="CW23" s="30" t="s">
        <v>850</v>
      </c>
      <c r="CX23" s="30" t="s">
        <v>26</v>
      </c>
      <c r="CY23" s="30" t="s">
        <v>33</v>
      </c>
      <c r="CZ23" s="30" t="s">
        <v>28</v>
      </c>
      <c r="DA23" s="30" t="s">
        <v>34</v>
      </c>
      <c r="DB23" s="17">
        <v>29.69</v>
      </c>
      <c r="DC23" s="33">
        <f t="shared" si="4"/>
        <v>4.8394164010473938E-2</v>
      </c>
      <c r="DD23" s="33">
        <f t="shared" si="5"/>
        <v>4.5959085440378696E-2</v>
      </c>
      <c r="DF23" s="1">
        <v>1</v>
      </c>
      <c r="DG23" s="18">
        <v>295607.84923611197</v>
      </c>
      <c r="DH23" s="11">
        <v>8776597.0438201651</v>
      </c>
      <c r="DI23" s="5"/>
      <c r="DJ23" s="11">
        <v>1</v>
      </c>
      <c r="DK23" s="11">
        <v>29.69</v>
      </c>
      <c r="DL23" s="5">
        <v>521.59422308358569</v>
      </c>
      <c r="DM23" s="8">
        <v>4.8431812500000004E-2</v>
      </c>
      <c r="DN23" s="8">
        <v>7.7795515835177298E-4</v>
      </c>
      <c r="DO23" s="5"/>
      <c r="DP23" s="21">
        <v>613.50372730013896</v>
      </c>
      <c r="DQ23" s="22">
        <v>1098.53</v>
      </c>
      <c r="DS23" s="16" t="s">
        <v>956</v>
      </c>
      <c r="DT23" s="32" t="s">
        <v>155</v>
      </c>
      <c r="DU23" s="32" t="s">
        <v>156</v>
      </c>
      <c r="DV23" s="32" t="s">
        <v>1525</v>
      </c>
      <c r="DW23" s="32"/>
      <c r="DX23" s="30" t="s">
        <v>777</v>
      </c>
      <c r="DY23" s="30" t="s">
        <v>26</v>
      </c>
      <c r="DZ23" s="30" t="s">
        <v>129</v>
      </c>
      <c r="EA23" s="30" t="s">
        <v>28</v>
      </c>
      <c r="EB23" s="43" t="s">
        <v>827</v>
      </c>
      <c r="EC23" s="17">
        <v>4.6930000000000005</v>
      </c>
      <c r="ED23" s="33">
        <f t="shared" si="27"/>
        <v>4.6929557587957541E-2</v>
      </c>
      <c r="EE23" s="33">
        <f t="shared" si="28"/>
        <v>4.4517744914309869E-2</v>
      </c>
      <c r="EG23" s="1">
        <v>1</v>
      </c>
      <c r="EH23" s="18">
        <v>1650240.90920331</v>
      </c>
      <c r="EI23" s="11">
        <v>7744580.5868911352</v>
      </c>
      <c r="EJ23" s="5"/>
      <c r="EK23" s="11">
        <v>1</v>
      </c>
      <c r="EL23" s="11">
        <v>4.6930000000000005</v>
      </c>
      <c r="EM23" s="5">
        <v>3199.969833400045</v>
      </c>
      <c r="EN23" s="8">
        <v>4.6930000000000006E-2</v>
      </c>
      <c r="EO23" s="8">
        <v>9.4271513562116382E-6</v>
      </c>
      <c r="EP23" s="5"/>
      <c r="EQ23" s="21">
        <v>100.00094271513562</v>
      </c>
      <c r="ER23" s="22">
        <v>173.64100000000002</v>
      </c>
      <c r="ET23" s="16" t="s">
        <v>963</v>
      </c>
      <c r="EU23" s="32" t="s">
        <v>318</v>
      </c>
      <c r="EV23" s="32" t="s">
        <v>331</v>
      </c>
      <c r="EW23" s="32" t="s">
        <v>1531</v>
      </c>
      <c r="EX23" s="32"/>
      <c r="EY23" s="30" t="s">
        <v>850</v>
      </c>
      <c r="EZ23" s="30" t="s">
        <v>26</v>
      </c>
      <c r="FA23" s="30" t="s">
        <v>33</v>
      </c>
      <c r="FB23" s="30" t="s">
        <v>28</v>
      </c>
      <c r="FC23" s="30" t="s">
        <v>34</v>
      </c>
      <c r="FD23" s="17">
        <v>50.32</v>
      </c>
      <c r="FE23" s="33">
        <f t="shared" si="6"/>
        <v>3.6659922827536301E-2</v>
      </c>
      <c r="FF23" s="33">
        <f t="shared" si="7"/>
        <v>3.4825957513758422E-2</v>
      </c>
      <c r="FH23" s="1">
        <v>1</v>
      </c>
      <c r="FI23" s="18">
        <v>149292.55677356501</v>
      </c>
      <c r="FJ23" s="11">
        <v>7512401.4568457911</v>
      </c>
      <c r="FK23" s="5"/>
      <c r="FL23" s="11">
        <v>1</v>
      </c>
      <c r="FM23" s="11">
        <v>50.32</v>
      </c>
      <c r="FN23" s="5">
        <v>233.13146472201146</v>
      </c>
      <c r="FO23" s="8">
        <v>3.6639249999999998E-2</v>
      </c>
      <c r="FP23" s="8">
        <v>-5.6390810295914306E-4</v>
      </c>
      <c r="FQ23" s="5"/>
      <c r="FR23" s="21">
        <v>1372.6160918757644</v>
      </c>
      <c r="FS23" s="22">
        <v>1861.84</v>
      </c>
      <c r="FU23" s="16" t="s">
        <v>875</v>
      </c>
      <c r="FV23" s="32" t="s">
        <v>59</v>
      </c>
      <c r="FW23" s="32" t="s">
        <v>60</v>
      </c>
      <c r="FX23" s="32" t="s">
        <v>1430</v>
      </c>
      <c r="FY23" s="32"/>
      <c r="FZ23" s="30" t="s">
        <v>853</v>
      </c>
      <c r="GA23" s="30" t="s">
        <v>26</v>
      </c>
      <c r="GB23" s="30" t="s">
        <v>33</v>
      </c>
      <c r="GC23" s="30" t="s">
        <v>28</v>
      </c>
      <c r="GD23" s="30" t="s">
        <v>34</v>
      </c>
      <c r="GE23" s="17">
        <v>410.68</v>
      </c>
      <c r="GF23" s="33">
        <f t="shared" si="8"/>
        <v>2.6637140363700431E-2</v>
      </c>
      <c r="GG23" s="33">
        <f t="shared" si="9"/>
        <v>2.5304071393886414E-2</v>
      </c>
      <c r="GI23" s="1">
        <v>1</v>
      </c>
      <c r="GJ23" s="18">
        <v>13426.052938635399</v>
      </c>
      <c r="GK23" s="11">
        <v>5513811.4208387863</v>
      </c>
      <c r="GL23" s="5"/>
      <c r="GM23" s="11">
        <v>1</v>
      </c>
      <c r="GN23" s="11">
        <v>410.68</v>
      </c>
      <c r="GO23" s="5">
        <v>20.755539389266918</v>
      </c>
      <c r="GP23" s="8">
        <v>2.6950875000000003E-2</v>
      </c>
      <c r="GQ23" s="8">
        <v>1.1778089990737595E-2</v>
      </c>
      <c r="GR23" s="5"/>
      <c r="GS23" s="21">
        <v>15417.570895096953</v>
      </c>
      <c r="GT23" s="22">
        <v>15195.16</v>
      </c>
      <c r="GV23" s="16" t="s">
        <v>1004</v>
      </c>
      <c r="GW23" s="32" t="s">
        <v>720</v>
      </c>
      <c r="GX23" s="32">
        <v>8725</v>
      </c>
      <c r="GY23" s="32" t="s">
        <v>1567</v>
      </c>
      <c r="GZ23" s="32"/>
      <c r="HA23" s="30" t="s">
        <v>902</v>
      </c>
      <c r="HB23" s="30" t="s">
        <v>26</v>
      </c>
      <c r="HC23" s="30" t="s">
        <v>320</v>
      </c>
      <c r="HD23" s="30" t="s">
        <v>28</v>
      </c>
      <c r="HE23" s="30" t="s">
        <v>94</v>
      </c>
      <c r="HF23" s="17">
        <v>4116</v>
      </c>
      <c r="HG23" s="33">
        <f t="shared" si="10"/>
        <v>3.359896554669238E-2</v>
      </c>
      <c r="HH23" s="33">
        <f t="shared" si="29"/>
        <v>3.1916484929537491E-2</v>
      </c>
      <c r="HJ23" s="1">
        <v>6.3369999999999998E-3</v>
      </c>
      <c r="HK23" s="18">
        <v>210086.50797336601</v>
      </c>
      <c r="HL23" s="11">
        <v>5479705.7154280394</v>
      </c>
      <c r="HM23" s="5"/>
      <c r="HN23" s="11">
        <v>100</v>
      </c>
      <c r="HO23" s="11">
        <v>2608.3091999999997</v>
      </c>
      <c r="HP23" s="5">
        <v>4.1220837525480354</v>
      </c>
      <c r="HQ23" s="8">
        <v>3.2603864999999996E-2</v>
      </c>
      <c r="HR23" s="8">
        <v>-2.9616999526651977E-2</v>
      </c>
      <c r="HS23" s="5"/>
      <c r="HT23" s="21">
        <v>77630.640037867837</v>
      </c>
      <c r="HU23" s="22">
        <v>96507.440399999978</v>
      </c>
      <c r="HW23" s="16" t="s">
        <v>1018</v>
      </c>
      <c r="HX23" s="32" t="s">
        <v>207</v>
      </c>
      <c r="HY23" s="32">
        <v>939</v>
      </c>
      <c r="HZ23" s="32" t="s">
        <v>1593</v>
      </c>
      <c r="IA23" s="32"/>
      <c r="IB23" s="30" t="s">
        <v>862</v>
      </c>
      <c r="IC23" s="30" t="s">
        <v>26</v>
      </c>
      <c r="ID23" s="30" t="s">
        <v>27</v>
      </c>
      <c r="IE23" s="30" t="s">
        <v>28</v>
      </c>
      <c r="IF23" s="30" t="s">
        <v>82</v>
      </c>
      <c r="IG23" s="17">
        <v>7.89</v>
      </c>
      <c r="IH23" s="33">
        <f t="shared" si="11"/>
        <v>4.5254167590828849E-2</v>
      </c>
      <c r="II23" s="33">
        <f t="shared" si="12"/>
        <v>4.3014615775313007E-2</v>
      </c>
      <c r="IK23" s="1">
        <v>1</v>
      </c>
      <c r="IL23" s="18">
        <v>1087135.7975236699</v>
      </c>
      <c r="IM23" s="11">
        <v>8577501.4424617551</v>
      </c>
      <c r="IN23" s="5"/>
      <c r="IO23" s="11">
        <v>1000</v>
      </c>
      <c r="IP23" s="11">
        <v>7890</v>
      </c>
      <c r="IQ23" s="5">
        <v>1.8354035017826655</v>
      </c>
      <c r="IR23" s="8">
        <v>4.9312500000000002E-2</v>
      </c>
      <c r="IS23" s="8">
        <v>8.9678644536456131E-2</v>
      </c>
      <c r="IT23" s="5"/>
      <c r="IU23" s="21">
        <v>174348.58312583299</v>
      </c>
      <c r="IV23" s="22">
        <v>291930</v>
      </c>
      <c r="IX23" s="16" t="s">
        <v>1043</v>
      </c>
      <c r="IY23" s="32" t="s">
        <v>172</v>
      </c>
      <c r="IZ23" s="32" t="s">
        <v>423</v>
      </c>
      <c r="JA23" s="32" t="s">
        <v>1608</v>
      </c>
      <c r="JB23" s="32"/>
      <c r="JC23" s="30" t="s">
        <v>853</v>
      </c>
      <c r="JD23" s="30" t="s">
        <v>26</v>
      </c>
      <c r="JE23" s="30" t="s">
        <v>33</v>
      </c>
      <c r="JF23" s="30" t="s">
        <v>28</v>
      </c>
      <c r="JG23" s="30" t="s">
        <v>34</v>
      </c>
      <c r="JH23" s="17">
        <v>137</v>
      </c>
      <c r="JI23" s="33">
        <f t="shared" si="30"/>
        <v>3.1591249396186842E-2</v>
      </c>
      <c r="JJ23" s="33">
        <f t="shared" si="13"/>
        <v>3.0010073693819469E-2</v>
      </c>
      <c r="JL23" s="1">
        <v>1</v>
      </c>
      <c r="JM23" s="18">
        <v>28131.227261288801</v>
      </c>
      <c r="JN23" s="11">
        <v>3853978.1347965659</v>
      </c>
      <c r="JO23" s="5"/>
      <c r="JP23" s="11">
        <v>1</v>
      </c>
      <c r="JQ23" s="11">
        <v>137</v>
      </c>
      <c r="JR23" s="5">
        <v>73.789779611531301</v>
      </c>
      <c r="JS23" s="8">
        <v>3.1681250000000001E-2</v>
      </c>
      <c r="JT23" s="8">
        <v>2.8489092876466948E-3</v>
      </c>
      <c r="JU23" s="5"/>
      <c r="JV23" s="21">
        <v>4336.6439320546879</v>
      </c>
      <c r="JW23" s="22">
        <v>5069</v>
      </c>
      <c r="JY23" s="16" t="s">
        <v>1330</v>
      </c>
      <c r="JZ23" s="32" t="s">
        <v>1371</v>
      </c>
      <c r="KA23" s="32" t="s">
        <v>1378</v>
      </c>
      <c r="KB23" s="32" t="s">
        <v>1626</v>
      </c>
      <c r="KC23" s="32"/>
      <c r="KD23" s="30" t="s">
        <v>878</v>
      </c>
      <c r="KE23" s="30" t="s">
        <v>26</v>
      </c>
      <c r="KF23" s="30" t="s">
        <v>1379</v>
      </c>
      <c r="KG23" s="30" t="s">
        <v>28</v>
      </c>
      <c r="KH23" s="30" t="s">
        <v>879</v>
      </c>
      <c r="KI23" s="17">
        <v>1775</v>
      </c>
      <c r="KJ23" s="33">
        <f t="shared" si="31"/>
        <v>2.70593359929115E-2</v>
      </c>
      <c r="KK23" s="33">
        <f t="shared" si="32"/>
        <v>2.5710542130497727E-2</v>
      </c>
      <c r="KM23" s="1">
        <v>0.15540000000000001</v>
      </c>
      <c r="KN23" s="18">
        <v>9741.3955065573391</v>
      </c>
      <c r="KO23" s="11">
        <v>2687017.8295512442</v>
      </c>
      <c r="KP23" s="5"/>
      <c r="KQ23" s="11">
        <v>1</v>
      </c>
      <c r="KR23" s="11">
        <v>275.83500000000004</v>
      </c>
      <c r="KS23" s="5">
        <v>31.391910082954229</v>
      </c>
      <c r="KT23" s="8">
        <v>2.6721515625000008E-2</v>
      </c>
      <c r="KU23" s="8">
        <v>-1.2484429329677083E-2</v>
      </c>
      <c r="KV23" s="5"/>
      <c r="KW23" s="21">
        <v>10193.70911659688</v>
      </c>
      <c r="KX23" s="22">
        <v>10205.895</v>
      </c>
      <c r="LN23" s="1"/>
      <c r="LO23" s="26"/>
      <c r="LP23" s="11"/>
      <c r="LQ23" s="5"/>
      <c r="LR23" s="11"/>
      <c r="LS23" s="11"/>
      <c r="LT23" s="5"/>
      <c r="LU23" s="8"/>
      <c r="LV23" s="8"/>
      <c r="LW23" s="5"/>
      <c r="LX23" s="21"/>
      <c r="LY23" s="22"/>
      <c r="MA23" s="16" t="s">
        <v>877</v>
      </c>
      <c r="MB23" s="32" t="s">
        <v>62</v>
      </c>
      <c r="MC23" s="32" t="s">
        <v>63</v>
      </c>
      <c r="MD23" s="32" t="s">
        <v>1442</v>
      </c>
      <c r="ME23" s="32"/>
      <c r="MF23" s="30" t="s">
        <v>430</v>
      </c>
      <c r="MG23" s="30" t="s">
        <v>26</v>
      </c>
      <c r="MH23" s="30" t="s">
        <v>61</v>
      </c>
      <c r="MI23" s="30" t="s">
        <v>28</v>
      </c>
      <c r="MJ23" s="30" t="s">
        <v>814</v>
      </c>
      <c r="MK23" s="17">
        <v>124.82</v>
      </c>
      <c r="ML23" s="33">
        <f t="shared" si="16"/>
        <v>2.8540259969728674E-2</v>
      </c>
      <c r="MM23" s="33">
        <f t="shared" si="17"/>
        <v>2.7096056632669136E-2</v>
      </c>
      <c r="MO23" s="1">
        <v>1.2806</v>
      </c>
      <c r="MP23" s="18">
        <v>32077.304980041801</v>
      </c>
      <c r="MQ23" s="11">
        <v>5127380.5192638515</v>
      </c>
      <c r="MR23" s="5"/>
      <c r="MS23" s="11">
        <v>1</v>
      </c>
      <c r="MT23" s="11">
        <v>159.84449199999997</v>
      </c>
      <c r="MU23" s="5">
        <v>57.136051896697055</v>
      </c>
      <c r="MV23" s="8">
        <v>2.8472300137499996E-2</v>
      </c>
      <c r="MW23" s="8">
        <v>-2.381191772631297E-3</v>
      </c>
      <c r="MX23" s="5"/>
      <c r="MY23" s="21">
        <v>5600.6669935571572</v>
      </c>
      <c r="MZ23" s="22">
        <v>5914.2462039999991</v>
      </c>
      <c r="NB23" s="16" t="s">
        <v>881</v>
      </c>
      <c r="NC23" s="32" t="s">
        <v>171</v>
      </c>
      <c r="ND23" s="32" t="s">
        <v>429</v>
      </c>
      <c r="NE23" s="32" t="s">
        <v>1433</v>
      </c>
      <c r="NF23" s="32"/>
      <c r="NG23" s="30" t="s">
        <v>850</v>
      </c>
      <c r="NH23" s="30" t="s">
        <v>26</v>
      </c>
      <c r="NI23" s="30" t="s">
        <v>349</v>
      </c>
      <c r="NJ23" s="30" t="s">
        <v>28</v>
      </c>
      <c r="NK23" s="30" t="s">
        <v>34</v>
      </c>
      <c r="NL23" s="17">
        <v>210.58</v>
      </c>
      <c r="NM23" s="33">
        <f t="shared" si="18"/>
        <v>3.9905266916627664E-2</v>
      </c>
      <c r="NN23" s="33">
        <f t="shared" si="19"/>
        <v>3.7881105764496499E-2</v>
      </c>
      <c r="NP23" s="1">
        <v>1</v>
      </c>
      <c r="NQ23" s="18">
        <v>32396.323491986601</v>
      </c>
      <c r="NR23" s="11">
        <v>6822017.8009425392</v>
      </c>
      <c r="NS23" s="5"/>
      <c r="NT23" s="11">
        <v>1</v>
      </c>
      <c r="NU23" s="11">
        <v>210.58</v>
      </c>
      <c r="NV23" s="5">
        <v>60.640542374968426</v>
      </c>
      <c r="NW23" s="8">
        <v>4.0141812500000006E-2</v>
      </c>
      <c r="NX23" s="8">
        <v>5.9276782652912807E-3</v>
      </c>
      <c r="NY23" s="5"/>
      <c r="NZ23" s="21">
        <v>5276.9976564736589</v>
      </c>
      <c r="OA23" s="22">
        <v>7791.46</v>
      </c>
      <c r="OC23" s="16" t="s">
        <v>1084</v>
      </c>
      <c r="OD23" s="45" t="s">
        <v>64</v>
      </c>
      <c r="OE23" s="32" t="s">
        <v>65</v>
      </c>
      <c r="OF23" s="32" t="s">
        <v>1677</v>
      </c>
      <c r="OG23" s="45"/>
      <c r="OH23" s="30" t="s">
        <v>886</v>
      </c>
      <c r="OI23" s="30" t="s">
        <v>26</v>
      </c>
      <c r="OJ23" s="30" t="s">
        <v>39</v>
      </c>
      <c r="OK23" s="30" t="s">
        <v>28</v>
      </c>
      <c r="OL23" s="51" t="s">
        <v>83</v>
      </c>
      <c r="OM23" s="17">
        <v>17.555</v>
      </c>
      <c r="ON23" s="33">
        <f t="shared" si="20"/>
        <v>3.9823870979093692E-2</v>
      </c>
      <c r="OO23" s="33">
        <f t="shared" si="33"/>
        <v>3.7761275210654567E-2</v>
      </c>
      <c r="OQ23" s="1">
        <v>1</v>
      </c>
      <c r="OR23" s="18">
        <v>417785.90675128001</v>
      </c>
      <c r="OS23" s="11">
        <v>7334231.5930187209</v>
      </c>
      <c r="OT23" s="5"/>
      <c r="OU23" s="11">
        <v>1</v>
      </c>
      <c r="OV23" s="11">
        <v>17.555</v>
      </c>
      <c r="OW23" s="5">
        <v>725.92644336713079</v>
      </c>
      <c r="OX23" s="8">
        <v>3.9827906250000003E-2</v>
      </c>
      <c r="OY23" s="8">
        <v>1.0132794243999932E-4</v>
      </c>
      <c r="OZ23" s="5"/>
      <c r="PA23" s="21">
        <v>440.81601231622699</v>
      </c>
      <c r="PB23" s="22">
        <v>649.53499999999997</v>
      </c>
      <c r="PD23" s="16" t="s">
        <v>1106</v>
      </c>
      <c r="PE23" s="45" t="s">
        <v>286</v>
      </c>
      <c r="PF23" s="45">
        <v>9101</v>
      </c>
      <c r="PG23" s="32" t="s">
        <v>1691</v>
      </c>
      <c r="PH23" s="45"/>
      <c r="PI23" s="30" t="s">
        <v>902</v>
      </c>
      <c r="PJ23" s="30" t="s">
        <v>26</v>
      </c>
      <c r="PK23" s="71" t="s">
        <v>320</v>
      </c>
      <c r="PL23" s="30" t="s">
        <v>28</v>
      </c>
      <c r="PM23" s="30" t="s">
        <v>94</v>
      </c>
      <c r="PN23" s="17">
        <v>5526</v>
      </c>
      <c r="PO23" s="33">
        <f t="shared" si="21"/>
        <v>4.3832236744601787E-2</v>
      </c>
      <c r="PP23" s="33">
        <f t="shared" si="22"/>
        <v>4.1638362682128942E-2</v>
      </c>
      <c r="PR23" s="1">
        <v>1</v>
      </c>
      <c r="PS23" s="18">
        <v>1528.65031878481</v>
      </c>
      <c r="PT23" s="11">
        <v>8447321.6616048608</v>
      </c>
      <c r="PU23" s="5"/>
      <c r="PV23" s="11">
        <v>100</v>
      </c>
      <c r="PW23" s="11">
        <v>552600</v>
      </c>
      <c r="PX23" s="5">
        <v>2.538240274750737E-2</v>
      </c>
      <c r="PY23" s="8">
        <v>0</v>
      </c>
      <c r="PZ23" s="8">
        <v>-1</v>
      </c>
      <c r="QA23" s="5"/>
      <c r="QB23" s="21">
        <v>12607159.502715912</v>
      </c>
      <c r="QC23" s="22">
        <v>20446200</v>
      </c>
      <c r="QE23" s="16" t="s">
        <v>1129</v>
      </c>
      <c r="QF23" s="34" t="s">
        <v>615</v>
      </c>
      <c r="QG23" s="34"/>
      <c r="QH23" s="32" t="s">
        <v>1709</v>
      </c>
      <c r="QI23" s="34"/>
      <c r="QJ23" s="30" t="s">
        <v>850</v>
      </c>
      <c r="QK23" s="30" t="s">
        <v>26</v>
      </c>
      <c r="QL23" s="30"/>
      <c r="QM23" s="30" t="s">
        <v>28</v>
      </c>
      <c r="QN23" s="30" t="s">
        <v>34</v>
      </c>
      <c r="QO23" s="17">
        <v>55.88</v>
      </c>
      <c r="QP23" s="33">
        <f t="shared" si="23"/>
        <v>1.5063542265651202E-2</v>
      </c>
      <c r="QQ23" s="33">
        <f t="shared" si="24"/>
        <v>1.4314040541422393E-2</v>
      </c>
      <c r="QS23" s="1">
        <v>1</v>
      </c>
      <c r="QT23" s="18">
        <v>30752.671747942601</v>
      </c>
      <c r="QU23" s="11">
        <v>1718459.2972750326</v>
      </c>
      <c r="QV23" s="5"/>
      <c r="QW23" s="11">
        <v>1</v>
      </c>
      <c r="QX23" s="11">
        <v>55.88</v>
      </c>
      <c r="QY23" s="5">
        <v>86.262232015182249</v>
      </c>
      <c r="QZ23" s="8">
        <v>1.5017750000000002E-2</v>
      </c>
      <c r="RA23" s="8">
        <v>-3.039940064802571E-3</v>
      </c>
      <c r="RB23" s="5"/>
      <c r="RC23" s="21">
        <v>3709.6188276658509</v>
      </c>
      <c r="RD23" s="22">
        <v>2067.56</v>
      </c>
      <c r="RF23" s="16" t="s">
        <v>1336</v>
      </c>
      <c r="RG23" s="34" t="s">
        <v>1310</v>
      </c>
      <c r="RH23" s="34"/>
      <c r="RI23" s="32" t="s">
        <v>1631</v>
      </c>
      <c r="RJ23" s="34"/>
      <c r="RK23" s="30" t="s">
        <v>855</v>
      </c>
    </row>
    <row r="24" spans="15:479" x14ac:dyDescent="0.2">
      <c r="O24" s="16" t="s">
        <v>888</v>
      </c>
      <c r="P24" s="32" t="s">
        <v>704</v>
      </c>
      <c r="Q24" s="32" t="s">
        <v>708</v>
      </c>
      <c r="R24" s="32" t="s">
        <v>1446</v>
      </c>
      <c r="S24" s="32"/>
      <c r="T24" s="30" t="s">
        <v>853</v>
      </c>
      <c r="U24" s="30" t="s">
        <v>26</v>
      </c>
      <c r="V24" s="30" t="s">
        <v>33</v>
      </c>
      <c r="W24" s="30" t="s">
        <v>28</v>
      </c>
      <c r="X24" s="30" t="s">
        <v>34</v>
      </c>
      <c r="Y24" s="17">
        <v>123.31</v>
      </c>
      <c r="Z24" s="33">
        <f t="shared" si="0"/>
        <v>2.646796406969933E-2</v>
      </c>
      <c r="AA24" s="33">
        <f t="shared" si="1"/>
        <v>2.5145455393402745E-2</v>
      </c>
      <c r="AB24" s="4"/>
      <c r="AC24" s="1">
        <v>1</v>
      </c>
      <c r="AD24" s="18">
        <v>44172.141684124101</v>
      </c>
      <c r="AE24" s="11">
        <v>5446866.7910693428</v>
      </c>
      <c r="AF24" s="5"/>
      <c r="AG24" s="11">
        <v>1</v>
      </c>
      <c r="AH24" s="11">
        <v>123.31</v>
      </c>
      <c r="AI24" s="5">
        <v>68.686631273244558</v>
      </c>
      <c r="AJ24" s="8">
        <v>2.6588718749999997E-2</v>
      </c>
      <c r="AK24" s="8">
        <v>4.5622957618756121E-3</v>
      </c>
      <c r="AL24" s="5"/>
      <c r="AM24" s="21">
        <v>4658.8396325188442</v>
      </c>
      <c r="AN24" s="22">
        <v>4562.47</v>
      </c>
      <c r="AP24" s="16" t="s">
        <v>905</v>
      </c>
      <c r="AQ24" s="32" t="s">
        <v>105</v>
      </c>
      <c r="AR24" s="32" t="s">
        <v>367</v>
      </c>
      <c r="AS24" s="32" t="s">
        <v>1479</v>
      </c>
      <c r="AT24" s="32"/>
      <c r="AU24" s="30" t="s">
        <v>850</v>
      </c>
      <c r="AV24" s="30" t="s">
        <v>26</v>
      </c>
      <c r="AW24" s="30" t="s">
        <v>33</v>
      </c>
      <c r="AX24" s="30" t="s">
        <v>28</v>
      </c>
      <c r="AY24" s="30" t="s">
        <v>34</v>
      </c>
      <c r="AZ24" s="17">
        <v>281.27</v>
      </c>
      <c r="BA24" s="33">
        <f t="shared" si="2"/>
        <v>4.4825130769822322E-2</v>
      </c>
      <c r="BB24" s="33">
        <f t="shared" si="25"/>
        <v>4.2569413579605524E-2</v>
      </c>
      <c r="BD24" s="1">
        <v>1</v>
      </c>
      <c r="BE24" s="18">
        <v>26238.777783811202</v>
      </c>
      <c r="BF24" s="11">
        <v>7380181.0272525763</v>
      </c>
      <c r="BG24" s="5"/>
      <c r="BH24" s="11">
        <v>1</v>
      </c>
      <c r="BI24" s="11">
        <v>281.27</v>
      </c>
      <c r="BJ24" s="5">
        <v>50.997411193312992</v>
      </c>
      <c r="BK24" s="8">
        <v>4.4827406249999993E-2</v>
      </c>
      <c r="BL24" s="8">
        <v>5.0763492232874796E-5</v>
      </c>
      <c r="BM24" s="5"/>
      <c r="BN24" s="21">
        <v>6274.8283199512653</v>
      </c>
      <c r="BO24" s="22">
        <v>10406.989999999998</v>
      </c>
      <c r="CB24" s="62" t="s">
        <v>86</v>
      </c>
      <c r="CC24" s="63">
        <v>100000</v>
      </c>
      <c r="CR24" s="16" t="s">
        <v>941</v>
      </c>
      <c r="CS24" s="45" t="s">
        <v>742</v>
      </c>
      <c r="CT24" s="32" t="s">
        <v>744</v>
      </c>
      <c r="CU24" s="32" t="s">
        <v>1510</v>
      </c>
      <c r="CV24" s="45"/>
      <c r="CW24" s="30" t="s">
        <v>850</v>
      </c>
      <c r="CX24" s="30" t="s">
        <v>26</v>
      </c>
      <c r="CY24" s="30" t="s">
        <v>33</v>
      </c>
      <c r="CZ24" s="30" t="s">
        <v>28</v>
      </c>
      <c r="DA24" s="30" t="s">
        <v>34</v>
      </c>
      <c r="DB24" s="17">
        <v>72.58</v>
      </c>
      <c r="DC24" s="33">
        <f t="shared" si="4"/>
        <v>5.3756661375714415E-2</v>
      </c>
      <c r="DD24" s="33">
        <f t="shared" si="5"/>
        <v>5.1051754765745132E-2</v>
      </c>
      <c r="DF24" s="1">
        <v>1</v>
      </c>
      <c r="DG24" s="18">
        <v>134322.41513016701</v>
      </c>
      <c r="DH24" s="11">
        <v>9749120.8901475202</v>
      </c>
      <c r="DI24" s="5"/>
      <c r="DJ24" s="11">
        <v>1</v>
      </c>
      <c r="DK24" s="11">
        <v>72.58</v>
      </c>
      <c r="DL24" s="5">
        <v>237.0092537920724</v>
      </c>
      <c r="DM24" s="8">
        <v>5.3754562499999999E-2</v>
      </c>
      <c r="DN24" s="8">
        <v>-3.9044011675981594E-5</v>
      </c>
      <c r="DO24" s="5"/>
      <c r="DP24" s="21">
        <v>1350.1582528112392</v>
      </c>
      <c r="DQ24" s="22">
        <v>2685.4599999999996</v>
      </c>
      <c r="DS24" s="16" t="s">
        <v>957</v>
      </c>
      <c r="DT24" s="32" t="s">
        <v>157</v>
      </c>
      <c r="DU24" s="32" t="s">
        <v>158</v>
      </c>
      <c r="DV24" s="32" t="s">
        <v>1526</v>
      </c>
      <c r="DW24" s="32"/>
      <c r="DX24" s="30" t="s">
        <v>777</v>
      </c>
      <c r="DY24" s="30" t="s">
        <v>26</v>
      </c>
      <c r="DZ24" s="30" t="s">
        <v>129</v>
      </c>
      <c r="EA24" s="30" t="s">
        <v>28</v>
      </c>
      <c r="EB24" s="43" t="s">
        <v>827</v>
      </c>
      <c r="EC24" s="17">
        <v>50.56</v>
      </c>
      <c r="ED24" s="33">
        <f t="shared" si="27"/>
        <v>5.0790020396978636E-2</v>
      </c>
      <c r="EE24" s="33">
        <f t="shared" si="28"/>
        <v>4.817981009063451E-2</v>
      </c>
      <c r="EG24" s="1">
        <v>1</v>
      </c>
      <c r="EH24" s="18">
        <v>165776.42322450399</v>
      </c>
      <c r="EI24" s="11">
        <v>8381655.958230922</v>
      </c>
      <c r="EJ24" s="5"/>
      <c r="EK24" s="11">
        <v>1</v>
      </c>
      <c r="EL24" s="11">
        <v>50.56</v>
      </c>
      <c r="EM24" s="5">
        <v>321.45582529733309</v>
      </c>
      <c r="EN24" s="8">
        <v>5.0717999999999999E-2</v>
      </c>
      <c r="EO24" s="8">
        <v>-1.4180029150553386E-3</v>
      </c>
      <c r="EP24" s="5"/>
      <c r="EQ24" s="21">
        <v>995.47114974200099</v>
      </c>
      <c r="ER24" s="22">
        <v>1870.72</v>
      </c>
      <c r="ET24" s="16" t="s">
        <v>1398</v>
      </c>
      <c r="EU24" s="32" t="s">
        <v>1389</v>
      </c>
      <c r="EV24" s="32" t="s">
        <v>1393</v>
      </c>
      <c r="EW24" s="32" t="s">
        <v>1451</v>
      </c>
      <c r="EX24" s="32"/>
      <c r="EY24" s="30" t="s">
        <v>853</v>
      </c>
      <c r="EZ24" s="30" t="s">
        <v>26</v>
      </c>
      <c r="FA24" s="30" t="s">
        <v>33</v>
      </c>
      <c r="FB24" s="30" t="s">
        <v>28</v>
      </c>
      <c r="FC24" s="30" t="s">
        <v>34</v>
      </c>
      <c r="FD24" s="17">
        <v>397.05</v>
      </c>
      <c r="FE24" s="33">
        <f t="shared" si="6"/>
        <v>3.5315239460054486E-2</v>
      </c>
      <c r="FF24" s="33">
        <f t="shared" si="7"/>
        <v>3.3548543863825581E-2</v>
      </c>
      <c r="FH24" s="1">
        <v>1</v>
      </c>
      <c r="FI24" s="18">
        <v>18226.538482759599</v>
      </c>
      <c r="FJ24" s="11">
        <v>7236847.1045796992</v>
      </c>
      <c r="FK24" s="5"/>
      <c r="FL24" s="11">
        <v>1</v>
      </c>
      <c r="FM24" s="11">
        <v>397.05</v>
      </c>
      <c r="FN24" s="5">
        <v>28.462099552241369</v>
      </c>
      <c r="FO24" s="8">
        <v>3.4741874999999998E-2</v>
      </c>
      <c r="FP24" s="8">
        <v>-1.6235610145105439E-2</v>
      </c>
      <c r="FQ24" s="5"/>
      <c r="FR24" s="21">
        <v>11243.021598341653</v>
      </c>
      <c r="FS24" s="22">
        <v>14690.85</v>
      </c>
      <c r="FU24" s="16" t="s">
        <v>876</v>
      </c>
      <c r="FV24" s="32" t="s">
        <v>30</v>
      </c>
      <c r="FW24" s="32">
        <v>9999</v>
      </c>
      <c r="FX24" s="32" t="s">
        <v>1453</v>
      </c>
      <c r="FY24" s="32"/>
      <c r="FZ24" s="30" t="s">
        <v>862</v>
      </c>
      <c r="GA24" s="30" t="s">
        <v>26</v>
      </c>
      <c r="GB24" s="30" t="s">
        <v>27</v>
      </c>
      <c r="GC24" s="30" t="s">
        <v>28</v>
      </c>
      <c r="GD24" s="30" t="s">
        <v>82</v>
      </c>
      <c r="GE24" s="17">
        <v>190</v>
      </c>
      <c r="GF24" s="33">
        <f t="shared" si="8"/>
        <v>2.8521668554995029E-2</v>
      </c>
      <c r="GG24" s="33">
        <f t="shared" si="9"/>
        <v>2.7094287432290226E-2</v>
      </c>
      <c r="GI24" s="1">
        <v>0.12784999999999999</v>
      </c>
      <c r="GJ24" s="18">
        <v>243044.000357821</v>
      </c>
      <c r="GK24" s="11">
        <v>5903903.3346920079</v>
      </c>
      <c r="GL24" s="5"/>
      <c r="GM24" s="11">
        <v>100</v>
      </c>
      <c r="GN24" s="11">
        <v>2429.1499999999996</v>
      </c>
      <c r="GO24" s="5">
        <v>3.7572541578734993</v>
      </c>
      <c r="GP24" s="8">
        <v>3.0364374999999996E-2</v>
      </c>
      <c r="GQ24" s="8">
        <v>6.4607245591255857E-2</v>
      </c>
      <c r="GR24" s="5"/>
      <c r="GS24" s="21">
        <v>85168.579647300474</v>
      </c>
      <c r="GT24" s="22">
        <v>89878.549999999988</v>
      </c>
      <c r="GV24" s="16" t="s">
        <v>1005</v>
      </c>
      <c r="GW24" s="32" t="s">
        <v>731</v>
      </c>
      <c r="GX24" s="32">
        <v>7974</v>
      </c>
      <c r="GY24" s="32" t="s">
        <v>1568</v>
      </c>
      <c r="GZ24" s="32"/>
      <c r="HA24" s="30" t="s">
        <v>902</v>
      </c>
      <c r="HB24" s="30" t="s">
        <v>26</v>
      </c>
      <c r="HC24" s="30" t="s">
        <v>320</v>
      </c>
      <c r="HD24" s="30" t="s">
        <v>28</v>
      </c>
      <c r="HE24" s="30" t="s">
        <v>94</v>
      </c>
      <c r="HF24" s="17">
        <v>8698</v>
      </c>
      <c r="HG24" s="33">
        <f t="shared" si="10"/>
        <v>1.8315545000563212E-2</v>
      </c>
      <c r="HH24" s="33">
        <f t="shared" si="29"/>
        <v>1.7398387315656173E-2</v>
      </c>
      <c r="HJ24" s="1">
        <v>6.3369999999999998E-3</v>
      </c>
      <c r="HK24" s="18">
        <v>54193.607900372102</v>
      </c>
      <c r="HL24" s="11">
        <v>2987109.7216159953</v>
      </c>
      <c r="HM24" s="5"/>
      <c r="HN24" s="11">
        <v>100</v>
      </c>
      <c r="HO24" s="11">
        <v>5511.922599999999</v>
      </c>
      <c r="HP24" s="5">
        <v>1.0633266875300877</v>
      </c>
      <c r="HQ24" s="8">
        <v>1.7224758124999996E-2</v>
      </c>
      <c r="HR24" s="8">
        <v>-5.9555250773573709E-2</v>
      </c>
      <c r="HS24" s="5"/>
      <c r="HT24" s="21">
        <v>300942.31975245645</v>
      </c>
      <c r="HU24" s="22">
        <v>203941.13619999995</v>
      </c>
      <c r="HW24" s="16" t="s">
        <v>1017</v>
      </c>
      <c r="HX24" s="32" t="s">
        <v>206</v>
      </c>
      <c r="HY24" s="32">
        <v>2388</v>
      </c>
      <c r="HZ24" s="32" t="s">
        <v>1594</v>
      </c>
      <c r="IA24" s="32"/>
      <c r="IB24" s="30" t="s">
        <v>862</v>
      </c>
      <c r="IC24" s="30" t="s">
        <v>26</v>
      </c>
      <c r="ID24" s="30" t="s">
        <v>27</v>
      </c>
      <c r="IE24" s="30" t="s">
        <v>28</v>
      </c>
      <c r="IF24" s="30" t="s">
        <v>82</v>
      </c>
      <c r="IG24" s="17">
        <v>42.3</v>
      </c>
      <c r="IH24" s="33">
        <f t="shared" si="11"/>
        <v>4.5519979505126866E-2</v>
      </c>
      <c r="II24" s="33">
        <f t="shared" si="12"/>
        <v>4.3267273109890668E-2</v>
      </c>
      <c r="IK24" s="1">
        <v>1</v>
      </c>
      <c r="IL24" s="18">
        <v>203968.87915966701</v>
      </c>
      <c r="IM24" s="11">
        <v>8627883.5884539131</v>
      </c>
      <c r="IN24" s="5"/>
      <c r="IO24" s="11">
        <v>500</v>
      </c>
      <c r="IP24" s="11">
        <v>21150</v>
      </c>
      <c r="IQ24" s="5">
        <v>0.68871836603501646</v>
      </c>
      <c r="IR24" s="8">
        <v>6.6093750000000007E-2</v>
      </c>
      <c r="IS24" s="8">
        <v>0.45197231454280296</v>
      </c>
      <c r="IT24" s="5"/>
      <c r="IU24" s="21">
        <v>464631.1406536969</v>
      </c>
      <c r="IV24" s="22">
        <v>782550</v>
      </c>
      <c r="IX24" s="16" t="s">
        <v>981</v>
      </c>
      <c r="IY24" s="32" t="s">
        <v>233</v>
      </c>
      <c r="IZ24" s="32" t="s">
        <v>424</v>
      </c>
      <c r="JA24" s="32" t="s">
        <v>1546</v>
      </c>
      <c r="JB24" s="32"/>
      <c r="JC24" s="30" t="s">
        <v>850</v>
      </c>
      <c r="JD24" s="30" t="s">
        <v>26</v>
      </c>
      <c r="JE24" s="30" t="s">
        <v>33</v>
      </c>
      <c r="JF24" s="30" t="s">
        <v>28</v>
      </c>
      <c r="JG24" s="30" t="s">
        <v>34</v>
      </c>
      <c r="JH24" s="17">
        <v>120.38</v>
      </c>
      <c r="JI24" s="33">
        <f t="shared" si="30"/>
        <v>2.5514798696369839E-2</v>
      </c>
      <c r="JJ24" s="33">
        <f t="shared" si="13"/>
        <v>2.4237755827835356E-2</v>
      </c>
      <c r="JL24" s="1">
        <v>1</v>
      </c>
      <c r="JM24" s="18">
        <v>25857.125990864701</v>
      </c>
      <c r="JN24" s="11">
        <v>3112680.8267802927</v>
      </c>
      <c r="JO24" s="5"/>
      <c r="JP24" s="11">
        <v>1</v>
      </c>
      <c r="JQ24" s="11">
        <v>120.38</v>
      </c>
      <c r="JR24" s="5">
        <v>67.824685021086125</v>
      </c>
      <c r="JS24" s="8">
        <v>2.5580749999999999E-2</v>
      </c>
      <c r="JT24" s="8">
        <v>2.5848255522213925E-3</v>
      </c>
      <c r="JU24" s="5"/>
      <c r="JV24" s="21">
        <v>4718.0462378928059</v>
      </c>
      <c r="JW24" s="22">
        <v>4454.0599999999995</v>
      </c>
      <c r="JY24" s="16" t="s">
        <v>1059</v>
      </c>
      <c r="JZ24" s="32" t="s">
        <v>244</v>
      </c>
      <c r="KA24" s="32" t="s">
        <v>354</v>
      </c>
      <c r="KB24" s="32" t="s">
        <v>1627</v>
      </c>
      <c r="KC24" s="32"/>
      <c r="KD24" s="30" t="s">
        <v>968</v>
      </c>
      <c r="KE24" s="30" t="s">
        <v>26</v>
      </c>
      <c r="KF24" s="30" t="s">
        <v>326</v>
      </c>
      <c r="KG24" s="30" t="s">
        <v>28</v>
      </c>
      <c r="KH24" s="30" t="s">
        <v>83</v>
      </c>
      <c r="KI24" s="17">
        <v>19.3</v>
      </c>
      <c r="KJ24" s="33">
        <f t="shared" si="31"/>
        <v>2.9047564203176824E-2</v>
      </c>
      <c r="KK24" s="33">
        <f t="shared" si="32"/>
        <v>2.7599665543520932E-2</v>
      </c>
      <c r="KM24" s="1">
        <v>1.1607000000000001</v>
      </c>
      <c r="KN24" s="18">
        <v>128761.444384277</v>
      </c>
      <c r="KO24" s="11">
        <v>2884450.783988825</v>
      </c>
      <c r="KP24" s="5"/>
      <c r="KQ24" s="11">
        <v>1</v>
      </c>
      <c r="KR24" s="11">
        <v>22.401510000000002</v>
      </c>
      <c r="KS24" s="5">
        <v>414.93723168735426</v>
      </c>
      <c r="KT24" s="8">
        <v>2.9051958281250002E-2</v>
      </c>
      <c r="KU24" s="8">
        <v>1.5127182583851706E-4</v>
      </c>
      <c r="KV24" s="5"/>
      <c r="KW24" s="21">
        <v>771.20098068498396</v>
      </c>
      <c r="KX24" s="22">
        <v>828.85586999999998</v>
      </c>
      <c r="LK24" s="62" t="s">
        <v>86</v>
      </c>
      <c r="LL24" s="63">
        <v>100000</v>
      </c>
      <c r="LN24" s="1"/>
      <c r="LO24" s="26"/>
      <c r="LP24" s="11"/>
      <c r="LQ24" s="5"/>
      <c r="LR24" s="11"/>
      <c r="LS24" s="11"/>
      <c r="LT24" s="5"/>
      <c r="LU24" s="8"/>
      <c r="LV24" s="8"/>
      <c r="LW24" s="5"/>
      <c r="LX24" s="21"/>
      <c r="LY24" s="22"/>
      <c r="MA24" s="16" t="s">
        <v>1085</v>
      </c>
      <c r="MB24" s="32" t="s">
        <v>66</v>
      </c>
      <c r="MC24" s="32" t="s">
        <v>67</v>
      </c>
      <c r="MD24" s="32" t="s">
        <v>1655</v>
      </c>
      <c r="ME24" s="32"/>
      <c r="MF24" s="30" t="s">
        <v>853</v>
      </c>
      <c r="MG24" s="30" t="s">
        <v>26</v>
      </c>
      <c r="MH24" s="30" t="s">
        <v>33</v>
      </c>
      <c r="MI24" s="30" t="s">
        <v>28</v>
      </c>
      <c r="MJ24" s="30" t="s">
        <v>34</v>
      </c>
      <c r="MK24" s="17">
        <v>160.69999999999999</v>
      </c>
      <c r="ML24" s="33">
        <f t="shared" si="16"/>
        <v>2.865557464658245E-2</v>
      </c>
      <c r="MM24" s="33">
        <f t="shared" si="17"/>
        <v>2.7205536119468555E-2</v>
      </c>
      <c r="MO24" s="1">
        <v>1</v>
      </c>
      <c r="MP24" s="18">
        <v>32035.453000546499</v>
      </c>
      <c r="MQ24" s="11">
        <v>5148097.2971878219</v>
      </c>
      <c r="MR24" s="5"/>
      <c r="MS24" s="11">
        <v>1</v>
      </c>
      <c r="MT24" s="11">
        <v>160.69999999999999</v>
      </c>
      <c r="MU24" s="5">
        <v>57.061505207880423</v>
      </c>
      <c r="MV24" s="8">
        <v>2.8624687499999999E-2</v>
      </c>
      <c r="MW24" s="8">
        <v>-1.0778756651503851E-3</v>
      </c>
      <c r="MX24" s="5"/>
      <c r="MY24" s="21">
        <v>5607.9838559149448</v>
      </c>
      <c r="MZ24" s="22">
        <v>5945.9</v>
      </c>
      <c r="NB24" s="16" t="s">
        <v>1415</v>
      </c>
      <c r="NC24" s="32" t="s">
        <v>1409</v>
      </c>
      <c r="ND24" s="32" t="s">
        <v>1412</v>
      </c>
      <c r="NE24" s="32" t="s">
        <v>1657</v>
      </c>
      <c r="NF24" s="32"/>
      <c r="NG24" s="30" t="s">
        <v>850</v>
      </c>
      <c r="NH24" s="30" t="s">
        <v>26</v>
      </c>
      <c r="NI24" s="30" t="s">
        <v>33</v>
      </c>
      <c r="NJ24" s="30" t="s">
        <v>28</v>
      </c>
      <c r="NK24" s="30" t="s">
        <v>34</v>
      </c>
      <c r="NL24" s="17">
        <v>99.14</v>
      </c>
      <c r="NM24" s="33">
        <f t="shared" si="18"/>
        <v>3.7065848558487331E-2</v>
      </c>
      <c r="NN24" s="33">
        <f t="shared" si="19"/>
        <v>3.5185714518045544E-2</v>
      </c>
      <c r="NP24" s="1">
        <v>1</v>
      </c>
      <c r="NQ24" s="18">
        <v>63915.716340338702</v>
      </c>
      <c r="NR24" s="11">
        <v>6336604.1179811787</v>
      </c>
      <c r="NS24" s="5"/>
      <c r="NT24" s="11">
        <v>1</v>
      </c>
      <c r="NU24" s="11">
        <v>99.14</v>
      </c>
      <c r="NV24" s="5">
        <v>119.63961608549471</v>
      </c>
      <c r="NW24" s="8">
        <v>3.7177499999999995E-2</v>
      </c>
      <c r="NX24" s="8">
        <v>3.0122456615686577E-3</v>
      </c>
      <c r="NY24" s="5"/>
      <c r="NZ24" s="21">
        <v>2674.6993217641834</v>
      </c>
      <c r="OA24" s="22">
        <v>3668.18</v>
      </c>
      <c r="OC24" s="16" t="s">
        <v>1098</v>
      </c>
      <c r="OD24" s="44" t="s">
        <v>715</v>
      </c>
      <c r="OE24" s="32" t="s">
        <v>717</v>
      </c>
      <c r="OF24" s="32" t="s">
        <v>1658</v>
      </c>
      <c r="OG24" s="44"/>
      <c r="OH24" s="30" t="s">
        <v>886</v>
      </c>
      <c r="OI24" s="30" t="s">
        <v>26</v>
      </c>
      <c r="OJ24" s="30" t="s">
        <v>39</v>
      </c>
      <c r="OK24" s="30" t="s">
        <v>28</v>
      </c>
      <c r="OL24" s="51" t="s">
        <v>83</v>
      </c>
      <c r="OM24" s="17">
        <v>75.8</v>
      </c>
      <c r="ON24" s="33">
        <f t="shared" si="20"/>
        <v>2.9564672161991417E-2</v>
      </c>
      <c r="OO24" s="33">
        <f t="shared" si="33"/>
        <v>2.8033430567505884E-2</v>
      </c>
      <c r="OQ24" s="1">
        <v>1</v>
      </c>
      <c r="OR24" s="18">
        <v>71831.512184098901</v>
      </c>
      <c r="OS24" s="11">
        <v>5444828.6235546963</v>
      </c>
      <c r="OT24" s="5"/>
      <c r="OU24" s="11">
        <v>1</v>
      </c>
      <c r="OV24" s="11">
        <v>75.8</v>
      </c>
      <c r="OW24" s="5">
        <v>124.81128089495057</v>
      </c>
      <c r="OX24" s="8">
        <v>2.9609375E-2</v>
      </c>
      <c r="OY24" s="8">
        <v>1.5120356404985102E-3</v>
      </c>
      <c r="OZ24" s="5"/>
      <c r="PA24" s="21">
        <v>2563.8708112396757</v>
      </c>
      <c r="PB24" s="22">
        <v>2804.6</v>
      </c>
      <c r="PD24" s="16" t="s">
        <v>1110</v>
      </c>
      <c r="PE24" s="45" t="s">
        <v>722</v>
      </c>
      <c r="PF24" s="45">
        <v>9143</v>
      </c>
      <c r="PG24" s="32" t="s">
        <v>1692</v>
      </c>
      <c r="PH24" s="45"/>
      <c r="PI24" s="30" t="s">
        <v>902</v>
      </c>
      <c r="PJ24" s="30" t="s">
        <v>26</v>
      </c>
      <c r="PK24" s="71" t="s">
        <v>320</v>
      </c>
      <c r="PL24" s="30" t="s">
        <v>28</v>
      </c>
      <c r="PM24" s="30" t="s">
        <v>94</v>
      </c>
      <c r="PN24" s="17">
        <v>1462</v>
      </c>
      <c r="PO24" s="33">
        <f t="shared" si="21"/>
        <v>4.359831181335725E-2</v>
      </c>
      <c r="PP24" s="33">
        <f t="shared" si="22"/>
        <v>4.1416146070544509E-2</v>
      </c>
      <c r="PR24" s="1">
        <v>1</v>
      </c>
      <c r="PS24" s="18">
        <v>5747.0860417031599</v>
      </c>
      <c r="PT24" s="11">
        <v>8402239.7929700203</v>
      </c>
      <c r="PU24" s="5"/>
      <c r="PV24" s="11">
        <v>100</v>
      </c>
      <c r="PW24" s="11">
        <v>146200</v>
      </c>
      <c r="PX24" s="5">
        <v>9.5427221479304505E-2</v>
      </c>
      <c r="PY24" s="8">
        <v>0</v>
      </c>
      <c r="PZ24" s="8">
        <v>-1</v>
      </c>
      <c r="QA24" s="5"/>
      <c r="QB24" s="21">
        <v>3353340.8501199945</v>
      </c>
      <c r="QC24" s="22">
        <v>5409400</v>
      </c>
      <c r="QE24" s="16" t="s">
        <v>1130</v>
      </c>
      <c r="QF24" s="34" t="s">
        <v>616</v>
      </c>
      <c r="QG24" s="34"/>
      <c r="QH24" s="32" t="s">
        <v>1710</v>
      </c>
      <c r="QI24" s="34"/>
      <c r="QJ24" s="30" t="s">
        <v>886</v>
      </c>
      <c r="QK24" s="30" t="s">
        <v>26</v>
      </c>
      <c r="QL24" s="30"/>
      <c r="QM24" s="30" t="s">
        <v>28</v>
      </c>
      <c r="QN24" s="30" t="s">
        <v>83</v>
      </c>
      <c r="QO24" s="17">
        <v>236.4</v>
      </c>
      <c r="QP24" s="33">
        <f t="shared" si="23"/>
        <v>4.6760343110526736E-2</v>
      </c>
      <c r="QQ24" s="33">
        <f t="shared" si="24"/>
        <v>4.443373512093144E-2</v>
      </c>
      <c r="QS24" s="1">
        <v>1.1607000000000001</v>
      </c>
      <c r="QT24" s="18">
        <v>19441.168852995899</v>
      </c>
      <c r="QU24" s="11">
        <v>5334452.2121657412</v>
      </c>
      <c r="QV24" s="5"/>
      <c r="QW24" s="11">
        <v>1</v>
      </c>
      <c r="QX24" s="11">
        <v>274.38948000000005</v>
      </c>
      <c r="QY24" s="5">
        <v>54.533103074391022</v>
      </c>
      <c r="QZ24" s="8">
        <v>4.7160691875000008E-2</v>
      </c>
      <c r="RA24" s="8">
        <v>8.5617157155364332E-3</v>
      </c>
      <c r="RB24" s="5"/>
      <c r="RC24" s="21">
        <v>5867.9954368903936</v>
      </c>
      <c r="RD24" s="22">
        <v>10152.410760000001</v>
      </c>
      <c r="RF24" s="16" t="s">
        <v>1040</v>
      </c>
      <c r="RG24" s="34" t="s">
        <v>231</v>
      </c>
      <c r="RH24" s="34"/>
      <c r="RI24" s="32" t="s">
        <v>1605</v>
      </c>
      <c r="RJ24" s="34"/>
      <c r="RK24" s="30" t="s">
        <v>853</v>
      </c>
    </row>
    <row r="25" spans="15:479" x14ac:dyDescent="0.2">
      <c r="O25" s="16" t="s">
        <v>885</v>
      </c>
      <c r="P25" s="32" t="s">
        <v>72</v>
      </c>
      <c r="Q25" s="32" t="s">
        <v>73</v>
      </c>
      <c r="R25" s="32" t="s">
        <v>1447</v>
      </c>
      <c r="S25" s="32"/>
      <c r="T25" s="30" t="s">
        <v>886</v>
      </c>
      <c r="U25" s="30" t="s">
        <v>26</v>
      </c>
      <c r="V25" s="30" t="s">
        <v>39</v>
      </c>
      <c r="W25" s="30" t="s">
        <v>28</v>
      </c>
      <c r="X25" s="30" t="s">
        <v>83</v>
      </c>
      <c r="Y25" s="17">
        <v>66.77</v>
      </c>
      <c r="Z25" s="33">
        <f t="shared" si="0"/>
        <v>2.8816225318923239E-2</v>
      </c>
      <c r="AA25" s="33">
        <f t="shared" si="1"/>
        <v>2.7376382499806617E-2</v>
      </c>
      <c r="AB25" s="4"/>
      <c r="AC25" s="1">
        <v>1.1607000000000001</v>
      </c>
      <c r="AD25" s="18">
        <v>76517.707247722501</v>
      </c>
      <c r="AE25" s="11">
        <v>5930117.6441183519</v>
      </c>
      <c r="AF25" s="5"/>
      <c r="AG25" s="11">
        <v>1</v>
      </c>
      <c r="AH25" s="11">
        <v>77.499938999999998</v>
      </c>
      <c r="AI25" s="5">
        <v>118.98321754879622</v>
      </c>
      <c r="AJ25" s="8">
        <v>2.8820289815625001E-2</v>
      </c>
      <c r="AK25" s="8">
        <v>1.4104889369703777E-4</v>
      </c>
      <c r="AL25" s="5"/>
      <c r="AM25" s="21">
        <v>2689.4549213948158</v>
      </c>
      <c r="AN25" s="22">
        <v>2867.4977429999999</v>
      </c>
      <c r="AP25" s="16" t="s">
        <v>906</v>
      </c>
      <c r="AQ25" s="32" t="s">
        <v>235</v>
      </c>
      <c r="AR25" s="32" t="s">
        <v>368</v>
      </c>
      <c r="AS25" s="32" t="s">
        <v>1480</v>
      </c>
      <c r="AT25" s="32"/>
      <c r="AU25" s="30" t="s">
        <v>850</v>
      </c>
      <c r="AV25" s="30" t="s">
        <v>26</v>
      </c>
      <c r="AW25" s="30" t="s">
        <v>33</v>
      </c>
      <c r="AX25" s="30" t="s">
        <v>28</v>
      </c>
      <c r="AY25" s="30" t="s">
        <v>34</v>
      </c>
      <c r="AZ25" s="17">
        <v>196.06</v>
      </c>
      <c r="BA25" s="33">
        <f t="shared" si="2"/>
        <v>3.1068290941011531E-2</v>
      </c>
      <c r="BB25" s="33">
        <f t="shared" si="25"/>
        <v>2.9504853718571179E-2</v>
      </c>
      <c r="BD25" s="1">
        <v>1</v>
      </c>
      <c r="BE25" s="18">
        <v>26089.984113462699</v>
      </c>
      <c r="BF25" s="11">
        <v>5115202.2852854971</v>
      </c>
      <c r="BG25" s="5"/>
      <c r="BH25" s="11">
        <v>1</v>
      </c>
      <c r="BI25" s="11">
        <v>196.06</v>
      </c>
      <c r="BJ25" s="5">
        <v>50.708217388165309</v>
      </c>
      <c r="BK25" s="8">
        <v>3.1247062499999999E-2</v>
      </c>
      <c r="BL25" s="8">
        <v>5.7541484765897266E-3</v>
      </c>
      <c r="BM25" s="5"/>
      <c r="BN25" s="21">
        <v>6310.6142649511512</v>
      </c>
      <c r="BO25" s="22">
        <v>7254.2199999999993</v>
      </c>
      <c r="CB25" s="64" t="s">
        <v>85</v>
      </c>
      <c r="CC25" s="65">
        <v>5000</v>
      </c>
      <c r="CR25" s="16" t="s">
        <v>34</v>
      </c>
      <c r="CS25" s="32" t="s">
        <v>34</v>
      </c>
      <c r="CT25" s="32"/>
      <c r="CU25" s="72"/>
      <c r="CV25" s="32"/>
      <c r="CW25" s="30"/>
      <c r="CX25" s="30"/>
      <c r="CY25" s="30"/>
      <c r="CZ25" s="30" t="s">
        <v>80</v>
      </c>
      <c r="DA25" s="30" t="s">
        <v>34</v>
      </c>
      <c r="DB25" s="17">
        <v>1</v>
      </c>
      <c r="DC25" s="33">
        <f t="shared" si="4"/>
        <v>4.6672362476942097E-3</v>
      </c>
      <c r="DD25" s="33">
        <f>DD32</f>
        <v>5.475E-2</v>
      </c>
      <c r="DF25" s="1">
        <v>1</v>
      </c>
      <c r="DG25" s="18">
        <v>846433.71141730703</v>
      </c>
      <c r="DH25" s="11">
        <v>846433.71141730703</v>
      </c>
      <c r="DI25" s="5"/>
      <c r="DJ25" s="11">
        <v>1</v>
      </c>
      <c r="DK25" s="11">
        <v>1</v>
      </c>
      <c r="DL25" s="5">
        <v>1493.5155992621471</v>
      </c>
      <c r="DM25" s="8">
        <v>4.6687500000000002E-3</v>
      </c>
      <c r="DN25" s="8">
        <v>3.2433590790237332E-4</v>
      </c>
      <c r="DO25" s="5"/>
      <c r="DP25" s="21">
        <v>214.25956324667251</v>
      </c>
      <c r="DQ25" s="22">
        <v>37</v>
      </c>
      <c r="DS25" s="16" t="s">
        <v>958</v>
      </c>
      <c r="DT25" s="45" t="s">
        <v>159</v>
      </c>
      <c r="DU25" s="45" t="s">
        <v>160</v>
      </c>
      <c r="DV25" s="32" t="s">
        <v>1527</v>
      </c>
      <c r="DW25" s="45"/>
      <c r="DX25" s="30" t="s">
        <v>777</v>
      </c>
      <c r="DY25" s="30" t="s">
        <v>26</v>
      </c>
      <c r="DZ25" s="30" t="s">
        <v>129</v>
      </c>
      <c r="EA25" s="30" t="s">
        <v>28</v>
      </c>
      <c r="EB25" s="43" t="s">
        <v>827</v>
      </c>
      <c r="EC25" s="17">
        <v>1.0979999999999999</v>
      </c>
      <c r="ED25" s="33">
        <f t="shared" si="27"/>
        <v>5.6488914120001253E-2</v>
      </c>
      <c r="EE25" s="33">
        <f t="shared" si="28"/>
        <v>5.3585825192732646E-2</v>
      </c>
      <c r="EG25" s="1">
        <v>1</v>
      </c>
      <c r="EH25" s="18">
        <v>8490090.6921071392</v>
      </c>
      <c r="EI25" s="11">
        <v>9322119.5799336378</v>
      </c>
      <c r="EJ25" s="5"/>
      <c r="EK25" s="11">
        <v>1</v>
      </c>
      <c r="EL25" s="11">
        <v>1.0979999999999999</v>
      </c>
      <c r="EM25" s="5">
        <v>16463.071510382881</v>
      </c>
      <c r="EN25" s="8">
        <v>5.6488668749999985E-2</v>
      </c>
      <c r="EO25" s="8">
        <v>-4.3436841562494166E-6</v>
      </c>
      <c r="EP25" s="5"/>
      <c r="EQ25" s="21">
        <v>19.437442144267148</v>
      </c>
      <c r="ER25" s="22">
        <v>40.625999999999991</v>
      </c>
      <c r="ET25" s="16" t="s">
        <v>863</v>
      </c>
      <c r="EU25" s="32" t="s">
        <v>45</v>
      </c>
      <c r="EV25" s="32" t="s">
        <v>46</v>
      </c>
      <c r="EW25" s="32" t="s">
        <v>1452</v>
      </c>
      <c r="EX25" s="32"/>
      <c r="EY25" s="30" t="s">
        <v>853</v>
      </c>
      <c r="EZ25" s="30" t="s">
        <v>26</v>
      </c>
      <c r="FA25" s="30" t="s">
        <v>33</v>
      </c>
      <c r="FB25" s="30" t="s">
        <v>28</v>
      </c>
      <c r="FC25" s="30" t="s">
        <v>34</v>
      </c>
      <c r="FD25" s="17">
        <v>80.010000000000005</v>
      </c>
      <c r="FE25" s="33">
        <f t="shared" si="6"/>
        <v>3.1449007778813862E-2</v>
      </c>
      <c r="FF25" s="33">
        <f t="shared" si="7"/>
        <v>2.9875725977583419E-2</v>
      </c>
      <c r="FH25" s="1">
        <v>1</v>
      </c>
      <c r="FI25" s="18">
        <v>80547.101960570595</v>
      </c>
      <c r="FJ25" s="11">
        <v>6444573.6278652539</v>
      </c>
      <c r="FK25" s="5"/>
      <c r="FL25" s="11">
        <v>1</v>
      </c>
      <c r="FM25" s="11">
        <v>80.010000000000005</v>
      </c>
      <c r="FN25" s="5">
        <v>125.78030857668334</v>
      </c>
      <c r="FO25" s="8">
        <v>3.1503937500000002E-2</v>
      </c>
      <c r="FP25" s="8">
        <v>1.7466281153437624E-3</v>
      </c>
      <c r="FQ25" s="5"/>
      <c r="FR25" s="21">
        <v>2544.1184206103967</v>
      </c>
      <c r="FS25" s="22">
        <v>2960.37</v>
      </c>
      <c r="FU25" s="16" t="s">
        <v>976</v>
      </c>
      <c r="FV25" s="32" t="s">
        <v>181</v>
      </c>
      <c r="FW25" s="32">
        <v>4307</v>
      </c>
      <c r="FX25" s="32" t="s">
        <v>1542</v>
      </c>
      <c r="FY25" s="32"/>
      <c r="FZ25" s="30" t="s">
        <v>902</v>
      </c>
      <c r="GA25" s="30" t="s">
        <v>26</v>
      </c>
      <c r="GB25" s="30" t="s">
        <v>320</v>
      </c>
      <c r="GC25" s="30" t="s">
        <v>28</v>
      </c>
      <c r="GD25" s="30" t="s">
        <v>94</v>
      </c>
      <c r="GE25" s="17">
        <v>4392</v>
      </c>
      <c r="GF25" s="33">
        <f t="shared" si="8"/>
        <v>2.2434178500305768E-2</v>
      </c>
      <c r="GG25" s="33">
        <f t="shared" si="9"/>
        <v>2.131144885238977E-2</v>
      </c>
      <c r="GI25" s="1">
        <v>6.3369999999999998E-3</v>
      </c>
      <c r="GJ25" s="18">
        <v>166850.857087262</v>
      </c>
      <c r="GK25" s="11">
        <v>4643810.4069418134</v>
      </c>
      <c r="GL25" s="5"/>
      <c r="GM25" s="11">
        <v>100</v>
      </c>
      <c r="GN25" s="11">
        <v>2783.2103999999995</v>
      </c>
      <c r="GO25" s="5">
        <v>2.5793727704157212</v>
      </c>
      <c r="GP25" s="8">
        <v>2.6092597499999995E-2</v>
      </c>
      <c r="GQ25" s="8">
        <v>0.16307345506965465</v>
      </c>
      <c r="GR25" s="5"/>
      <c r="GS25" s="21">
        <v>124061.16854076317</v>
      </c>
      <c r="GT25" s="22">
        <v>102978.78479999998</v>
      </c>
      <c r="GV25" s="16" t="s">
        <v>1006</v>
      </c>
      <c r="GW25" s="32" t="s">
        <v>285</v>
      </c>
      <c r="GX25" s="32">
        <v>9432</v>
      </c>
      <c r="GY25" s="32" t="s">
        <v>1569</v>
      </c>
      <c r="GZ25" s="32"/>
      <c r="HA25" s="30" t="s">
        <v>902</v>
      </c>
      <c r="HB25" s="30" t="s">
        <v>26</v>
      </c>
      <c r="HC25" s="30" t="s">
        <v>320</v>
      </c>
      <c r="HD25" s="30" t="s">
        <v>28</v>
      </c>
      <c r="HE25" s="30" t="s">
        <v>94</v>
      </c>
      <c r="HF25" s="17">
        <v>151.6</v>
      </c>
      <c r="HG25" s="33">
        <f t="shared" si="10"/>
        <v>2.6692716213359901E-2</v>
      </c>
      <c r="HH25" s="33">
        <f t="shared" si="29"/>
        <v>2.5356068583962416E-2</v>
      </c>
      <c r="HJ25" s="1">
        <v>6.3369999999999998E-3</v>
      </c>
      <c r="HK25" s="18">
        <v>4531491.71130767</v>
      </c>
      <c r="HL25" s="11">
        <v>4353355.1469427962</v>
      </c>
      <c r="HM25" s="5"/>
      <c r="HN25" s="11">
        <v>100</v>
      </c>
      <c r="HO25" s="11">
        <v>96.068919999999991</v>
      </c>
      <c r="HP25" s="5">
        <v>88.911889383946118</v>
      </c>
      <c r="HQ25" s="8">
        <v>2.6719168374999998E-2</v>
      </c>
      <c r="HR25" s="8">
        <v>9.909880069400856E-4</v>
      </c>
      <c r="HS25" s="5"/>
      <c r="HT25" s="21">
        <v>3599.0687209238299</v>
      </c>
      <c r="HU25" s="22">
        <v>3554.5500399999996</v>
      </c>
      <c r="HW25" s="16" t="s">
        <v>1025</v>
      </c>
      <c r="HX25" s="44" t="s">
        <v>213</v>
      </c>
      <c r="HY25" s="32">
        <v>6823</v>
      </c>
      <c r="HZ25" s="32" t="s">
        <v>1595</v>
      </c>
      <c r="IA25" s="44"/>
      <c r="IB25" s="30" t="s">
        <v>862</v>
      </c>
      <c r="IC25" s="30" t="s">
        <v>26</v>
      </c>
      <c r="ID25" s="30" t="s">
        <v>27</v>
      </c>
      <c r="IE25" s="30" t="s">
        <v>28</v>
      </c>
      <c r="IF25" s="30" t="s">
        <v>82</v>
      </c>
      <c r="IG25" s="17">
        <v>12.21</v>
      </c>
      <c r="IH25" s="33">
        <f t="shared" si="11"/>
        <v>4.4498382936176931E-2</v>
      </c>
      <c r="II25" s="33">
        <f t="shared" si="12"/>
        <v>4.2296233618277855E-2</v>
      </c>
      <c r="IK25" s="1">
        <v>1</v>
      </c>
      <c r="IL25" s="18">
        <v>690765.73105296597</v>
      </c>
      <c r="IM25" s="11">
        <v>8434249.5761567149</v>
      </c>
      <c r="IN25" s="5"/>
      <c r="IO25" s="11">
        <v>1000</v>
      </c>
      <c r="IP25" s="11">
        <v>12210</v>
      </c>
      <c r="IQ25" s="5">
        <v>1.1662147862061112</v>
      </c>
      <c r="IR25" s="8">
        <v>3.8156250000000003E-2</v>
      </c>
      <c r="IS25" s="8">
        <v>-0.1425250204096925</v>
      </c>
      <c r="IT25" s="5"/>
      <c r="IU25" s="21">
        <v>274391.99346889841</v>
      </c>
      <c r="IV25" s="22">
        <v>451770</v>
      </c>
      <c r="IX25" s="16" t="s">
        <v>1044</v>
      </c>
      <c r="IY25" s="32" t="s">
        <v>234</v>
      </c>
      <c r="IZ25" s="32" t="s">
        <v>425</v>
      </c>
      <c r="JA25" s="32" t="s">
        <v>1609</v>
      </c>
      <c r="JB25" s="32"/>
      <c r="JC25" s="30" t="s">
        <v>855</v>
      </c>
      <c r="JD25" s="30" t="s">
        <v>26</v>
      </c>
      <c r="JE25" s="30" t="s">
        <v>61</v>
      </c>
      <c r="JF25" s="30" t="s">
        <v>28</v>
      </c>
      <c r="JG25" s="30" t="s">
        <v>83</v>
      </c>
      <c r="JH25" s="17">
        <v>227.05</v>
      </c>
      <c r="JI25" s="33">
        <f t="shared" si="30"/>
        <v>3.5697864884170614E-2</v>
      </c>
      <c r="JJ25" s="33">
        <f t="shared" si="13"/>
        <v>3.3911148699781367E-2</v>
      </c>
      <c r="JL25" s="1">
        <v>1.1607000000000001</v>
      </c>
      <c r="JM25" s="18">
        <v>16525.065709049999</v>
      </c>
      <c r="JN25" s="11">
        <v>4354965.1676366385</v>
      </c>
      <c r="JO25" s="5"/>
      <c r="JP25" s="11">
        <v>1</v>
      </c>
      <c r="JQ25" s="11">
        <v>263.53693500000003</v>
      </c>
      <c r="JR25" s="5">
        <v>43.346169913278366</v>
      </c>
      <c r="JS25" s="8">
        <v>3.5412775640625005E-2</v>
      </c>
      <c r="JT25" s="8">
        <v>-7.9861707267547821E-3</v>
      </c>
      <c r="JU25" s="5"/>
      <c r="JV25" s="21">
        <v>7382.428496917174</v>
      </c>
      <c r="JW25" s="22">
        <v>9750.8665950000013</v>
      </c>
      <c r="JY25" s="16" t="s">
        <v>1060</v>
      </c>
      <c r="JZ25" s="32" t="s">
        <v>245</v>
      </c>
      <c r="KA25" s="32" t="s">
        <v>397</v>
      </c>
      <c r="KB25" s="32" t="s">
        <v>1628</v>
      </c>
      <c r="KC25" s="32"/>
      <c r="KD25" s="30" t="s">
        <v>850</v>
      </c>
      <c r="KE25" s="30" t="s">
        <v>26</v>
      </c>
      <c r="KF25" s="30" t="s">
        <v>33</v>
      </c>
      <c r="KG25" s="30" t="s">
        <v>28</v>
      </c>
      <c r="KH25" s="30" t="s">
        <v>34</v>
      </c>
      <c r="KI25" s="17">
        <v>112.8</v>
      </c>
      <c r="KJ25" s="33">
        <f t="shared" si="31"/>
        <v>2.8566337506215175E-2</v>
      </c>
      <c r="KK25" s="33">
        <f t="shared" si="32"/>
        <v>2.7142425969357179E-2</v>
      </c>
      <c r="KM25" s="1">
        <v>1</v>
      </c>
      <c r="KN25" s="18">
        <v>25147.735059967901</v>
      </c>
      <c r="KO25" s="11">
        <v>2836664.5147643792</v>
      </c>
      <c r="KP25" s="5"/>
      <c r="KQ25" s="11">
        <v>1</v>
      </c>
      <c r="KR25" s="11">
        <v>112.8</v>
      </c>
      <c r="KS25" s="5">
        <v>81.039255336780641</v>
      </c>
      <c r="KT25" s="8">
        <v>2.8552499999999998E-2</v>
      </c>
      <c r="KU25" s="8">
        <v>-4.8439903127817097E-4</v>
      </c>
      <c r="KV25" s="5"/>
      <c r="KW25" s="21">
        <v>3948.703608765321</v>
      </c>
      <c r="KX25" s="22">
        <v>4173.5999999999995</v>
      </c>
      <c r="LK25" s="64" t="s">
        <v>85</v>
      </c>
      <c r="LL25" s="65">
        <v>5000</v>
      </c>
      <c r="LN25" s="1"/>
      <c r="LO25" s="26"/>
      <c r="LP25" s="11"/>
      <c r="LQ25" s="5"/>
      <c r="LR25" s="11"/>
      <c r="LS25" s="11"/>
      <c r="LT25" s="5"/>
      <c r="LU25" s="8"/>
      <c r="LV25" s="8"/>
      <c r="LW25" s="5"/>
      <c r="LX25" s="21"/>
      <c r="LY25" s="22"/>
      <c r="MA25" s="16" t="s">
        <v>1008</v>
      </c>
      <c r="MB25" s="32" t="s">
        <v>198</v>
      </c>
      <c r="MC25" s="32">
        <v>857</v>
      </c>
      <c r="MD25" s="32" t="s">
        <v>1571</v>
      </c>
      <c r="ME25" s="32"/>
      <c r="MF25" s="30" t="s">
        <v>862</v>
      </c>
      <c r="MG25" s="30" t="s">
        <v>26</v>
      </c>
      <c r="MH25" s="30" t="s">
        <v>27</v>
      </c>
      <c r="MI25" s="30" t="s">
        <v>28</v>
      </c>
      <c r="MJ25" s="30" t="s">
        <v>82</v>
      </c>
      <c r="MK25" s="17">
        <v>10.29</v>
      </c>
      <c r="ML25" s="33">
        <f t="shared" si="16"/>
        <v>3.2688692373366184E-2</v>
      </c>
      <c r="MM25" s="33">
        <f t="shared" si="17"/>
        <v>3.1034568736798031E-2</v>
      </c>
      <c r="MO25" s="1">
        <v>0.12784999999999999</v>
      </c>
      <c r="MP25" s="18">
        <v>4463947.3662642399</v>
      </c>
      <c r="MQ25" s="11">
        <v>5872664.252294126</v>
      </c>
      <c r="MR25" s="5"/>
      <c r="MS25" s="11">
        <v>2000</v>
      </c>
      <c r="MT25" s="11">
        <v>2631.1529999999998</v>
      </c>
      <c r="MU25" s="5">
        <v>3.9755884813529199</v>
      </c>
      <c r="MV25" s="8">
        <v>3.28894125E-2</v>
      </c>
      <c r="MW25" s="8">
        <v>6.140353500262874E-3</v>
      </c>
      <c r="MX25" s="5"/>
      <c r="MY25" s="21">
        <v>80491.228280021023</v>
      </c>
      <c r="MZ25" s="22">
        <v>97352.660999999993</v>
      </c>
      <c r="NB25" s="16" t="s">
        <v>882</v>
      </c>
      <c r="NC25" s="32" t="s">
        <v>270</v>
      </c>
      <c r="ND25" s="32" t="s">
        <v>347</v>
      </c>
      <c r="NE25" s="32" t="s">
        <v>1667</v>
      </c>
      <c r="NF25" s="32"/>
      <c r="NG25" s="30" t="s">
        <v>1091</v>
      </c>
      <c r="NH25" s="30" t="s">
        <v>26</v>
      </c>
      <c r="NI25" s="30" t="s">
        <v>349</v>
      </c>
      <c r="NJ25" s="30" t="s">
        <v>28</v>
      </c>
      <c r="NK25" s="30" t="s">
        <v>34</v>
      </c>
      <c r="NL25" s="17">
        <v>54.19</v>
      </c>
      <c r="NM25" s="33">
        <f t="shared" si="18"/>
        <v>3.5311158967165537E-2</v>
      </c>
      <c r="NN25" s="33">
        <f t="shared" si="19"/>
        <v>3.352003008266527E-2</v>
      </c>
      <c r="NP25" s="1">
        <v>1</v>
      </c>
      <c r="NQ25" s="18">
        <v>111397.50123411301</v>
      </c>
      <c r="NR25" s="11">
        <v>6036630.5918765832</v>
      </c>
      <c r="NS25" s="5"/>
      <c r="NT25" s="11">
        <v>1</v>
      </c>
      <c r="NU25" s="11">
        <v>54.19</v>
      </c>
      <c r="NV25" s="5">
        <v>208.51763922297422</v>
      </c>
      <c r="NW25" s="8">
        <v>3.539284375E-2</v>
      </c>
      <c r="NX25" s="8">
        <v>2.3132852396721137E-3</v>
      </c>
      <c r="NY25" s="5"/>
      <c r="NZ25" s="21">
        <v>1534.6423506061967</v>
      </c>
      <c r="OA25" s="22">
        <v>2005.0299999999997</v>
      </c>
      <c r="OC25" s="16" t="s">
        <v>954</v>
      </c>
      <c r="OD25" s="32" t="s">
        <v>149</v>
      </c>
      <c r="OE25" s="32" t="s">
        <v>150</v>
      </c>
      <c r="OF25" s="32" t="s">
        <v>1523</v>
      </c>
      <c r="OG25" s="32"/>
      <c r="OH25" s="30" t="s">
        <v>777</v>
      </c>
      <c r="OI25" s="30" t="s">
        <v>26</v>
      </c>
      <c r="OJ25" s="30" t="s">
        <v>129</v>
      </c>
      <c r="OK25" s="30" t="s">
        <v>28</v>
      </c>
      <c r="OL25" s="43" t="s">
        <v>827</v>
      </c>
      <c r="OM25" s="17">
        <v>67.87</v>
      </c>
      <c r="ON25" s="33">
        <f t="shared" si="20"/>
        <v>4.5145213978769E-2</v>
      </c>
      <c r="OO25" s="33">
        <f t="shared" si="33"/>
        <v>4.2807010157076948E-2</v>
      </c>
      <c r="OQ25" s="1">
        <v>1.1509</v>
      </c>
      <c r="OR25" s="18">
        <v>106440.62693638699</v>
      </c>
      <c r="OS25" s="11">
        <v>8314245.8655136293</v>
      </c>
      <c r="OT25" s="5"/>
      <c r="OU25" s="11">
        <v>1</v>
      </c>
      <c r="OV25" s="11">
        <v>78.11158300000001</v>
      </c>
      <c r="OW25" s="5">
        <v>184.94655873516322</v>
      </c>
      <c r="OX25" s="8">
        <v>4.5158258921875007E-2</v>
      </c>
      <c r="OY25" s="8">
        <v>2.8895517279292626E-4</v>
      </c>
      <c r="OZ25" s="5"/>
      <c r="PA25" s="21">
        <v>1730.2295440826688</v>
      </c>
      <c r="PB25" s="22">
        <v>2890.1285710000002</v>
      </c>
      <c r="PD25" s="16" t="s">
        <v>1103</v>
      </c>
      <c r="PE25" s="44" t="s">
        <v>719</v>
      </c>
      <c r="PF25" s="44">
        <v>9201</v>
      </c>
      <c r="PG25" s="32" t="s">
        <v>1693</v>
      </c>
      <c r="PH25" s="44"/>
      <c r="PI25" s="30" t="s">
        <v>902</v>
      </c>
      <c r="PJ25" s="30" t="s">
        <v>26</v>
      </c>
      <c r="PK25" s="71" t="s">
        <v>320</v>
      </c>
      <c r="PL25" s="30" t="s">
        <v>28</v>
      </c>
      <c r="PM25" s="30" t="s">
        <v>94</v>
      </c>
      <c r="PN25" s="17">
        <v>2727</v>
      </c>
      <c r="PO25" s="33">
        <f t="shared" si="21"/>
        <v>4.2266173637018019E-2</v>
      </c>
      <c r="PP25" s="33">
        <f t="shared" si="22"/>
        <v>4.0150683555995693E-2</v>
      </c>
      <c r="PR25" s="1">
        <v>1</v>
      </c>
      <c r="PS25" s="18">
        <v>2986.9860448547802</v>
      </c>
      <c r="PT25" s="11">
        <v>8145510.9443189856</v>
      </c>
      <c r="PU25" s="5"/>
      <c r="PV25" s="11">
        <v>100</v>
      </c>
      <c r="PW25" s="11">
        <v>272700</v>
      </c>
      <c r="PX25" s="5">
        <v>4.9597270127780584E-2</v>
      </c>
      <c r="PY25" s="8">
        <v>0</v>
      </c>
      <c r="PZ25" s="8">
        <v>-1</v>
      </c>
      <c r="QA25" s="5"/>
      <c r="QB25" s="21">
        <v>6451968.0050043827</v>
      </c>
      <c r="QC25" s="22">
        <v>10089900</v>
      </c>
      <c r="QE25" s="16" t="s">
        <v>1131</v>
      </c>
      <c r="QF25" s="34" t="s">
        <v>617</v>
      </c>
      <c r="QG25" s="34"/>
      <c r="QH25" s="32" t="s">
        <v>1711</v>
      </c>
      <c r="QI25" s="34"/>
      <c r="QJ25" s="30" t="s">
        <v>902</v>
      </c>
      <c r="QK25" s="30" t="s">
        <v>26</v>
      </c>
      <c r="QL25" s="30"/>
      <c r="QM25" s="30" t="s">
        <v>28</v>
      </c>
      <c r="QN25" s="30" t="s">
        <v>94</v>
      </c>
      <c r="QO25" s="17">
        <v>5514</v>
      </c>
      <c r="QP25" s="33">
        <f t="shared" si="23"/>
        <v>2.4678585936680798E-2</v>
      </c>
      <c r="QQ25" s="33">
        <f t="shared" si="24"/>
        <v>2.3450678025986497E-2</v>
      </c>
      <c r="QS25" s="1">
        <v>6.3369999999999998E-3</v>
      </c>
      <c r="QT25" s="18">
        <v>80571.591499230606</v>
      </c>
      <c r="QU25" s="11">
        <v>2815350.1147730625</v>
      </c>
      <c r="QV25" s="5"/>
      <c r="QW25" s="11">
        <v>100</v>
      </c>
      <c r="QX25" s="11">
        <v>3494.2217999999998</v>
      </c>
      <c r="QY25" s="5">
        <v>2.2600590207919415</v>
      </c>
      <c r="QZ25" s="8">
        <v>2.1838886249999998E-2</v>
      </c>
      <c r="RA25" s="8">
        <v>-0.115067358152804</v>
      </c>
      <c r="RB25" s="5"/>
      <c r="RC25" s="21">
        <v>141589.22269555138</v>
      </c>
      <c r="RD25" s="22">
        <v>129286.20659999999</v>
      </c>
      <c r="RF25" s="16" t="s">
        <v>1337</v>
      </c>
      <c r="RG25" s="34" t="s">
        <v>1311</v>
      </c>
      <c r="RH25" s="34"/>
      <c r="RI25" s="32" t="s">
        <v>1725</v>
      </c>
      <c r="RJ25" s="34"/>
      <c r="RK25" s="30" t="s">
        <v>853</v>
      </c>
    </row>
    <row r="26" spans="15:479" ht="15" thickBot="1" x14ac:dyDescent="0.25">
      <c r="O26" s="16" t="s">
        <v>984</v>
      </c>
      <c r="P26" s="32" t="s">
        <v>183</v>
      </c>
      <c r="Q26" s="32" t="s">
        <v>340</v>
      </c>
      <c r="R26" s="32" t="s">
        <v>1448</v>
      </c>
      <c r="S26" s="32"/>
      <c r="T26" s="30" t="s">
        <v>850</v>
      </c>
      <c r="U26" s="30" t="s">
        <v>26</v>
      </c>
      <c r="V26" s="30" t="s">
        <v>33</v>
      </c>
      <c r="W26" s="30" t="s">
        <v>28</v>
      </c>
      <c r="X26" s="30" t="s">
        <v>34</v>
      </c>
      <c r="Y26" s="17">
        <v>210.56</v>
      </c>
      <c r="Z26" s="33">
        <f t="shared" si="0"/>
        <v>2.5749194346918212E-2</v>
      </c>
      <c r="AA26" s="33">
        <f t="shared" si="1"/>
        <v>2.4462600000569108E-2</v>
      </c>
      <c r="AB26" s="4"/>
      <c r="AC26" s="1">
        <v>1</v>
      </c>
      <c r="AD26" s="18">
        <v>25165.9883426905</v>
      </c>
      <c r="AE26" s="11">
        <v>5298950.5054369112</v>
      </c>
      <c r="AF26" s="5"/>
      <c r="AG26" s="11">
        <v>1</v>
      </c>
      <c r="AH26" s="11">
        <v>210.56</v>
      </c>
      <c r="AI26" s="5">
        <v>39.132514205042874</v>
      </c>
      <c r="AJ26" s="8">
        <v>2.5662000000000001E-2</v>
      </c>
      <c r="AK26" s="8">
        <v>-3.3862941785068879E-3</v>
      </c>
      <c r="AL26" s="5"/>
      <c r="AM26" s="21">
        <v>8177.3432272532764</v>
      </c>
      <c r="AN26" s="22">
        <v>7790.7199999999993</v>
      </c>
      <c r="AP26" s="16" t="s">
        <v>34</v>
      </c>
      <c r="AQ26" s="45" t="s">
        <v>34</v>
      </c>
      <c r="AR26" s="45"/>
      <c r="AS26" s="45"/>
      <c r="AT26" s="45"/>
      <c r="AU26" s="30"/>
      <c r="AV26" s="30"/>
      <c r="AW26" s="30"/>
      <c r="AX26" s="30" t="s">
        <v>80</v>
      </c>
      <c r="AY26" s="30" t="s">
        <v>34</v>
      </c>
      <c r="AZ26" s="17">
        <v>1</v>
      </c>
      <c r="BA26" s="33">
        <f t="shared" si="2"/>
        <v>4.6620026620721212E-3</v>
      </c>
      <c r="BB26" s="33">
        <f>BB33</f>
        <v>5.475E-2</v>
      </c>
      <c r="BD26" s="1">
        <v>1</v>
      </c>
      <c r="BE26" s="18">
        <v>767569.95472702896</v>
      </c>
      <c r="BF26" s="11">
        <v>767569.95472702896</v>
      </c>
      <c r="BG26" s="5"/>
      <c r="BH26" s="11">
        <v>1</v>
      </c>
      <c r="BI26" s="11">
        <v>1</v>
      </c>
      <c r="BJ26" s="5">
        <v>1491.8408518630788</v>
      </c>
      <c r="BK26" s="8">
        <v>4.6625E-3</v>
      </c>
      <c r="BL26" s="8">
        <v>1.066790312937993E-4</v>
      </c>
      <c r="BM26" s="5"/>
      <c r="BN26" s="21">
        <v>214.50009201743566</v>
      </c>
      <c r="BO26" s="22">
        <v>37</v>
      </c>
      <c r="CB26" s="64" t="s">
        <v>88</v>
      </c>
      <c r="CC26" s="66">
        <f>(CC24-CC25)*0.5%</f>
        <v>475</v>
      </c>
      <c r="CR26" s="35" t="s">
        <v>81</v>
      </c>
      <c r="CS26" s="36"/>
      <c r="CT26" s="36"/>
      <c r="CU26" s="36"/>
      <c r="CV26" s="36"/>
      <c r="CW26" s="36"/>
      <c r="CX26" s="36"/>
      <c r="CY26" s="36"/>
      <c r="CZ26" s="36"/>
      <c r="DA26" s="36"/>
      <c r="DB26" s="25" t="s">
        <v>81</v>
      </c>
      <c r="DC26" s="37">
        <f>SUM(DC6:DC25)</f>
        <v>1</v>
      </c>
      <c r="DD26" s="37">
        <f>SUM(DD6:DD25)</f>
        <v>0.99999999999999978</v>
      </c>
      <c r="DF26" s="1"/>
      <c r="DG26" s="26"/>
      <c r="DH26" s="46">
        <v>181356517.32553223</v>
      </c>
      <c r="DI26" s="26"/>
      <c r="DJ26" s="46"/>
      <c r="DK26" s="46"/>
      <c r="DL26" s="26"/>
      <c r="DM26" s="47"/>
      <c r="DN26" s="47"/>
      <c r="DO26" s="26"/>
      <c r="DP26" s="21"/>
      <c r="DQ26" s="22"/>
      <c r="DS26" s="16" t="s">
        <v>161</v>
      </c>
      <c r="DT26" s="32" t="s">
        <v>161</v>
      </c>
      <c r="DU26" s="32"/>
      <c r="DV26" s="32"/>
      <c r="DW26" s="32"/>
      <c r="DX26" s="30"/>
      <c r="DY26" s="30"/>
      <c r="DZ26" s="30"/>
      <c r="EA26" s="30"/>
      <c r="EB26" s="51" t="s">
        <v>161</v>
      </c>
      <c r="EC26" s="17">
        <v>1</v>
      </c>
      <c r="ED26" s="33">
        <f t="shared" si="27"/>
        <v>3.5397256666149526E-3</v>
      </c>
      <c r="EE26" s="33">
        <f>EE33</f>
        <v>5.475E-2</v>
      </c>
      <c r="EG26" s="1">
        <v>1</v>
      </c>
      <c r="EH26" s="18">
        <v>584145.51701678499</v>
      </c>
      <c r="EI26" s="11">
        <v>584145.51701678499</v>
      </c>
      <c r="EJ26" s="5"/>
      <c r="EK26" s="11">
        <v>1</v>
      </c>
      <c r="EL26" s="11">
        <v>1</v>
      </c>
      <c r="EM26" s="5">
        <v>1132.7122133167848</v>
      </c>
      <c r="EN26" s="8">
        <v>3.5406249999999999E-3</v>
      </c>
      <c r="EO26" s="8">
        <v>2.5406866795618654E-4</v>
      </c>
      <c r="EP26" s="5"/>
      <c r="EQ26" s="21">
        <v>282.50776873234423</v>
      </c>
      <c r="ER26" s="22">
        <v>37</v>
      </c>
      <c r="ET26" s="16" t="s">
        <v>960</v>
      </c>
      <c r="EU26" s="32" t="s">
        <v>178</v>
      </c>
      <c r="EV26" s="32" t="s">
        <v>392</v>
      </c>
      <c r="EW26" s="32" t="s">
        <v>1532</v>
      </c>
      <c r="EX26" s="32"/>
      <c r="EY26" s="30" t="s">
        <v>853</v>
      </c>
      <c r="EZ26" s="30" t="s">
        <v>26</v>
      </c>
      <c r="FA26" s="30" t="s">
        <v>33</v>
      </c>
      <c r="FB26" s="30" t="s">
        <v>28</v>
      </c>
      <c r="FC26" s="30" t="s">
        <v>34</v>
      </c>
      <c r="FD26" s="17">
        <v>65.78</v>
      </c>
      <c r="FE26" s="33">
        <f t="shared" si="6"/>
        <v>3.0077197320189316E-2</v>
      </c>
      <c r="FF26" s="33">
        <f t="shared" si="7"/>
        <v>2.857254230821947E-2</v>
      </c>
      <c r="FH26" s="1">
        <v>1</v>
      </c>
      <c r="FI26" s="18">
        <v>93698.089921425097</v>
      </c>
      <c r="FJ26" s="11">
        <v>6163460.3550313432</v>
      </c>
      <c r="FK26" s="5"/>
      <c r="FL26" s="11">
        <v>1</v>
      </c>
      <c r="FM26" s="11">
        <v>65.78</v>
      </c>
      <c r="FN26" s="5">
        <v>146.31655734965918</v>
      </c>
      <c r="FO26" s="8">
        <v>3.0012125000000004E-2</v>
      </c>
      <c r="FP26" s="8">
        <v>-2.1635101002457358E-3</v>
      </c>
      <c r="FQ26" s="5"/>
      <c r="FR26" s="21">
        <v>2187.0388819720638</v>
      </c>
      <c r="FS26" s="22">
        <v>2433.86</v>
      </c>
      <c r="FU26" s="16" t="s">
        <v>977</v>
      </c>
      <c r="FV26" s="32" t="s">
        <v>304</v>
      </c>
      <c r="FW26" s="32" t="s">
        <v>410</v>
      </c>
      <c r="FX26" s="32" t="s">
        <v>1543</v>
      </c>
      <c r="FY26" s="32"/>
      <c r="FZ26" s="30" t="s">
        <v>838</v>
      </c>
      <c r="GA26" s="30" t="s">
        <v>26</v>
      </c>
      <c r="GB26" s="30" t="s">
        <v>323</v>
      </c>
      <c r="GC26" s="30" t="s">
        <v>28</v>
      </c>
      <c r="GD26" s="30" t="s">
        <v>431</v>
      </c>
      <c r="GE26" s="17">
        <v>174.01</v>
      </c>
      <c r="GF26" s="33">
        <f t="shared" si="8"/>
        <v>3.0934248058573654E-2</v>
      </c>
      <c r="GG26" s="33">
        <f t="shared" si="9"/>
        <v>2.9386128191787569E-2</v>
      </c>
      <c r="GI26" s="1">
        <v>0.70340000000000003</v>
      </c>
      <c r="GJ26" s="18">
        <v>52315.129194958201</v>
      </c>
      <c r="GK26" s="11">
        <v>6403300.350996404</v>
      </c>
      <c r="GL26" s="5"/>
      <c r="GM26" s="11">
        <v>1</v>
      </c>
      <c r="GN26" s="11">
        <v>122.398634</v>
      </c>
      <c r="GO26" s="5">
        <v>80.874753706349125</v>
      </c>
      <c r="GP26" s="8">
        <v>3.0982154231250003E-2</v>
      </c>
      <c r="GQ26" s="8">
        <v>1.5486451322701544E-3</v>
      </c>
      <c r="GR26" s="5"/>
      <c r="GS26" s="21">
        <v>3956.7353881768695</v>
      </c>
      <c r="GT26" s="22">
        <v>4528.7494580000002</v>
      </c>
      <c r="GV26" s="16" t="s">
        <v>1007</v>
      </c>
      <c r="GW26" s="32" t="s">
        <v>732</v>
      </c>
      <c r="GX26" s="32">
        <v>7532</v>
      </c>
      <c r="GY26" s="32" t="s">
        <v>1570</v>
      </c>
      <c r="GZ26" s="32"/>
      <c r="HA26" s="30" t="s">
        <v>902</v>
      </c>
      <c r="HB26" s="30" t="s">
        <v>26</v>
      </c>
      <c r="HC26" s="30" t="s">
        <v>320</v>
      </c>
      <c r="HD26" s="30" t="s">
        <v>28</v>
      </c>
      <c r="HE26" s="30" t="s">
        <v>94</v>
      </c>
      <c r="HF26" s="17">
        <v>1059.5</v>
      </c>
      <c r="HG26" s="33">
        <f t="shared" si="10"/>
        <v>3.0555389545595012E-2</v>
      </c>
      <c r="HH26" s="33">
        <f t="shared" si="29"/>
        <v>2.9025317121530701E-2</v>
      </c>
      <c r="HJ26" s="1">
        <v>6.3369999999999998E-3</v>
      </c>
      <c r="HK26" s="18">
        <v>742223.132737751</v>
      </c>
      <c r="HL26" s="11">
        <v>4983324.337692596</v>
      </c>
      <c r="HM26" s="5"/>
      <c r="HN26" s="11">
        <v>100</v>
      </c>
      <c r="HO26" s="11">
        <v>671.40514999999994</v>
      </c>
      <c r="HP26" s="5">
        <v>14.563076637988857</v>
      </c>
      <c r="HQ26" s="8">
        <v>3.1472116406249993E-2</v>
      </c>
      <c r="HR26" s="8">
        <v>3.0002132988258268E-2</v>
      </c>
      <c r="HS26" s="5"/>
      <c r="HT26" s="21">
        <v>21973.378837082848</v>
      </c>
      <c r="HU26" s="22">
        <v>24841.990549999995</v>
      </c>
      <c r="HW26" s="16" t="s">
        <v>1032</v>
      </c>
      <c r="HX26" s="45" t="s">
        <v>220</v>
      </c>
      <c r="HY26" s="32">
        <v>288</v>
      </c>
      <c r="HZ26" s="32" t="s">
        <v>1596</v>
      </c>
      <c r="IA26" s="45"/>
      <c r="IB26" s="30" t="s">
        <v>862</v>
      </c>
      <c r="IC26" s="30" t="s">
        <v>26</v>
      </c>
      <c r="ID26" s="30" t="s">
        <v>27</v>
      </c>
      <c r="IE26" s="30" t="s">
        <v>28</v>
      </c>
      <c r="IF26" s="30" t="s">
        <v>82</v>
      </c>
      <c r="IG26" s="17">
        <v>9.81</v>
      </c>
      <c r="IH26" s="33">
        <f t="shared" si="11"/>
        <v>4.5563069148220142E-2</v>
      </c>
      <c r="II26" s="33">
        <f t="shared" si="12"/>
        <v>4.3308230319805817E-2</v>
      </c>
      <c r="IK26" s="1">
        <v>1</v>
      </c>
      <c r="IL26" s="18">
        <v>880331.37866001797</v>
      </c>
      <c r="IM26" s="11">
        <v>8636050.8246547766</v>
      </c>
      <c r="IN26" s="5"/>
      <c r="IO26" s="11">
        <v>500</v>
      </c>
      <c r="IP26" s="11">
        <v>4905</v>
      </c>
      <c r="IQ26" s="5">
        <v>2.97251419519479</v>
      </c>
      <c r="IR26" s="8">
        <v>4.5984375000000001E-2</v>
      </c>
      <c r="IS26" s="8">
        <v>9.2466521605321095E-3</v>
      </c>
      <c r="IT26" s="5"/>
      <c r="IU26" s="21">
        <v>107652.97623045674</v>
      </c>
      <c r="IV26" s="22">
        <v>181485</v>
      </c>
      <c r="IX26" s="16" t="s">
        <v>1045</v>
      </c>
      <c r="IY26" s="32" t="s">
        <v>692</v>
      </c>
      <c r="IZ26" s="32" t="s">
        <v>698</v>
      </c>
      <c r="JA26" s="32" t="s">
        <v>1610</v>
      </c>
      <c r="JB26" s="32"/>
      <c r="JC26" s="30" t="s">
        <v>803</v>
      </c>
      <c r="JD26" s="30" t="s">
        <v>26</v>
      </c>
      <c r="JE26" s="30" t="s">
        <v>33</v>
      </c>
      <c r="JF26" s="30" t="s">
        <v>28</v>
      </c>
      <c r="JG26" s="30" t="s">
        <v>34</v>
      </c>
      <c r="JH26" s="17">
        <v>53.2</v>
      </c>
      <c r="JI26" s="33">
        <f t="shared" si="30"/>
        <v>3.6389808596181135E-2</v>
      </c>
      <c r="JJ26" s="33">
        <f t="shared" si="13"/>
        <v>3.4568459891529207E-2</v>
      </c>
      <c r="JL26" s="1">
        <v>1</v>
      </c>
      <c r="JM26" s="18">
        <v>83446.972200217002</v>
      </c>
      <c r="JN26" s="11">
        <v>4439378.9210515451</v>
      </c>
      <c r="JO26" s="5"/>
      <c r="JP26" s="11">
        <v>1</v>
      </c>
      <c r="JQ26" s="11">
        <v>53.2</v>
      </c>
      <c r="JR26" s="5">
        <v>218.88606674394669</v>
      </c>
      <c r="JS26" s="8">
        <v>3.6408750000000004E-2</v>
      </c>
      <c r="JT26" s="8">
        <v>5.2051397216912321E-4</v>
      </c>
      <c r="JU26" s="5"/>
      <c r="JV26" s="21">
        <v>1461.9477829730322</v>
      </c>
      <c r="JW26" s="22">
        <v>1968.4</v>
      </c>
      <c r="JY26" s="16" t="s">
        <v>1038</v>
      </c>
      <c r="JZ26" s="32" t="s">
        <v>230</v>
      </c>
      <c r="KA26" s="32" t="s">
        <v>398</v>
      </c>
      <c r="KB26" s="32" t="s">
        <v>1603</v>
      </c>
      <c r="KC26" s="32"/>
      <c r="KD26" s="30" t="s">
        <v>853</v>
      </c>
      <c r="KE26" s="30" t="s">
        <v>26</v>
      </c>
      <c r="KF26" s="30" t="s">
        <v>33</v>
      </c>
      <c r="KG26" s="30" t="s">
        <v>28</v>
      </c>
      <c r="KH26" s="30" t="s">
        <v>34</v>
      </c>
      <c r="KI26" s="17">
        <v>496.7</v>
      </c>
      <c r="KJ26" s="33">
        <f t="shared" si="31"/>
        <v>3.0446523684310361E-2</v>
      </c>
      <c r="KK26" s="33">
        <f t="shared" si="32"/>
        <v>2.8928892790189707E-2</v>
      </c>
      <c r="KM26" s="1">
        <v>1</v>
      </c>
      <c r="KN26" s="18">
        <v>6086.9111989764797</v>
      </c>
      <c r="KO26" s="11">
        <v>3023368.7925316175</v>
      </c>
      <c r="KP26" s="5"/>
      <c r="KQ26" s="11">
        <v>1</v>
      </c>
      <c r="KR26" s="11">
        <v>496.7</v>
      </c>
      <c r="KS26" s="5">
        <v>19.615235713668849</v>
      </c>
      <c r="KT26" s="8">
        <v>3.1043749999999998E-2</v>
      </c>
      <c r="KU26" s="8">
        <v>1.9615583108340218E-2</v>
      </c>
      <c r="KV26" s="5"/>
      <c r="KW26" s="21">
        <v>16313.849329733443</v>
      </c>
      <c r="KX26" s="22">
        <v>18377.899999999998</v>
      </c>
      <c r="LK26" s="64" t="s">
        <v>88</v>
      </c>
      <c r="LL26" s="66">
        <f>(LL24-LL25)*0.5%</f>
        <v>475</v>
      </c>
      <c r="LN26" s="1"/>
      <c r="LO26" s="26"/>
      <c r="LP26" s="11"/>
      <c r="LQ26" s="5"/>
      <c r="LR26" s="11"/>
      <c r="LS26" s="11"/>
      <c r="LT26" s="5"/>
      <c r="LU26" s="8"/>
      <c r="LV26" s="8"/>
      <c r="LW26" s="5"/>
      <c r="LX26" s="21"/>
      <c r="LY26" s="22"/>
      <c r="MA26" s="16" t="s">
        <v>965</v>
      </c>
      <c r="MB26" s="32" t="s">
        <v>311</v>
      </c>
      <c r="MC26" s="32" t="s">
        <v>337</v>
      </c>
      <c r="MD26" s="32" t="s">
        <v>1656</v>
      </c>
      <c r="ME26" s="32"/>
      <c r="MF26" s="30" t="s">
        <v>850</v>
      </c>
      <c r="MG26" s="30" t="s">
        <v>26</v>
      </c>
      <c r="MH26" s="30" t="s">
        <v>33</v>
      </c>
      <c r="MI26" s="30" t="s">
        <v>28</v>
      </c>
      <c r="MJ26" s="30" t="s">
        <v>34</v>
      </c>
      <c r="MK26" s="17">
        <v>26.61</v>
      </c>
      <c r="ML26" s="33">
        <f t="shared" si="16"/>
        <v>2.9129107750786292E-2</v>
      </c>
      <c r="MM26" s="33">
        <f t="shared" si="17"/>
        <v>2.7655107350514102E-2</v>
      </c>
      <c r="MO26" s="1">
        <v>1</v>
      </c>
      <c r="MP26" s="18">
        <v>196661.76464060601</v>
      </c>
      <c r="MQ26" s="11">
        <v>5233169.5570865255</v>
      </c>
      <c r="MR26" s="5"/>
      <c r="MS26" s="11">
        <v>1</v>
      </c>
      <c r="MT26" s="11">
        <v>26.61</v>
      </c>
      <c r="MU26" s="5">
        <v>350.29366705192081</v>
      </c>
      <c r="MV26" s="8">
        <v>2.91046875E-2</v>
      </c>
      <c r="MW26" s="8">
        <v>-8.383453072170477E-4</v>
      </c>
      <c r="MX26" s="5"/>
      <c r="MY26" s="21">
        <v>913.51922714768727</v>
      </c>
      <c r="MZ26" s="22">
        <v>984.56999999999994</v>
      </c>
      <c r="NB26" s="16" t="s">
        <v>900</v>
      </c>
      <c r="NC26" s="32" t="s">
        <v>271</v>
      </c>
      <c r="ND26" s="32" t="s">
        <v>348</v>
      </c>
      <c r="NE26" s="32" t="s">
        <v>1668</v>
      </c>
      <c r="NF26" s="32"/>
      <c r="NG26" s="30" t="s">
        <v>853</v>
      </c>
      <c r="NH26" s="30" t="s">
        <v>26</v>
      </c>
      <c r="NI26" s="30" t="s">
        <v>33</v>
      </c>
      <c r="NJ26" s="30" t="s">
        <v>28</v>
      </c>
      <c r="NK26" s="30" t="s">
        <v>34</v>
      </c>
      <c r="NL26" s="17">
        <v>45</v>
      </c>
      <c r="NM26" s="33">
        <f t="shared" si="18"/>
        <v>3.7217873513336677E-2</v>
      </c>
      <c r="NN26" s="33">
        <f t="shared" si="19"/>
        <v>3.5330028134729845E-2</v>
      </c>
      <c r="NP26" s="1">
        <v>1</v>
      </c>
      <c r="NQ26" s="18">
        <v>141390.968739192</v>
      </c>
      <c r="NR26" s="11">
        <v>6362593.5932636401</v>
      </c>
      <c r="NS26" s="5"/>
      <c r="NT26" s="11">
        <v>1</v>
      </c>
      <c r="NU26" s="11">
        <v>45</v>
      </c>
      <c r="NV26" s="5">
        <v>264.66043387261641</v>
      </c>
      <c r="NW26" s="8">
        <v>3.7265624999999997E-2</v>
      </c>
      <c r="NX26" s="8">
        <v>1.2830256582554433E-3</v>
      </c>
      <c r="NY26" s="5"/>
      <c r="NZ26" s="21">
        <v>1209.0964838137427</v>
      </c>
      <c r="OA26" s="22">
        <v>1665</v>
      </c>
      <c r="OC26" s="16" t="s">
        <v>882</v>
      </c>
      <c r="OD26" s="45" t="s">
        <v>70</v>
      </c>
      <c r="OE26" s="32" t="s">
        <v>71</v>
      </c>
      <c r="OF26" s="32" t="s">
        <v>1449</v>
      </c>
      <c r="OG26" s="45"/>
      <c r="OH26" s="30" t="s">
        <v>430</v>
      </c>
      <c r="OI26" s="30" t="s">
        <v>26</v>
      </c>
      <c r="OJ26" s="30" t="s">
        <v>61</v>
      </c>
      <c r="OK26" s="30" t="s">
        <v>28</v>
      </c>
      <c r="OL26" s="51" t="s">
        <v>814</v>
      </c>
      <c r="OM26" s="17">
        <v>351.5</v>
      </c>
      <c r="ON26" s="33">
        <f t="shared" si="20"/>
        <v>4.156439235361177E-2</v>
      </c>
      <c r="OO26" s="33">
        <f t="shared" si="33"/>
        <v>3.9411649848210696E-2</v>
      </c>
      <c r="OQ26" s="1">
        <v>1.1032999999999999</v>
      </c>
      <c r="OR26" s="18">
        <v>19738.476800701301</v>
      </c>
      <c r="OS26" s="11">
        <v>7654777.701156131</v>
      </c>
      <c r="OT26" s="5"/>
      <c r="OU26" s="11">
        <v>1</v>
      </c>
      <c r="OV26" s="11">
        <v>387.80994999999996</v>
      </c>
      <c r="OW26" s="5">
        <v>34.296710420028596</v>
      </c>
      <c r="OX26" s="8">
        <v>4.1204807187499998E-2</v>
      </c>
      <c r="OY26" s="8">
        <v>-8.6512792741579858E-3</v>
      </c>
      <c r="OZ26" s="5"/>
      <c r="PA26" s="21">
        <v>9330.3409009491006</v>
      </c>
      <c r="PB26" s="22">
        <v>14348.968149999997</v>
      </c>
      <c r="PD26" s="16" t="s">
        <v>1006</v>
      </c>
      <c r="PE26" s="32" t="s">
        <v>285</v>
      </c>
      <c r="PF26" s="32">
        <v>9432</v>
      </c>
      <c r="PG26" s="32" t="s">
        <v>1569</v>
      </c>
      <c r="PH26" s="32"/>
      <c r="PI26" s="30" t="s">
        <v>902</v>
      </c>
      <c r="PJ26" s="30" t="s">
        <v>26</v>
      </c>
      <c r="PK26" s="71" t="s">
        <v>320</v>
      </c>
      <c r="PL26" s="30" t="s">
        <v>28</v>
      </c>
      <c r="PM26" s="30" t="s">
        <v>94</v>
      </c>
      <c r="PN26" s="17">
        <v>151.6</v>
      </c>
      <c r="PO26" s="33">
        <f t="shared" si="21"/>
        <v>4.2906354009459267E-2</v>
      </c>
      <c r="PP26" s="33">
        <f t="shared" si="22"/>
        <v>4.0758821869470468E-2</v>
      </c>
      <c r="PR26" s="1">
        <v>1</v>
      </c>
      <c r="PS26" s="18">
        <v>54544.103636534601</v>
      </c>
      <c r="PT26" s="11">
        <v>8268886.1112986449</v>
      </c>
      <c r="PU26" s="5"/>
      <c r="PV26" s="11">
        <v>100</v>
      </c>
      <c r="PW26" s="11">
        <v>15160</v>
      </c>
      <c r="PX26" s="5">
        <v>0.90567501866932487</v>
      </c>
      <c r="PY26" s="8">
        <v>4.7375E-2</v>
      </c>
      <c r="PZ26" s="8">
        <v>0.1041488165029254</v>
      </c>
      <c r="QA26" s="5"/>
      <c r="QB26" s="21">
        <v>353327.62128093612</v>
      </c>
      <c r="QC26" s="22">
        <v>560920</v>
      </c>
      <c r="QE26" s="16" t="s">
        <v>1132</v>
      </c>
      <c r="QF26" s="34" t="s">
        <v>618</v>
      </c>
      <c r="QG26" s="34"/>
      <c r="QH26" s="32" t="s">
        <v>1712</v>
      </c>
      <c r="QI26" s="34"/>
      <c r="QJ26" s="30" t="s">
        <v>853</v>
      </c>
      <c r="QK26" s="30" t="s">
        <v>26</v>
      </c>
      <c r="QL26" s="30"/>
      <c r="QM26" s="30" t="s">
        <v>28</v>
      </c>
      <c r="QN26" s="30" t="s">
        <v>34</v>
      </c>
      <c r="QO26" s="17">
        <v>238.7</v>
      </c>
      <c r="QP26" s="33">
        <f t="shared" si="23"/>
        <v>4.572163736541196E-2</v>
      </c>
      <c r="QQ26" s="33">
        <f t="shared" si="24"/>
        <v>4.3446711226818278E-2</v>
      </c>
      <c r="QS26" s="1">
        <v>1</v>
      </c>
      <c r="QT26" s="18">
        <v>21851.512123730001</v>
      </c>
      <c r="QU26" s="11">
        <v>5215955.9439343512</v>
      </c>
      <c r="QV26" s="5"/>
      <c r="QW26" s="11">
        <v>1</v>
      </c>
      <c r="QX26" s="11">
        <v>238.7</v>
      </c>
      <c r="QY26" s="5">
        <v>61.29419336795906</v>
      </c>
      <c r="QZ26" s="8">
        <v>4.5502187499999999E-2</v>
      </c>
      <c r="RA26" s="8">
        <v>-4.7996939317395126E-3</v>
      </c>
      <c r="RF26" s="16" t="s">
        <v>1041</v>
      </c>
      <c r="RG26" s="34" t="s">
        <v>691</v>
      </c>
      <c r="RH26" s="34"/>
      <c r="RI26" s="32" t="s">
        <v>1606</v>
      </c>
      <c r="RJ26" s="34"/>
      <c r="RK26" s="30" t="s">
        <v>853</v>
      </c>
    </row>
    <row r="27" spans="15:479" ht="15" thickBot="1" x14ac:dyDescent="0.25">
      <c r="O27" s="16" t="s">
        <v>882</v>
      </c>
      <c r="P27" s="32" t="s">
        <v>70</v>
      </c>
      <c r="Q27" s="32" t="s">
        <v>71</v>
      </c>
      <c r="R27" s="32" t="s">
        <v>1449</v>
      </c>
      <c r="S27" s="32"/>
      <c r="T27" s="30" t="s">
        <v>430</v>
      </c>
      <c r="U27" s="30" t="s">
        <v>26</v>
      </c>
      <c r="V27" s="30" t="s">
        <v>61</v>
      </c>
      <c r="W27" s="30" t="s">
        <v>28</v>
      </c>
      <c r="X27" s="30" t="s">
        <v>814</v>
      </c>
      <c r="Y27" s="17">
        <v>351.5</v>
      </c>
      <c r="Z27" s="33">
        <f t="shared" si="0"/>
        <v>2.7154083732930316E-2</v>
      </c>
      <c r="AA27" s="33">
        <f t="shared" si="1"/>
        <v>2.5797292132370604E-2</v>
      </c>
      <c r="AB27" s="4"/>
      <c r="AC27" s="1">
        <v>1.2806</v>
      </c>
      <c r="AD27" s="18">
        <v>12414.308794991601</v>
      </c>
      <c r="AE27" s="11">
        <v>5588063.9907674836</v>
      </c>
      <c r="AF27" s="5"/>
      <c r="AG27" s="11">
        <v>1</v>
      </c>
      <c r="AH27" s="11">
        <v>450.1309</v>
      </c>
      <c r="AI27" s="5">
        <v>19.303955348405765</v>
      </c>
      <c r="AJ27" s="8">
        <v>2.6726522187500001E-2</v>
      </c>
      <c r="AK27" s="8">
        <v>-1.5745754842458659E-2</v>
      </c>
      <c r="AL27" s="5"/>
      <c r="AM27" s="21">
        <v>16576.913602653327</v>
      </c>
      <c r="AN27" s="22">
        <v>16654.8433</v>
      </c>
      <c r="AP27" s="35" t="s">
        <v>81</v>
      </c>
      <c r="AQ27" s="36"/>
      <c r="AR27" s="36"/>
      <c r="AS27" s="36"/>
      <c r="AT27" s="36"/>
      <c r="AU27" s="36"/>
      <c r="AV27" s="36"/>
      <c r="AW27" s="36"/>
      <c r="AX27" s="36"/>
      <c r="AY27" s="36"/>
      <c r="AZ27" s="25" t="s">
        <v>81</v>
      </c>
      <c r="BA27" s="37">
        <f>SUM(BA6:BA26)</f>
        <v>0.99999999999999989</v>
      </c>
      <c r="BB27" s="37">
        <f>SUM(BB6:BB26)</f>
        <v>1.0000000000000002</v>
      </c>
      <c r="BD27" s="1"/>
      <c r="BE27" s="5"/>
      <c r="BF27" s="24">
        <v>164643825.91876665</v>
      </c>
      <c r="BG27" s="5"/>
      <c r="BH27" s="11"/>
      <c r="BI27" s="11"/>
      <c r="BJ27" s="40"/>
      <c r="BK27" s="19"/>
      <c r="BL27" s="20"/>
      <c r="BM27" s="5"/>
      <c r="BN27" s="21"/>
      <c r="BO27" s="22"/>
      <c r="CB27" s="64" t="s">
        <v>87</v>
      </c>
      <c r="CC27" s="66">
        <f>CC25+CC26</f>
        <v>5475</v>
      </c>
      <c r="DF27" s="1"/>
      <c r="DG27" s="26"/>
      <c r="DH27" s="46"/>
      <c r="DI27" s="26"/>
      <c r="DJ27" s="46"/>
      <c r="DK27" s="46"/>
      <c r="DL27" s="26"/>
      <c r="DM27" s="47"/>
      <c r="DN27" s="47"/>
      <c r="DO27" s="26"/>
      <c r="DP27" s="21"/>
      <c r="DQ27" s="22"/>
      <c r="DS27" s="35" t="s">
        <v>81</v>
      </c>
      <c r="DT27" s="50"/>
      <c r="DU27" s="50"/>
      <c r="DV27" s="50"/>
      <c r="DW27" s="50"/>
      <c r="DX27" s="36"/>
      <c r="DY27" s="36"/>
      <c r="DZ27" s="36"/>
      <c r="EA27" s="36"/>
      <c r="EB27" s="36"/>
      <c r="EC27" s="25" t="s">
        <v>81</v>
      </c>
      <c r="ED27" s="37">
        <v>1.0000000000000002</v>
      </c>
      <c r="EE27" s="37">
        <f>SUM(EE6:EE26)</f>
        <v>1.0000000000000002</v>
      </c>
      <c r="EG27" s="1"/>
      <c r="EH27" s="5"/>
      <c r="EI27" s="11">
        <v>165025646.62741354</v>
      </c>
      <c r="EJ27" s="5"/>
      <c r="EK27" s="11"/>
      <c r="EL27" s="11"/>
      <c r="EM27" s="40"/>
      <c r="EN27" s="19"/>
      <c r="EO27" s="20"/>
      <c r="EP27" s="5"/>
      <c r="EQ27" s="21"/>
      <c r="ER27" s="22"/>
      <c r="ET27" s="16" t="s">
        <v>1399</v>
      </c>
      <c r="EU27" s="32" t="s">
        <v>1390</v>
      </c>
      <c r="EV27" s="32" t="s">
        <v>1394</v>
      </c>
      <c r="EW27" s="32" t="s">
        <v>1454</v>
      </c>
      <c r="EX27" s="32"/>
      <c r="EY27" s="30" t="s">
        <v>850</v>
      </c>
      <c r="EZ27" s="30" t="s">
        <v>26</v>
      </c>
      <c r="FA27" s="30" t="s">
        <v>33</v>
      </c>
      <c r="FB27" s="30" t="s">
        <v>28</v>
      </c>
      <c r="FC27" s="30" t="s">
        <v>34</v>
      </c>
      <c r="FD27" s="17">
        <v>306.64</v>
      </c>
      <c r="FE27" s="33">
        <f t="shared" si="6"/>
        <v>3.5719913068066378E-2</v>
      </c>
      <c r="FF27" s="33">
        <f t="shared" si="7"/>
        <v>3.3932973093146704E-2</v>
      </c>
      <c r="FH27" s="1">
        <v>1</v>
      </c>
      <c r="FI27" s="18">
        <v>23870.901947060702</v>
      </c>
      <c r="FJ27" s="11">
        <v>7319773.3730466934</v>
      </c>
      <c r="FK27" s="5"/>
      <c r="FL27" s="11">
        <v>1</v>
      </c>
      <c r="FM27" s="11">
        <v>306.64</v>
      </c>
      <c r="FN27" s="5">
        <v>37.276194174867079</v>
      </c>
      <c r="FO27" s="8">
        <v>3.5455250000000001E-2</v>
      </c>
      <c r="FP27" s="8">
        <v>-7.4093984372819444E-3</v>
      </c>
      <c r="FQ27" s="5"/>
      <c r="FR27" s="21">
        <v>8584.5673648667507</v>
      </c>
      <c r="FS27" s="22">
        <v>11345.679999999998</v>
      </c>
      <c r="FU27" s="16" t="s">
        <v>978</v>
      </c>
      <c r="FV27" s="32" t="s">
        <v>200</v>
      </c>
      <c r="FW27" s="32" t="s">
        <v>417</v>
      </c>
      <c r="FX27" s="32" t="s">
        <v>1544</v>
      </c>
      <c r="FY27" s="32"/>
      <c r="FZ27" s="30" t="s">
        <v>979</v>
      </c>
      <c r="GA27" s="30" t="s">
        <v>26</v>
      </c>
      <c r="GB27" s="30" t="s">
        <v>420</v>
      </c>
      <c r="GC27" s="30" t="s">
        <v>28</v>
      </c>
      <c r="GD27" s="30" t="s">
        <v>34</v>
      </c>
      <c r="GE27" s="17">
        <v>3124</v>
      </c>
      <c r="GF27" s="33">
        <f t="shared" si="8"/>
        <v>5.9258329586853335E-2</v>
      </c>
      <c r="GG27" s="33">
        <f t="shared" si="9"/>
        <v>5.629271693862415E-2</v>
      </c>
      <c r="GI27" s="1">
        <v>1</v>
      </c>
      <c r="GJ27" s="18">
        <v>3926.47366824959</v>
      </c>
      <c r="GK27" s="11">
        <v>12266303.739611719</v>
      </c>
      <c r="GL27" s="5"/>
      <c r="GM27" s="11">
        <v>1</v>
      </c>
      <c r="GN27" s="11">
        <v>3124</v>
      </c>
      <c r="GO27" s="5">
        <v>6.0699953482052074</v>
      </c>
      <c r="GP27" s="8">
        <v>5.8575000000000002E-2</v>
      </c>
      <c r="GQ27" s="8">
        <v>-1.153136768480445E-2</v>
      </c>
      <c r="GR27" s="5"/>
      <c r="GS27" s="21">
        <v>52718.327056810427</v>
      </c>
      <c r="GT27" s="22">
        <v>115588</v>
      </c>
      <c r="GV27" s="16" t="s">
        <v>1008</v>
      </c>
      <c r="GW27" s="32" t="s">
        <v>198</v>
      </c>
      <c r="GX27" s="32">
        <v>857</v>
      </c>
      <c r="GY27" s="32" t="s">
        <v>1571</v>
      </c>
      <c r="GZ27" s="32"/>
      <c r="HA27" s="30" t="s">
        <v>862</v>
      </c>
      <c r="HB27" s="30" t="s">
        <v>26</v>
      </c>
      <c r="HC27" s="30" t="s">
        <v>27</v>
      </c>
      <c r="HD27" s="30" t="s">
        <v>28</v>
      </c>
      <c r="HE27" s="30" t="s">
        <v>82</v>
      </c>
      <c r="HF27" s="17">
        <v>10.29</v>
      </c>
      <c r="HG27" s="33">
        <f t="shared" si="10"/>
        <v>4.1006520481347307E-2</v>
      </c>
      <c r="HH27" s="33">
        <f t="shared" si="29"/>
        <v>3.8953103813177771E-2</v>
      </c>
      <c r="HJ27" s="1">
        <v>0.12784999999999999</v>
      </c>
      <c r="HK27" s="18">
        <v>5083562.20012963</v>
      </c>
      <c r="HL27" s="11">
        <v>6687814.9667788371</v>
      </c>
      <c r="HM27" s="5"/>
      <c r="HN27" s="11">
        <v>2000</v>
      </c>
      <c r="HO27" s="11">
        <v>2631.1529999999998</v>
      </c>
      <c r="HP27" s="5">
        <v>4.9872001187430532</v>
      </c>
      <c r="HQ27" s="8">
        <v>4.1111765624999998E-2</v>
      </c>
      <c r="HR27" s="8">
        <v>2.5665465496045314E-3</v>
      </c>
      <c r="HS27" s="5"/>
      <c r="HT27" s="21">
        <v>64164.258979174694</v>
      </c>
      <c r="HU27" s="22">
        <v>97352.660999999993</v>
      </c>
      <c r="HW27" s="16" t="s">
        <v>1019</v>
      </c>
      <c r="HX27" s="45" t="s">
        <v>208</v>
      </c>
      <c r="HY27" s="32">
        <v>1606</v>
      </c>
      <c r="HZ27" s="32" t="s">
        <v>1597</v>
      </c>
      <c r="IA27" s="45"/>
      <c r="IB27" s="30" t="s">
        <v>862</v>
      </c>
      <c r="IC27" s="30" t="s">
        <v>26</v>
      </c>
      <c r="ID27" s="30" t="s">
        <v>27</v>
      </c>
      <c r="IE27" s="30" t="s">
        <v>28</v>
      </c>
      <c r="IF27" s="30" t="s">
        <v>82</v>
      </c>
      <c r="IG27" s="17">
        <v>1.5</v>
      </c>
      <c r="IH27" s="33">
        <f t="shared" si="11"/>
        <v>4.468060399652167E-2</v>
      </c>
      <c r="II27" s="33">
        <f t="shared" si="12"/>
        <v>4.246943686814799E-2</v>
      </c>
      <c r="IK27" s="1">
        <v>1</v>
      </c>
      <c r="IL27" s="18">
        <v>5645858.5751395803</v>
      </c>
      <c r="IM27" s="11">
        <v>8468787.8627093695</v>
      </c>
      <c r="IN27" s="5"/>
      <c r="IO27" s="11">
        <v>2000</v>
      </c>
      <c r="IP27" s="11">
        <v>3000</v>
      </c>
      <c r="IQ27" s="5">
        <v>4.7659310929623118</v>
      </c>
      <c r="IR27" s="8">
        <v>4.6875E-2</v>
      </c>
      <c r="IS27" s="8">
        <v>4.9112944033817385E-2</v>
      </c>
      <c r="IT27" s="5"/>
      <c r="IU27" s="21">
        <v>67143.228418164319</v>
      </c>
      <c r="IV27" s="22">
        <v>111000</v>
      </c>
      <c r="IX27" s="16" t="s">
        <v>1046</v>
      </c>
      <c r="IY27" s="32" t="s">
        <v>693</v>
      </c>
      <c r="IZ27" s="32" t="s">
        <v>699</v>
      </c>
      <c r="JA27" s="32" t="s">
        <v>1611</v>
      </c>
      <c r="JB27" s="32"/>
      <c r="JC27" s="30" t="s">
        <v>853</v>
      </c>
      <c r="JD27" s="30" t="s">
        <v>26</v>
      </c>
      <c r="JE27" s="30" t="s">
        <v>33</v>
      </c>
      <c r="JF27" s="30" t="s">
        <v>28</v>
      </c>
      <c r="JG27" s="30" t="s">
        <v>34</v>
      </c>
      <c r="JH27" s="17">
        <v>197.98</v>
      </c>
      <c r="JI27" s="33">
        <f t="shared" si="30"/>
        <v>3.7432571552524531E-2</v>
      </c>
      <c r="JJ27" s="33">
        <f t="shared" si="13"/>
        <v>3.5559031450526413E-2</v>
      </c>
      <c r="JL27" s="1">
        <v>1</v>
      </c>
      <c r="JM27" s="18">
        <v>23065.920339808301</v>
      </c>
      <c r="JN27" s="11">
        <v>4566590.9088752475</v>
      </c>
      <c r="JO27" s="5"/>
      <c r="JP27" s="11">
        <v>1</v>
      </c>
      <c r="JQ27" s="11">
        <v>197.98</v>
      </c>
      <c r="JR27" s="5">
        <v>60.503196771430702</v>
      </c>
      <c r="JS27" s="8">
        <v>3.7739937499999994E-2</v>
      </c>
      <c r="JT27" s="8">
        <v>8.2111897400416467E-3</v>
      </c>
      <c r="JU27" s="5"/>
      <c r="JV27" s="21">
        <v>5288.9767330625136</v>
      </c>
      <c r="JW27" s="22">
        <v>7325.2599999999993</v>
      </c>
      <c r="JY27" s="16" t="s">
        <v>1061</v>
      </c>
      <c r="JZ27" s="32" t="s">
        <v>99</v>
      </c>
      <c r="KA27" s="32" t="s">
        <v>399</v>
      </c>
      <c r="KB27" s="32" t="s">
        <v>1629</v>
      </c>
      <c r="KC27" s="32"/>
      <c r="KD27" s="30" t="s">
        <v>850</v>
      </c>
      <c r="KE27" s="30" t="s">
        <v>26</v>
      </c>
      <c r="KF27" s="30" t="s">
        <v>33</v>
      </c>
      <c r="KG27" s="30" t="s">
        <v>28</v>
      </c>
      <c r="KH27" s="30" t="s">
        <v>34</v>
      </c>
      <c r="KI27" s="17">
        <v>178.5</v>
      </c>
      <c r="KJ27" s="33">
        <f t="shared" si="31"/>
        <v>2.7988113407781685E-2</v>
      </c>
      <c r="KK27" s="33">
        <f t="shared" si="32"/>
        <v>2.6593023905406396E-2</v>
      </c>
      <c r="KM27" s="1">
        <v>1</v>
      </c>
      <c r="KN27" s="18">
        <v>15570.007345739201</v>
      </c>
      <c r="KO27" s="11">
        <v>2779246.3112144475</v>
      </c>
      <c r="KP27" s="5"/>
      <c r="KQ27" s="11">
        <v>1</v>
      </c>
      <c r="KR27" s="11">
        <v>178.5</v>
      </c>
      <c r="KS27" s="5">
        <v>50.174769134398538</v>
      </c>
      <c r="KT27" s="8">
        <v>2.7890624999999999E-2</v>
      </c>
      <c r="KU27" s="8">
        <v>-3.4832075446207256E-3</v>
      </c>
      <c r="KV27" s="5"/>
      <c r="KW27" s="21">
        <v>6377.7074717144278</v>
      </c>
      <c r="KX27" s="22">
        <v>6604.5</v>
      </c>
      <c r="LK27" s="64" t="s">
        <v>87</v>
      </c>
      <c r="LL27" s="66">
        <f>LL25+LL26</f>
        <v>5475</v>
      </c>
      <c r="LN27" s="1"/>
      <c r="LO27" s="26"/>
      <c r="LP27" s="11"/>
      <c r="LQ27" s="5"/>
      <c r="LR27" s="11"/>
      <c r="LS27" s="11"/>
      <c r="LT27" s="5"/>
      <c r="LU27" s="8"/>
      <c r="LV27" s="8"/>
      <c r="LW27" s="5"/>
      <c r="LX27" s="21"/>
      <c r="LY27" s="22"/>
      <c r="MA27" s="16" t="s">
        <v>881</v>
      </c>
      <c r="MB27" s="32" t="s">
        <v>171</v>
      </c>
      <c r="MC27" s="32" t="s">
        <v>429</v>
      </c>
      <c r="MD27" s="32" t="s">
        <v>1433</v>
      </c>
      <c r="ME27" s="32"/>
      <c r="MF27" s="30" t="s">
        <v>850</v>
      </c>
      <c r="MG27" s="30" t="s">
        <v>26</v>
      </c>
      <c r="MH27" s="30" t="s">
        <v>33</v>
      </c>
      <c r="MI27" s="30" t="s">
        <v>28</v>
      </c>
      <c r="MJ27" s="30" t="s">
        <v>34</v>
      </c>
      <c r="MK27" s="17">
        <v>210.58</v>
      </c>
      <c r="ML27" s="33">
        <f t="shared" si="16"/>
        <v>2.983124235460979E-2</v>
      </c>
      <c r="MM27" s="33">
        <f t="shared" si="17"/>
        <v>2.8321712315189873E-2</v>
      </c>
      <c r="MO27" s="1">
        <v>1</v>
      </c>
      <c r="MP27" s="18">
        <v>25450.237724949799</v>
      </c>
      <c r="MQ27" s="11">
        <v>5359311.0601199288</v>
      </c>
      <c r="MR27" s="5"/>
      <c r="MS27" s="11">
        <v>1</v>
      </c>
      <c r="MT27" s="11">
        <v>210.58</v>
      </c>
      <c r="MU27" s="5">
        <v>45.331928737178892</v>
      </c>
      <c r="MV27" s="8">
        <v>2.9612812500000002E-2</v>
      </c>
      <c r="MW27" s="8">
        <v>-7.3221843064150693E-3</v>
      </c>
      <c r="MX27" s="5"/>
      <c r="MY27" s="21">
        <v>7059.0422449321595</v>
      </c>
      <c r="MZ27" s="22">
        <v>7791.46</v>
      </c>
      <c r="NB27" s="16" t="s">
        <v>883</v>
      </c>
      <c r="NC27" s="32" t="s">
        <v>711</v>
      </c>
      <c r="ND27" s="32" t="s">
        <v>154</v>
      </c>
      <c r="NE27" s="32" t="s">
        <v>1669</v>
      </c>
      <c r="NF27" s="32"/>
      <c r="NG27" s="30" t="s">
        <v>850</v>
      </c>
      <c r="NH27" s="30" t="s">
        <v>26</v>
      </c>
      <c r="NI27" s="30" t="s">
        <v>33</v>
      </c>
      <c r="NJ27" s="30" t="s">
        <v>28</v>
      </c>
      <c r="NK27" s="30" t="s">
        <v>34</v>
      </c>
      <c r="NL27" s="17">
        <v>82.94</v>
      </c>
      <c r="NM27" s="33">
        <f t="shared" si="18"/>
        <v>4.0205321876608455E-2</v>
      </c>
      <c r="NN27" s="33">
        <f t="shared" si="19"/>
        <v>3.8165940688616694E-2</v>
      </c>
      <c r="NP27" s="1">
        <v>1</v>
      </c>
      <c r="NQ27" s="18">
        <v>82870.916247739195</v>
      </c>
      <c r="NR27" s="11">
        <v>6873313.7935874891</v>
      </c>
      <c r="NS27" s="5"/>
      <c r="NT27" s="11">
        <v>1</v>
      </c>
      <c r="NU27" s="11">
        <v>82.94</v>
      </c>
      <c r="NV27" s="5">
        <v>155.12060526301792</v>
      </c>
      <c r="NW27" s="8">
        <v>4.0174062499999996E-2</v>
      </c>
      <c r="NX27" s="8">
        <v>-7.7749350457623212E-4</v>
      </c>
      <c r="NY27" s="5"/>
      <c r="NZ27" s="21">
        <v>2062.9109811518429</v>
      </c>
      <c r="OA27" s="22">
        <v>3068.7799999999997</v>
      </c>
      <c r="OC27" s="16" t="s">
        <v>900</v>
      </c>
      <c r="OD27" s="32" t="s">
        <v>103</v>
      </c>
      <c r="OE27" s="32" t="s">
        <v>338</v>
      </c>
      <c r="OF27" s="32" t="s">
        <v>1475</v>
      </c>
      <c r="OG27" s="32"/>
      <c r="OH27" s="30" t="s">
        <v>886</v>
      </c>
      <c r="OI27" s="30" t="s">
        <v>26</v>
      </c>
      <c r="OJ27" s="30" t="s">
        <v>39</v>
      </c>
      <c r="OK27" s="30" t="s">
        <v>28</v>
      </c>
      <c r="OL27" s="30" t="s">
        <v>83</v>
      </c>
      <c r="OM27" s="17">
        <v>77.73</v>
      </c>
      <c r="ON27" s="33">
        <f t="shared" si="20"/>
        <v>3.0132278219358818E-2</v>
      </c>
      <c r="OO27" s="33">
        <f t="shared" si="33"/>
        <v>2.8571638632581647E-2</v>
      </c>
      <c r="OQ27" s="1">
        <v>1</v>
      </c>
      <c r="OR27" s="18">
        <v>71392.805453820896</v>
      </c>
      <c r="OS27" s="11">
        <v>5549362.767925499</v>
      </c>
      <c r="OT27" s="5"/>
      <c r="OU27" s="11">
        <v>1</v>
      </c>
      <c r="OV27" s="11">
        <v>77.73</v>
      </c>
      <c r="OW27" s="5">
        <v>124.04900334741826</v>
      </c>
      <c r="OX27" s="8">
        <v>3.0120375000000001E-2</v>
      </c>
      <c r="OY27" s="8">
        <v>-3.9503217354364129E-4</v>
      </c>
      <c r="OZ27" s="5"/>
      <c r="PA27" s="21">
        <v>2579.625723423113</v>
      </c>
      <c r="PB27" s="22">
        <v>2876.0099999999998</v>
      </c>
      <c r="PD27" s="16" t="s">
        <v>1104</v>
      </c>
      <c r="PE27" s="32" t="s">
        <v>284</v>
      </c>
      <c r="PF27" s="32">
        <v>9433</v>
      </c>
      <c r="PG27" s="32" t="s">
        <v>1694</v>
      </c>
      <c r="PH27" s="32"/>
      <c r="PI27" s="30" t="s">
        <v>902</v>
      </c>
      <c r="PJ27" s="30" t="s">
        <v>26</v>
      </c>
      <c r="PK27" s="71" t="s">
        <v>320</v>
      </c>
      <c r="PL27" s="30" t="s">
        <v>28</v>
      </c>
      <c r="PM27" s="30" t="s">
        <v>94</v>
      </c>
      <c r="PN27" s="17">
        <v>2662</v>
      </c>
      <c r="PO27" s="33">
        <f t="shared" si="21"/>
        <v>4.2995037180871318E-2</v>
      </c>
      <c r="PP27" s="33">
        <f t="shared" si="22"/>
        <v>4.0843066305285419E-2</v>
      </c>
      <c r="PR27" s="1">
        <v>1</v>
      </c>
      <c r="PS27" s="18">
        <v>3112.6886091126798</v>
      </c>
      <c r="PT27" s="11">
        <v>8285977.0774579542</v>
      </c>
      <c r="PU27" s="5"/>
      <c r="PV27" s="11">
        <v>100</v>
      </c>
      <c r="PW27" s="11">
        <v>266200</v>
      </c>
      <c r="PX27" s="5">
        <v>5.1684492478883626E-2</v>
      </c>
      <c r="PY27" s="8">
        <v>0</v>
      </c>
      <c r="PZ27" s="8">
        <v>-1</v>
      </c>
      <c r="QA27" s="5"/>
      <c r="QB27" s="21">
        <v>6191412.2525386149</v>
      </c>
      <c r="QC27" s="22">
        <v>9849400</v>
      </c>
      <c r="QE27" s="16" t="s">
        <v>790</v>
      </c>
      <c r="QF27" s="32" t="s">
        <v>34</v>
      </c>
      <c r="QG27" s="32"/>
      <c r="QH27" s="32"/>
      <c r="QI27" s="32"/>
      <c r="QJ27" s="30"/>
      <c r="QK27" s="30"/>
      <c r="QL27" s="30"/>
      <c r="QM27" s="30"/>
      <c r="QN27" s="30" t="s">
        <v>34</v>
      </c>
      <c r="QO27" s="17">
        <v>1</v>
      </c>
      <c r="QP27" s="33">
        <f t="shared" si="23"/>
        <v>5.2554842637128644E-3</v>
      </c>
      <c r="QQ27" s="33">
        <f>QQ34</f>
        <v>5.475E-2</v>
      </c>
      <c r="QS27" s="1">
        <v>1</v>
      </c>
      <c r="QT27" s="18">
        <v>599549.27170442499</v>
      </c>
      <c r="QU27" s="11">
        <v>599549.27170442499</v>
      </c>
      <c r="QV27" s="5"/>
      <c r="QW27" s="11">
        <v>1</v>
      </c>
      <c r="QX27" s="11">
        <v>1</v>
      </c>
      <c r="QY27" s="5">
        <v>1681.7549643881166</v>
      </c>
      <c r="QZ27" s="8">
        <v>5.2562499999999996E-3</v>
      </c>
      <c r="RA27" s="8">
        <v>1.4570232707611375E-4</v>
      </c>
      <c r="RB27" s="5"/>
      <c r="RC27" s="21">
        <v>190.27742255925349</v>
      </c>
      <c r="RD27" s="22">
        <v>37</v>
      </c>
      <c r="RF27" s="16" t="s">
        <v>1338</v>
      </c>
      <c r="RG27" s="34" t="s">
        <v>1312</v>
      </c>
      <c r="RH27" s="34"/>
      <c r="RI27" s="32" t="s">
        <v>1726</v>
      </c>
      <c r="RJ27" s="34"/>
      <c r="RK27" s="30" t="s">
        <v>803</v>
      </c>
    </row>
    <row r="28" spans="15:479" ht="15" thickBot="1" x14ac:dyDescent="0.25">
      <c r="O28" s="16" t="s">
        <v>1397</v>
      </c>
      <c r="P28" s="32" t="s">
        <v>1388</v>
      </c>
      <c r="Q28" s="32" t="s">
        <v>1392</v>
      </c>
      <c r="R28" s="32" t="s">
        <v>1450</v>
      </c>
      <c r="S28" s="32"/>
      <c r="T28" s="30" t="s">
        <v>886</v>
      </c>
      <c r="U28" s="30" t="s">
        <v>26</v>
      </c>
      <c r="V28" s="30" t="s">
        <v>39</v>
      </c>
      <c r="W28" s="30" t="s">
        <v>28</v>
      </c>
      <c r="X28" s="30" t="s">
        <v>83</v>
      </c>
      <c r="Y28" s="17">
        <v>505.8</v>
      </c>
      <c r="Z28" s="33">
        <f t="shared" si="0"/>
        <v>2.5377217536051159E-2</v>
      </c>
      <c r="AA28" s="33">
        <f t="shared" si="1"/>
        <v>2.4109209528963262E-2</v>
      </c>
      <c r="AB28" s="4"/>
      <c r="AC28" s="1">
        <v>1.1607000000000001</v>
      </c>
      <c r="AD28" s="18">
        <v>8895.5214432864705</v>
      </c>
      <c r="AE28" s="11">
        <v>5222401.0536987949</v>
      </c>
      <c r="AF28" s="5"/>
      <c r="AG28" s="11">
        <v>1</v>
      </c>
      <c r="AH28" s="11">
        <v>587.08206000000007</v>
      </c>
      <c r="AI28" s="5">
        <v>13.832324584294689</v>
      </c>
      <c r="AJ28" s="8">
        <v>2.5684840125000004E-2</v>
      </c>
      <c r="AK28" s="8">
        <v>1.2121998344059248E-2</v>
      </c>
      <c r="AL28" s="5"/>
      <c r="AM28" s="21">
        <v>23134.217105007068</v>
      </c>
      <c r="AN28" s="22">
        <v>21722.036220000002</v>
      </c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41"/>
      <c r="BA28" s="42"/>
      <c r="BB28" s="42"/>
      <c r="CB28" s="67" t="s">
        <v>89</v>
      </c>
      <c r="CC28" s="68">
        <f>CC27/CC24</f>
        <v>5.475E-2</v>
      </c>
      <c r="DC28" s="62" t="s">
        <v>86</v>
      </c>
      <c r="DD28" s="63">
        <v>100000</v>
      </c>
      <c r="DF28" s="1"/>
      <c r="DG28" s="26"/>
      <c r="DH28" s="46"/>
      <c r="DI28" s="26"/>
      <c r="DJ28" s="46"/>
      <c r="DK28" s="46"/>
      <c r="DL28" s="26"/>
      <c r="DM28" s="47"/>
      <c r="DN28" s="47"/>
      <c r="DO28" s="26"/>
      <c r="DP28" s="21"/>
      <c r="DQ28" s="22"/>
      <c r="ET28" s="16" t="s">
        <v>871</v>
      </c>
      <c r="EU28" s="32" t="s">
        <v>49</v>
      </c>
      <c r="EV28" s="32" t="s">
        <v>50</v>
      </c>
      <c r="EW28" s="32" t="s">
        <v>1455</v>
      </c>
      <c r="EX28" s="32"/>
      <c r="EY28" s="30" t="s">
        <v>850</v>
      </c>
      <c r="EZ28" s="30" t="s">
        <v>26</v>
      </c>
      <c r="FA28" s="30" t="s">
        <v>33</v>
      </c>
      <c r="FB28" s="30" t="s">
        <v>28</v>
      </c>
      <c r="FC28" s="30" t="s">
        <v>34</v>
      </c>
      <c r="FD28" s="17">
        <v>256.55</v>
      </c>
      <c r="FE28" s="33">
        <f t="shared" si="6"/>
        <v>2.9530042075708054E-2</v>
      </c>
      <c r="FF28" s="33">
        <f t="shared" si="7"/>
        <v>2.8052759291016235E-2</v>
      </c>
      <c r="FH28" s="1">
        <v>1</v>
      </c>
      <c r="FI28" s="18">
        <v>23587.357454742199</v>
      </c>
      <c r="FJ28" s="11">
        <v>6051336.5550141111</v>
      </c>
      <c r="FK28" s="5"/>
      <c r="FL28" s="11">
        <v>1</v>
      </c>
      <c r="FM28" s="11">
        <v>256.55</v>
      </c>
      <c r="FN28" s="5">
        <v>36.833418297511507</v>
      </c>
      <c r="FO28" s="8">
        <v>2.9663593750000002E-2</v>
      </c>
      <c r="FP28" s="8">
        <v>4.522569725757597E-3</v>
      </c>
      <c r="FQ28" s="5"/>
      <c r="FR28" s="21">
        <v>8687.7627651957428</v>
      </c>
      <c r="FS28" s="22">
        <v>9492.35</v>
      </c>
      <c r="FU28" s="16" t="s">
        <v>980</v>
      </c>
      <c r="FV28" s="32" t="s">
        <v>201</v>
      </c>
      <c r="FW28" s="32" t="s">
        <v>411</v>
      </c>
      <c r="FX28" s="32" t="s">
        <v>1545</v>
      </c>
      <c r="FY28" s="32"/>
      <c r="FZ28" s="30" t="s">
        <v>850</v>
      </c>
      <c r="GA28" s="30" t="s">
        <v>26</v>
      </c>
      <c r="GB28" s="30" t="s">
        <v>33</v>
      </c>
      <c r="GC28" s="30" t="s">
        <v>28</v>
      </c>
      <c r="GD28" s="30" t="s">
        <v>34</v>
      </c>
      <c r="GE28" s="17">
        <v>95.52</v>
      </c>
      <c r="GF28" s="33">
        <f t="shared" si="8"/>
        <v>2.1531387547257624E-2</v>
      </c>
      <c r="GG28" s="33">
        <f t="shared" si="9"/>
        <v>2.0453838522685765E-2</v>
      </c>
      <c r="GI28" s="1">
        <v>1</v>
      </c>
      <c r="GJ28" s="18">
        <v>46659.707673470402</v>
      </c>
      <c r="GK28" s="11">
        <v>4456935.2769698929</v>
      </c>
      <c r="GL28" s="5"/>
      <c r="GM28" s="11">
        <v>1</v>
      </c>
      <c r="GN28" s="11">
        <v>95.52</v>
      </c>
      <c r="GO28" s="5">
        <v>72.131951582102587</v>
      </c>
      <c r="GP28" s="8">
        <v>2.1491999999999997E-2</v>
      </c>
      <c r="GQ28" s="8">
        <v>-1.8293083606979454E-3</v>
      </c>
      <c r="GR28" s="5"/>
      <c r="GS28" s="21">
        <v>4436.3141850635648</v>
      </c>
      <c r="GT28" s="22">
        <v>3534.24</v>
      </c>
      <c r="GV28" s="16" t="s">
        <v>1009</v>
      </c>
      <c r="GW28" s="32" t="s">
        <v>315</v>
      </c>
      <c r="GX28" s="32">
        <v>2328</v>
      </c>
      <c r="GY28" s="32" t="s">
        <v>1572</v>
      </c>
      <c r="GZ28" s="32"/>
      <c r="HA28" s="30" t="s">
        <v>862</v>
      </c>
      <c r="HB28" s="30" t="s">
        <v>26</v>
      </c>
      <c r="HC28" s="30" t="s">
        <v>27</v>
      </c>
      <c r="HD28" s="30" t="s">
        <v>28</v>
      </c>
      <c r="HE28" s="30" t="s">
        <v>82</v>
      </c>
      <c r="HF28" s="17">
        <v>15.72</v>
      </c>
      <c r="HG28" s="33">
        <f t="shared" si="10"/>
        <v>2.5226384727981527E-2</v>
      </c>
      <c r="HH28" s="33">
        <f t="shared" si="29"/>
        <v>2.3963164189636729E-2</v>
      </c>
      <c r="HJ28" s="1">
        <v>0.12784999999999999</v>
      </c>
      <c r="HK28" s="18">
        <v>2047071.77341939</v>
      </c>
      <c r="HL28" s="11">
        <v>4114208.9443618366</v>
      </c>
      <c r="HM28" s="5"/>
      <c r="HN28" s="11">
        <v>2000</v>
      </c>
      <c r="HO28" s="11">
        <v>4019.6039999999998</v>
      </c>
      <c r="HP28" s="5">
        <v>2.0082682555182276</v>
      </c>
      <c r="HQ28" s="8">
        <v>2.5122525E-2</v>
      </c>
      <c r="HR28" s="8">
        <v>-4.1171071123133895E-3</v>
      </c>
      <c r="HS28" s="5"/>
      <c r="HT28" s="21">
        <v>159341.26286202986</v>
      </c>
      <c r="HU28" s="22">
        <v>148725.348</v>
      </c>
      <c r="HW28" s="16" t="s">
        <v>82</v>
      </c>
      <c r="HX28" s="45" t="s">
        <v>82</v>
      </c>
      <c r="HY28" s="45"/>
      <c r="HZ28" s="45"/>
      <c r="IA28" s="45"/>
      <c r="IB28" s="30"/>
      <c r="IC28" s="30"/>
      <c r="ID28" s="30"/>
      <c r="IE28" s="30" t="s">
        <v>80</v>
      </c>
      <c r="IF28" s="30" t="s">
        <v>82</v>
      </c>
      <c r="IG28" s="17">
        <v>1</v>
      </c>
      <c r="IH28" s="33">
        <f t="shared" si="11"/>
        <v>5.535650052666416E-3</v>
      </c>
      <c r="II28" s="33">
        <f>II35</f>
        <v>5.475E-2</v>
      </c>
      <c r="IK28" s="1">
        <v>1</v>
      </c>
      <c r="IL28" s="18">
        <v>1049230.35467196</v>
      </c>
      <c r="IM28" s="11">
        <v>1049230.35467196</v>
      </c>
      <c r="IN28" s="5"/>
      <c r="IO28" s="11">
        <v>1</v>
      </c>
      <c r="IP28" s="11">
        <v>1</v>
      </c>
      <c r="IQ28" s="5">
        <v>1771.408016853253</v>
      </c>
      <c r="IR28" s="8">
        <v>5.5343750000000002E-3</v>
      </c>
      <c r="IS28" s="8">
        <v>-2.3033476724232393E-4</v>
      </c>
      <c r="IX28" s="16" t="s">
        <v>1047</v>
      </c>
      <c r="IY28" s="32" t="s">
        <v>694</v>
      </c>
      <c r="IZ28" s="32" t="s">
        <v>700</v>
      </c>
      <c r="JA28" s="32" t="s">
        <v>1612</v>
      </c>
      <c r="JB28" s="32"/>
      <c r="JC28" s="30" t="s">
        <v>853</v>
      </c>
      <c r="JD28" s="30" t="s">
        <v>26</v>
      </c>
      <c r="JE28" s="30" t="s">
        <v>33</v>
      </c>
      <c r="JF28" s="30" t="s">
        <v>28</v>
      </c>
      <c r="JG28" s="30" t="s">
        <v>34</v>
      </c>
      <c r="JH28" s="17">
        <v>70.459999999999994</v>
      </c>
      <c r="JI28" s="33">
        <f t="shared" si="30"/>
        <v>3.037377560715868E-2</v>
      </c>
      <c r="JJ28" s="33">
        <f t="shared" si="13"/>
        <v>2.8853535765520917E-2</v>
      </c>
      <c r="JL28" s="1">
        <v>1</v>
      </c>
      <c r="JM28" s="18">
        <v>52589.444772528303</v>
      </c>
      <c r="JN28" s="11">
        <v>3705452.2786723441</v>
      </c>
      <c r="JO28" s="5"/>
      <c r="JP28" s="11">
        <v>1</v>
      </c>
      <c r="JQ28" s="11">
        <v>70.459999999999994</v>
      </c>
      <c r="JR28" s="5">
        <v>137.94504959254581</v>
      </c>
      <c r="JS28" s="8">
        <v>3.0385875E-2</v>
      </c>
      <c r="JT28" s="8">
        <v>3.9834997788257276E-4</v>
      </c>
      <c r="JU28" s="5"/>
      <c r="JV28" s="21">
        <v>2319.7642898037852</v>
      </c>
      <c r="JW28" s="22">
        <v>2607.0199999999995</v>
      </c>
      <c r="JY28" s="16" t="s">
        <v>1062</v>
      </c>
      <c r="JZ28" s="32" t="s">
        <v>180</v>
      </c>
      <c r="KA28" s="32" t="s">
        <v>400</v>
      </c>
      <c r="KB28" s="32" t="s">
        <v>1630</v>
      </c>
      <c r="KC28" s="32"/>
      <c r="KD28" s="30" t="s">
        <v>853</v>
      </c>
      <c r="KE28" s="30" t="s">
        <v>26</v>
      </c>
      <c r="KF28" s="30" t="s">
        <v>33</v>
      </c>
      <c r="KG28" s="30" t="s">
        <v>28</v>
      </c>
      <c r="KH28" s="30" t="s">
        <v>34</v>
      </c>
      <c r="KI28" s="17">
        <v>102.11</v>
      </c>
      <c r="KJ28" s="33">
        <f t="shared" si="31"/>
        <v>2.9752453807849463E-2</v>
      </c>
      <c r="KK28" s="33">
        <f t="shared" si="32"/>
        <v>2.8269419372034435E-2</v>
      </c>
      <c r="KM28" s="1">
        <v>1</v>
      </c>
      <c r="KN28" s="18">
        <v>28933.963303468001</v>
      </c>
      <c r="KO28" s="11">
        <v>2954446.9929171177</v>
      </c>
      <c r="KP28" s="5"/>
      <c r="KQ28" s="11">
        <v>1</v>
      </c>
      <c r="KR28" s="11">
        <v>102.11</v>
      </c>
      <c r="KS28" s="5">
        <v>93.240478097265964</v>
      </c>
      <c r="KT28" s="8">
        <v>2.967571875E-2</v>
      </c>
      <c r="KU28" s="8">
        <v>-2.5791169476320208E-3</v>
      </c>
      <c r="KV28" s="5"/>
      <c r="KW28" s="21">
        <v>3431.9858341586855</v>
      </c>
      <c r="KX28" s="22">
        <v>3778.0699999999997</v>
      </c>
      <c r="LK28" s="67" t="s">
        <v>89</v>
      </c>
      <c r="LL28" s="68">
        <f>LL27/LL24</f>
        <v>5.475E-2</v>
      </c>
      <c r="LN28" s="1"/>
      <c r="LO28" s="26"/>
      <c r="LP28" s="11"/>
      <c r="LQ28" s="5"/>
      <c r="LR28" s="11"/>
      <c r="LS28" s="11"/>
      <c r="LT28" s="5"/>
      <c r="LU28" s="8"/>
      <c r="LV28" s="8"/>
      <c r="LW28" s="5"/>
      <c r="LX28" s="21"/>
      <c r="LY28" s="22"/>
      <c r="MA28" s="16" t="s">
        <v>1415</v>
      </c>
      <c r="MB28" s="32" t="s">
        <v>1409</v>
      </c>
      <c r="MC28" s="32" t="s">
        <v>1412</v>
      </c>
      <c r="MD28" s="32" t="s">
        <v>1657</v>
      </c>
      <c r="ME28" s="32"/>
      <c r="MF28" s="30" t="s">
        <v>850</v>
      </c>
      <c r="MG28" s="30" t="s">
        <v>26</v>
      </c>
      <c r="MH28" s="30" t="s">
        <v>33</v>
      </c>
      <c r="MI28" s="30" t="s">
        <v>28</v>
      </c>
      <c r="MJ28" s="30" t="s">
        <v>34</v>
      </c>
      <c r="MK28" s="17">
        <v>99.14</v>
      </c>
      <c r="ML28" s="33">
        <f t="shared" si="16"/>
        <v>3.0501383547524089E-2</v>
      </c>
      <c r="MM28" s="33">
        <f t="shared" si="17"/>
        <v>2.8957942809738617E-2</v>
      </c>
      <c r="MO28" s="1">
        <v>1</v>
      </c>
      <c r="MP28" s="18">
        <v>55272.390651684902</v>
      </c>
      <c r="MQ28" s="11">
        <v>5479704.8092080411</v>
      </c>
      <c r="MR28" s="5"/>
      <c r="MS28" s="11">
        <v>1</v>
      </c>
      <c r="MT28" s="11">
        <v>99.14</v>
      </c>
      <c r="MU28" s="5">
        <v>98.451106871169145</v>
      </c>
      <c r="MV28" s="8">
        <v>3.0361624999999996E-2</v>
      </c>
      <c r="MW28" s="8">
        <v>-4.5820396083454673E-3</v>
      </c>
      <c r="MX28" s="5"/>
      <c r="MY28" s="21">
        <v>3250.3443604625459</v>
      </c>
      <c r="MZ28" s="22">
        <v>3668.18</v>
      </c>
      <c r="NB28" s="16" t="s">
        <v>885</v>
      </c>
      <c r="NC28" s="32" t="s">
        <v>272</v>
      </c>
      <c r="ND28" s="32" t="s">
        <v>73</v>
      </c>
      <c r="NE28" s="32" t="s">
        <v>1447</v>
      </c>
      <c r="NF28" s="32"/>
      <c r="NG28" s="30" t="s">
        <v>850</v>
      </c>
      <c r="NH28" s="30" t="s">
        <v>26</v>
      </c>
      <c r="NI28" s="30" t="s">
        <v>33</v>
      </c>
      <c r="NJ28" s="30" t="s">
        <v>28</v>
      </c>
      <c r="NK28" s="30" t="s">
        <v>34</v>
      </c>
      <c r="NL28" s="17">
        <v>77.03</v>
      </c>
      <c r="NM28" s="33">
        <f t="shared" si="18"/>
        <v>3.8251414476745932E-2</v>
      </c>
      <c r="NN28" s="33">
        <f t="shared" si="19"/>
        <v>3.6311143600731954E-2</v>
      </c>
      <c r="NP28" s="1">
        <v>1</v>
      </c>
      <c r="NQ28" s="18">
        <v>84892.677173146294</v>
      </c>
      <c r="NR28" s="11">
        <v>6539282.9226474594</v>
      </c>
      <c r="NS28" s="5"/>
      <c r="NT28" s="11">
        <v>1</v>
      </c>
      <c r="NU28" s="11">
        <v>77.03</v>
      </c>
      <c r="NV28" s="5">
        <v>158.90500626455534</v>
      </c>
      <c r="NW28" s="8">
        <v>3.827428125E-2</v>
      </c>
      <c r="NX28" s="8">
        <v>5.9780203077108851E-4</v>
      </c>
      <c r="NY28" s="5"/>
      <c r="NZ28" s="21">
        <v>2013.7817399361431</v>
      </c>
      <c r="OA28" s="22">
        <v>2850.1099999999997</v>
      </c>
      <c r="OC28" s="16" t="s">
        <v>883</v>
      </c>
      <c r="OD28" s="45" t="s">
        <v>153</v>
      </c>
      <c r="OE28" s="32" t="s">
        <v>154</v>
      </c>
      <c r="OF28" s="32" t="s">
        <v>1431</v>
      </c>
      <c r="OG28" s="45"/>
      <c r="OH28" s="30" t="s">
        <v>777</v>
      </c>
      <c r="OI28" s="30" t="s">
        <v>26</v>
      </c>
      <c r="OJ28" s="30" t="s">
        <v>129</v>
      </c>
      <c r="OK28" s="30" t="s">
        <v>28</v>
      </c>
      <c r="OL28" s="43" t="s">
        <v>827</v>
      </c>
      <c r="OM28" s="17">
        <v>31.08</v>
      </c>
      <c r="ON28" s="33">
        <f t="shared" si="20"/>
        <v>3.7112742879913958E-2</v>
      </c>
      <c r="OO28" s="33">
        <f t="shared" si="33"/>
        <v>3.5190564434240866E-2</v>
      </c>
      <c r="OQ28" s="1">
        <v>1.1509</v>
      </c>
      <c r="OR28" s="18">
        <v>191080.161608694</v>
      </c>
      <c r="OS28" s="11">
        <v>6834932.030498459</v>
      </c>
      <c r="OT28" s="5"/>
      <c r="OU28" s="11">
        <v>1</v>
      </c>
      <c r="OV28" s="11">
        <v>35.769971999999996</v>
      </c>
      <c r="OW28" s="5">
        <v>332.01249700649663</v>
      </c>
      <c r="OX28" s="8">
        <v>3.7111345949999999E-2</v>
      </c>
      <c r="OY28" s="8">
        <v>-3.764016899743261E-5</v>
      </c>
      <c r="OZ28" s="5"/>
      <c r="PA28" s="21">
        <v>963.81914200578547</v>
      </c>
      <c r="PB28" s="22">
        <v>1323.4889639999997</v>
      </c>
      <c r="PD28" s="16" t="s">
        <v>1086</v>
      </c>
      <c r="PE28" s="32" t="s">
        <v>264</v>
      </c>
      <c r="PF28" s="32">
        <v>9434</v>
      </c>
      <c r="PG28" s="32" t="s">
        <v>1659</v>
      </c>
      <c r="PH28" s="32"/>
      <c r="PI28" s="30" t="s">
        <v>902</v>
      </c>
      <c r="PJ28" s="30" t="s">
        <v>26</v>
      </c>
      <c r="PK28" s="71" t="s">
        <v>320</v>
      </c>
      <c r="PL28" s="30" t="s">
        <v>28</v>
      </c>
      <c r="PM28" s="30" t="s">
        <v>94</v>
      </c>
      <c r="PN28" s="17">
        <v>211.1</v>
      </c>
      <c r="PO28" s="33">
        <f t="shared" si="21"/>
        <v>4.2874384583966432E-2</v>
      </c>
      <c r="PP28" s="33">
        <f t="shared" si="22"/>
        <v>4.0728452565226052E-2</v>
      </c>
      <c r="PR28" s="1">
        <v>1</v>
      </c>
      <c r="PS28" s="18">
        <v>39141.283672729201</v>
      </c>
      <c r="PT28" s="11">
        <v>8262724.9833131339</v>
      </c>
      <c r="PU28" s="5"/>
      <c r="PV28" s="11">
        <v>100</v>
      </c>
      <c r="PW28" s="11">
        <v>21110</v>
      </c>
      <c r="PX28" s="5">
        <v>0.649919614726161</v>
      </c>
      <c r="PY28" s="8">
        <v>6.5968750000000007E-2</v>
      </c>
      <c r="PZ28" s="8">
        <v>0.53865182299713021</v>
      </c>
      <c r="QA28" s="5"/>
      <c r="QB28" s="21">
        <v>492368.58335908159</v>
      </c>
      <c r="QC28" s="22">
        <v>781070</v>
      </c>
      <c r="QE28" s="35" t="s">
        <v>81</v>
      </c>
      <c r="QF28" s="36"/>
      <c r="QG28" s="36"/>
      <c r="QH28" s="36"/>
      <c r="QI28" s="36"/>
      <c r="QJ28" s="36"/>
      <c r="QK28" s="36"/>
      <c r="QL28" s="36"/>
      <c r="QM28" s="36"/>
      <c r="QN28" s="36"/>
      <c r="QO28" s="25" t="s">
        <v>81</v>
      </c>
      <c r="QP28" s="37">
        <f>SUM(QP6:QP27)</f>
        <v>1.0000000000000004</v>
      </c>
      <c r="QQ28" s="37">
        <f>SUM(QQ6:QQ27)</f>
        <v>1.0000000000000002</v>
      </c>
      <c r="QS28" s="1"/>
      <c r="QT28" s="26"/>
      <c r="QU28" s="46">
        <v>114080690.11719556</v>
      </c>
      <c r="QV28" s="5"/>
      <c r="QW28" s="11"/>
      <c r="QX28" s="11"/>
      <c r="QY28" s="5"/>
      <c r="QZ28" s="8"/>
      <c r="RA28" s="8"/>
      <c r="RB28" s="5"/>
      <c r="RC28" s="21"/>
      <c r="RD28" s="22"/>
      <c r="RF28" s="16" t="s">
        <v>1065</v>
      </c>
      <c r="RG28" s="34" t="s">
        <v>173</v>
      </c>
      <c r="RH28" s="34"/>
      <c r="RI28" s="32" t="s">
        <v>1634</v>
      </c>
      <c r="RJ28" s="34"/>
      <c r="RK28" s="30" t="s">
        <v>853</v>
      </c>
    </row>
    <row r="29" spans="15:479" ht="15" thickBot="1" x14ac:dyDescent="0.25">
      <c r="O29" s="16" t="s">
        <v>1398</v>
      </c>
      <c r="P29" s="32" t="s">
        <v>1389</v>
      </c>
      <c r="Q29" s="32" t="s">
        <v>1393</v>
      </c>
      <c r="R29" s="32" t="s">
        <v>1451</v>
      </c>
      <c r="S29" s="32"/>
      <c r="T29" s="30" t="s">
        <v>853</v>
      </c>
      <c r="U29" s="30" t="s">
        <v>26</v>
      </c>
      <c r="V29" s="30" t="s">
        <v>33</v>
      </c>
      <c r="W29" s="30" t="s">
        <v>28</v>
      </c>
      <c r="X29" s="30" t="s">
        <v>34</v>
      </c>
      <c r="Y29" s="17">
        <v>397.05</v>
      </c>
      <c r="Z29" s="33">
        <f t="shared" si="0"/>
        <v>2.8672073962738985E-2</v>
      </c>
      <c r="AA29" s="33">
        <f t="shared" si="1"/>
        <v>2.7239433866837172E-2</v>
      </c>
      <c r="AB29" s="4"/>
      <c r="AC29" s="1">
        <v>1</v>
      </c>
      <c r="AD29" s="18">
        <v>14860.729387446399</v>
      </c>
      <c r="AE29" s="11">
        <v>5900452.603285593</v>
      </c>
      <c r="AF29" s="5"/>
      <c r="AG29" s="11">
        <v>1</v>
      </c>
      <c r="AH29" s="11">
        <v>397.05</v>
      </c>
      <c r="AI29" s="5">
        <v>23.108081269554148</v>
      </c>
      <c r="AJ29" s="8">
        <v>2.853796875E-2</v>
      </c>
      <c r="AK29" s="8">
        <v>-4.6772065708696742E-3</v>
      </c>
      <c r="AL29" s="5"/>
      <c r="AM29" s="21">
        <v>13847.969299883553</v>
      </c>
      <c r="AN29" s="22">
        <v>14690.85</v>
      </c>
      <c r="BA29" s="62" t="s">
        <v>86</v>
      </c>
      <c r="BB29" s="63">
        <v>100000</v>
      </c>
      <c r="DC29" s="64" t="s">
        <v>85</v>
      </c>
      <c r="DD29" s="65">
        <v>5000</v>
      </c>
      <c r="DF29" s="1"/>
      <c r="DG29" s="26"/>
      <c r="DH29" s="46"/>
      <c r="DI29" s="26"/>
      <c r="DJ29" s="46"/>
      <c r="DK29" s="46"/>
      <c r="DL29" s="26"/>
      <c r="DM29" s="47"/>
      <c r="DN29" s="47"/>
      <c r="DO29" s="26"/>
      <c r="DP29" s="21"/>
      <c r="DQ29" s="22"/>
      <c r="ED29" s="62" t="s">
        <v>86</v>
      </c>
      <c r="EE29" s="63">
        <v>100000</v>
      </c>
      <c r="ET29" s="16" t="s">
        <v>964</v>
      </c>
      <c r="EU29" s="32" t="s">
        <v>169</v>
      </c>
      <c r="EV29" s="32" t="s">
        <v>428</v>
      </c>
      <c r="EW29" s="32" t="s">
        <v>1456</v>
      </c>
      <c r="EX29" s="32"/>
      <c r="EY29" s="30" t="s">
        <v>850</v>
      </c>
      <c r="EZ29" s="30" t="s">
        <v>26</v>
      </c>
      <c r="FA29" s="30" t="s">
        <v>33</v>
      </c>
      <c r="FB29" s="30" t="s">
        <v>28</v>
      </c>
      <c r="FC29" s="30" t="s">
        <v>34</v>
      </c>
      <c r="FD29" s="17">
        <v>524.66</v>
      </c>
      <c r="FE29" s="33">
        <f t="shared" si="6"/>
        <v>3.3430178554809648E-2</v>
      </c>
      <c r="FF29" s="33">
        <f t="shared" si="7"/>
        <v>3.1757785838890711E-2</v>
      </c>
      <c r="FH29" s="1">
        <v>1</v>
      </c>
      <c r="FI29" s="18">
        <v>13057.1376686125</v>
      </c>
      <c r="FJ29" s="11">
        <v>6850557.8492142344</v>
      </c>
      <c r="FK29" s="5"/>
      <c r="FL29" s="11">
        <v>1</v>
      </c>
      <c r="FM29" s="11">
        <v>524.66</v>
      </c>
      <c r="FN29" s="5">
        <v>20.389694540348202</v>
      </c>
      <c r="FO29" s="8">
        <v>3.2791249999999994E-2</v>
      </c>
      <c r="FP29" s="8">
        <v>-1.9112328513654631E-2</v>
      </c>
      <c r="FQ29" s="5"/>
      <c r="FR29" s="21">
        <v>15694.202743781529</v>
      </c>
      <c r="FS29" s="22">
        <v>19412.419999999998</v>
      </c>
      <c r="FU29" s="16" t="s">
        <v>981</v>
      </c>
      <c r="FV29" s="32" t="s">
        <v>233</v>
      </c>
      <c r="FW29" s="32" t="s">
        <v>424</v>
      </c>
      <c r="FX29" s="32" t="s">
        <v>1546</v>
      </c>
      <c r="FY29" s="32"/>
      <c r="FZ29" s="30" t="s">
        <v>850</v>
      </c>
      <c r="GA29" s="30" t="s">
        <v>26</v>
      </c>
      <c r="GB29" s="30" t="s">
        <v>33</v>
      </c>
      <c r="GC29" s="30" t="s">
        <v>28</v>
      </c>
      <c r="GD29" s="30" t="s">
        <v>34</v>
      </c>
      <c r="GE29" s="17">
        <v>120.38</v>
      </c>
      <c r="GF29" s="33">
        <f t="shared" si="8"/>
        <v>2.3659929178332539E-2</v>
      </c>
      <c r="GG29" s="33">
        <f t="shared" si="9"/>
        <v>2.2475856226619833E-2</v>
      </c>
      <c r="GI29" s="1">
        <v>1</v>
      </c>
      <c r="GJ29" s="18">
        <v>40683.977993325498</v>
      </c>
      <c r="GK29" s="11">
        <v>4897537.2708365228</v>
      </c>
      <c r="GL29" s="5"/>
      <c r="GM29" s="11">
        <v>1</v>
      </c>
      <c r="GN29" s="11">
        <v>120.38</v>
      </c>
      <c r="GO29" s="5">
        <v>62.893980204904572</v>
      </c>
      <c r="GP29" s="8">
        <v>2.36998125E-2</v>
      </c>
      <c r="GQ29" s="8">
        <v>1.6856906614912681E-3</v>
      </c>
      <c r="GR29" s="5"/>
      <c r="GS29" s="21">
        <v>5087.92731764567</v>
      </c>
      <c r="GT29" s="22">
        <v>4454.0599999999995</v>
      </c>
      <c r="GV29" s="16" t="s">
        <v>1010</v>
      </c>
      <c r="GW29" s="32" t="s">
        <v>199</v>
      </c>
      <c r="GX29" s="32" t="s">
        <v>416</v>
      </c>
      <c r="GY29" s="32" t="s">
        <v>1573</v>
      </c>
      <c r="GZ29" s="32"/>
      <c r="HA29" s="30" t="s">
        <v>838</v>
      </c>
      <c r="HB29" s="30" t="s">
        <v>26</v>
      </c>
      <c r="HC29" s="30" t="s">
        <v>323</v>
      </c>
      <c r="HD29" s="30" t="s">
        <v>28</v>
      </c>
      <c r="HE29" s="30" t="s">
        <v>431</v>
      </c>
      <c r="HF29" s="17">
        <v>20.93</v>
      </c>
      <c r="HG29" s="33">
        <f t="shared" si="10"/>
        <v>3.0553148808965831E-2</v>
      </c>
      <c r="HH29" s="33">
        <f t="shared" si="29"/>
        <v>2.9023188590616353E-2</v>
      </c>
      <c r="HJ29" s="1">
        <v>0.70340000000000003</v>
      </c>
      <c r="HK29" s="18">
        <v>338466.51684670401</v>
      </c>
      <c r="HL29" s="11">
        <v>4982958.892592906</v>
      </c>
      <c r="HM29" s="5"/>
      <c r="HN29" s="11">
        <v>1</v>
      </c>
      <c r="HO29" s="11">
        <v>14.722162000000001</v>
      </c>
      <c r="HP29" s="5">
        <v>664.10134726605133</v>
      </c>
      <c r="HQ29" s="8">
        <v>3.0548486150000002E-2</v>
      </c>
      <c r="HR29" s="8">
        <v>-1.5260813197948142E-4</v>
      </c>
      <c r="HS29" s="5"/>
      <c r="HT29" s="21">
        <v>481.85416475567251</v>
      </c>
      <c r="HU29" s="22">
        <v>544.71999400000004</v>
      </c>
      <c r="HW29" s="35" t="s">
        <v>81</v>
      </c>
      <c r="HX29" s="36"/>
      <c r="HY29" s="36"/>
      <c r="HZ29" s="36"/>
      <c r="IA29" s="36"/>
      <c r="IB29" s="36"/>
      <c r="IC29" s="36"/>
      <c r="ID29" s="36"/>
      <c r="IE29" s="36"/>
      <c r="IF29" s="36"/>
      <c r="IG29" s="25" t="s">
        <v>81</v>
      </c>
      <c r="IH29" s="37">
        <f>SUM(IH6:IH28)</f>
        <v>1</v>
      </c>
      <c r="II29" s="37">
        <f>SUM(II6:II28)</f>
        <v>1</v>
      </c>
      <c r="IM29" s="56">
        <v>189540585.96362427</v>
      </c>
      <c r="IX29" s="16" t="s">
        <v>1048</v>
      </c>
      <c r="IY29" s="32" t="s">
        <v>695</v>
      </c>
      <c r="IZ29" s="32" t="s">
        <v>701</v>
      </c>
      <c r="JA29" s="32" t="s">
        <v>1613</v>
      </c>
      <c r="JB29" s="32"/>
      <c r="JC29" s="30" t="s">
        <v>850</v>
      </c>
      <c r="JD29" s="30" t="s">
        <v>26</v>
      </c>
      <c r="JE29" s="30" t="s">
        <v>33</v>
      </c>
      <c r="JF29" s="30" t="s">
        <v>28</v>
      </c>
      <c r="JG29" s="30" t="s">
        <v>34</v>
      </c>
      <c r="JH29" s="17">
        <v>125.48</v>
      </c>
      <c r="JI29" s="33">
        <f t="shared" si="30"/>
        <v>4.4881522750450903E-2</v>
      </c>
      <c r="JJ29" s="33">
        <f t="shared" si="13"/>
        <v>4.2635154701872638E-2</v>
      </c>
      <c r="JL29" s="1">
        <v>1</v>
      </c>
      <c r="JM29" s="18">
        <v>43635.053987677798</v>
      </c>
      <c r="JN29" s="11">
        <v>5475326.5743738106</v>
      </c>
      <c r="JO29" s="5"/>
      <c r="JP29" s="11">
        <v>1</v>
      </c>
      <c r="JQ29" s="11">
        <v>125.48</v>
      </c>
      <c r="JR29" s="5">
        <v>114.45718265974091</v>
      </c>
      <c r="JS29" s="8">
        <v>4.4702250000000006E-2</v>
      </c>
      <c r="JT29" s="8">
        <v>-3.9943553485848327E-3</v>
      </c>
      <c r="JU29" s="5"/>
      <c r="JV29" s="21">
        <v>2795.8053183197617</v>
      </c>
      <c r="JW29" s="22">
        <v>4642.76</v>
      </c>
      <c r="JY29" s="16" t="s">
        <v>1336</v>
      </c>
      <c r="JZ29" s="32" t="s">
        <v>1310</v>
      </c>
      <c r="KA29" s="32" t="s">
        <v>1380</v>
      </c>
      <c r="KB29" s="32" t="s">
        <v>1631</v>
      </c>
      <c r="KC29" s="32"/>
      <c r="KD29" s="30" t="s">
        <v>855</v>
      </c>
      <c r="KE29" s="30" t="s">
        <v>26</v>
      </c>
      <c r="KF29" s="30" t="s">
        <v>1381</v>
      </c>
      <c r="KG29" s="30" t="s">
        <v>28</v>
      </c>
      <c r="KH29" s="30" t="s">
        <v>83</v>
      </c>
      <c r="KI29" s="17">
        <v>42.2</v>
      </c>
      <c r="KJ29" s="33">
        <f t="shared" si="31"/>
        <v>3.6820411214309859E-2</v>
      </c>
      <c r="KK29" s="33">
        <f t="shared" si="32"/>
        <v>3.4985068888451515E-2</v>
      </c>
      <c r="KM29" s="1">
        <v>1.1607000000000001</v>
      </c>
      <c r="KN29" s="18">
        <v>74646.527924020906</v>
      </c>
      <c r="KO29" s="11">
        <v>3656301.8933715471</v>
      </c>
      <c r="KP29" s="5"/>
      <c r="KQ29" s="11">
        <v>1</v>
      </c>
      <c r="KR29" s="11">
        <v>48.981540000000003</v>
      </c>
      <c r="KS29" s="5">
        <v>240.55045203926122</v>
      </c>
      <c r="KT29" s="8">
        <v>3.6889222312500004E-2</v>
      </c>
      <c r="KU29" s="8">
        <v>1.8688302471592255E-3</v>
      </c>
      <c r="KV29" s="5"/>
      <c r="KW29" s="21">
        <v>1330.2822642285932</v>
      </c>
      <c r="KX29" s="22">
        <v>1812.3169800000001</v>
      </c>
      <c r="LN29" s="1"/>
      <c r="LO29" s="26"/>
      <c r="LP29" s="11"/>
      <c r="LQ29" s="5"/>
      <c r="LR29" s="11"/>
      <c r="LS29" s="11"/>
      <c r="LT29" s="5"/>
      <c r="LU29" s="8"/>
      <c r="LV29" s="8"/>
      <c r="LW29" s="5"/>
      <c r="LX29" s="21"/>
      <c r="LY29" s="22"/>
      <c r="MA29" s="16" t="s">
        <v>1098</v>
      </c>
      <c r="MB29" s="32" t="s">
        <v>715</v>
      </c>
      <c r="MC29" s="32" t="s">
        <v>717</v>
      </c>
      <c r="MD29" s="32" t="s">
        <v>1658</v>
      </c>
      <c r="ME29" s="32"/>
      <c r="MF29" s="30" t="s">
        <v>886</v>
      </c>
      <c r="MG29" s="30" t="s">
        <v>26</v>
      </c>
      <c r="MH29" s="30" t="s">
        <v>39</v>
      </c>
      <c r="MI29" s="30" t="s">
        <v>28</v>
      </c>
      <c r="MJ29" s="30" t="s">
        <v>83</v>
      </c>
      <c r="MK29" s="17">
        <v>75.8</v>
      </c>
      <c r="ML29" s="33">
        <f t="shared" si="16"/>
        <v>2.9904775185710487E-2</v>
      </c>
      <c r="MM29" s="33">
        <f t="shared" si="17"/>
        <v>2.8391524214520091E-2</v>
      </c>
      <c r="MO29" s="1">
        <v>1.1607000000000001</v>
      </c>
      <c r="MP29" s="18">
        <v>61064.523997061202</v>
      </c>
      <c r="MQ29" s="11">
        <v>5372521.549656882</v>
      </c>
      <c r="MR29" s="5"/>
      <c r="MS29" s="11">
        <v>1</v>
      </c>
      <c r="MT29" s="11">
        <v>87.981059999999999</v>
      </c>
      <c r="MU29" s="5">
        <v>108.76804688903903</v>
      </c>
      <c r="MV29" s="8">
        <v>2.9968548562500003E-2</v>
      </c>
      <c r="MW29" s="8">
        <v>2.1325482767711179E-3</v>
      </c>
      <c r="MX29" s="5"/>
      <c r="MY29" s="21">
        <v>2942.0405087024474</v>
      </c>
      <c r="MZ29" s="22">
        <v>3255.2992199999999</v>
      </c>
      <c r="NB29" s="16" t="s">
        <v>887</v>
      </c>
      <c r="NC29" s="32" t="s">
        <v>74</v>
      </c>
      <c r="ND29" s="32" t="s">
        <v>75</v>
      </c>
      <c r="NE29" s="32" t="s">
        <v>1436</v>
      </c>
      <c r="NF29" s="32"/>
      <c r="NG29" s="30" t="s">
        <v>850</v>
      </c>
      <c r="NH29" s="30" t="s">
        <v>26</v>
      </c>
      <c r="NI29" s="30" t="s">
        <v>33</v>
      </c>
      <c r="NJ29" s="30" t="s">
        <v>28</v>
      </c>
      <c r="NK29" s="30" t="s">
        <v>34</v>
      </c>
      <c r="NL29" s="17">
        <v>51.18</v>
      </c>
      <c r="NM29" s="33">
        <f t="shared" si="18"/>
        <v>4.0189036181591475E-2</v>
      </c>
      <c r="NN29" s="33">
        <f t="shared" si="19"/>
        <v>3.8150481071802821E-2</v>
      </c>
      <c r="NP29" s="1">
        <v>1</v>
      </c>
      <c r="NQ29" s="18">
        <v>134242.47103034801</v>
      </c>
      <c r="NR29" s="11">
        <v>6870529.6673332108</v>
      </c>
      <c r="NS29" s="5"/>
      <c r="NT29" s="11">
        <v>1</v>
      </c>
      <c r="NU29" s="11">
        <v>51.18</v>
      </c>
      <c r="NV29" s="5">
        <v>251.27963224129095</v>
      </c>
      <c r="NW29" s="8">
        <v>4.0144312500000001E-2</v>
      </c>
      <c r="NX29" s="8">
        <v>-1.1128328977433322E-3</v>
      </c>
      <c r="NY29" s="5"/>
      <c r="NZ29" s="21">
        <v>1273.4816473016817</v>
      </c>
      <c r="OA29" s="22">
        <v>1893.6599999999999</v>
      </c>
      <c r="OC29" s="16" t="s">
        <v>1087</v>
      </c>
      <c r="OD29" s="45" t="s">
        <v>265</v>
      </c>
      <c r="OE29" s="32" t="s">
        <v>340</v>
      </c>
      <c r="OF29" s="32" t="s">
        <v>1660</v>
      </c>
      <c r="OG29" s="45"/>
      <c r="OH29" s="30" t="s">
        <v>867</v>
      </c>
      <c r="OI29" s="30" t="s">
        <v>26</v>
      </c>
      <c r="OJ29" s="30" t="s">
        <v>330</v>
      </c>
      <c r="OK29" s="30" t="s">
        <v>28</v>
      </c>
      <c r="OL29" s="30" t="s">
        <v>868</v>
      </c>
      <c r="OM29" s="17">
        <v>170.3</v>
      </c>
      <c r="ON29" s="33">
        <f t="shared" si="20"/>
        <v>3.3677930770949639E-2</v>
      </c>
      <c r="OO29" s="33">
        <f t="shared" si="33"/>
        <v>3.1933651377959109E-2</v>
      </c>
      <c r="OQ29" s="1">
        <v>8.9200000000000002E-2</v>
      </c>
      <c r="OR29" s="18">
        <v>408297.80468190601</v>
      </c>
      <c r="OS29" s="11">
        <v>6202353.9594497103</v>
      </c>
      <c r="OT29" s="5"/>
      <c r="OU29" s="11">
        <v>1</v>
      </c>
      <c r="OV29" s="11">
        <v>15.190760000000001</v>
      </c>
      <c r="OW29" s="5">
        <v>709.44033390718323</v>
      </c>
      <c r="OX29" s="8">
        <v>3.3657027625000002E-2</v>
      </c>
      <c r="OY29" s="8">
        <v>-6.2067785850039581E-4</v>
      </c>
      <c r="OZ29" s="5"/>
      <c r="PA29" s="21">
        <v>451.05977868163592</v>
      </c>
      <c r="PB29" s="22">
        <v>562.05812000000003</v>
      </c>
      <c r="PD29" s="16" t="s">
        <v>94</v>
      </c>
      <c r="PE29" s="32" t="s">
        <v>94</v>
      </c>
      <c r="PF29" s="32"/>
      <c r="PG29" s="32"/>
      <c r="PH29" s="32"/>
      <c r="PI29" s="30"/>
      <c r="PJ29" s="30"/>
      <c r="PK29" s="30"/>
      <c r="PL29" s="30" t="s">
        <v>80</v>
      </c>
      <c r="PM29" s="30" t="s">
        <v>94</v>
      </c>
      <c r="PN29" s="17">
        <v>1</v>
      </c>
      <c r="PO29" s="33">
        <f t="shared" si="21"/>
        <v>4.9459413393911069E-3</v>
      </c>
      <c r="PP29" s="33">
        <f>PP36</f>
        <v>5.475E-2</v>
      </c>
      <c r="PR29" s="1">
        <v>1</v>
      </c>
      <c r="PS29" s="18">
        <v>953178.76787136402</v>
      </c>
      <c r="PT29" s="11">
        <v>953178.76787136402</v>
      </c>
      <c r="PU29" s="5"/>
      <c r="PV29" s="11">
        <v>1</v>
      </c>
      <c r="PW29" s="11">
        <v>1</v>
      </c>
      <c r="PX29" s="5">
        <v>1582.7012286051543</v>
      </c>
      <c r="PY29" s="8">
        <v>4.9468749999999999E-3</v>
      </c>
      <c r="PZ29" s="8">
        <v>1.8877308581410901E-4</v>
      </c>
      <c r="QA29" s="5"/>
      <c r="QB29" s="21">
        <v>202.18598066169335</v>
      </c>
      <c r="QC29" s="22">
        <v>37</v>
      </c>
      <c r="QS29" s="1"/>
      <c r="QT29" s="26"/>
      <c r="QU29" s="46"/>
      <c r="QV29" s="5"/>
      <c r="QW29" s="11"/>
      <c r="QX29" s="11"/>
      <c r="QY29" s="5"/>
      <c r="QZ29" s="8"/>
      <c r="RA29" s="8"/>
      <c r="RB29" s="5"/>
      <c r="RC29" s="21"/>
      <c r="RD29" s="22"/>
      <c r="RF29" s="16" t="s">
        <v>1339</v>
      </c>
      <c r="RG29" s="34" t="s">
        <v>1313</v>
      </c>
      <c r="RH29" s="34"/>
      <c r="RI29" s="32" t="s">
        <v>1635</v>
      </c>
      <c r="RJ29" s="34"/>
      <c r="RK29" s="30" t="s">
        <v>850</v>
      </c>
    </row>
    <row r="30" spans="15:479" ht="15" thickBot="1" x14ac:dyDescent="0.25">
      <c r="O30" s="16" t="s">
        <v>863</v>
      </c>
      <c r="P30" s="32" t="s">
        <v>45</v>
      </c>
      <c r="Q30" s="32" t="s">
        <v>46</v>
      </c>
      <c r="R30" s="32" t="s">
        <v>1452</v>
      </c>
      <c r="S30" s="32"/>
      <c r="T30" s="30" t="s">
        <v>853</v>
      </c>
      <c r="U30" s="30" t="s">
        <v>26</v>
      </c>
      <c r="V30" s="30" t="s">
        <v>33</v>
      </c>
      <c r="W30" s="30" t="s">
        <v>28</v>
      </c>
      <c r="X30" s="30" t="s">
        <v>34</v>
      </c>
      <c r="Y30" s="17">
        <v>80.010000000000005</v>
      </c>
      <c r="Z30" s="33">
        <f t="shared" si="0"/>
        <v>2.553312085307638E-2</v>
      </c>
      <c r="AA30" s="33">
        <f t="shared" si="1"/>
        <v>2.4257322919687904E-2</v>
      </c>
      <c r="AB30" s="4"/>
      <c r="AC30" s="1">
        <v>1</v>
      </c>
      <c r="AD30" s="18">
        <v>65672.847661738793</v>
      </c>
      <c r="AE30" s="11">
        <v>5254484.5414157212</v>
      </c>
      <c r="AF30" s="5"/>
      <c r="AG30" s="11">
        <v>1</v>
      </c>
      <c r="AH30" s="11">
        <v>80.010000000000005</v>
      </c>
      <c r="AI30" s="5">
        <v>102.11971844749958</v>
      </c>
      <c r="AJ30" s="8">
        <v>2.55031875E-2</v>
      </c>
      <c r="AK30" s="8">
        <v>-1.1723342888095845E-3</v>
      </c>
      <c r="AL30" s="5"/>
      <c r="AM30" s="21">
        <v>3133.5769904664799</v>
      </c>
      <c r="AN30" s="22">
        <v>2960.37</v>
      </c>
      <c r="BA30" s="64" t="s">
        <v>85</v>
      </c>
      <c r="BB30" s="65">
        <v>5000</v>
      </c>
      <c r="DC30" s="64" t="s">
        <v>88</v>
      </c>
      <c r="DD30" s="66">
        <f>(DD28-DD29)*0.5%</f>
        <v>475</v>
      </c>
      <c r="DF30" s="1"/>
      <c r="DG30" s="26"/>
      <c r="DH30" s="46"/>
      <c r="DI30" s="26"/>
      <c r="DJ30" s="46"/>
      <c r="DK30" s="46"/>
      <c r="DL30" s="26"/>
      <c r="DM30" s="47"/>
      <c r="DN30" s="47"/>
      <c r="DO30" s="26"/>
      <c r="DP30" s="21"/>
      <c r="DQ30" s="22"/>
      <c r="ED30" s="64" t="s">
        <v>85</v>
      </c>
      <c r="EE30" s="65">
        <v>5000</v>
      </c>
      <c r="ET30" s="16" t="s">
        <v>1077</v>
      </c>
      <c r="EU30" s="32" t="s">
        <v>317</v>
      </c>
      <c r="EV30" s="32" t="s">
        <v>324</v>
      </c>
      <c r="EW30" s="32" t="s">
        <v>1458</v>
      </c>
      <c r="EX30" s="32"/>
      <c r="EY30" s="30" t="s">
        <v>850</v>
      </c>
      <c r="EZ30" s="30" t="s">
        <v>26</v>
      </c>
      <c r="FA30" s="30" t="s">
        <v>33</v>
      </c>
      <c r="FB30" s="30" t="s">
        <v>28</v>
      </c>
      <c r="FC30" s="30" t="s">
        <v>34</v>
      </c>
      <c r="FD30" s="17">
        <v>60.74</v>
      </c>
      <c r="FE30" s="33">
        <f t="shared" si="6"/>
        <v>3.40932085079503E-2</v>
      </c>
      <c r="FF30" s="33">
        <f t="shared" si="7"/>
        <v>3.2387646765959593E-2</v>
      </c>
      <c r="FH30" s="1">
        <v>1</v>
      </c>
      <c r="FI30" s="18">
        <v>115021.844794114</v>
      </c>
      <c r="FJ30" s="11">
        <v>6986426.8527944852</v>
      </c>
      <c r="FK30" s="5"/>
      <c r="FL30" s="11">
        <v>1</v>
      </c>
      <c r="FM30" s="11">
        <v>60.74</v>
      </c>
      <c r="FN30" s="5">
        <v>179.61519134909608</v>
      </c>
      <c r="FO30" s="8">
        <v>3.4166250000000002E-2</v>
      </c>
      <c r="FP30" s="8">
        <v>2.1424059291066389E-3</v>
      </c>
      <c r="FQ30" s="5"/>
      <c r="FR30" s="21">
        <v>1781.586499429523</v>
      </c>
      <c r="FS30" s="22">
        <v>2247.38</v>
      </c>
      <c r="FU30" s="16" t="s">
        <v>982</v>
      </c>
      <c r="FV30" s="45" t="s">
        <v>182</v>
      </c>
      <c r="FW30" s="32" t="s">
        <v>412</v>
      </c>
      <c r="FX30" s="32" t="s">
        <v>1547</v>
      </c>
      <c r="FY30" s="45"/>
      <c r="FZ30" s="30" t="s">
        <v>850</v>
      </c>
      <c r="GA30" s="30" t="s">
        <v>26</v>
      </c>
      <c r="GB30" s="30" t="s">
        <v>33</v>
      </c>
      <c r="GC30" s="30" t="s">
        <v>28</v>
      </c>
      <c r="GD30" s="30" t="s">
        <v>34</v>
      </c>
      <c r="GE30" s="17">
        <v>353.86</v>
      </c>
      <c r="GF30" s="33">
        <f t="shared" si="8"/>
        <v>4.1331857678511871E-2</v>
      </c>
      <c r="GG30" s="33">
        <f t="shared" si="9"/>
        <v>3.9263384254424716E-2</v>
      </c>
      <c r="GI30" s="1">
        <v>1</v>
      </c>
      <c r="GJ30" s="18">
        <v>24177.854599664101</v>
      </c>
      <c r="GK30" s="11">
        <v>8555575.6286371388</v>
      </c>
      <c r="GL30" s="5"/>
      <c r="GM30" s="11">
        <v>1</v>
      </c>
      <c r="GN30" s="11">
        <v>353.86</v>
      </c>
      <c r="GO30" s="5">
        <v>37.376913064838632</v>
      </c>
      <c r="GP30" s="8">
        <v>4.0915062500000002E-2</v>
      </c>
      <c r="GQ30" s="8">
        <v>-1.0084114335092154E-2</v>
      </c>
      <c r="GR30" s="5"/>
      <c r="GS30" s="21">
        <v>8561.4346868316352</v>
      </c>
      <c r="GT30" s="22">
        <v>13092.82</v>
      </c>
      <c r="GV30" s="16" t="s">
        <v>978</v>
      </c>
      <c r="GW30" s="32" t="s">
        <v>200</v>
      </c>
      <c r="GX30" s="32" t="s">
        <v>417</v>
      </c>
      <c r="GY30" s="32" t="s">
        <v>1544</v>
      </c>
      <c r="GZ30" s="32"/>
      <c r="HA30" s="30" t="s">
        <v>979</v>
      </c>
      <c r="HB30" s="30" t="s">
        <v>26</v>
      </c>
      <c r="HC30" s="30" t="s">
        <v>420</v>
      </c>
      <c r="HD30" s="30" t="s">
        <v>28</v>
      </c>
      <c r="HE30" s="30" t="s">
        <v>34</v>
      </c>
      <c r="HF30" s="17">
        <v>3124</v>
      </c>
      <c r="HG30" s="33">
        <f t="shared" si="10"/>
        <v>5.6659097106264711E-2</v>
      </c>
      <c r="HH30" s="33">
        <f t="shared" si="29"/>
        <v>5.3821871878770418E-2</v>
      </c>
      <c r="HJ30" s="1">
        <v>1</v>
      </c>
      <c r="HK30" s="18">
        <v>2957.9440395326201</v>
      </c>
      <c r="HL30" s="11">
        <v>9240617.1794999056</v>
      </c>
      <c r="HM30" s="5"/>
      <c r="HN30" s="11">
        <v>1</v>
      </c>
      <c r="HO30" s="11">
        <v>3124</v>
      </c>
      <c r="HP30" s="5">
        <v>5.803748743279356</v>
      </c>
      <c r="HQ30" s="8">
        <v>5.8575000000000002E-2</v>
      </c>
      <c r="HR30" s="8">
        <v>3.3814568032067172E-2</v>
      </c>
      <c r="HS30" s="5"/>
      <c r="HT30" s="21">
        <v>55136.776961710253</v>
      </c>
      <c r="HU30" s="22">
        <v>115588</v>
      </c>
      <c r="IX30" s="16" t="s">
        <v>1049</v>
      </c>
      <c r="IY30" s="32" t="s">
        <v>696</v>
      </c>
      <c r="IZ30" s="32">
        <v>9880</v>
      </c>
      <c r="JA30" s="32" t="s">
        <v>1614</v>
      </c>
      <c r="JB30" s="32"/>
      <c r="JC30" s="30" t="s">
        <v>862</v>
      </c>
      <c r="JD30" s="30" t="s">
        <v>26</v>
      </c>
      <c r="JE30" s="30" t="s">
        <v>27</v>
      </c>
      <c r="JF30" s="30" t="s">
        <v>28</v>
      </c>
      <c r="JG30" s="30" t="s">
        <v>82</v>
      </c>
      <c r="JH30" s="17">
        <v>112.3</v>
      </c>
      <c r="JI30" s="33">
        <f t="shared" si="30"/>
        <v>4.403829918869713E-2</v>
      </c>
      <c r="JJ30" s="33">
        <f t="shared" si="13"/>
        <v>4.183413537809591E-2</v>
      </c>
      <c r="JL30" s="1">
        <v>0.12784999999999999</v>
      </c>
      <c r="JM30" s="18">
        <v>374190.27251787798</v>
      </c>
      <c r="JN30" s="11">
        <v>5372457.4181404207</v>
      </c>
      <c r="JO30" s="5"/>
      <c r="JP30" s="11">
        <v>50</v>
      </c>
      <c r="JQ30" s="11">
        <v>717.87774999999988</v>
      </c>
      <c r="JR30" s="5">
        <v>19.630439500852457</v>
      </c>
      <c r="JS30" s="8">
        <v>4.4867359374999992E-2</v>
      </c>
      <c r="JT30" s="8">
        <v>1.8825890226833453E-2</v>
      </c>
      <c r="JU30" s="5"/>
      <c r="JV30" s="21">
        <v>16301.214243629336</v>
      </c>
      <c r="JW30" s="22">
        <v>26561.476749999994</v>
      </c>
      <c r="JY30" s="16" t="s">
        <v>1063</v>
      </c>
      <c r="JZ30" s="32" t="s">
        <v>246</v>
      </c>
      <c r="KA30" s="32" t="s">
        <v>1382</v>
      </c>
      <c r="KB30" s="32" t="s">
        <v>1632</v>
      </c>
      <c r="KC30" s="32"/>
      <c r="KD30" s="30" t="s">
        <v>878</v>
      </c>
      <c r="KE30" s="30" t="s">
        <v>26</v>
      </c>
      <c r="KF30" s="30" t="s">
        <v>1383</v>
      </c>
      <c r="KG30" s="30" t="s">
        <v>28</v>
      </c>
      <c r="KH30" s="30" t="s">
        <v>879</v>
      </c>
      <c r="KI30" s="17">
        <v>368.7</v>
      </c>
      <c r="KJ30" s="33">
        <f t="shared" si="31"/>
        <v>2.8412509260244911E-2</v>
      </c>
      <c r="KK30" s="33">
        <f t="shared" si="32"/>
        <v>2.6996265413166329E-2</v>
      </c>
      <c r="KM30" s="1">
        <v>0.15540000000000001</v>
      </c>
      <c r="KN30" s="18">
        <v>49242.359123044997</v>
      </c>
      <c r="KO30" s="11">
        <v>2821389.2234668038</v>
      </c>
      <c r="KP30" s="5"/>
      <c r="KQ30" s="11">
        <v>1</v>
      </c>
      <c r="KR30" s="11">
        <v>57.29598</v>
      </c>
      <c r="KS30" s="5">
        <v>158.68483204717629</v>
      </c>
      <c r="KT30" s="8">
        <v>2.8468940062500003E-2</v>
      </c>
      <c r="KU30" s="8">
        <v>1.9861252569497445E-3</v>
      </c>
      <c r="KV30" s="5"/>
      <c r="KW30" s="21">
        <v>2016.5758495737352</v>
      </c>
      <c r="KX30" s="22">
        <v>2119.9512599999998</v>
      </c>
      <c r="LN30" s="1"/>
      <c r="LO30" s="26"/>
      <c r="LP30" s="11"/>
      <c r="LQ30" s="5"/>
      <c r="LR30" s="11"/>
      <c r="LS30" s="11"/>
      <c r="LT30" s="5"/>
      <c r="LU30" s="8"/>
      <c r="LV30" s="8"/>
      <c r="LW30" s="5"/>
      <c r="LX30" s="21"/>
      <c r="LY30" s="22"/>
      <c r="MA30" s="16" t="s">
        <v>882</v>
      </c>
      <c r="MB30" s="32" t="s">
        <v>70</v>
      </c>
      <c r="MC30" s="32" t="s">
        <v>71</v>
      </c>
      <c r="MD30" s="32" t="s">
        <v>1449</v>
      </c>
      <c r="ME30" s="32"/>
      <c r="MF30" s="30" t="s">
        <v>430</v>
      </c>
      <c r="MG30" s="30" t="s">
        <v>26</v>
      </c>
      <c r="MH30" s="30" t="s">
        <v>61</v>
      </c>
      <c r="MI30" s="30" t="s">
        <v>28</v>
      </c>
      <c r="MJ30" s="30" t="s">
        <v>814</v>
      </c>
      <c r="MK30" s="17">
        <v>351.5</v>
      </c>
      <c r="ML30" s="33">
        <f t="shared" si="16"/>
        <v>2.8578769340797495E-2</v>
      </c>
      <c r="MM30" s="33">
        <f t="shared" si="17"/>
        <v>2.7132617340261709E-2</v>
      </c>
      <c r="MO30" s="1">
        <v>1.2806</v>
      </c>
      <c r="MP30" s="18">
        <v>11406.235149578901</v>
      </c>
      <c r="MQ30" s="11">
        <v>5134298.8934915848</v>
      </c>
      <c r="MR30" s="5"/>
      <c r="MS30" s="11">
        <v>1</v>
      </c>
      <c r="MT30" s="11">
        <v>450.1309</v>
      </c>
      <c r="MU30" s="5">
        <v>20.316770497326885</v>
      </c>
      <c r="MV30" s="8">
        <v>2.813318125E-2</v>
      </c>
      <c r="MW30" s="8">
        <v>-1.5591577281860003E-2</v>
      </c>
      <c r="MX30" s="5"/>
      <c r="MY30" s="21">
        <v>15750.534763490241</v>
      </c>
      <c r="MZ30" s="22">
        <v>16654.8433</v>
      </c>
      <c r="NB30" s="16" t="s">
        <v>940</v>
      </c>
      <c r="NC30" s="32" t="s">
        <v>256</v>
      </c>
      <c r="ND30" s="32" t="s">
        <v>379</v>
      </c>
      <c r="NE30" s="32" t="s">
        <v>1509</v>
      </c>
      <c r="NF30" s="32"/>
      <c r="NG30" s="30" t="s">
        <v>850</v>
      </c>
      <c r="NH30" s="30" t="s">
        <v>26</v>
      </c>
      <c r="NI30" s="30" t="s">
        <v>33</v>
      </c>
      <c r="NJ30" s="30" t="s">
        <v>28</v>
      </c>
      <c r="NK30" s="30" t="s">
        <v>34</v>
      </c>
      <c r="NL30" s="17">
        <v>29.69</v>
      </c>
      <c r="NM30" s="33">
        <f t="shared" si="18"/>
        <v>3.8159401467603812E-2</v>
      </c>
      <c r="NN30" s="33">
        <f t="shared" si="19"/>
        <v>3.6223797874206563E-2</v>
      </c>
      <c r="NP30" s="1">
        <v>1</v>
      </c>
      <c r="NQ30" s="18">
        <v>219722.22327167299</v>
      </c>
      <c r="NR30" s="11">
        <v>6523552.808935971</v>
      </c>
      <c r="NS30" s="5"/>
      <c r="NT30" s="11">
        <v>1</v>
      </c>
      <c r="NU30" s="11">
        <v>29.69</v>
      </c>
      <c r="NV30" s="5">
        <v>411.28354562590835</v>
      </c>
      <c r="NW30" s="8">
        <v>3.8133093749999999E-2</v>
      </c>
      <c r="NX30" s="8">
        <v>-6.894164109504386E-4</v>
      </c>
      <c r="NY30" s="5"/>
      <c r="NZ30" s="21">
        <v>778.05203588441816</v>
      </c>
      <c r="OA30" s="22">
        <v>1098.53</v>
      </c>
      <c r="OC30" s="16" t="s">
        <v>885</v>
      </c>
      <c r="OD30" s="45" t="s">
        <v>72</v>
      </c>
      <c r="OE30" s="32" t="s">
        <v>73</v>
      </c>
      <c r="OF30" s="32" t="s">
        <v>1447</v>
      </c>
      <c r="OG30" s="45"/>
      <c r="OH30" s="30" t="s">
        <v>886</v>
      </c>
      <c r="OI30" s="30" t="s">
        <v>26</v>
      </c>
      <c r="OJ30" s="30" t="s">
        <v>39</v>
      </c>
      <c r="OK30" s="30" t="s">
        <v>28</v>
      </c>
      <c r="OL30" s="51" t="s">
        <v>83</v>
      </c>
      <c r="OM30" s="17">
        <v>66.77</v>
      </c>
      <c r="ON30" s="33">
        <f t="shared" si="20"/>
        <v>4.0143847213287544E-2</v>
      </c>
      <c r="OO30" s="33">
        <f t="shared" si="33"/>
        <v>3.806467893166917E-2</v>
      </c>
      <c r="OQ30" s="1">
        <v>1</v>
      </c>
      <c r="OR30" s="18">
        <v>110725.783521362</v>
      </c>
      <c r="OS30" s="11">
        <v>7393160.5657213405</v>
      </c>
      <c r="OT30" s="5"/>
      <c r="OU30" s="11">
        <v>1</v>
      </c>
      <c r="OV30" s="11">
        <v>66.77</v>
      </c>
      <c r="OW30" s="5">
        <v>192.39225862291471</v>
      </c>
      <c r="OX30" s="8">
        <v>4.0062E-2</v>
      </c>
      <c r="OY30" s="8">
        <v>-2.0388482661535257E-3</v>
      </c>
      <c r="OZ30" s="5"/>
      <c r="PA30" s="21">
        <v>1663.2685862230774</v>
      </c>
      <c r="PB30" s="22">
        <v>2470.4899999999998</v>
      </c>
      <c r="PD30" s="35" t="s">
        <v>81</v>
      </c>
      <c r="PE30" s="36"/>
      <c r="PF30" s="36"/>
      <c r="PG30" s="36"/>
      <c r="PH30" s="36"/>
      <c r="PI30" s="36"/>
      <c r="PJ30" s="36"/>
      <c r="PK30" s="36"/>
      <c r="PL30" s="36"/>
      <c r="PM30" s="36"/>
      <c r="PN30" s="25" t="s">
        <v>81</v>
      </c>
      <c r="PO30" s="37">
        <f>SUM(PO6:PO29)</f>
        <v>1</v>
      </c>
      <c r="PP30" s="37">
        <f>SUM(PP6:PP29)</f>
        <v>1.0000000000000002</v>
      </c>
      <c r="PR30" s="1"/>
      <c r="PS30" s="26"/>
      <c r="PT30" s="11">
        <v>192719383.92797628</v>
      </c>
      <c r="PU30" s="5"/>
      <c r="PV30" s="11"/>
      <c r="PW30" s="11"/>
      <c r="PX30" s="5"/>
      <c r="PY30" s="8"/>
      <c r="PZ30" s="8"/>
      <c r="QA30" s="5"/>
      <c r="QB30" s="21"/>
      <c r="QC30" s="22"/>
      <c r="QP30" s="62" t="s">
        <v>86</v>
      </c>
      <c r="QQ30" s="63">
        <v>100000</v>
      </c>
      <c r="QS30" s="1"/>
      <c r="QT30" s="26"/>
      <c r="QU30" s="46"/>
      <c r="QV30" s="5"/>
      <c r="QW30" s="11"/>
      <c r="QX30" s="11"/>
      <c r="QY30" s="5"/>
      <c r="QZ30" s="8"/>
      <c r="RA30" s="8"/>
      <c r="RB30" s="5"/>
      <c r="RC30" s="21"/>
      <c r="RD30" s="22"/>
      <c r="RF30" s="16" t="s">
        <v>1340</v>
      </c>
      <c r="RG30" s="34" t="s">
        <v>1314</v>
      </c>
      <c r="RH30" s="34"/>
      <c r="RI30" s="32" t="s">
        <v>1727</v>
      </c>
      <c r="RJ30" s="34"/>
      <c r="RK30" s="30" t="s">
        <v>862</v>
      </c>
    </row>
    <row r="31" spans="15:479" ht="15" thickBot="1" x14ac:dyDescent="0.25">
      <c r="O31" s="16" t="s">
        <v>876</v>
      </c>
      <c r="P31" s="32" t="s">
        <v>30</v>
      </c>
      <c r="Q31" s="32">
        <v>9999</v>
      </c>
      <c r="R31" s="32" t="s">
        <v>1453</v>
      </c>
      <c r="S31" s="32"/>
      <c r="T31" s="30" t="s">
        <v>862</v>
      </c>
      <c r="U31" s="30" t="s">
        <v>26</v>
      </c>
      <c r="V31" s="30" t="s">
        <v>27</v>
      </c>
      <c r="W31" s="30" t="s">
        <v>28</v>
      </c>
      <c r="X31" s="30" t="s">
        <v>82</v>
      </c>
      <c r="Y31" s="17">
        <v>190</v>
      </c>
      <c r="Z31" s="33">
        <f t="shared" si="0"/>
        <v>2.7250342593052222E-2</v>
      </c>
      <c r="AA31" s="33">
        <f t="shared" si="1"/>
        <v>2.5888741284524553E-2</v>
      </c>
      <c r="AB31" s="4"/>
      <c r="AC31" s="1">
        <v>0.12784999999999999</v>
      </c>
      <c r="AD31" s="18">
        <v>230857.427106891</v>
      </c>
      <c r="AE31" s="11">
        <v>5607873.1905670417</v>
      </c>
      <c r="AF31" s="5"/>
      <c r="AG31" s="11">
        <v>100</v>
      </c>
      <c r="AH31" s="11">
        <v>2429.1499999999996</v>
      </c>
      <c r="AI31" s="5">
        <v>3.5897781651098994</v>
      </c>
      <c r="AJ31" s="8">
        <v>3.0364374999999996E-2</v>
      </c>
      <c r="AK31" s="8">
        <v>0.11427498191313501</v>
      </c>
      <c r="AL31" s="5"/>
      <c r="AM31" s="21">
        <v>89141.998553050798</v>
      </c>
      <c r="AN31" s="22">
        <v>89878.549999999988</v>
      </c>
      <c r="BA31" s="64" t="s">
        <v>88</v>
      </c>
      <c r="BB31" s="66">
        <f>(BB29-BB30)*0.5%</f>
        <v>475</v>
      </c>
      <c r="DC31" s="64" t="s">
        <v>87</v>
      </c>
      <c r="DD31" s="66">
        <f>DD29+DD30</f>
        <v>5475</v>
      </c>
      <c r="DF31" s="1"/>
      <c r="DG31" s="26"/>
      <c r="DH31" s="46"/>
      <c r="DI31" s="26"/>
      <c r="DJ31" s="46"/>
      <c r="DK31" s="46"/>
      <c r="DL31" s="26"/>
      <c r="DM31" s="47"/>
      <c r="DN31" s="47"/>
      <c r="DO31" s="26"/>
      <c r="DP31" s="21"/>
      <c r="DQ31" s="22"/>
      <c r="ED31" s="64" t="s">
        <v>88</v>
      </c>
      <c r="EE31" s="66">
        <f>(EE29-EE30)*0.5%</f>
        <v>475</v>
      </c>
      <c r="ET31" s="16" t="s">
        <v>880</v>
      </c>
      <c r="EU31" s="32" t="s">
        <v>68</v>
      </c>
      <c r="EV31" s="32" t="s">
        <v>69</v>
      </c>
      <c r="EW31" s="32" t="s">
        <v>1440</v>
      </c>
      <c r="EX31" s="32"/>
      <c r="EY31" s="30" t="s">
        <v>850</v>
      </c>
      <c r="EZ31" s="30" t="s">
        <v>26</v>
      </c>
      <c r="FA31" s="30" t="s">
        <v>33</v>
      </c>
      <c r="FB31" s="30" t="s">
        <v>28</v>
      </c>
      <c r="FC31" s="30" t="s">
        <v>34</v>
      </c>
      <c r="FD31" s="17">
        <v>153.99</v>
      </c>
      <c r="FE31" s="33">
        <f t="shared" si="6"/>
        <v>2.8227159514147986E-2</v>
      </c>
      <c r="FF31" s="33">
        <f t="shared" si="7"/>
        <v>2.681505530162797E-2</v>
      </c>
      <c r="FH31" s="1">
        <v>1</v>
      </c>
      <c r="FI31" s="18">
        <v>37563.140989610198</v>
      </c>
      <c r="FJ31" s="11">
        <v>5784348.0809900751</v>
      </c>
      <c r="FK31" s="5"/>
      <c r="FL31" s="11">
        <v>1</v>
      </c>
      <c r="FM31" s="11">
        <v>153.99</v>
      </c>
      <c r="FN31" s="5">
        <v>58.65764688958604</v>
      </c>
      <c r="FO31" s="8">
        <v>2.8391906249999998E-2</v>
      </c>
      <c r="FP31" s="8">
        <v>5.8364617158674914E-3</v>
      </c>
      <c r="FQ31" s="5"/>
      <c r="FR31" s="21">
        <v>5455.38419913691</v>
      </c>
      <c r="FS31" s="22">
        <v>5697.63</v>
      </c>
      <c r="FU31" s="16" t="s">
        <v>983</v>
      </c>
      <c r="FV31" s="71" t="s">
        <v>756</v>
      </c>
      <c r="FW31" s="32">
        <v>6762</v>
      </c>
      <c r="FX31" s="32" t="s">
        <v>1548</v>
      </c>
      <c r="FY31" s="45"/>
      <c r="FZ31" s="30" t="s">
        <v>902</v>
      </c>
      <c r="GA31" s="30" t="s">
        <v>26</v>
      </c>
      <c r="GB31" s="30" t="s">
        <v>320</v>
      </c>
      <c r="GC31" s="30" t="s">
        <v>28</v>
      </c>
      <c r="GD31" s="30" t="s">
        <v>94</v>
      </c>
      <c r="GE31" s="17">
        <v>2225</v>
      </c>
      <c r="GF31" s="33">
        <f t="shared" si="8"/>
        <v>2.8711422319205968E-2</v>
      </c>
      <c r="GG31" s="33">
        <f t="shared" si="9"/>
        <v>2.7274544874766882E-2</v>
      </c>
      <c r="GI31" s="1">
        <v>6.3369999999999998E-3</v>
      </c>
      <c r="GJ31" s="18">
        <v>421507.48806927801</v>
      </c>
      <c r="GK31" s="11">
        <v>5943181.8179664072</v>
      </c>
      <c r="GL31" s="5"/>
      <c r="GM31" s="11">
        <v>100</v>
      </c>
      <c r="GN31" s="11">
        <v>1409.9824999999998</v>
      </c>
      <c r="GO31" s="5">
        <v>6.5161483508808873</v>
      </c>
      <c r="GP31" s="8">
        <v>3.0843367187499995E-2</v>
      </c>
      <c r="GQ31" s="8">
        <v>7.4254240858973475E-2</v>
      </c>
      <c r="GR31" s="5"/>
      <c r="GS31" s="21">
        <v>49108.765296410216</v>
      </c>
      <c r="GT31" s="22">
        <v>52169.352499999994</v>
      </c>
      <c r="GV31" s="16" t="s">
        <v>980</v>
      </c>
      <c r="GW31" s="32" t="s">
        <v>201</v>
      </c>
      <c r="GX31" s="32" t="s">
        <v>411</v>
      </c>
      <c r="GY31" s="32" t="s">
        <v>1545</v>
      </c>
      <c r="GZ31" s="32"/>
      <c r="HA31" s="30" t="s">
        <v>850</v>
      </c>
      <c r="HB31" s="30" t="s">
        <v>26</v>
      </c>
      <c r="HC31" s="30" t="s">
        <v>33</v>
      </c>
      <c r="HD31" s="30" t="s">
        <v>28</v>
      </c>
      <c r="HE31" s="30" t="s">
        <v>34</v>
      </c>
      <c r="HF31" s="17">
        <v>95.52</v>
      </c>
      <c r="HG31" s="33">
        <f t="shared" si="10"/>
        <v>1.5134037744033452E-2</v>
      </c>
      <c r="HH31" s="33">
        <f t="shared" si="29"/>
        <v>1.437619521080899E-2</v>
      </c>
      <c r="HJ31" s="1">
        <v>1</v>
      </c>
      <c r="HK31" s="18">
        <v>25839.959468473498</v>
      </c>
      <c r="HL31" s="11">
        <v>2468232.9284285884</v>
      </c>
      <c r="HM31" s="5"/>
      <c r="HN31" s="11">
        <v>1</v>
      </c>
      <c r="HO31" s="11">
        <v>95.52</v>
      </c>
      <c r="HP31" s="5">
        <v>50.700293949860814</v>
      </c>
      <c r="HQ31" s="8">
        <v>1.5223499999999999E-2</v>
      </c>
      <c r="HR31" s="8">
        <v>5.9113276628253164E-3</v>
      </c>
      <c r="HS31" s="5"/>
      <c r="HT31" s="21">
        <v>6311.6004872961585</v>
      </c>
      <c r="HU31" s="22">
        <v>3534.24</v>
      </c>
      <c r="IG31" s="184"/>
      <c r="IH31" s="62" t="s">
        <v>86</v>
      </c>
      <c r="II31" s="63">
        <v>100000</v>
      </c>
      <c r="IX31" s="16" t="s">
        <v>906</v>
      </c>
      <c r="IY31" s="32" t="s">
        <v>235</v>
      </c>
      <c r="IZ31" s="32" t="s">
        <v>367</v>
      </c>
      <c r="JA31" s="32" t="s">
        <v>1480</v>
      </c>
      <c r="JB31" s="32"/>
      <c r="JC31" s="30" t="s">
        <v>850</v>
      </c>
      <c r="JD31" s="30" t="s">
        <v>26</v>
      </c>
      <c r="JE31" s="30" t="s">
        <v>33</v>
      </c>
      <c r="JF31" s="30" t="s">
        <v>28</v>
      </c>
      <c r="JG31" s="30" t="s">
        <v>34</v>
      </c>
      <c r="JH31" s="17">
        <v>196.06</v>
      </c>
      <c r="JI31" s="33">
        <f t="shared" si="30"/>
        <v>2.5716614872240581E-2</v>
      </c>
      <c r="JJ31" s="33">
        <f t="shared" si="13"/>
        <v>2.4429470889007227E-2</v>
      </c>
      <c r="JL31" s="1">
        <v>1</v>
      </c>
      <c r="JM31" s="18">
        <v>16001.7413779818</v>
      </c>
      <c r="JN31" s="11">
        <v>3137301.4145671115</v>
      </c>
      <c r="JO31" s="5"/>
      <c r="JP31" s="11">
        <v>1</v>
      </c>
      <c r="JQ31" s="11">
        <v>196.06</v>
      </c>
      <c r="JR31" s="5">
        <v>41.973460976828449</v>
      </c>
      <c r="JS31" s="8">
        <v>2.5732875000000002E-2</v>
      </c>
      <c r="JT31" s="8">
        <v>6.3228103077328512E-4</v>
      </c>
      <c r="JU31" s="5"/>
      <c r="JV31" s="21">
        <v>7623.8649983297009</v>
      </c>
      <c r="JW31" s="22">
        <v>7254.2199999999993</v>
      </c>
      <c r="JY31" s="16" t="s">
        <v>1064</v>
      </c>
      <c r="JZ31" s="32" t="s">
        <v>247</v>
      </c>
      <c r="KA31" s="32" t="s">
        <v>401</v>
      </c>
      <c r="KB31" s="32" t="s">
        <v>1633</v>
      </c>
      <c r="KC31" s="32"/>
      <c r="KD31" s="30" t="s">
        <v>850</v>
      </c>
      <c r="KE31" s="30" t="s">
        <v>26</v>
      </c>
      <c r="KF31" s="30" t="s">
        <v>33</v>
      </c>
      <c r="KG31" s="30" t="s">
        <v>28</v>
      </c>
      <c r="KH31" s="30" t="s">
        <v>34</v>
      </c>
      <c r="KI31" s="17">
        <v>46.44</v>
      </c>
      <c r="KJ31" s="33">
        <f t="shared" si="31"/>
        <v>2.7627972589980319E-2</v>
      </c>
      <c r="KK31" s="33">
        <f t="shared" si="32"/>
        <v>2.6250834589622022E-2</v>
      </c>
      <c r="KM31" s="1">
        <v>1</v>
      </c>
      <c r="KN31" s="18">
        <v>59075.882538471204</v>
      </c>
      <c r="KO31" s="11">
        <v>2743483.9850866026</v>
      </c>
      <c r="KP31" s="5"/>
      <c r="KQ31" s="11">
        <v>1</v>
      </c>
      <c r="KR31" s="11">
        <v>46.44</v>
      </c>
      <c r="KS31" s="5">
        <v>190.37362680434327</v>
      </c>
      <c r="KT31" s="8">
        <v>2.7573750000000001E-2</v>
      </c>
      <c r="KU31" s="8">
        <v>-1.9625975016343E-3</v>
      </c>
      <c r="KV31" s="5"/>
      <c r="KW31" s="21">
        <v>1680.9050989446157</v>
      </c>
      <c r="KX31" s="22">
        <v>1718.2799999999997</v>
      </c>
      <c r="MA31" s="16" t="s">
        <v>900</v>
      </c>
      <c r="MB31" s="32" t="s">
        <v>103</v>
      </c>
      <c r="MC31" s="32" t="s">
        <v>338</v>
      </c>
      <c r="MD31" s="32" t="s">
        <v>1475</v>
      </c>
      <c r="ME31" s="32"/>
      <c r="MF31" s="30" t="s">
        <v>886</v>
      </c>
      <c r="MG31" s="30" t="s">
        <v>26</v>
      </c>
      <c r="MH31" s="30" t="s">
        <v>39</v>
      </c>
      <c r="MI31" s="30" t="s">
        <v>28</v>
      </c>
      <c r="MJ31" s="30" t="s">
        <v>83</v>
      </c>
      <c r="MK31" s="17">
        <v>77.73</v>
      </c>
      <c r="ML31" s="33">
        <f t="shared" si="16"/>
        <v>2.8170734537229878E-2</v>
      </c>
      <c r="MM31" s="33">
        <f t="shared" si="17"/>
        <v>2.6745230043954845E-2</v>
      </c>
      <c r="MO31" s="1">
        <v>1.1607000000000001</v>
      </c>
      <c r="MP31" s="18">
        <v>56095.386318383004</v>
      </c>
      <c r="MQ31" s="11">
        <v>5060993.6851573475</v>
      </c>
      <c r="MR31" s="5"/>
      <c r="MS31" s="11">
        <v>1</v>
      </c>
      <c r="MT31" s="11">
        <v>90.221211000000011</v>
      </c>
      <c r="MU31" s="5">
        <v>99.917025630630917</v>
      </c>
      <c r="MV31" s="8">
        <v>2.81941284375E-2</v>
      </c>
      <c r="MW31" s="8">
        <v>8.3043274001970424E-4</v>
      </c>
      <c r="MX31" s="5"/>
      <c r="MY31" s="21">
        <v>3202.6573847680638</v>
      </c>
      <c r="MZ31" s="22">
        <v>3338.1848070000001</v>
      </c>
      <c r="NB31" s="16" t="s">
        <v>958</v>
      </c>
      <c r="NC31" s="32" t="s">
        <v>273</v>
      </c>
      <c r="ND31" s="32" t="s">
        <v>160</v>
      </c>
      <c r="NE31" s="32" t="s">
        <v>1670</v>
      </c>
      <c r="NF31" s="32"/>
      <c r="NG31" s="30" t="s">
        <v>853</v>
      </c>
      <c r="NH31" s="30" t="s">
        <v>26</v>
      </c>
      <c r="NI31" s="30" t="s">
        <v>33</v>
      </c>
      <c r="NJ31" s="30" t="s">
        <v>28</v>
      </c>
      <c r="NK31" s="30" t="s">
        <v>34</v>
      </c>
      <c r="NL31" s="17">
        <v>14.62</v>
      </c>
      <c r="NM31" s="33">
        <f t="shared" si="18"/>
        <v>3.6128220846816654E-2</v>
      </c>
      <c r="NN31" s="33">
        <f t="shared" si="19"/>
        <v>3.4295647184634973E-2</v>
      </c>
      <c r="NP31" s="1">
        <v>1</v>
      </c>
      <c r="NQ31" s="18">
        <v>422456.33854598302</v>
      </c>
      <c r="NR31" s="11">
        <v>6176311.6695422716</v>
      </c>
      <c r="NS31" s="5"/>
      <c r="NT31" s="11">
        <v>1</v>
      </c>
      <c r="NU31" s="11">
        <v>14.62</v>
      </c>
      <c r="NV31" s="5">
        <v>790.76817174974894</v>
      </c>
      <c r="NW31" s="8">
        <v>3.6138812499999999E-2</v>
      </c>
      <c r="NX31" s="8">
        <v>2.9316841336446409E-4</v>
      </c>
      <c r="NY31" s="5"/>
      <c r="NZ31" s="21">
        <v>404.66980264510323</v>
      </c>
      <c r="OA31" s="22">
        <v>540.93999999999994</v>
      </c>
      <c r="OC31" s="16" t="s">
        <v>958</v>
      </c>
      <c r="OD31" s="45" t="s">
        <v>159</v>
      </c>
      <c r="OE31" s="32" t="s">
        <v>160</v>
      </c>
      <c r="OF31" s="32" t="s">
        <v>1527</v>
      </c>
      <c r="OG31" s="45"/>
      <c r="OH31" s="30" t="s">
        <v>777</v>
      </c>
      <c r="OI31" s="30" t="s">
        <v>26</v>
      </c>
      <c r="OJ31" s="30" t="s">
        <v>129</v>
      </c>
      <c r="OK31" s="30" t="s">
        <v>28</v>
      </c>
      <c r="OL31" s="43" t="s">
        <v>827</v>
      </c>
      <c r="OM31" s="17">
        <v>1.0979999999999999</v>
      </c>
      <c r="ON31" s="33">
        <f t="shared" si="20"/>
        <v>4.0500219246755113E-2</v>
      </c>
      <c r="OO31" s="33">
        <f t="shared" si="33"/>
        <v>3.8402593406136366E-2</v>
      </c>
      <c r="OQ31" s="1">
        <v>1.1509</v>
      </c>
      <c r="OR31" s="18">
        <v>5902399.3682175204</v>
      </c>
      <c r="OS31" s="11">
        <v>7458792.4333039345</v>
      </c>
      <c r="OT31" s="5"/>
      <c r="OU31" s="11">
        <v>1</v>
      </c>
      <c r="OV31" s="11">
        <v>1.2636881999999998</v>
      </c>
      <c r="OW31" s="5">
        <v>10255.749922300167</v>
      </c>
      <c r="OX31" s="8">
        <v>4.0501206809999996E-2</v>
      </c>
      <c r="OY31" s="8">
        <v>2.4384145647760036E-5</v>
      </c>
      <c r="OZ31" s="5"/>
      <c r="PA31" s="21">
        <v>31.20200886569884</v>
      </c>
      <c r="PB31" s="22">
        <v>46.756463399999994</v>
      </c>
      <c r="PR31" s="1"/>
      <c r="PS31" s="26"/>
      <c r="PT31" s="11"/>
      <c r="PU31" s="5"/>
      <c r="PV31" s="11"/>
      <c r="PW31" s="11"/>
      <c r="PX31" s="5"/>
      <c r="PY31" s="8"/>
      <c r="PZ31" s="8"/>
      <c r="QA31" s="5"/>
      <c r="QB31" s="21"/>
      <c r="QC31" s="22"/>
      <c r="QP31" s="64" t="s">
        <v>85</v>
      </c>
      <c r="QQ31" s="65">
        <v>5000</v>
      </c>
      <c r="RF31" s="16" t="s">
        <v>1341</v>
      </c>
      <c r="RG31" s="34" t="s">
        <v>1315</v>
      </c>
      <c r="RH31" s="34"/>
      <c r="RI31" s="32" t="s">
        <v>1728</v>
      </c>
      <c r="RJ31" s="34"/>
      <c r="RK31" s="30" t="s">
        <v>850</v>
      </c>
    </row>
    <row r="32" spans="15:479" ht="15" thickBot="1" x14ac:dyDescent="0.25">
      <c r="O32" s="16" t="s">
        <v>1399</v>
      </c>
      <c r="P32" s="32" t="s">
        <v>1390</v>
      </c>
      <c r="Q32" s="32" t="s">
        <v>1394</v>
      </c>
      <c r="R32" s="32" t="s">
        <v>1454</v>
      </c>
      <c r="S32" s="32"/>
      <c r="T32" s="30" t="s">
        <v>850</v>
      </c>
      <c r="U32" s="30" t="s">
        <v>26</v>
      </c>
      <c r="V32" s="30" t="s">
        <v>33</v>
      </c>
      <c r="W32" s="30" t="s">
        <v>28</v>
      </c>
      <c r="X32" s="30" t="s">
        <v>34</v>
      </c>
      <c r="Y32" s="17">
        <v>306.64</v>
      </c>
      <c r="Z32" s="33">
        <f t="shared" si="0"/>
        <v>2.900062423726869E-2</v>
      </c>
      <c r="AA32" s="33">
        <f t="shared" si="1"/>
        <v>2.7551567669456878E-2</v>
      </c>
      <c r="AB32" s="4"/>
      <c r="AC32" s="1">
        <v>1</v>
      </c>
      <c r="AD32" s="18">
        <v>19462.7748107564</v>
      </c>
      <c r="AE32" s="11">
        <v>5968065.2679703422</v>
      </c>
      <c r="AF32" s="5"/>
      <c r="AG32" s="11">
        <v>1</v>
      </c>
      <c r="AH32" s="11">
        <v>306.64</v>
      </c>
      <c r="AI32" s="5">
        <v>30.26415260868113</v>
      </c>
      <c r="AJ32" s="8">
        <v>2.8747499999999995E-2</v>
      </c>
      <c r="AK32" s="8">
        <v>-8.7282340958511062E-3</v>
      </c>
      <c r="AL32" s="5"/>
      <c r="AM32" s="21">
        <v>10573.56550297759</v>
      </c>
      <c r="AN32" s="22">
        <v>11345.679999999998</v>
      </c>
      <c r="BA32" s="64" t="s">
        <v>87</v>
      </c>
      <c r="BB32" s="66">
        <f>BB30+BB31</f>
        <v>5475</v>
      </c>
      <c r="DC32" s="67" t="s">
        <v>89</v>
      </c>
      <c r="DD32" s="68">
        <f>DD31/DD28</f>
        <v>5.475E-2</v>
      </c>
      <c r="DF32" s="1"/>
      <c r="DG32" s="26"/>
      <c r="DH32" s="46"/>
      <c r="DI32" s="26"/>
      <c r="DJ32" s="46"/>
      <c r="DK32" s="46"/>
      <c r="DL32" s="26"/>
      <c r="DM32" s="47"/>
      <c r="DN32" s="47"/>
      <c r="DO32" s="26"/>
      <c r="DP32" s="21"/>
      <c r="DQ32" s="22"/>
      <c r="ED32" s="64" t="s">
        <v>87</v>
      </c>
      <c r="EE32" s="66">
        <f>EE30+EE31</f>
        <v>5475</v>
      </c>
      <c r="ET32" s="16" t="s">
        <v>864</v>
      </c>
      <c r="EU32" s="32" t="s">
        <v>43</v>
      </c>
      <c r="EV32" s="32" t="s">
        <v>1396</v>
      </c>
      <c r="EW32" s="32" t="s">
        <v>1457</v>
      </c>
      <c r="EX32" s="32"/>
      <c r="EY32" s="30" t="s">
        <v>853</v>
      </c>
      <c r="EZ32" s="30" t="s">
        <v>26</v>
      </c>
      <c r="FA32" s="30" t="s">
        <v>33</v>
      </c>
      <c r="FB32" s="30" t="s">
        <v>28</v>
      </c>
      <c r="FC32" s="30" t="s">
        <v>34</v>
      </c>
      <c r="FD32" s="17">
        <v>31.6</v>
      </c>
      <c r="FE32" s="33">
        <f t="shared" si="6"/>
        <v>2.8631445714618928E-2</v>
      </c>
      <c r="FF32" s="33">
        <f t="shared" si="7"/>
        <v>2.7199116504027017E-2</v>
      </c>
      <c r="FH32" s="1">
        <v>1</v>
      </c>
      <c r="FI32" s="18">
        <v>185670.72662577999</v>
      </c>
      <c r="FJ32" s="11">
        <v>5867194.9613746479</v>
      </c>
      <c r="FK32" s="5"/>
      <c r="FL32" s="11">
        <v>1</v>
      </c>
      <c r="FM32" s="11">
        <v>31.6</v>
      </c>
      <c r="FN32" s="5">
        <v>289.93869078095116</v>
      </c>
      <c r="FO32" s="8">
        <v>2.86375E-2</v>
      </c>
      <c r="FP32" s="8">
        <v>2.1145580427250898E-4</v>
      </c>
      <c r="FQ32" s="5"/>
      <c r="FR32" s="21">
        <v>1103.6816064047146</v>
      </c>
      <c r="FS32" s="22">
        <v>1169.2</v>
      </c>
      <c r="FU32" s="16" t="s">
        <v>984</v>
      </c>
      <c r="FV32" s="71" t="s">
        <v>183</v>
      </c>
      <c r="FW32" s="32" t="s">
        <v>340</v>
      </c>
      <c r="FX32" s="32" t="s">
        <v>1448</v>
      </c>
      <c r="FY32" s="45"/>
      <c r="FZ32" s="30" t="s">
        <v>850</v>
      </c>
      <c r="GA32" s="30" t="s">
        <v>26</v>
      </c>
      <c r="GB32" s="30" t="s">
        <v>33</v>
      </c>
      <c r="GC32" s="30" t="s">
        <v>28</v>
      </c>
      <c r="GD32" s="30" t="s">
        <v>34</v>
      </c>
      <c r="GE32" s="17">
        <v>210.56</v>
      </c>
      <c r="GF32" s="33">
        <f t="shared" si="8"/>
        <v>2.9632129530814712E-2</v>
      </c>
      <c r="GG32" s="33">
        <f t="shared" si="9"/>
        <v>2.8149174834939426E-2</v>
      </c>
      <c r="GI32" s="1">
        <v>1</v>
      </c>
      <c r="GJ32" s="18">
        <v>29130.725503019101</v>
      </c>
      <c r="GK32" s="11">
        <v>6133765.5619157022</v>
      </c>
      <c r="GL32" s="5"/>
      <c r="GM32" s="11">
        <v>1</v>
      </c>
      <c r="GN32" s="11">
        <v>210.56</v>
      </c>
      <c r="GO32" s="5">
        <v>45.03363150579743</v>
      </c>
      <c r="GP32" s="8">
        <v>2.9610000000000001E-2</v>
      </c>
      <c r="GQ32" s="8">
        <v>-7.468086555068032E-4</v>
      </c>
      <c r="GR32" s="5"/>
      <c r="GS32" s="21">
        <v>7105.8004717830627</v>
      </c>
      <c r="GT32" s="22">
        <v>7790.7199999999993</v>
      </c>
      <c r="GV32" s="16" t="s">
        <v>901</v>
      </c>
      <c r="GW32" s="32" t="s">
        <v>289</v>
      </c>
      <c r="GX32" s="32">
        <v>4507</v>
      </c>
      <c r="GY32" s="32" t="s">
        <v>1476</v>
      </c>
      <c r="GZ32" s="32"/>
      <c r="HA32" s="30" t="s">
        <v>902</v>
      </c>
      <c r="HB32" s="30" t="s">
        <v>26</v>
      </c>
      <c r="HC32" s="30" t="s">
        <v>320</v>
      </c>
      <c r="HD32" s="30" t="s">
        <v>28</v>
      </c>
      <c r="HE32" s="30" t="s">
        <v>94</v>
      </c>
      <c r="HF32" s="17">
        <v>3450</v>
      </c>
      <c r="HG32" s="33">
        <f t="shared" si="10"/>
        <v>3.7301042293748227E-2</v>
      </c>
      <c r="HH32" s="33">
        <f t="shared" si="29"/>
        <v>3.5433178815282164E-2</v>
      </c>
      <c r="HJ32" s="1">
        <v>6.3369999999999998E-3</v>
      </c>
      <c r="HK32" s="18">
        <v>278259.17572123901</v>
      </c>
      <c r="HL32" s="11">
        <v>6083482.9680819456</v>
      </c>
      <c r="HM32" s="5"/>
      <c r="HN32" s="11">
        <v>100</v>
      </c>
      <c r="HO32" s="11">
        <v>2186.2649999999999</v>
      </c>
      <c r="HP32" s="5">
        <v>5.4596920016555321</v>
      </c>
      <c r="HQ32" s="8">
        <v>3.4160390624999995E-2</v>
      </c>
      <c r="HR32" s="8">
        <v>-8.4197423868625054E-2</v>
      </c>
      <c r="HS32" s="5"/>
      <c r="HT32" s="21">
        <v>58611.364872407998</v>
      </c>
      <c r="HU32" s="22">
        <v>80891.804999999993</v>
      </c>
      <c r="IH32" s="64" t="s">
        <v>85</v>
      </c>
      <c r="II32" s="65">
        <v>5000</v>
      </c>
      <c r="IX32" s="16" t="s">
        <v>1050</v>
      </c>
      <c r="IY32" s="32" t="s">
        <v>236</v>
      </c>
      <c r="IZ32" s="32" t="s">
        <v>426</v>
      </c>
      <c r="JA32" s="32" t="s">
        <v>1615</v>
      </c>
      <c r="JB32" s="32"/>
      <c r="JC32" s="30" t="s">
        <v>853</v>
      </c>
      <c r="JD32" s="30" t="s">
        <v>26</v>
      </c>
      <c r="JE32" s="30" t="s">
        <v>33</v>
      </c>
      <c r="JF32" s="30" t="s">
        <v>28</v>
      </c>
      <c r="JG32" s="30" t="s">
        <v>34</v>
      </c>
      <c r="JH32" s="17">
        <v>77.33</v>
      </c>
      <c r="JI32" s="33">
        <f t="shared" si="30"/>
        <v>3.8813848612460164E-2</v>
      </c>
      <c r="JJ32" s="33">
        <f t="shared" si="13"/>
        <v>3.6871174121441287E-2</v>
      </c>
      <c r="JL32" s="1">
        <v>1</v>
      </c>
      <c r="JM32" s="18">
        <v>61232.380240988598</v>
      </c>
      <c r="JN32" s="11">
        <v>4735099.9640356479</v>
      </c>
      <c r="JO32" s="5"/>
      <c r="JP32" s="11">
        <v>1</v>
      </c>
      <c r="JQ32" s="11">
        <v>77.33</v>
      </c>
      <c r="JR32" s="5">
        <v>160.61595184258701</v>
      </c>
      <c r="JS32" s="8">
        <v>3.8906656249999998E-2</v>
      </c>
      <c r="JT32" s="8">
        <v>2.3910959839741341E-3</v>
      </c>
      <c r="JU32" s="5"/>
      <c r="JV32" s="21">
        <v>1992.3301286637995</v>
      </c>
      <c r="JW32" s="22">
        <v>2861.2099999999996</v>
      </c>
      <c r="JY32" s="16" t="s">
        <v>1065</v>
      </c>
      <c r="JZ32" s="32" t="s">
        <v>173</v>
      </c>
      <c r="KA32" s="32" t="s">
        <v>359</v>
      </c>
      <c r="KB32" s="32" t="s">
        <v>1634</v>
      </c>
      <c r="KC32" s="32"/>
      <c r="KD32" s="30" t="s">
        <v>853</v>
      </c>
      <c r="KE32" s="30" t="s">
        <v>26</v>
      </c>
      <c r="KF32" s="30" t="s">
        <v>33</v>
      </c>
      <c r="KG32" s="30" t="s">
        <v>28</v>
      </c>
      <c r="KH32" s="30" t="s">
        <v>34</v>
      </c>
      <c r="KI32" s="17">
        <v>764.93</v>
      </c>
      <c r="KJ32" s="33">
        <f t="shared" si="31"/>
        <v>2.9615612609762046E-2</v>
      </c>
      <c r="KK32" s="33">
        <f t="shared" si="32"/>
        <v>2.8139399130978411E-2</v>
      </c>
      <c r="KM32" s="1">
        <v>1</v>
      </c>
      <c r="KN32" s="18">
        <v>3844.6113129947798</v>
      </c>
      <c r="KO32" s="11">
        <v>2940858.5316490969</v>
      </c>
      <c r="KP32" s="5"/>
      <c r="KQ32" s="11">
        <v>1</v>
      </c>
      <c r="KR32" s="11">
        <v>764.93</v>
      </c>
      <c r="KS32" s="5">
        <v>12.389363778546867</v>
      </c>
      <c r="KT32" s="8">
        <v>2.8684874999999999E-2</v>
      </c>
      <c r="KU32" s="8">
        <v>-3.142726176311661E-2</v>
      </c>
      <c r="KV32" s="5"/>
      <c r="KW32" s="21">
        <v>25828.606352983559</v>
      </c>
      <c r="KX32" s="22">
        <v>28302.409999999996</v>
      </c>
      <c r="LN32" s="1"/>
      <c r="LO32" s="26"/>
      <c r="LP32" s="11"/>
      <c r="LQ32" s="5"/>
      <c r="LR32" s="11"/>
      <c r="LS32" s="11"/>
      <c r="LT32" s="5"/>
      <c r="LU32" s="8"/>
      <c r="LV32" s="8"/>
      <c r="LW32" s="5"/>
      <c r="LX32" s="21"/>
      <c r="LY32" s="22"/>
      <c r="MA32" s="16" t="s">
        <v>883</v>
      </c>
      <c r="MB32" s="32" t="s">
        <v>153</v>
      </c>
      <c r="MC32" s="32" t="s">
        <v>154</v>
      </c>
      <c r="MD32" s="32" t="s">
        <v>1431</v>
      </c>
      <c r="ME32" s="32"/>
      <c r="MF32" s="30" t="s">
        <v>777</v>
      </c>
      <c r="MG32" s="30" t="s">
        <v>26</v>
      </c>
      <c r="MH32" s="30" t="s">
        <v>129</v>
      </c>
      <c r="MI32" s="30" t="s">
        <v>28</v>
      </c>
      <c r="MJ32" s="43" t="s">
        <v>827</v>
      </c>
      <c r="MK32" s="17">
        <v>31.08</v>
      </c>
      <c r="ML32" s="33">
        <f t="shared" si="16"/>
        <v>3.0443686244751859E-2</v>
      </c>
      <c r="MM32" s="33">
        <f t="shared" si="17"/>
        <v>2.8903165124282117E-2</v>
      </c>
      <c r="MO32" s="1">
        <v>1.3359000000000001</v>
      </c>
      <c r="MP32" s="18">
        <v>131728.54707582301</v>
      </c>
      <c r="MQ32" s="11">
        <v>5469339.2404794386</v>
      </c>
      <c r="MR32" s="5"/>
      <c r="MS32" s="11">
        <v>1</v>
      </c>
      <c r="MT32" s="11">
        <v>41.519772000000003</v>
      </c>
      <c r="MU32" s="5">
        <v>234.63470845457906</v>
      </c>
      <c r="MV32" s="8">
        <v>3.0491082562500004E-2</v>
      </c>
      <c r="MW32" s="8">
        <v>1.5568521291116078E-3</v>
      </c>
      <c r="MX32" s="5"/>
      <c r="MY32" s="21">
        <v>1363.8220965162368</v>
      </c>
      <c r="MZ32" s="22">
        <v>1536.2315639999999</v>
      </c>
      <c r="NB32" s="16" t="s">
        <v>34</v>
      </c>
      <c r="NC32" s="32" t="s">
        <v>34</v>
      </c>
      <c r="ND32" s="32"/>
      <c r="NE32" s="32"/>
      <c r="NF32" s="32"/>
      <c r="NG32" s="30"/>
      <c r="NH32" s="30"/>
      <c r="NI32" s="30"/>
      <c r="NJ32" s="30" t="s">
        <v>80</v>
      </c>
      <c r="NK32" s="30" t="s">
        <v>34</v>
      </c>
      <c r="NL32" s="17">
        <v>1</v>
      </c>
      <c r="NM32" s="33">
        <f t="shared" si="18"/>
        <v>4.2409588715005666E-3</v>
      </c>
      <c r="NN32" s="33">
        <f>NN39</f>
        <v>5.475E-2</v>
      </c>
      <c r="NP32" s="1">
        <v>1</v>
      </c>
      <c r="NQ32" s="18">
        <v>725014.49432447599</v>
      </c>
      <c r="NR32" s="11">
        <v>725014.49432447599</v>
      </c>
      <c r="NS32" s="5"/>
      <c r="NT32" s="11">
        <v>1</v>
      </c>
      <c r="NU32" s="11">
        <v>1</v>
      </c>
      <c r="NV32" s="5">
        <v>1357.1068388801814</v>
      </c>
      <c r="NW32" s="8">
        <v>4.2406249999999996E-3</v>
      </c>
      <c r="NX32" s="8">
        <v>-7.87254747530719E-5</v>
      </c>
      <c r="NY32" s="5"/>
      <c r="NZ32" s="21">
        <v>235.79573164928451</v>
      </c>
      <c r="OA32" s="22">
        <v>37</v>
      </c>
      <c r="OC32" s="16" t="s">
        <v>1088</v>
      </c>
      <c r="OD32" s="45" t="s">
        <v>78</v>
      </c>
      <c r="OE32" s="32" t="s">
        <v>79</v>
      </c>
      <c r="OF32" s="32" t="s">
        <v>1661</v>
      </c>
      <c r="OG32" s="45"/>
      <c r="OH32" s="30" t="s">
        <v>430</v>
      </c>
      <c r="OI32" s="30" t="s">
        <v>26</v>
      </c>
      <c r="OJ32" s="30" t="s">
        <v>61</v>
      </c>
      <c r="OK32" s="30" t="s">
        <v>28</v>
      </c>
      <c r="OL32" s="30" t="s">
        <v>814</v>
      </c>
      <c r="OM32" s="17">
        <v>535.20000000000005</v>
      </c>
      <c r="ON32" s="33">
        <f t="shared" si="20"/>
        <v>3.0648472512448573E-2</v>
      </c>
      <c r="OO32" s="33">
        <f t="shared" si="33"/>
        <v>2.9061097700329341E-2</v>
      </c>
      <c r="OQ32" s="1">
        <v>1.1032999999999999</v>
      </c>
      <c r="OR32" s="18">
        <v>9558.9515195965305</v>
      </c>
      <c r="OS32" s="11">
        <v>5644428.5764327208</v>
      </c>
      <c r="OT32" s="5"/>
      <c r="OU32" s="11">
        <v>1</v>
      </c>
      <c r="OV32" s="11">
        <v>590.48616000000004</v>
      </c>
      <c r="OW32" s="5">
        <v>16.609214353107859</v>
      </c>
      <c r="OX32" s="8">
        <v>3.1369577250000003E-2</v>
      </c>
      <c r="OY32" s="8">
        <v>2.3528243936415949E-2</v>
      </c>
      <c r="OZ32" s="5"/>
      <c r="PA32" s="21">
        <v>19266.414003509006</v>
      </c>
      <c r="PB32" s="22">
        <v>21847.98792</v>
      </c>
      <c r="PO32" s="62" t="s">
        <v>86</v>
      </c>
      <c r="PP32" s="63">
        <v>100000</v>
      </c>
      <c r="PR32" s="1"/>
      <c r="PS32" s="26"/>
      <c r="PT32" s="11"/>
      <c r="PU32" s="5"/>
      <c r="PV32" s="11"/>
      <c r="PW32" s="11"/>
      <c r="PX32" s="5"/>
      <c r="PY32" s="8"/>
      <c r="PZ32" s="8"/>
      <c r="QA32" s="5"/>
      <c r="QB32" s="21"/>
      <c r="QC32" s="22"/>
      <c r="QP32" s="64" t="s">
        <v>88</v>
      </c>
      <c r="QQ32" s="66">
        <f>(QQ30-QQ31)*0.5%</f>
        <v>475</v>
      </c>
      <c r="RF32" s="16" t="s">
        <v>1342</v>
      </c>
      <c r="RG32" s="34" t="s">
        <v>1316</v>
      </c>
      <c r="RH32" s="34"/>
      <c r="RI32" s="32" t="s">
        <v>1729</v>
      </c>
      <c r="RJ32" s="34"/>
      <c r="RK32" s="30" t="s">
        <v>855</v>
      </c>
    </row>
    <row r="33" spans="15:479" ht="15" thickBot="1" x14ac:dyDescent="0.25">
      <c r="O33" s="16" t="s">
        <v>871</v>
      </c>
      <c r="P33" s="32" t="s">
        <v>49</v>
      </c>
      <c r="Q33" s="32" t="s">
        <v>50</v>
      </c>
      <c r="R33" s="32" t="s">
        <v>1455</v>
      </c>
      <c r="S33" s="32"/>
      <c r="T33" s="30" t="s">
        <v>850</v>
      </c>
      <c r="U33" s="30" t="s">
        <v>26</v>
      </c>
      <c r="V33" s="30" t="s">
        <v>33</v>
      </c>
      <c r="W33" s="30" t="s">
        <v>28</v>
      </c>
      <c r="X33" s="30" t="s">
        <v>34</v>
      </c>
      <c r="Y33" s="17">
        <v>256.55</v>
      </c>
      <c r="Z33" s="33">
        <f t="shared" si="0"/>
        <v>2.3975132647060009E-2</v>
      </c>
      <c r="AA33" s="33">
        <f t="shared" si="1"/>
        <v>2.2777181763584349E-2</v>
      </c>
      <c r="AB33" s="4"/>
      <c r="AC33" s="1">
        <v>1</v>
      </c>
      <c r="AD33" s="18">
        <v>19231.591145595201</v>
      </c>
      <c r="AE33" s="11">
        <v>4933864.7084024493</v>
      </c>
      <c r="AF33" s="5"/>
      <c r="AG33" s="11">
        <v>1</v>
      </c>
      <c r="AH33" s="11">
        <v>256.55</v>
      </c>
      <c r="AI33" s="5">
        <v>29.904667499743532</v>
      </c>
      <c r="AJ33" s="8">
        <v>2.4051562499999998E-2</v>
      </c>
      <c r="AK33" s="8">
        <v>3.1878802951841312E-3</v>
      </c>
      <c r="AL33" s="5"/>
      <c r="AM33" s="21">
        <v>10700.670723148633</v>
      </c>
      <c r="AN33" s="22">
        <v>9492.35</v>
      </c>
      <c r="BA33" s="67" t="s">
        <v>89</v>
      </c>
      <c r="BB33" s="68">
        <f>BB32/BB29</f>
        <v>5.475E-2</v>
      </c>
      <c r="DF33" s="1"/>
      <c r="DG33" s="26"/>
      <c r="DH33" s="46"/>
      <c r="DI33" s="26"/>
      <c r="DJ33" s="46"/>
      <c r="DK33" s="46"/>
      <c r="DL33" s="26"/>
      <c r="DM33" s="47"/>
      <c r="DN33" s="47"/>
      <c r="DO33" s="26"/>
      <c r="DP33" s="21"/>
      <c r="DQ33" s="22"/>
      <c r="ED33" s="67" t="s">
        <v>89</v>
      </c>
      <c r="EE33" s="68">
        <f>EE32/EE29</f>
        <v>5.475E-2</v>
      </c>
      <c r="ET33" s="16" t="s">
        <v>851</v>
      </c>
      <c r="EU33" s="32" t="s">
        <v>37</v>
      </c>
      <c r="EV33" s="32" t="s">
        <v>38</v>
      </c>
      <c r="EW33" s="32" t="s">
        <v>1461</v>
      </c>
      <c r="EX33" s="32"/>
      <c r="EY33" s="30" t="s">
        <v>850</v>
      </c>
      <c r="EZ33" s="30" t="s">
        <v>26</v>
      </c>
      <c r="FA33" s="30" t="s">
        <v>33</v>
      </c>
      <c r="FB33" s="30" t="s">
        <v>28</v>
      </c>
      <c r="FC33" s="30" t="s">
        <v>34</v>
      </c>
      <c r="FD33" s="17">
        <v>214</v>
      </c>
      <c r="FE33" s="33">
        <f t="shared" si="6"/>
        <v>2.4538967892107581E-2</v>
      </c>
      <c r="FF33" s="33">
        <f t="shared" si="7"/>
        <v>2.3311370764810005E-2</v>
      </c>
      <c r="FH33" s="1">
        <v>1</v>
      </c>
      <c r="FI33" s="18">
        <v>23497.938394291799</v>
      </c>
      <c r="FJ33" s="11">
        <v>5028558.8163784454</v>
      </c>
      <c r="FK33" s="5"/>
      <c r="FL33" s="11">
        <v>1</v>
      </c>
      <c r="FM33" s="11">
        <v>214</v>
      </c>
      <c r="FN33" s="5">
        <v>36.693783763899184</v>
      </c>
      <c r="FO33" s="8">
        <v>2.4743749999999998E-2</v>
      </c>
      <c r="FP33" s="8">
        <v>8.3451801556120309E-3</v>
      </c>
      <c r="FQ33" s="5"/>
      <c r="FR33" s="21">
        <v>8720.8231797242133</v>
      </c>
      <c r="FS33" s="22">
        <v>7918</v>
      </c>
      <c r="FU33" s="16" t="s">
        <v>985</v>
      </c>
      <c r="FV33" s="71" t="s">
        <v>757</v>
      </c>
      <c r="FW33" s="32" t="s">
        <v>761</v>
      </c>
      <c r="FX33" s="32" t="s">
        <v>1549</v>
      </c>
      <c r="FY33" s="45"/>
      <c r="FZ33" s="30" t="s">
        <v>986</v>
      </c>
      <c r="GA33" s="30" t="s">
        <v>26</v>
      </c>
      <c r="GB33" s="30" t="s">
        <v>406</v>
      </c>
      <c r="GC33" s="30" t="s">
        <v>28</v>
      </c>
      <c r="GD33" s="30" t="s">
        <v>987</v>
      </c>
      <c r="GE33" s="17">
        <v>189.95</v>
      </c>
      <c r="GF33" s="33">
        <f t="shared" si="8"/>
        <v>4.3540420240269537E-2</v>
      </c>
      <c r="GG33" s="33">
        <f t="shared" si="9"/>
        <v>4.136141820166999E-2</v>
      </c>
      <c r="GI33" s="1">
        <v>0.108429</v>
      </c>
      <c r="GJ33" s="18">
        <v>437594.82306831999</v>
      </c>
      <c r="GK33" s="11">
        <v>9012741.7249366995</v>
      </c>
      <c r="GL33" s="5"/>
      <c r="GM33" s="11">
        <v>1</v>
      </c>
      <c r="GN33" s="11">
        <v>20.596088549999997</v>
      </c>
      <c r="GO33" s="5">
        <v>676.48449088097618</v>
      </c>
      <c r="GP33" s="8">
        <v>4.3509237061874997E-2</v>
      </c>
      <c r="GQ33" s="8">
        <v>-7.1618919207627751E-4</v>
      </c>
      <c r="GR33" s="5"/>
      <c r="GS33" s="21">
        <v>473.03375659546685</v>
      </c>
      <c r="GT33" s="22">
        <v>762.05527634999987</v>
      </c>
      <c r="GV33" s="16" t="s">
        <v>1011</v>
      </c>
      <c r="GW33" s="32" t="s">
        <v>202</v>
      </c>
      <c r="GX33" s="32">
        <v>1099</v>
      </c>
      <c r="GY33" s="32" t="s">
        <v>1574</v>
      </c>
      <c r="GZ33" s="32"/>
      <c r="HA33" s="30" t="s">
        <v>862</v>
      </c>
      <c r="HB33" s="30" t="s">
        <v>26</v>
      </c>
      <c r="HC33" s="30" t="s">
        <v>27</v>
      </c>
      <c r="HD33" s="30" t="s">
        <v>28</v>
      </c>
      <c r="HE33" s="30" t="s">
        <v>82</v>
      </c>
      <c r="HF33" s="17">
        <v>20.64</v>
      </c>
      <c r="HG33" s="33">
        <f t="shared" si="10"/>
        <v>3.1652344051548861E-2</v>
      </c>
      <c r="HH33" s="33">
        <f t="shared" si="29"/>
        <v>3.0067341225189777E-2</v>
      </c>
      <c r="HJ33" s="1">
        <v>0.12784999999999999</v>
      </c>
      <c r="HK33" s="18">
        <v>1956260.9307586399</v>
      </c>
      <c r="HL33" s="11">
        <v>5162228.2943482371</v>
      </c>
      <c r="HM33" s="5"/>
      <c r="HN33" s="11">
        <v>400</v>
      </c>
      <c r="HO33" s="11">
        <v>1055.5295999999998</v>
      </c>
      <c r="HP33" s="5">
        <v>9.5958939441353781</v>
      </c>
      <c r="HQ33" s="8">
        <v>3.2985299999999995E-2</v>
      </c>
      <c r="HR33" s="8">
        <v>4.2112392885667038E-2</v>
      </c>
      <c r="HS33" s="5"/>
      <c r="HT33" s="21">
        <v>33347.596572341346</v>
      </c>
      <c r="HU33" s="22">
        <v>39054.595199999989</v>
      </c>
      <c r="IH33" s="64" t="s">
        <v>88</v>
      </c>
      <c r="II33" s="66">
        <f>(II31-II32)*0.5%</f>
        <v>475</v>
      </c>
      <c r="IX33" s="16" t="s">
        <v>34</v>
      </c>
      <c r="IY33" s="32" t="s">
        <v>34</v>
      </c>
      <c r="IZ33" s="32"/>
      <c r="JA33" s="32"/>
      <c r="JB33" s="32"/>
      <c r="JC33" s="30"/>
      <c r="JD33" s="30"/>
      <c r="JE33" s="30"/>
      <c r="JF33" s="30" t="s">
        <v>80</v>
      </c>
      <c r="JG33" s="30" t="s">
        <v>34</v>
      </c>
      <c r="JH33" s="17">
        <v>1</v>
      </c>
      <c r="JI33" s="33">
        <f t="shared" si="30"/>
        <v>4.9465124140773472E-3</v>
      </c>
      <c r="JJ33" s="33">
        <f>JJ40</f>
        <v>5.475E-2</v>
      </c>
      <c r="JL33" s="1">
        <v>1</v>
      </c>
      <c r="JM33" s="18">
        <v>603450.35577019397</v>
      </c>
      <c r="JN33" s="11">
        <v>603450.35577019397</v>
      </c>
      <c r="JO33" s="5"/>
      <c r="JP33" s="11">
        <v>1</v>
      </c>
      <c r="JQ33" s="11">
        <v>1</v>
      </c>
      <c r="JR33" s="5">
        <v>1582.883972504751</v>
      </c>
      <c r="JS33" s="8">
        <v>4.9468749999999999E-3</v>
      </c>
      <c r="JT33" s="8">
        <v>7.3301326732888583E-5</v>
      </c>
      <c r="JU33" s="5"/>
      <c r="JV33" s="21">
        <v>202.16263829725492</v>
      </c>
      <c r="JW33" s="22">
        <v>37</v>
      </c>
      <c r="JY33" s="16" t="s">
        <v>1339</v>
      </c>
      <c r="JZ33" s="32" t="s">
        <v>1313</v>
      </c>
      <c r="KA33" s="32" t="s">
        <v>1384</v>
      </c>
      <c r="KB33" s="32" t="s">
        <v>1635</v>
      </c>
      <c r="KC33" s="32"/>
      <c r="KD33" s="30" t="s">
        <v>850</v>
      </c>
      <c r="KE33" s="30" t="s">
        <v>26</v>
      </c>
      <c r="KF33" s="30" t="s">
        <v>33</v>
      </c>
      <c r="KG33" s="30" t="s">
        <v>28</v>
      </c>
      <c r="KH33" s="30" t="s">
        <v>34</v>
      </c>
      <c r="KI33" s="17">
        <v>255.32</v>
      </c>
      <c r="KJ33" s="33">
        <f t="shared" si="31"/>
        <v>2.7950411194250187E-2</v>
      </c>
      <c r="KK33" s="33">
        <f t="shared" si="32"/>
        <v>2.6557200988330067E-2</v>
      </c>
      <c r="KM33" s="1">
        <v>1</v>
      </c>
      <c r="KN33" s="18">
        <v>10870.681675980501</v>
      </c>
      <c r="KO33" s="11">
        <v>2775502.4455113416</v>
      </c>
      <c r="KP33" s="5"/>
      <c r="KQ33" s="11">
        <v>1</v>
      </c>
      <c r="KR33" s="11">
        <v>255.32</v>
      </c>
      <c r="KS33" s="5">
        <v>35.031065259909369</v>
      </c>
      <c r="KT33" s="8">
        <v>2.7925624999999996E-2</v>
      </c>
      <c r="KU33" s="8">
        <v>-8.8679175694161838E-4</v>
      </c>
      <c r="KV33" s="5"/>
      <c r="KW33" s="21">
        <v>9134.7493325079631</v>
      </c>
      <c r="KX33" s="22">
        <v>9446.8399999999983</v>
      </c>
      <c r="LN33" s="1"/>
      <c r="LO33" s="26"/>
      <c r="LP33" s="11"/>
      <c r="LQ33" s="5"/>
      <c r="LR33" s="11"/>
      <c r="LS33" s="11"/>
      <c r="LT33" s="5"/>
      <c r="LU33" s="8"/>
      <c r="LV33" s="8"/>
      <c r="LW33" s="5"/>
      <c r="LX33" s="21"/>
      <c r="LY33" s="22"/>
      <c r="MA33" s="16" t="s">
        <v>1086</v>
      </c>
      <c r="MB33" s="32" t="s">
        <v>264</v>
      </c>
      <c r="MC33" s="32">
        <v>9434</v>
      </c>
      <c r="MD33" s="32" t="s">
        <v>1659</v>
      </c>
      <c r="ME33" s="32"/>
      <c r="MF33" s="30" t="s">
        <v>902</v>
      </c>
      <c r="MG33" s="30" t="s">
        <v>26</v>
      </c>
      <c r="MH33" s="30" t="s">
        <v>320</v>
      </c>
      <c r="MI33" s="30" t="s">
        <v>28</v>
      </c>
      <c r="MJ33" s="30" t="s">
        <v>94</v>
      </c>
      <c r="MK33" s="17">
        <v>211.1</v>
      </c>
      <c r="ML33" s="33">
        <f t="shared" si="16"/>
        <v>2.9604075221095576E-2</v>
      </c>
      <c r="MM33" s="33">
        <f t="shared" si="17"/>
        <v>2.8106040365413979E-2</v>
      </c>
      <c r="MO33" s="1">
        <v>6.3369999999999998E-3</v>
      </c>
      <c r="MP33" s="18">
        <v>3975732.7462852099</v>
      </c>
      <c r="MQ33" s="11">
        <v>5318499.5070284987</v>
      </c>
      <c r="MR33" s="5"/>
      <c r="MS33" s="11">
        <v>100</v>
      </c>
      <c r="MT33" s="11">
        <v>133.77406999999999</v>
      </c>
      <c r="MU33" s="5">
        <v>70.815697472242448</v>
      </c>
      <c r="MV33" s="8">
        <v>2.968112178125E-2</v>
      </c>
      <c r="MW33" s="8">
        <v>2.6025660176516308E-3</v>
      </c>
      <c r="MX33" s="5"/>
      <c r="MY33" s="21">
        <v>4518.7721285302605</v>
      </c>
      <c r="MZ33" s="22">
        <v>4949.64059</v>
      </c>
      <c r="NB33" s="35" t="s">
        <v>81</v>
      </c>
      <c r="NC33" s="36"/>
      <c r="ND33" s="36"/>
      <c r="NE33" s="36"/>
      <c r="NF33" s="36"/>
      <c r="NG33" s="36"/>
      <c r="NH33" s="36"/>
      <c r="NI33" s="36"/>
      <c r="NJ33" s="36"/>
      <c r="NK33" s="36"/>
      <c r="NL33" s="25" t="s">
        <v>81</v>
      </c>
      <c r="NM33" s="37">
        <f>SUM(NM6:NM32)</f>
        <v>0.99999999999999989</v>
      </c>
      <c r="NN33" s="37">
        <f>SUM(NN6:NN32)</f>
        <v>1.0000000000000002</v>
      </c>
      <c r="NR33" s="56">
        <v>170955323.14557585</v>
      </c>
      <c r="OC33" s="16" t="s">
        <v>313</v>
      </c>
      <c r="OD33" s="45" t="s">
        <v>83</v>
      </c>
      <c r="OE33" s="45"/>
      <c r="OF33" s="45"/>
      <c r="OG33" s="45"/>
      <c r="OH33" s="30"/>
      <c r="OI33" s="30"/>
      <c r="OJ33" s="30"/>
      <c r="OK33" s="30" t="s">
        <v>80</v>
      </c>
      <c r="OL33" s="30" t="s">
        <v>83</v>
      </c>
      <c r="OM33" s="17">
        <v>1</v>
      </c>
      <c r="ON33" s="33">
        <f t="shared" si="20"/>
        <v>3.1185696724834373E-3</v>
      </c>
      <c r="OO33" s="33">
        <f>OO40</f>
        <v>5.475E-2</v>
      </c>
      <c r="OQ33" s="1">
        <v>1</v>
      </c>
      <c r="OR33" s="18">
        <v>574336.73961442197</v>
      </c>
      <c r="OS33" s="11">
        <v>574336.73961442197</v>
      </c>
      <c r="OT33" s="5"/>
      <c r="OU33" s="11">
        <v>1</v>
      </c>
      <c r="OV33" s="11">
        <v>1</v>
      </c>
      <c r="OW33" s="5">
        <v>997.94229519469991</v>
      </c>
      <c r="OX33" s="8">
        <v>3.11875E-3</v>
      </c>
      <c r="OY33" s="8">
        <v>5.782378958985035E-5</v>
      </c>
      <c r="OZ33" s="5"/>
      <c r="PA33" s="21">
        <v>320.65982325918708</v>
      </c>
      <c r="PB33" s="22">
        <v>37</v>
      </c>
      <c r="PO33" s="64" t="s">
        <v>85</v>
      </c>
      <c r="PP33" s="65">
        <v>5000</v>
      </c>
      <c r="PR33" s="1"/>
      <c r="PS33" s="26"/>
      <c r="PT33" s="11"/>
      <c r="PU33" s="5"/>
      <c r="PV33" s="11"/>
      <c r="PW33" s="11"/>
      <c r="PX33" s="5"/>
      <c r="PY33" s="8"/>
      <c r="PZ33" s="8"/>
      <c r="QA33" s="5"/>
      <c r="QB33" s="21"/>
      <c r="QC33" s="22"/>
      <c r="QP33" s="64" t="s">
        <v>87</v>
      </c>
      <c r="QQ33" s="66">
        <f>QQ31+QQ32</f>
        <v>5475</v>
      </c>
      <c r="RF33" s="16" t="s">
        <v>1343</v>
      </c>
      <c r="RG33" s="34" t="s">
        <v>1317</v>
      </c>
      <c r="RH33" s="34"/>
      <c r="RI33" s="32" t="s">
        <v>1730</v>
      </c>
      <c r="RJ33" s="34"/>
      <c r="RK33" s="30" t="s">
        <v>1344</v>
      </c>
    </row>
    <row r="34" spans="15:479" ht="15" thickBot="1" x14ac:dyDescent="0.25">
      <c r="O34" s="16" t="s">
        <v>964</v>
      </c>
      <c r="P34" s="32" t="s">
        <v>169</v>
      </c>
      <c r="Q34" s="32" t="s">
        <v>428</v>
      </c>
      <c r="R34" s="32" t="s">
        <v>1456</v>
      </c>
      <c r="S34" s="32"/>
      <c r="T34" s="30" t="s">
        <v>850</v>
      </c>
      <c r="U34" s="30" t="s">
        <v>26</v>
      </c>
      <c r="V34" s="30" t="s">
        <v>33</v>
      </c>
      <c r="W34" s="30" t="s">
        <v>28</v>
      </c>
      <c r="X34" s="30" t="s">
        <v>34</v>
      </c>
      <c r="Y34" s="17">
        <v>524.66</v>
      </c>
      <c r="Z34" s="33">
        <f t="shared" si="0"/>
        <v>2.7141612707886585E-2</v>
      </c>
      <c r="AA34" s="33">
        <f t="shared" si="1"/>
        <v>2.5785444239456688E-2</v>
      </c>
      <c r="AB34" s="4"/>
      <c r="AC34" s="1">
        <v>1</v>
      </c>
      <c r="AD34" s="18">
        <v>10645.9374966576</v>
      </c>
      <c r="AE34" s="11">
        <v>5585497.566996376</v>
      </c>
      <c r="AF34" s="5"/>
      <c r="AG34" s="11">
        <v>1</v>
      </c>
      <c r="AH34" s="11">
        <v>524.66</v>
      </c>
      <c r="AI34" s="5">
        <v>16.554179976601432</v>
      </c>
      <c r="AJ34" s="8">
        <v>2.7872562499999996E-2</v>
      </c>
      <c r="AK34" s="8">
        <v>2.6930963903298855E-2</v>
      </c>
      <c r="AL34" s="5"/>
      <c r="AM34" s="21">
        <v>19330.465202885625</v>
      </c>
      <c r="AN34" s="22">
        <v>19412.419999999998</v>
      </c>
      <c r="DF34" s="1"/>
      <c r="DG34" s="26"/>
      <c r="DH34" s="46"/>
      <c r="DI34" s="26"/>
      <c r="DJ34" s="46"/>
      <c r="DK34" s="46"/>
      <c r="DL34" s="26"/>
      <c r="DM34" s="47"/>
      <c r="DN34" s="47"/>
      <c r="DO34" s="26"/>
      <c r="DP34" s="21"/>
      <c r="DQ34" s="22"/>
      <c r="ET34" s="16" t="s">
        <v>852</v>
      </c>
      <c r="EU34" s="32" t="s">
        <v>224</v>
      </c>
      <c r="EV34" s="32" t="s">
        <v>357</v>
      </c>
      <c r="EW34" s="32" t="s">
        <v>1463</v>
      </c>
      <c r="EX34" s="32"/>
      <c r="EY34" s="30" t="s">
        <v>853</v>
      </c>
      <c r="EZ34" s="30" t="s">
        <v>26</v>
      </c>
      <c r="FA34" s="30" t="s">
        <v>33</v>
      </c>
      <c r="FB34" s="30" t="s">
        <v>28</v>
      </c>
      <c r="FC34" s="30" t="s">
        <v>34</v>
      </c>
      <c r="FD34" s="17">
        <v>281.74</v>
      </c>
      <c r="FE34" s="33">
        <f t="shared" si="6"/>
        <v>2.2464766719014657E-2</v>
      </c>
      <c r="FF34" s="33">
        <f t="shared" si="7"/>
        <v>2.1340934485689866E-2</v>
      </c>
      <c r="FH34" s="1">
        <v>1</v>
      </c>
      <c r="FI34" s="18">
        <v>16339.5708063928</v>
      </c>
      <c r="FJ34" s="11">
        <v>4603510.6789931078</v>
      </c>
      <c r="FK34" s="5"/>
      <c r="FL34" s="11">
        <v>1</v>
      </c>
      <c r="FM34" s="11">
        <v>281.74</v>
      </c>
      <c r="FN34" s="5">
        <v>25.515458756600729</v>
      </c>
      <c r="FO34" s="8">
        <v>2.2891374999999999E-2</v>
      </c>
      <c r="FP34" s="8">
        <v>1.8990105097519194E-2</v>
      </c>
      <c r="FQ34" s="5"/>
      <c r="FR34" s="21">
        <v>12541.416678123314</v>
      </c>
      <c r="FS34" s="22">
        <v>10424.379999999999</v>
      </c>
      <c r="FU34" s="16" t="s">
        <v>988</v>
      </c>
      <c r="FV34" s="71" t="s">
        <v>758</v>
      </c>
      <c r="FW34" s="32" t="s">
        <v>762</v>
      </c>
      <c r="FX34" s="32" t="s">
        <v>1550</v>
      </c>
      <c r="FY34" s="45"/>
      <c r="FZ34" s="30" t="s">
        <v>850</v>
      </c>
      <c r="GA34" s="30" t="s">
        <v>26</v>
      </c>
      <c r="GB34" s="30" t="s">
        <v>33</v>
      </c>
      <c r="GC34" s="30" t="s">
        <v>28</v>
      </c>
      <c r="GD34" s="30" t="s">
        <v>34</v>
      </c>
      <c r="GE34" s="17">
        <v>75.44</v>
      </c>
      <c r="GF34" s="33">
        <f t="shared" si="8"/>
        <v>2.6907984264290592E-2</v>
      </c>
      <c r="GG34" s="33">
        <f t="shared" si="9"/>
        <v>2.5561360776438585E-2</v>
      </c>
      <c r="GI34" s="1">
        <v>1</v>
      </c>
      <c r="GJ34" s="18">
        <v>73831.857490047798</v>
      </c>
      <c r="GK34" s="11">
        <v>5569875.3290492054</v>
      </c>
      <c r="GL34" s="5"/>
      <c r="GM34" s="11">
        <v>1</v>
      </c>
      <c r="GN34" s="11">
        <v>75.44</v>
      </c>
      <c r="GO34" s="5">
        <v>114.13779115287633</v>
      </c>
      <c r="GP34" s="8">
        <v>2.68755E-2</v>
      </c>
      <c r="GQ34" s="8">
        <v>-1.2072351452093733E-3</v>
      </c>
      <c r="GR34" s="5"/>
      <c r="GS34" s="21">
        <v>2803.6288136274825</v>
      </c>
      <c r="GT34" s="22">
        <v>2791.2799999999997</v>
      </c>
      <c r="GV34" s="16" t="s">
        <v>1012</v>
      </c>
      <c r="GW34" s="32" t="s">
        <v>729</v>
      </c>
      <c r="GX34" s="32">
        <v>16</v>
      </c>
      <c r="GY34" s="32" t="s">
        <v>1575</v>
      </c>
      <c r="GZ34" s="32"/>
      <c r="HA34" s="30" t="s">
        <v>862</v>
      </c>
      <c r="HB34" s="30" t="s">
        <v>26</v>
      </c>
      <c r="HC34" s="30" t="s">
        <v>27</v>
      </c>
      <c r="HD34" s="30" t="s">
        <v>28</v>
      </c>
      <c r="HE34" s="30" t="s">
        <v>82</v>
      </c>
      <c r="HF34" s="17">
        <v>142.1</v>
      </c>
      <c r="HG34" s="33">
        <f t="shared" si="10"/>
        <v>4.3420857509315063E-2</v>
      </c>
      <c r="HH34" s="33">
        <f t="shared" si="29"/>
        <v>4.1246542022186652E-2</v>
      </c>
      <c r="HJ34" s="1">
        <v>0.12784999999999999</v>
      </c>
      <c r="HK34" s="18">
        <v>389793.78907106601</v>
      </c>
      <c r="HL34" s="11">
        <v>7081572.8160417555</v>
      </c>
      <c r="HM34" s="5"/>
      <c r="HN34" s="11">
        <v>500</v>
      </c>
      <c r="HO34" s="11">
        <v>9083.7424999999985</v>
      </c>
      <c r="HP34" s="5">
        <v>1.5296200220317586</v>
      </c>
      <c r="HQ34" s="8">
        <v>5.6773390624999989E-2</v>
      </c>
      <c r="HR34" s="8">
        <v>0.3075142657608827</v>
      </c>
      <c r="HS34" s="5"/>
      <c r="HT34" s="21">
        <v>209202.28252174123</v>
      </c>
      <c r="HU34" s="22">
        <v>336098.47249999992</v>
      </c>
      <c r="IH34" s="64" t="s">
        <v>87</v>
      </c>
      <c r="II34" s="66">
        <f>II32+II33</f>
        <v>5475</v>
      </c>
      <c r="IX34" s="35" t="s">
        <v>81</v>
      </c>
      <c r="IY34" s="25"/>
      <c r="IZ34" s="25"/>
      <c r="JA34" s="25"/>
      <c r="JB34" s="25"/>
      <c r="JC34" s="25"/>
      <c r="JD34" s="25"/>
      <c r="JE34" s="25"/>
      <c r="JF34" s="25"/>
      <c r="JG34" s="25"/>
      <c r="JH34" s="25" t="s">
        <v>81</v>
      </c>
      <c r="JI34" s="37">
        <f>SUM(JI6:JI33)</f>
        <v>1</v>
      </c>
      <c r="JJ34" s="37">
        <f>SUM(JJ6:JJ33)</f>
        <v>1.0000000000000002</v>
      </c>
      <c r="JN34" s="56">
        <v>121995116.00391951</v>
      </c>
      <c r="JY34" s="16" t="s">
        <v>1387</v>
      </c>
      <c r="JZ34" s="32" t="s">
        <v>1372</v>
      </c>
      <c r="KA34" s="32" t="s">
        <v>1385</v>
      </c>
      <c r="KB34" s="32" t="s">
        <v>1636</v>
      </c>
      <c r="KC34" s="32"/>
      <c r="KD34" s="30" t="s">
        <v>838</v>
      </c>
      <c r="KE34" s="30" t="s">
        <v>26</v>
      </c>
      <c r="KF34" s="30" t="s">
        <v>323</v>
      </c>
      <c r="KG34" s="30" t="s">
        <v>28</v>
      </c>
      <c r="KH34" s="30" t="s">
        <v>431</v>
      </c>
      <c r="KI34" s="17">
        <v>19.63</v>
      </c>
      <c r="KJ34" s="33">
        <f t="shared" si="31"/>
        <v>2.8544410068576821E-2</v>
      </c>
      <c r="KK34" s="33">
        <f t="shared" si="32"/>
        <v>2.7121591522075751E-2</v>
      </c>
      <c r="KM34" s="1">
        <v>0.70340000000000003</v>
      </c>
      <c r="KN34" s="18">
        <v>205282.44946407201</v>
      </c>
      <c r="KO34" s="11">
        <v>2834487.0993279447</v>
      </c>
      <c r="KP34" s="5"/>
      <c r="KQ34" s="11">
        <v>1</v>
      </c>
      <c r="KR34" s="11">
        <v>13.807741999999999</v>
      </c>
      <c r="KS34" s="5">
        <v>661.52823698071586</v>
      </c>
      <c r="KT34" s="8">
        <v>2.8564766262499999E-2</v>
      </c>
      <c r="KU34" s="8">
        <v>7.1314116754472856E-4</v>
      </c>
      <c r="KV34" s="5"/>
      <c r="KW34" s="21">
        <v>483.7284066066681</v>
      </c>
      <c r="KX34" s="22">
        <v>510.88645399999996</v>
      </c>
      <c r="LN34" s="1"/>
      <c r="LO34" s="26"/>
      <c r="LP34" s="11"/>
      <c r="LQ34" s="5"/>
      <c r="LR34" s="11"/>
      <c r="LS34" s="11"/>
      <c r="LT34" s="5"/>
      <c r="LU34" s="8"/>
      <c r="LV34" s="8"/>
      <c r="LW34" s="5"/>
      <c r="LX34" s="21"/>
      <c r="LY34" s="22"/>
      <c r="MA34" s="16" t="s">
        <v>1087</v>
      </c>
      <c r="MB34" s="44" t="s">
        <v>265</v>
      </c>
      <c r="MC34" s="44" t="s">
        <v>340</v>
      </c>
      <c r="MD34" s="32" t="s">
        <v>1660</v>
      </c>
      <c r="ME34" s="44"/>
      <c r="MF34" s="30" t="s">
        <v>867</v>
      </c>
      <c r="MG34" s="30" t="s">
        <v>26</v>
      </c>
      <c r="MH34" s="30" t="s">
        <v>330</v>
      </c>
      <c r="MI34" s="30" t="s">
        <v>28</v>
      </c>
      <c r="MJ34" s="51" t="s">
        <v>868</v>
      </c>
      <c r="MK34" s="17">
        <v>170.3</v>
      </c>
      <c r="ML34" s="33">
        <f t="shared" si="16"/>
        <v>2.8822404735868754E-2</v>
      </c>
      <c r="MM34" s="33">
        <f t="shared" si="17"/>
        <v>2.7363924219371272E-2</v>
      </c>
      <c r="MO34" s="1">
        <v>0.10349999999999999</v>
      </c>
      <c r="MP34" s="18">
        <v>293773.64983298501</v>
      </c>
      <c r="MQ34" s="11">
        <v>5178069.0406386852</v>
      </c>
      <c r="MR34" s="5"/>
      <c r="MS34" s="11">
        <v>1</v>
      </c>
      <c r="MT34" s="11">
        <v>17.626049999999999</v>
      </c>
      <c r="MU34" s="5">
        <v>523.26922455558679</v>
      </c>
      <c r="MV34" s="8">
        <v>2.8807575468749996E-2</v>
      </c>
      <c r="MW34" s="8">
        <v>-5.1450485324366912E-4</v>
      </c>
      <c r="MX34" s="5"/>
      <c r="MY34" s="21">
        <v>611.53988230776679</v>
      </c>
      <c r="MZ34" s="22">
        <v>652.16384999999991</v>
      </c>
      <c r="OC34" s="35" t="s">
        <v>81</v>
      </c>
      <c r="OD34" s="36"/>
      <c r="OE34" s="36"/>
      <c r="OF34" s="36"/>
      <c r="OG34" s="36"/>
      <c r="OH34" s="36"/>
      <c r="OI34" s="36"/>
      <c r="OJ34" s="36"/>
      <c r="OK34" s="36"/>
      <c r="OL34" s="36"/>
      <c r="OM34" s="25" t="s">
        <v>81</v>
      </c>
      <c r="ON34" s="37">
        <f>SUM(ON6:ON33)</f>
        <v>1.0000000000000002</v>
      </c>
      <c r="OO34" s="37">
        <f>SUM(OO6:OO33)</f>
        <v>1.0000000000000002</v>
      </c>
      <c r="OS34" s="56">
        <v>184166717.41601831</v>
      </c>
      <c r="PO34" s="64" t="s">
        <v>88</v>
      </c>
      <c r="PP34" s="66">
        <f>(PP32-PP33)*0.5%</f>
        <v>475</v>
      </c>
      <c r="PR34" s="1"/>
      <c r="PS34" s="26"/>
      <c r="PT34" s="11"/>
      <c r="PU34" s="5"/>
      <c r="PV34" s="11"/>
      <c r="PW34" s="11"/>
      <c r="PX34" s="5"/>
      <c r="PY34" s="8"/>
      <c r="PZ34" s="8"/>
      <c r="QA34" s="5"/>
      <c r="QB34" s="21"/>
      <c r="QC34" s="22"/>
      <c r="QP34" s="67" t="s">
        <v>89</v>
      </c>
      <c r="QQ34" s="68">
        <f>QQ33/QQ30</f>
        <v>5.475E-2</v>
      </c>
      <c r="RF34" s="16" t="s">
        <v>1045</v>
      </c>
      <c r="RG34" s="34" t="s">
        <v>692</v>
      </c>
      <c r="RH34" s="34"/>
      <c r="RI34" s="32" t="s">
        <v>1610</v>
      </c>
      <c r="RJ34" s="34"/>
      <c r="RK34" s="30" t="s">
        <v>803</v>
      </c>
    </row>
    <row r="35" spans="15:479" ht="15" thickBot="1" x14ac:dyDescent="0.25">
      <c r="O35" s="16" t="s">
        <v>864</v>
      </c>
      <c r="P35" s="32" t="s">
        <v>43</v>
      </c>
      <c r="Q35" s="32" t="s">
        <v>44</v>
      </c>
      <c r="R35" s="32" t="s">
        <v>1457</v>
      </c>
      <c r="S35" s="32"/>
      <c r="T35" s="30" t="s">
        <v>853</v>
      </c>
      <c r="U35" s="30" t="s">
        <v>26</v>
      </c>
      <c r="V35" s="30" t="s">
        <v>33</v>
      </c>
      <c r="W35" s="30" t="s">
        <v>28</v>
      </c>
      <c r="X35" s="30" t="s">
        <v>34</v>
      </c>
      <c r="Y35" s="17">
        <v>31.6</v>
      </c>
      <c r="Z35" s="33">
        <f t="shared" si="0"/>
        <v>2.768483012429012E-2</v>
      </c>
      <c r="AA35" s="33">
        <f t="shared" si="1"/>
        <v>2.6301519041323749E-2</v>
      </c>
      <c r="AB35" s="4"/>
      <c r="AC35" s="1">
        <v>1</v>
      </c>
      <c r="AD35" s="18">
        <v>180293.88548199</v>
      </c>
      <c r="AE35" s="11">
        <v>5697286.7812308846</v>
      </c>
      <c r="AF35" s="5"/>
      <c r="AG35" s="11">
        <v>1</v>
      </c>
      <c r="AH35" s="11">
        <v>31.6</v>
      </c>
      <c r="AI35" s="5">
        <v>280.35271011939358</v>
      </c>
      <c r="AJ35" s="8">
        <v>2.7650000000000001E-2</v>
      </c>
      <c r="AK35" s="8">
        <v>-1.2580942029895015E-3</v>
      </c>
      <c r="AL35" s="5"/>
      <c r="AM35" s="21">
        <v>1141.4193209108691</v>
      </c>
      <c r="AN35" s="22">
        <v>1169.2</v>
      </c>
      <c r="DF35" s="1"/>
      <c r="DG35" s="26"/>
      <c r="DH35" s="46"/>
      <c r="DI35" s="26"/>
      <c r="DJ35" s="46"/>
      <c r="DK35" s="46"/>
      <c r="DL35" s="26"/>
      <c r="DM35" s="47"/>
      <c r="DN35" s="47"/>
      <c r="DO35" s="26"/>
      <c r="DP35" s="21"/>
      <c r="DQ35" s="22"/>
      <c r="ET35" s="16" t="s">
        <v>34</v>
      </c>
      <c r="EU35" s="32" t="s">
        <v>34</v>
      </c>
      <c r="EV35" s="32"/>
      <c r="EW35" s="32"/>
      <c r="EX35" s="32"/>
      <c r="EY35" s="30"/>
      <c r="EZ35" s="30"/>
      <c r="FA35" s="30"/>
      <c r="FB35" s="30" t="s">
        <v>80</v>
      </c>
      <c r="FC35" s="30" t="s">
        <v>34</v>
      </c>
      <c r="FD35" s="17">
        <v>1</v>
      </c>
      <c r="FE35" s="33">
        <f t="shared" si="6"/>
        <v>4.9723101213031045E-3</v>
      </c>
      <c r="FF35" s="33">
        <f>FF42</f>
        <v>5.475E-2</v>
      </c>
      <c r="FH35" s="1">
        <v>1</v>
      </c>
      <c r="FI35" s="18">
        <v>1018932.58136127</v>
      </c>
      <c r="FJ35" s="11">
        <v>1018932.58136127</v>
      </c>
      <c r="FK35" s="5"/>
      <c r="FL35" s="11">
        <v>1</v>
      </c>
      <c r="FM35" s="11">
        <v>1</v>
      </c>
      <c r="FN35" s="5">
        <v>1591.1392388169934</v>
      </c>
      <c r="FO35" s="8">
        <v>4.9718749999999997E-3</v>
      </c>
      <c r="FP35" s="8">
        <v>-8.750888269026813E-5</v>
      </c>
      <c r="FQ35" s="5"/>
      <c r="FR35" s="21">
        <v>201.11376314113082</v>
      </c>
      <c r="FS35" s="22">
        <v>37</v>
      </c>
      <c r="FU35" s="16" t="s">
        <v>989</v>
      </c>
      <c r="FV35" s="71" t="s">
        <v>305</v>
      </c>
      <c r="FW35" s="32" t="s">
        <v>413</v>
      </c>
      <c r="FX35" s="32" t="s">
        <v>1551</v>
      </c>
      <c r="FY35" s="45"/>
      <c r="FZ35" s="30" t="s">
        <v>850</v>
      </c>
      <c r="GA35" s="30" t="s">
        <v>26</v>
      </c>
      <c r="GB35" s="30" t="s">
        <v>33</v>
      </c>
      <c r="GC35" s="30" t="s">
        <v>28</v>
      </c>
      <c r="GD35" s="30" t="s">
        <v>34</v>
      </c>
      <c r="GE35" s="17">
        <v>774.25</v>
      </c>
      <c r="GF35" s="33">
        <f t="shared" si="8"/>
        <v>4.6975241412387667E-2</v>
      </c>
      <c r="GG35" s="33">
        <f t="shared" si="9"/>
        <v>4.4624342035752135E-2</v>
      </c>
      <c r="GI35" s="1">
        <v>1</v>
      </c>
      <c r="GJ35" s="18">
        <v>12558.914853939599</v>
      </c>
      <c r="GK35" s="11">
        <v>9723739.825662734</v>
      </c>
      <c r="GL35" s="5"/>
      <c r="GM35" s="11">
        <v>1</v>
      </c>
      <c r="GN35" s="11">
        <v>774.25</v>
      </c>
      <c r="GO35" s="5">
        <v>19.415017438765325</v>
      </c>
      <c r="GP35" s="8">
        <v>4.5971093749999997E-2</v>
      </c>
      <c r="GQ35" s="8">
        <v>-2.1376104351916503E-2</v>
      </c>
      <c r="GR35" s="5"/>
      <c r="GS35" s="21">
        <v>16482.08666354667</v>
      </c>
      <c r="GT35" s="22">
        <v>28647.25</v>
      </c>
      <c r="GV35" s="16" t="s">
        <v>1013</v>
      </c>
      <c r="GW35" s="32" t="s">
        <v>203</v>
      </c>
      <c r="GX35" s="32">
        <v>4502</v>
      </c>
      <c r="GY35" s="32" t="s">
        <v>1576</v>
      </c>
      <c r="GZ35" s="32"/>
      <c r="HA35" s="30" t="s">
        <v>902</v>
      </c>
      <c r="HB35" s="30" t="s">
        <v>26</v>
      </c>
      <c r="HC35" s="30" t="s">
        <v>320</v>
      </c>
      <c r="HD35" s="30" t="s">
        <v>28</v>
      </c>
      <c r="HE35" s="30" t="s">
        <v>94</v>
      </c>
      <c r="HF35" s="17">
        <v>5679</v>
      </c>
      <c r="HG35" s="33">
        <f t="shared" si="10"/>
        <v>3.5580139870666494E-2</v>
      </c>
      <c r="HH35" s="33">
        <f t="shared" si="29"/>
        <v>3.3798451217042169E-2</v>
      </c>
      <c r="HJ35" s="1">
        <v>6.3369999999999998E-3</v>
      </c>
      <c r="HK35" s="18">
        <v>161243.941019099</v>
      </c>
      <c r="HL35" s="11">
        <v>5802818.4092177739</v>
      </c>
      <c r="HM35" s="5"/>
      <c r="HN35" s="11">
        <v>100</v>
      </c>
      <c r="HO35" s="11">
        <v>3598.7822999999994</v>
      </c>
      <c r="HP35" s="5">
        <v>3.1637492377944838</v>
      </c>
      <c r="HQ35" s="8">
        <v>3.3738584062499993E-2</v>
      </c>
      <c r="HR35" s="8">
        <v>-5.1757969891645716E-2</v>
      </c>
      <c r="HS35" s="5"/>
      <c r="HT35" s="21">
        <v>101145.81654489112</v>
      </c>
      <c r="HU35" s="22">
        <v>133154.94509999998</v>
      </c>
      <c r="IH35" s="67" t="s">
        <v>89</v>
      </c>
      <c r="II35" s="68">
        <f>II34/II31</f>
        <v>5.475E-2</v>
      </c>
      <c r="JY35" s="16" t="s">
        <v>1066</v>
      </c>
      <c r="JZ35" s="32" t="s">
        <v>248</v>
      </c>
      <c r="KA35" s="32" t="s">
        <v>405</v>
      </c>
      <c r="KB35" s="32" t="s">
        <v>1637</v>
      </c>
      <c r="KC35" s="32"/>
      <c r="KD35" s="30" t="s">
        <v>986</v>
      </c>
      <c r="KE35" s="30" t="s">
        <v>26</v>
      </c>
      <c r="KF35" s="30" t="s">
        <v>406</v>
      </c>
      <c r="KG35" s="30" t="s">
        <v>28</v>
      </c>
      <c r="KH35" s="30" t="s">
        <v>987</v>
      </c>
      <c r="KI35" s="17">
        <v>264.8</v>
      </c>
      <c r="KJ35" s="33">
        <f t="shared" si="31"/>
        <v>2.9437051198890021E-2</v>
      </c>
      <c r="KK35" s="33">
        <f t="shared" si="32"/>
        <v>2.7969738253922561E-2</v>
      </c>
      <c r="KM35" s="1">
        <v>0.108429</v>
      </c>
      <c r="KN35" s="18">
        <v>101808.557222524</v>
      </c>
      <c r="KO35" s="11">
        <v>2923127.2135262634</v>
      </c>
      <c r="KP35" s="5"/>
      <c r="KQ35" s="11">
        <v>1</v>
      </c>
      <c r="KR35" s="11">
        <v>28.711999200000001</v>
      </c>
      <c r="KS35" s="5">
        <v>328.08082495505244</v>
      </c>
      <c r="KT35" s="8">
        <v>2.9429799180000004E-2</v>
      </c>
      <c r="KU35" s="8">
        <v>-2.4635683924378871E-4</v>
      </c>
      <c r="KV35" s="5"/>
      <c r="KW35" s="21">
        <v>975.36940796171325</v>
      </c>
      <c r="KX35" s="22">
        <v>1062.3439704</v>
      </c>
      <c r="LN35" s="1"/>
      <c r="LO35" s="26"/>
      <c r="LP35" s="11"/>
      <c r="LQ35" s="5"/>
      <c r="LR35" s="11"/>
      <c r="LS35" s="11"/>
      <c r="LT35" s="5"/>
      <c r="LU35" s="8"/>
      <c r="LV35" s="8"/>
      <c r="LW35" s="5"/>
      <c r="LX35" s="21"/>
      <c r="LY35" s="22"/>
      <c r="MA35" s="16" t="s">
        <v>885</v>
      </c>
      <c r="MB35" s="44" t="s">
        <v>72</v>
      </c>
      <c r="MC35" s="44" t="s">
        <v>73</v>
      </c>
      <c r="MD35" s="32" t="s">
        <v>1447</v>
      </c>
      <c r="ME35" s="44"/>
      <c r="MF35" s="30" t="s">
        <v>886</v>
      </c>
      <c r="MG35" s="30" t="s">
        <v>26</v>
      </c>
      <c r="MH35" s="30" t="s">
        <v>39</v>
      </c>
      <c r="MI35" s="30" t="s">
        <v>28</v>
      </c>
      <c r="MJ35" s="51" t="s">
        <v>83</v>
      </c>
      <c r="MK35" s="17">
        <v>66.77</v>
      </c>
      <c r="ML35" s="33">
        <f t="shared" si="16"/>
        <v>2.9564920424716895E-2</v>
      </c>
      <c r="MM35" s="33">
        <f t="shared" si="17"/>
        <v>2.8068866892528917E-2</v>
      </c>
      <c r="MO35" s="1">
        <v>1.1607000000000001</v>
      </c>
      <c r="MP35" s="18">
        <v>68535.088516217103</v>
      </c>
      <c r="MQ35" s="11">
        <v>5311465.1793664265</v>
      </c>
      <c r="MR35" s="5"/>
      <c r="MS35" s="11">
        <v>1</v>
      </c>
      <c r="MT35" s="11">
        <v>77.499938999999998</v>
      </c>
      <c r="MU35" s="5">
        <v>122.0746062252953</v>
      </c>
      <c r="MV35" s="8">
        <v>2.9546851743749998E-2</v>
      </c>
      <c r="MW35" s="8">
        <v>-6.1115270081335549E-4</v>
      </c>
      <c r="MX35" s="5"/>
      <c r="MY35" s="21">
        <v>2621.3477961945882</v>
      </c>
      <c r="MZ35" s="22">
        <v>2867.4977429999999</v>
      </c>
      <c r="NM35" s="62" t="s">
        <v>86</v>
      </c>
      <c r="NN35" s="63">
        <v>100000</v>
      </c>
      <c r="PO35" s="64" t="s">
        <v>87</v>
      </c>
      <c r="PP35" s="66">
        <f>PP33+PP34</f>
        <v>5475</v>
      </c>
      <c r="PR35" s="1"/>
      <c r="PS35" s="26"/>
      <c r="PT35" s="11"/>
      <c r="PU35" s="5"/>
      <c r="PV35" s="11"/>
      <c r="PW35" s="11"/>
      <c r="PX35" s="5"/>
      <c r="PY35" s="8"/>
      <c r="PZ35" s="8"/>
      <c r="QA35" s="5"/>
      <c r="QB35" s="21"/>
      <c r="QC35" s="22"/>
      <c r="RF35" s="16" t="s">
        <v>1047</v>
      </c>
      <c r="RG35" s="34" t="s">
        <v>694</v>
      </c>
      <c r="RH35" s="34"/>
      <c r="RI35" s="32" t="s">
        <v>1612</v>
      </c>
      <c r="RJ35" s="34"/>
      <c r="RK35" s="30" t="s">
        <v>853</v>
      </c>
    </row>
    <row r="36" spans="15:479" ht="15" thickBot="1" x14ac:dyDescent="0.25">
      <c r="O36" s="16" t="s">
        <v>1077</v>
      </c>
      <c r="P36" s="32" t="s">
        <v>317</v>
      </c>
      <c r="Q36" s="32" t="s">
        <v>324</v>
      </c>
      <c r="R36" s="32" t="s">
        <v>1458</v>
      </c>
      <c r="S36" s="32"/>
      <c r="T36" s="30" t="s">
        <v>850</v>
      </c>
      <c r="U36" s="30" t="s">
        <v>26</v>
      </c>
      <c r="V36" s="30" t="s">
        <v>33</v>
      </c>
      <c r="W36" s="30" t="s">
        <v>28</v>
      </c>
      <c r="X36" s="51" t="s">
        <v>34</v>
      </c>
      <c r="Y36" s="17">
        <v>60.74</v>
      </c>
      <c r="Z36" s="33">
        <f t="shared" si="0"/>
        <v>2.7679919799856414E-2</v>
      </c>
      <c r="AA36" s="33">
        <f t="shared" si="1"/>
        <v>2.6296854068087055E-2</v>
      </c>
      <c r="AB36" s="4"/>
      <c r="AC36" s="1">
        <v>1</v>
      </c>
      <c r="AD36" s="18">
        <v>93781.301959613207</v>
      </c>
      <c r="AE36" s="11">
        <v>5696276.2810269063</v>
      </c>
      <c r="AF36" s="5"/>
      <c r="AG36" s="11">
        <v>1</v>
      </c>
      <c r="AH36" s="11">
        <v>60.74</v>
      </c>
      <c r="AI36" s="5">
        <v>145.82769733213783</v>
      </c>
      <c r="AJ36" s="8">
        <v>2.7712625000000001E-2</v>
      </c>
      <c r="AK36" s="8">
        <v>1.1815496713887264E-3</v>
      </c>
      <c r="AL36" s="5"/>
      <c r="AM36" s="21">
        <v>2194.3705198277012</v>
      </c>
      <c r="AN36" s="22">
        <v>2247.38</v>
      </c>
      <c r="DF36" s="1"/>
      <c r="DG36" s="26"/>
      <c r="DH36" s="46"/>
      <c r="DI36" s="26"/>
      <c r="DJ36" s="46"/>
      <c r="DK36" s="46"/>
      <c r="DL36" s="26"/>
      <c r="DM36" s="47"/>
      <c r="DN36" s="47"/>
      <c r="DO36" s="26"/>
      <c r="DP36" s="21"/>
      <c r="DQ36" s="22"/>
      <c r="ET36" s="35" t="s">
        <v>81</v>
      </c>
      <c r="EU36" s="36"/>
      <c r="EV36" s="36"/>
      <c r="EW36" s="36"/>
      <c r="EX36" s="36"/>
      <c r="EY36" s="36"/>
      <c r="EZ36" s="36"/>
      <c r="FA36" s="36"/>
      <c r="FB36" s="36"/>
      <c r="FC36" s="36"/>
      <c r="FD36" s="25" t="s">
        <v>81</v>
      </c>
      <c r="FE36" s="37">
        <f>SUM(FE6:FE35)</f>
        <v>1.0000000000000002</v>
      </c>
      <c r="FF36" s="37">
        <f>SUM(FF6:FF35)</f>
        <v>1</v>
      </c>
      <c r="FJ36" s="56">
        <v>204921365.82467148</v>
      </c>
      <c r="FU36" s="16" t="s">
        <v>34</v>
      </c>
      <c r="FV36" s="32" t="s">
        <v>34</v>
      </c>
      <c r="FW36" s="32"/>
      <c r="FX36" s="32"/>
      <c r="FY36" s="32"/>
      <c r="FZ36" s="30"/>
      <c r="GA36" s="30"/>
      <c r="GB36" s="30"/>
      <c r="GC36" s="30" t="s">
        <v>80</v>
      </c>
      <c r="GD36" s="30" t="s">
        <v>34</v>
      </c>
      <c r="GE36" s="17">
        <v>1</v>
      </c>
      <c r="GF36" s="33">
        <f>GK36/$GK$37</f>
        <v>4.9523439587218481E-3</v>
      </c>
      <c r="GG36" s="33">
        <f>GG43</f>
        <v>5.475E-2</v>
      </c>
      <c r="GI36" s="1">
        <v>1</v>
      </c>
      <c r="GJ36" s="18">
        <v>1025120.95167445</v>
      </c>
      <c r="GK36" s="11">
        <v>1025120.95167445</v>
      </c>
      <c r="GL36" s="5"/>
      <c r="GM36" s="11">
        <v>1</v>
      </c>
      <c r="GN36" s="11">
        <v>1</v>
      </c>
      <c r="GO36" s="5">
        <v>1584.7500667909915</v>
      </c>
      <c r="GP36" s="8">
        <v>4.9531250000000001E-3</v>
      </c>
      <c r="GQ36" s="8">
        <v>1.577114361728249E-4</v>
      </c>
      <c r="GR36" s="5"/>
      <c r="GS36" s="21">
        <v>201.92458527418</v>
      </c>
      <c r="GT36" s="22">
        <v>37</v>
      </c>
      <c r="GV36" s="16" t="s">
        <v>884</v>
      </c>
      <c r="GW36" s="32" t="s">
        <v>29</v>
      </c>
      <c r="GX36" s="32">
        <v>700</v>
      </c>
      <c r="GY36" s="32" t="s">
        <v>1441</v>
      </c>
      <c r="GZ36" s="32"/>
      <c r="HA36" s="30" t="s">
        <v>862</v>
      </c>
      <c r="HB36" s="30" t="s">
        <v>26</v>
      </c>
      <c r="HC36" s="30" t="s">
        <v>27</v>
      </c>
      <c r="HD36" s="30" t="s">
        <v>28</v>
      </c>
      <c r="HE36" s="30" t="s">
        <v>82</v>
      </c>
      <c r="HF36" s="17">
        <v>520</v>
      </c>
      <c r="HG36" s="33">
        <f t="shared" si="10"/>
        <v>2.2054924867397588E-2</v>
      </c>
      <c r="HH36" s="33">
        <f t="shared" si="29"/>
        <v>2.0950516353670092E-2</v>
      </c>
      <c r="HJ36" s="1">
        <v>0.12784999999999999</v>
      </c>
      <c r="HK36" s="18">
        <v>54104.4312153379</v>
      </c>
      <c r="HL36" s="11">
        <v>3596970.7960580941</v>
      </c>
      <c r="HM36" s="5"/>
      <c r="HN36" s="11">
        <v>100</v>
      </c>
      <c r="HO36" s="11">
        <v>6648.1999999999989</v>
      </c>
      <c r="HP36" s="5">
        <v>1.061576961819324</v>
      </c>
      <c r="HQ36" s="8">
        <v>2.0775624999999995E-2</v>
      </c>
      <c r="HR36" s="8">
        <v>-5.8005179119367645E-2</v>
      </c>
      <c r="HS36" s="5"/>
      <c r="HT36" s="21">
        <v>301438.3426818024</v>
      </c>
      <c r="HU36" s="22">
        <v>245983.39999999994</v>
      </c>
      <c r="JI36" s="62" t="s">
        <v>86</v>
      </c>
      <c r="JJ36" s="63">
        <v>100000</v>
      </c>
      <c r="JY36" s="16" t="s">
        <v>984</v>
      </c>
      <c r="JZ36" s="32" t="s">
        <v>183</v>
      </c>
      <c r="KA36" s="32" t="s">
        <v>340</v>
      </c>
      <c r="KB36" s="32" t="s">
        <v>1448</v>
      </c>
      <c r="KC36" s="32"/>
      <c r="KD36" s="30" t="s">
        <v>850</v>
      </c>
      <c r="KE36" s="30" t="s">
        <v>26</v>
      </c>
      <c r="KF36" s="30" t="s">
        <v>33</v>
      </c>
      <c r="KG36" s="30" t="s">
        <v>28</v>
      </c>
      <c r="KH36" s="30" t="s">
        <v>34</v>
      </c>
      <c r="KI36" s="17">
        <v>210.56</v>
      </c>
      <c r="KJ36" s="33">
        <f t="shared" si="31"/>
        <v>2.808884430841627E-2</v>
      </c>
      <c r="KK36" s="33">
        <f t="shared" si="32"/>
        <v>2.6688733795157089E-2</v>
      </c>
      <c r="KM36" s="1">
        <v>1</v>
      </c>
      <c r="KN36" s="18">
        <v>13246.8131913078</v>
      </c>
      <c r="KO36" s="11">
        <v>2789248.9855617704</v>
      </c>
      <c r="KP36" s="5"/>
      <c r="KQ36" s="11">
        <v>1</v>
      </c>
      <c r="KR36" s="11">
        <v>210.56</v>
      </c>
      <c r="KS36" s="5">
        <v>42.688213234675182</v>
      </c>
      <c r="KT36" s="8">
        <v>2.8294E-2</v>
      </c>
      <c r="KU36" s="8">
        <v>7.3038139031678107E-3</v>
      </c>
      <c r="KV36" s="5"/>
      <c r="KW36" s="21">
        <v>7496.2144290468314</v>
      </c>
      <c r="KX36" s="22">
        <v>7790.7199999999993</v>
      </c>
      <c r="LN36" s="1"/>
      <c r="LO36" s="26"/>
      <c r="LP36" s="11"/>
      <c r="LQ36" s="5"/>
      <c r="LR36" s="11"/>
      <c r="LS36" s="11"/>
      <c r="LT36" s="5"/>
      <c r="LU36" s="8"/>
      <c r="LV36" s="8"/>
      <c r="LW36" s="5"/>
      <c r="LX36" s="21"/>
      <c r="LY36" s="22"/>
      <c r="MA36" s="16" t="s">
        <v>887</v>
      </c>
      <c r="MB36" s="44" t="s">
        <v>74</v>
      </c>
      <c r="MC36" s="44" t="s">
        <v>75</v>
      </c>
      <c r="MD36" s="32" t="s">
        <v>1436</v>
      </c>
      <c r="ME36" s="44"/>
      <c r="MF36" s="30" t="s">
        <v>850</v>
      </c>
      <c r="MG36" s="30" t="s">
        <v>26</v>
      </c>
      <c r="MH36" s="30" t="s">
        <v>33</v>
      </c>
      <c r="MI36" s="30" t="s">
        <v>28</v>
      </c>
      <c r="MJ36" s="51" t="s">
        <v>34</v>
      </c>
      <c r="MK36" s="17">
        <v>51.18</v>
      </c>
      <c r="ML36" s="33">
        <f t="shared" si="16"/>
        <v>3.0895369601003791E-2</v>
      </c>
      <c r="MM36" s="33">
        <f t="shared" si="17"/>
        <v>2.933199225528995E-2</v>
      </c>
      <c r="MO36" s="1">
        <v>1</v>
      </c>
      <c r="MP36" s="18">
        <v>108450.295020199</v>
      </c>
      <c r="MQ36" s="11">
        <v>5550486.0991337849</v>
      </c>
      <c r="MR36" s="5"/>
      <c r="MS36" s="11">
        <v>1</v>
      </c>
      <c r="MT36" s="11">
        <v>51.18</v>
      </c>
      <c r="MU36" s="5">
        <v>193.17151763034803</v>
      </c>
      <c r="MV36" s="8">
        <v>3.0867937499999998E-2</v>
      </c>
      <c r="MW36" s="8">
        <v>-8.8790331231070052E-4</v>
      </c>
      <c r="MX36" s="5"/>
      <c r="MY36" s="21">
        <v>1656.5589167878788</v>
      </c>
      <c r="MZ36" s="22">
        <v>1893.6599999999999</v>
      </c>
      <c r="NM36" s="64" t="s">
        <v>85</v>
      </c>
      <c r="NN36" s="65">
        <v>5000</v>
      </c>
      <c r="ON36" s="62" t="s">
        <v>86</v>
      </c>
      <c r="OO36" s="63">
        <v>100000</v>
      </c>
      <c r="PO36" s="67" t="s">
        <v>89</v>
      </c>
      <c r="PP36" s="68">
        <f>PP35/PP32</f>
        <v>5.475E-2</v>
      </c>
      <c r="PR36" s="1"/>
      <c r="PS36" s="26"/>
      <c r="PT36" s="11"/>
      <c r="PU36" s="5"/>
      <c r="PV36" s="11"/>
      <c r="PW36" s="11"/>
      <c r="PX36" s="5"/>
      <c r="PY36" s="8"/>
      <c r="PZ36" s="8"/>
      <c r="QA36" s="5"/>
      <c r="QB36" s="21"/>
      <c r="QC36" s="22"/>
      <c r="RF36" s="16" t="s">
        <v>1049</v>
      </c>
      <c r="RG36" s="34" t="s">
        <v>696</v>
      </c>
      <c r="RH36" s="34"/>
      <c r="RI36" s="32" t="s">
        <v>1614</v>
      </c>
      <c r="RJ36" s="34"/>
      <c r="RK36" s="30" t="s">
        <v>862</v>
      </c>
    </row>
    <row r="37" spans="15:479" ht="15" thickBot="1" x14ac:dyDescent="0.25">
      <c r="O37" s="16" t="s">
        <v>1400</v>
      </c>
      <c r="P37" s="32" t="s">
        <v>1391</v>
      </c>
      <c r="Q37" s="32" t="s">
        <v>1395</v>
      </c>
      <c r="R37" s="32" t="s">
        <v>1459</v>
      </c>
      <c r="S37" s="32"/>
      <c r="T37" s="30" t="s">
        <v>853</v>
      </c>
      <c r="U37" s="30" t="s">
        <v>26</v>
      </c>
      <c r="V37" s="30" t="s">
        <v>33</v>
      </c>
      <c r="W37" s="30" t="s">
        <v>28</v>
      </c>
      <c r="X37" s="30" t="s">
        <v>34</v>
      </c>
      <c r="Y37" s="17">
        <v>51.96</v>
      </c>
      <c r="Z37" s="33">
        <f t="shared" si="0"/>
        <v>2.456399788274443E-2</v>
      </c>
      <c r="AA37" s="33">
        <f t="shared" si="1"/>
        <v>2.3336623527886107E-2</v>
      </c>
      <c r="AB37" s="4"/>
      <c r="AC37" s="1">
        <v>1</v>
      </c>
      <c r="AD37" s="18">
        <v>97287.294641271699</v>
      </c>
      <c r="AE37" s="11">
        <v>5055047.8295604773</v>
      </c>
      <c r="AF37" s="5"/>
      <c r="AG37" s="11">
        <v>1</v>
      </c>
      <c r="AH37" s="11">
        <v>51.96</v>
      </c>
      <c r="AI37" s="5">
        <v>151.2794326881874</v>
      </c>
      <c r="AJ37" s="8">
        <v>2.4518624999999999E-2</v>
      </c>
      <c r="AK37" s="8">
        <v>-1.847129402999359E-3</v>
      </c>
      <c r="AL37" s="5"/>
      <c r="AM37" s="21">
        <v>2115.2908515962927</v>
      </c>
      <c r="AN37" s="22">
        <v>1922.52</v>
      </c>
      <c r="DF37" s="1"/>
      <c r="DG37" s="26"/>
      <c r="DH37" s="46"/>
      <c r="DI37" s="26"/>
      <c r="DJ37" s="46"/>
      <c r="DK37" s="46"/>
      <c r="DL37" s="26"/>
      <c r="DM37" s="47"/>
      <c r="DN37" s="47"/>
      <c r="DO37" s="26"/>
      <c r="DP37" s="21"/>
      <c r="DQ37" s="22"/>
      <c r="ET37" s="57"/>
      <c r="EU37" s="32"/>
      <c r="EV37" s="32"/>
      <c r="EW37" s="32"/>
      <c r="EX37" s="32"/>
      <c r="EY37" s="30"/>
      <c r="EZ37" s="30"/>
      <c r="FA37" s="30"/>
      <c r="FB37" s="30"/>
      <c r="FC37" s="30"/>
      <c r="FD37" s="17"/>
      <c r="FE37" s="54"/>
      <c r="FF37" s="54"/>
      <c r="FU37" s="35" t="s">
        <v>81</v>
      </c>
      <c r="FV37" s="36"/>
      <c r="FW37" s="36"/>
      <c r="FX37" s="36"/>
      <c r="FY37" s="36"/>
      <c r="FZ37" s="36"/>
      <c r="GA37" s="36"/>
      <c r="GB37" s="36"/>
      <c r="GC37" s="36"/>
      <c r="GD37" s="36"/>
      <c r="GE37" s="25" t="s">
        <v>81</v>
      </c>
      <c r="GF37" s="37">
        <f>SUM(GF6:GF36)</f>
        <v>1</v>
      </c>
      <c r="GG37" s="37">
        <f>SUM(GG6:GG36)</f>
        <v>1.0000000000000002</v>
      </c>
      <c r="GI37" s="1"/>
      <c r="GJ37" s="26"/>
      <c r="GK37" s="46">
        <v>206997123.02273604</v>
      </c>
      <c r="GL37" s="26"/>
      <c r="GM37" s="46"/>
      <c r="GN37" s="46"/>
      <c r="GO37" s="26"/>
      <c r="GP37" s="47"/>
      <c r="GQ37" s="47"/>
      <c r="GR37" s="26"/>
      <c r="GS37" s="21"/>
      <c r="GT37" s="22"/>
      <c r="GV37" s="16" t="s">
        <v>1014</v>
      </c>
      <c r="GW37" s="32" t="s">
        <v>733</v>
      </c>
      <c r="GX37" s="32" t="s">
        <v>736</v>
      </c>
      <c r="GY37" s="32" t="s">
        <v>1577</v>
      </c>
      <c r="GZ37" s="32"/>
      <c r="HA37" s="30" t="s">
        <v>850</v>
      </c>
      <c r="HB37" s="30" t="s">
        <v>26</v>
      </c>
      <c r="HC37" s="30" t="s">
        <v>33</v>
      </c>
      <c r="HD37" s="30" t="s">
        <v>28</v>
      </c>
      <c r="HE37" s="30" t="s">
        <v>34</v>
      </c>
      <c r="HF37" s="17">
        <v>15.97</v>
      </c>
      <c r="HG37" s="33">
        <f t="shared" si="10"/>
        <v>2.2269482775322254E-2</v>
      </c>
      <c r="HH37" s="33">
        <f t="shared" si="29"/>
        <v>2.1154330195059766E-2</v>
      </c>
      <c r="HJ37" s="1">
        <v>1</v>
      </c>
      <c r="HK37" s="18">
        <v>227424.130699075</v>
      </c>
      <c r="HL37" s="11">
        <v>3631963.3672642279</v>
      </c>
      <c r="HM37" s="5"/>
      <c r="HN37" s="11">
        <v>1</v>
      </c>
      <c r="HO37" s="11">
        <v>15.97</v>
      </c>
      <c r="HP37" s="5">
        <v>446.22632987496064</v>
      </c>
      <c r="HQ37" s="8">
        <v>2.2258187499999998E-2</v>
      </c>
      <c r="HR37" s="8">
        <v>-5.0720869614329089E-4</v>
      </c>
      <c r="HS37" s="5"/>
      <c r="HT37" s="21">
        <v>717.12487268438156</v>
      </c>
      <c r="HU37" s="22">
        <v>590.89</v>
      </c>
      <c r="JI37" s="64" t="s">
        <v>85</v>
      </c>
      <c r="JJ37" s="65">
        <v>5000</v>
      </c>
      <c r="JY37" s="16" t="s">
        <v>1067</v>
      </c>
      <c r="JZ37" s="32" t="s">
        <v>249</v>
      </c>
      <c r="KA37" s="32" t="s">
        <v>402</v>
      </c>
      <c r="KB37" s="32" t="s">
        <v>1638</v>
      </c>
      <c r="KC37" s="32"/>
      <c r="KD37" s="30" t="s">
        <v>886</v>
      </c>
      <c r="KE37" s="30" t="s">
        <v>26</v>
      </c>
      <c r="KF37" s="30" t="s">
        <v>39</v>
      </c>
      <c r="KG37" s="30" t="s">
        <v>28</v>
      </c>
      <c r="KH37" s="30" t="s">
        <v>83</v>
      </c>
      <c r="KI37" s="17">
        <v>33.19</v>
      </c>
      <c r="KJ37" s="33">
        <f t="shared" si="31"/>
        <v>3.0495517438485754E-2</v>
      </c>
      <c r="KK37" s="33">
        <f t="shared" si="32"/>
        <v>2.8975444412195052E-2</v>
      </c>
      <c r="KM37" s="1">
        <v>1.1607000000000001</v>
      </c>
      <c r="KN37" s="18">
        <v>78607.173912498896</v>
      </c>
      <c r="KO37" s="11">
        <v>3028233.9189722817</v>
      </c>
      <c r="KP37" s="5"/>
      <c r="KQ37" s="11">
        <v>1</v>
      </c>
      <c r="KR37" s="11">
        <v>38.523632999999997</v>
      </c>
      <c r="KS37" s="5">
        <v>253.31374069302973</v>
      </c>
      <c r="KT37" s="8">
        <v>3.0457747340624997E-2</v>
      </c>
      <c r="KU37" s="8">
        <v>-1.2385458924232262E-3</v>
      </c>
      <c r="KV37" s="5"/>
      <c r="KW37" s="21">
        <v>1263.2555941281603</v>
      </c>
      <c r="KX37" s="22">
        <v>1425.3744209999998</v>
      </c>
      <c r="LN37" s="1"/>
      <c r="LO37" s="26"/>
      <c r="LP37" s="11"/>
      <c r="LQ37" s="5"/>
      <c r="LR37" s="11"/>
      <c r="LS37" s="11"/>
      <c r="LT37" s="5"/>
      <c r="LU37" s="8"/>
      <c r="LV37" s="8"/>
      <c r="LW37" s="5"/>
      <c r="LX37" s="21"/>
      <c r="LY37" s="22"/>
      <c r="MA37" s="16" t="s">
        <v>940</v>
      </c>
      <c r="MB37" s="44" t="s">
        <v>256</v>
      </c>
      <c r="MC37" s="44" t="s">
        <v>379</v>
      </c>
      <c r="MD37" s="32" t="s">
        <v>1509</v>
      </c>
      <c r="ME37" s="44"/>
      <c r="MF37" s="30" t="s">
        <v>850</v>
      </c>
      <c r="MG37" s="30" t="s">
        <v>26</v>
      </c>
      <c r="MH37" s="30" t="s">
        <v>33</v>
      </c>
      <c r="MI37" s="30" t="s">
        <v>28</v>
      </c>
      <c r="MJ37" s="51" t="s">
        <v>34</v>
      </c>
      <c r="MK37" s="17">
        <v>29.69</v>
      </c>
      <c r="ML37" s="33">
        <f t="shared" si="16"/>
        <v>2.9746571360107759E-2</v>
      </c>
      <c r="MM37" s="33">
        <f t="shared" si="17"/>
        <v>2.8241325869354936E-2</v>
      </c>
      <c r="MO37" s="1">
        <v>1</v>
      </c>
      <c r="MP37" s="18">
        <v>179996.61675977401</v>
      </c>
      <c r="MQ37" s="11">
        <v>5344099.5515976911</v>
      </c>
      <c r="MR37" s="5"/>
      <c r="MS37" s="11">
        <v>1</v>
      </c>
      <c r="MT37" s="11">
        <v>29.69</v>
      </c>
      <c r="MU37" s="5">
        <v>320.60972836761476</v>
      </c>
      <c r="MV37" s="8">
        <v>2.9782781249999998E-2</v>
      </c>
      <c r="MW37" s="8">
        <v>1.2172794455498348E-3</v>
      </c>
      <c r="MX37" s="5"/>
      <c r="MY37" s="21">
        <v>998.0982225002366</v>
      </c>
      <c r="MZ37" s="22">
        <v>1098.53</v>
      </c>
      <c r="NM37" s="64" t="s">
        <v>88</v>
      </c>
      <c r="NN37" s="66">
        <f>(NN35-NN36)*0.5%</f>
        <v>475</v>
      </c>
      <c r="ON37" s="64" t="s">
        <v>85</v>
      </c>
      <c r="OO37" s="65">
        <v>5000</v>
      </c>
      <c r="RF37" s="16" t="s">
        <v>1345</v>
      </c>
      <c r="RG37" s="34" t="s">
        <v>1318</v>
      </c>
      <c r="RH37" s="34"/>
      <c r="RI37" s="32" t="s">
        <v>1731</v>
      </c>
      <c r="RJ37" s="34"/>
      <c r="RK37" s="30" t="s">
        <v>850</v>
      </c>
    </row>
    <row r="38" spans="15:479" ht="15" thickBot="1" x14ac:dyDescent="0.25">
      <c r="O38" s="16" t="s">
        <v>865</v>
      </c>
      <c r="P38" s="32" t="s">
        <v>257</v>
      </c>
      <c r="Q38" s="32" t="s">
        <v>343</v>
      </c>
      <c r="R38" s="32" t="s">
        <v>1460</v>
      </c>
      <c r="S38" s="32"/>
      <c r="T38" s="30" t="s">
        <v>855</v>
      </c>
      <c r="U38" s="30" t="s">
        <v>26</v>
      </c>
      <c r="V38" s="30" t="s">
        <v>39</v>
      </c>
      <c r="W38" s="30" t="s">
        <v>28</v>
      </c>
      <c r="X38" s="30" t="s">
        <v>83</v>
      </c>
      <c r="Y38" s="17">
        <v>32.97</v>
      </c>
      <c r="Z38" s="33">
        <f t="shared" si="0"/>
        <v>2.784568284342254E-2</v>
      </c>
      <c r="AA38" s="33">
        <f t="shared" si="1"/>
        <v>2.6454334530388215E-2</v>
      </c>
      <c r="AB38" s="4"/>
      <c r="AC38" s="1">
        <v>1.1607000000000001</v>
      </c>
      <c r="AD38" s="18">
        <v>149742.52725037199</v>
      </c>
      <c r="AE38" s="11">
        <v>5730388.8109823382</v>
      </c>
      <c r="AF38" s="5"/>
      <c r="AG38" s="11">
        <v>1</v>
      </c>
      <c r="AH38" s="11">
        <v>38.268279</v>
      </c>
      <c r="AI38" s="5">
        <v>232.84607363438565</v>
      </c>
      <c r="AJ38" s="8">
        <v>2.7864090646875003E-2</v>
      </c>
      <c r="AK38" s="8">
        <v>6.6106489670114676E-4</v>
      </c>
      <c r="AL38" s="5"/>
      <c r="AM38" s="21">
        <v>1374.298458227229</v>
      </c>
      <c r="AN38" s="22">
        <v>1415.9263229999999</v>
      </c>
      <c r="DF38" s="1"/>
      <c r="DG38" s="26"/>
      <c r="DH38" s="46"/>
      <c r="DI38" s="26"/>
      <c r="DJ38" s="46"/>
      <c r="DK38" s="46"/>
      <c r="DL38" s="26"/>
      <c r="DM38" s="47"/>
      <c r="DN38" s="47"/>
      <c r="DO38" s="26"/>
      <c r="DP38" s="21"/>
      <c r="DQ38" s="22"/>
      <c r="FE38" s="62" t="s">
        <v>86</v>
      </c>
      <c r="FF38" s="63">
        <v>100000</v>
      </c>
      <c r="GI38" s="1"/>
      <c r="GJ38" s="26"/>
      <c r="GK38" s="46"/>
      <c r="GL38" s="26"/>
      <c r="GM38" s="46"/>
      <c r="GN38" s="46"/>
      <c r="GO38" s="26"/>
      <c r="GP38" s="47"/>
      <c r="GQ38" s="47"/>
      <c r="GR38" s="26"/>
      <c r="GS38" s="21"/>
      <c r="GT38" s="22"/>
      <c r="GV38" s="16" t="s">
        <v>1015</v>
      </c>
      <c r="GW38" s="45" t="s">
        <v>204</v>
      </c>
      <c r="GX38" s="32">
        <v>1810</v>
      </c>
      <c r="GY38" s="32" t="s">
        <v>1578</v>
      </c>
      <c r="GZ38" s="45"/>
      <c r="HA38" s="30" t="s">
        <v>862</v>
      </c>
      <c r="HB38" s="30" t="s">
        <v>26</v>
      </c>
      <c r="HC38" s="30" t="s">
        <v>27</v>
      </c>
      <c r="HD38" s="30" t="s">
        <v>28</v>
      </c>
      <c r="HE38" s="30" t="s">
        <v>82</v>
      </c>
      <c r="HF38" s="17">
        <v>33.840000000000003</v>
      </c>
      <c r="HG38" s="33">
        <f t="shared" si="10"/>
        <v>1.7400677798068569E-2</v>
      </c>
      <c r="HH38" s="33">
        <f t="shared" si="29"/>
        <v>1.6529332426440307E-2</v>
      </c>
      <c r="HJ38" s="1">
        <v>0.12784999999999999</v>
      </c>
      <c r="HK38" s="18">
        <v>655943.46224132599</v>
      </c>
      <c r="HL38" s="11">
        <v>2837902.6565532116</v>
      </c>
      <c r="HM38" s="5"/>
      <c r="HN38" s="11">
        <v>200</v>
      </c>
      <c r="HO38" s="11">
        <v>865.28879999999992</v>
      </c>
      <c r="HP38" s="5">
        <v>6.43509646187717</v>
      </c>
      <c r="HQ38" s="8">
        <v>1.6224164999999999E-2</v>
      </c>
      <c r="HR38" s="8">
        <v>-6.7613044257342714E-2</v>
      </c>
      <c r="HS38" s="5"/>
      <c r="HT38" s="21">
        <v>49727.304306275058</v>
      </c>
      <c r="HU38" s="22">
        <v>32015.685599999997</v>
      </c>
      <c r="JI38" s="64" t="s">
        <v>88</v>
      </c>
      <c r="JJ38" s="66">
        <f>(JJ36-JJ37)*0.5%</f>
        <v>475</v>
      </c>
      <c r="JY38" s="16" t="s">
        <v>1068</v>
      </c>
      <c r="JZ38" s="32" t="s">
        <v>250</v>
      </c>
      <c r="KA38" s="32" t="s">
        <v>403</v>
      </c>
      <c r="KB38" s="32" t="s">
        <v>1639</v>
      </c>
      <c r="KC38" s="32"/>
      <c r="KD38" s="30" t="s">
        <v>1069</v>
      </c>
      <c r="KE38" s="30" t="s">
        <v>26</v>
      </c>
      <c r="KF38" s="30" t="s">
        <v>407</v>
      </c>
      <c r="KG38" s="30" t="s">
        <v>28</v>
      </c>
      <c r="KH38" s="30" t="s">
        <v>83</v>
      </c>
      <c r="KI38" s="17">
        <v>61.85</v>
      </c>
      <c r="KJ38" s="33">
        <f t="shared" si="31"/>
        <v>3.0046116133231247E-2</v>
      </c>
      <c r="KK38" s="33">
        <f t="shared" si="32"/>
        <v>2.8548443868084382E-2</v>
      </c>
      <c r="KM38" s="1">
        <v>1.1607000000000001</v>
      </c>
      <c r="KN38" s="18">
        <v>41560.624623044001</v>
      </c>
      <c r="KO38" s="11">
        <v>2983607.94144797</v>
      </c>
      <c r="KP38" s="5"/>
      <c r="KQ38" s="11">
        <v>1</v>
      </c>
      <c r="KR38" s="11">
        <v>71.78929500000001</v>
      </c>
      <c r="KS38" s="5">
        <v>133.93023517829502</v>
      </c>
      <c r="KT38" s="8">
        <v>3.0061767281250002E-2</v>
      </c>
      <c r="KU38" s="8">
        <v>5.209041977123352E-4</v>
      </c>
      <c r="KV38" s="5"/>
      <c r="KW38" s="21">
        <v>2389.3036518154327</v>
      </c>
      <c r="KX38" s="22">
        <v>2656.2039150000001</v>
      </c>
      <c r="LN38" s="1"/>
      <c r="LO38" s="26"/>
      <c r="LP38" s="11"/>
      <c r="LQ38" s="5"/>
      <c r="LR38" s="11"/>
      <c r="LS38" s="11"/>
      <c r="LT38" s="5"/>
      <c r="LU38" s="8"/>
      <c r="LV38" s="8"/>
      <c r="LW38" s="5"/>
      <c r="LX38" s="21"/>
      <c r="LY38" s="22"/>
      <c r="MA38" s="16" t="s">
        <v>958</v>
      </c>
      <c r="MB38" s="44" t="s">
        <v>159</v>
      </c>
      <c r="MC38" s="44" t="s">
        <v>160</v>
      </c>
      <c r="MD38" s="32" t="s">
        <v>1527</v>
      </c>
      <c r="ME38" s="44"/>
      <c r="MF38" s="30" t="s">
        <v>777</v>
      </c>
      <c r="MG38" s="30" t="s">
        <v>26</v>
      </c>
      <c r="MH38" s="30" t="s">
        <v>129</v>
      </c>
      <c r="MI38" s="30" t="s">
        <v>28</v>
      </c>
      <c r="MJ38" s="43" t="s">
        <v>827</v>
      </c>
      <c r="MK38" s="17">
        <v>1.0979999999999999</v>
      </c>
      <c r="ML38" s="33">
        <f t="shared" si="16"/>
        <v>2.886996771290962E-2</v>
      </c>
      <c r="MM38" s="33">
        <f t="shared" si="17"/>
        <v>2.7409080399479112E-2</v>
      </c>
      <c r="MO38" s="1">
        <v>1.3359000000000001</v>
      </c>
      <c r="MP38" s="18">
        <v>3535962.3531663101</v>
      </c>
      <c r="MQ38" s="11">
        <v>5186613.9341391716</v>
      </c>
      <c r="MR38" s="5"/>
      <c r="MS38" s="11">
        <v>1</v>
      </c>
      <c r="MT38" s="11">
        <v>1.4668181999999998</v>
      </c>
      <c r="MU38" s="5">
        <v>6298.2513225777257</v>
      </c>
      <c r="MV38" s="8">
        <v>2.8868815698749994E-2</v>
      </c>
      <c r="MW38" s="8">
        <v>-3.9903548596953442E-5</v>
      </c>
      <c r="MX38" s="5"/>
      <c r="MY38" s="21">
        <v>50.807753392259286</v>
      </c>
      <c r="MZ38" s="22">
        <v>54.272273399999989</v>
      </c>
      <c r="NM38" s="64" t="s">
        <v>87</v>
      </c>
      <c r="NN38" s="66">
        <f>NN36+NN37</f>
        <v>5475</v>
      </c>
      <c r="ON38" s="64" t="s">
        <v>88</v>
      </c>
      <c r="OO38" s="66">
        <f>(OO36-OO37)*0.5%</f>
        <v>475</v>
      </c>
      <c r="RF38" s="16" t="s">
        <v>1346</v>
      </c>
      <c r="RG38" s="34" t="s">
        <v>1319</v>
      </c>
      <c r="RH38" s="34"/>
      <c r="RI38" s="32" t="s">
        <v>1732</v>
      </c>
      <c r="RJ38" s="34"/>
      <c r="RK38" s="30" t="s">
        <v>799</v>
      </c>
    </row>
    <row r="39" spans="15:479" ht="15" thickBot="1" x14ac:dyDescent="0.25">
      <c r="O39" s="16" t="s">
        <v>851</v>
      </c>
      <c r="P39" s="32" t="s">
        <v>37</v>
      </c>
      <c r="Q39" s="32" t="s">
        <v>38</v>
      </c>
      <c r="R39" s="32" t="s">
        <v>1461</v>
      </c>
      <c r="S39" s="32"/>
      <c r="T39" s="30" t="s">
        <v>850</v>
      </c>
      <c r="U39" s="30" t="s">
        <v>26</v>
      </c>
      <c r="V39" s="30" t="s">
        <v>33</v>
      </c>
      <c r="W39" s="30" t="s">
        <v>28</v>
      </c>
      <c r="X39" s="30" t="s">
        <v>34</v>
      </c>
      <c r="Y39" s="17">
        <v>214</v>
      </c>
      <c r="Z39" s="33">
        <f t="shared" si="0"/>
        <v>2.3301935175917849E-2</v>
      </c>
      <c r="AA39" s="33">
        <f t="shared" si="1"/>
        <v>2.2137621541385925E-2</v>
      </c>
      <c r="AB39" s="4"/>
      <c r="AC39" s="1">
        <v>1</v>
      </c>
      <c r="AD39" s="18">
        <v>22408.069058685302</v>
      </c>
      <c r="AE39" s="11">
        <v>4795326.7785586547</v>
      </c>
      <c r="AF39" s="5"/>
      <c r="AG39" s="11">
        <v>1</v>
      </c>
      <c r="AH39" s="11">
        <v>214</v>
      </c>
      <c r="AI39" s="5">
        <v>34.844015216325751</v>
      </c>
      <c r="AJ39" s="8">
        <v>2.340625E-2</v>
      </c>
      <c r="AK39" s="8">
        <v>4.4766592686240614E-3</v>
      </c>
      <c r="AL39" s="5"/>
      <c r="AM39" s="21">
        <v>9183.7865990274204</v>
      </c>
      <c r="AN39" s="22">
        <v>7918</v>
      </c>
      <c r="DF39" s="1"/>
      <c r="DG39" s="26"/>
      <c r="DH39" s="46"/>
      <c r="DI39" s="26"/>
      <c r="DJ39" s="46"/>
      <c r="DK39" s="46"/>
      <c r="DL39" s="26"/>
      <c r="DM39" s="47"/>
      <c r="DN39" s="47"/>
      <c r="DO39" s="26"/>
      <c r="DP39" s="21"/>
      <c r="DQ39" s="22"/>
      <c r="FE39" s="64" t="s">
        <v>85</v>
      </c>
      <c r="FF39" s="65">
        <v>5000</v>
      </c>
      <c r="GF39" s="62" t="s">
        <v>86</v>
      </c>
      <c r="GG39" s="63">
        <v>100000</v>
      </c>
      <c r="GI39" s="1"/>
      <c r="GJ39" s="26"/>
      <c r="GK39" s="46"/>
      <c r="GL39" s="26"/>
      <c r="GM39" s="46"/>
      <c r="GN39" s="46"/>
      <c r="GO39" s="26"/>
      <c r="GP39" s="47"/>
      <c r="GQ39" s="47"/>
      <c r="GR39" s="26"/>
      <c r="GS39" s="21"/>
      <c r="GT39" s="22"/>
      <c r="GV39" s="16" t="s">
        <v>1016</v>
      </c>
      <c r="GW39" t="s">
        <v>734</v>
      </c>
      <c r="GX39" s="32">
        <v>1585</v>
      </c>
      <c r="GY39" s="32" t="s">
        <v>1579</v>
      </c>
      <c r="GZ39" s="45"/>
      <c r="HA39" s="30" t="s">
        <v>862</v>
      </c>
      <c r="HB39" s="30" t="s">
        <v>26</v>
      </c>
      <c r="HC39" s="30" t="s">
        <v>27</v>
      </c>
      <c r="HD39" s="30" t="s">
        <v>28</v>
      </c>
      <c r="HE39" s="30" t="s">
        <v>82</v>
      </c>
      <c r="HF39" s="17">
        <v>11.2</v>
      </c>
      <c r="HG39" s="33">
        <f t="shared" si="10"/>
        <v>2.2300985116494604E-2</v>
      </c>
      <c r="HH39" s="33">
        <f t="shared" si="29"/>
        <v>2.1184255044855372E-2</v>
      </c>
      <c r="HJ39" s="1">
        <v>0.12784999999999999</v>
      </c>
      <c r="HK39" s="18">
        <v>2540016.9921251801</v>
      </c>
      <c r="HL39" s="11">
        <v>3637101.1313638873</v>
      </c>
      <c r="HM39" s="5"/>
      <c r="HN39" s="11">
        <v>2000</v>
      </c>
      <c r="HO39" s="11">
        <v>2863.8399999999997</v>
      </c>
      <c r="HP39" s="5">
        <v>2.4918693911944363</v>
      </c>
      <c r="HQ39" s="8">
        <v>1.7898999999999998E-2</v>
      </c>
      <c r="HR39" s="8">
        <v>-0.19738971590267285</v>
      </c>
      <c r="HS39" s="5"/>
      <c r="HT39" s="21">
        <v>128417.64545557233</v>
      </c>
      <c r="HU39" s="22">
        <v>105962.07999999999</v>
      </c>
      <c r="JI39" s="64" t="s">
        <v>87</v>
      </c>
      <c r="JJ39" s="66">
        <f>JJ37+JJ38</f>
        <v>5475</v>
      </c>
      <c r="JY39" s="16" t="s">
        <v>1070</v>
      </c>
      <c r="JZ39" s="34" t="s">
        <v>251</v>
      </c>
      <c r="KA39" s="32" t="s">
        <v>404</v>
      </c>
      <c r="KB39" s="32" t="s">
        <v>1640</v>
      </c>
      <c r="KC39" s="34"/>
      <c r="KD39" s="30" t="s">
        <v>850</v>
      </c>
      <c r="KE39" s="30" t="s">
        <v>26</v>
      </c>
      <c r="KF39" s="30" t="s">
        <v>33</v>
      </c>
      <c r="KG39" s="30" t="s">
        <v>28</v>
      </c>
      <c r="KH39" s="30" t="s">
        <v>34</v>
      </c>
      <c r="KI39" s="17">
        <v>170.73</v>
      </c>
      <c r="KJ39" s="33">
        <f t="shared" si="31"/>
        <v>3.0013027474407882E-2</v>
      </c>
      <c r="KK39" s="33">
        <f t="shared" si="32"/>
        <v>2.8517004539457005E-2</v>
      </c>
      <c r="KM39" s="1">
        <v>1</v>
      </c>
      <c r="KN39" s="18">
        <v>17456.3474850368</v>
      </c>
      <c r="KO39" s="11">
        <v>2980322.2061203327</v>
      </c>
      <c r="KP39" s="5"/>
      <c r="KQ39" s="11">
        <v>1</v>
      </c>
      <c r="KR39" s="11">
        <v>170.73</v>
      </c>
      <c r="KS39" s="5">
        <v>56.253551173259076</v>
      </c>
      <c r="KT39" s="8">
        <v>2.9877749999999998E-2</v>
      </c>
      <c r="KU39" s="8">
        <v>-4.5072918592846678E-3</v>
      </c>
      <c r="KV39" s="5"/>
      <c r="KW39" s="21">
        <v>5688.5297608040883</v>
      </c>
      <c r="KX39" s="22">
        <v>6317.0099999999993</v>
      </c>
      <c r="LN39" s="1"/>
      <c r="LO39" s="26"/>
      <c r="LP39" s="11"/>
      <c r="LQ39" s="5"/>
      <c r="LR39" s="11"/>
      <c r="LS39" s="11"/>
      <c r="LT39" s="5"/>
      <c r="LU39" s="8"/>
      <c r="LV39" s="8"/>
      <c r="LW39" s="5"/>
      <c r="LX39" s="21"/>
      <c r="LY39" s="22"/>
      <c r="MA39" s="16" t="s">
        <v>1088</v>
      </c>
      <c r="MB39" s="44" t="s">
        <v>78</v>
      </c>
      <c r="MC39" s="44" t="s">
        <v>79</v>
      </c>
      <c r="MD39" s="32" t="s">
        <v>1661</v>
      </c>
      <c r="ME39" s="44"/>
      <c r="MF39" s="30" t="s">
        <v>430</v>
      </c>
      <c r="MG39" s="30" t="s">
        <v>26</v>
      </c>
      <c r="MH39" s="30" t="s">
        <v>61</v>
      </c>
      <c r="MI39" s="30" t="s">
        <v>28</v>
      </c>
      <c r="MJ39" s="51" t="s">
        <v>814</v>
      </c>
      <c r="MK39" s="17">
        <v>535.20000000000005</v>
      </c>
      <c r="ML39" s="33">
        <f t="shared" si="16"/>
        <v>2.7505739870259824E-2</v>
      </c>
      <c r="MM39" s="33">
        <f t="shared" si="17"/>
        <v>2.6113885649203177E-2</v>
      </c>
      <c r="MO39" s="1">
        <v>1.2806</v>
      </c>
      <c r="MP39" s="18">
        <v>7209.9350669918404</v>
      </c>
      <c r="MQ39" s="11">
        <v>4941524.5316018751</v>
      </c>
      <c r="MR39" s="5"/>
      <c r="MS39" s="11">
        <v>1</v>
      </c>
      <c r="MT39" s="11">
        <v>685.37711999999999</v>
      </c>
      <c r="MU39" s="5">
        <v>12.842326511400239</v>
      </c>
      <c r="MV39" s="8">
        <v>2.7843445500000001E-2</v>
      </c>
      <c r="MW39" s="8">
        <v>1.2277642096997887E-2</v>
      </c>
      <c r="MX39" s="5"/>
      <c r="MY39" s="21">
        <v>24917.603497772256</v>
      </c>
      <c r="MZ39" s="22">
        <v>25358.953439999997</v>
      </c>
      <c r="NM39" s="67" t="s">
        <v>89</v>
      </c>
      <c r="NN39" s="68">
        <f>NN38/NN35</f>
        <v>5.475E-2</v>
      </c>
      <c r="ON39" s="64" t="s">
        <v>87</v>
      </c>
      <c r="OO39" s="66">
        <f>OO37+OO38</f>
        <v>5475</v>
      </c>
      <c r="RF39" s="16" t="s">
        <v>1347</v>
      </c>
      <c r="RG39" s="34" t="s">
        <v>1320</v>
      </c>
      <c r="RH39" s="34"/>
      <c r="RI39" s="32" t="s">
        <v>1733</v>
      </c>
      <c r="RJ39" s="34"/>
      <c r="RK39" s="30" t="s">
        <v>862</v>
      </c>
    </row>
    <row r="40" spans="15:479" ht="15" thickBot="1" x14ac:dyDescent="0.25">
      <c r="O40" s="16" t="s">
        <v>873</v>
      </c>
      <c r="P40" s="32" t="s">
        <v>55</v>
      </c>
      <c r="Q40" s="32" t="s">
        <v>56</v>
      </c>
      <c r="R40" s="32" t="s">
        <v>1462</v>
      </c>
      <c r="S40" s="32"/>
      <c r="T40" s="30" t="s">
        <v>853</v>
      </c>
      <c r="U40" s="30" t="s">
        <v>26</v>
      </c>
      <c r="V40" s="30" t="s">
        <v>33</v>
      </c>
      <c r="W40" s="30" t="s">
        <v>28</v>
      </c>
      <c r="X40" s="30" t="s">
        <v>34</v>
      </c>
      <c r="Y40" s="17">
        <v>1780.36</v>
      </c>
      <c r="Z40" s="33">
        <f t="shared" si="0"/>
        <v>1.9377010865075758E-2</v>
      </c>
      <c r="AA40" s="33">
        <f t="shared" si="1"/>
        <v>1.8408811538437975E-2</v>
      </c>
      <c r="AB40" s="4"/>
      <c r="AC40" s="1">
        <v>1</v>
      </c>
      <c r="AD40" s="18">
        <v>2239.7790203668501</v>
      </c>
      <c r="AE40" s="11">
        <v>3987612.976700325</v>
      </c>
      <c r="AF40" s="5"/>
      <c r="AG40" s="11">
        <v>1</v>
      </c>
      <c r="AH40" s="11">
        <v>1780.36</v>
      </c>
      <c r="AI40" s="5">
        <v>3.4828031840887479</v>
      </c>
      <c r="AJ40" s="8">
        <v>1.6690875000000001E-2</v>
      </c>
      <c r="AK40" s="8">
        <v>-0.13862488305237652</v>
      </c>
      <c r="AL40" s="5"/>
      <c r="AM40" s="21">
        <v>91880.012474413161</v>
      </c>
      <c r="AN40" s="22">
        <v>65873.319999999992</v>
      </c>
      <c r="DF40" s="1"/>
      <c r="DG40" s="26"/>
      <c r="DH40" s="46"/>
      <c r="DI40" s="26"/>
      <c r="DJ40" s="46"/>
      <c r="DK40" s="46"/>
      <c r="DL40" s="26"/>
      <c r="DM40" s="47"/>
      <c r="DN40" s="47"/>
      <c r="DO40" s="26"/>
      <c r="DP40" s="21"/>
      <c r="DQ40" s="22"/>
      <c r="FE40" s="64" t="s">
        <v>88</v>
      </c>
      <c r="FF40" s="66">
        <f>(FF38-FF39)*0.5%</f>
        <v>475</v>
      </c>
      <c r="GF40" s="64" t="s">
        <v>85</v>
      </c>
      <c r="GG40" s="65">
        <v>5000</v>
      </c>
      <c r="GV40" s="16" t="s">
        <v>34</v>
      </c>
      <c r="GW40" s="32" t="s">
        <v>34</v>
      </c>
      <c r="GX40" s="32"/>
      <c r="GY40" s="32"/>
      <c r="GZ40" s="32"/>
      <c r="HA40" s="30"/>
      <c r="HB40" s="30"/>
      <c r="HC40" s="30"/>
      <c r="HD40" s="30" t="s">
        <v>80</v>
      </c>
      <c r="HE40" s="30" t="s">
        <v>34</v>
      </c>
      <c r="HF40" s="17">
        <v>1</v>
      </c>
      <c r="HG40" s="33">
        <f t="shared" si="10"/>
        <v>4.9210540218718951E-3</v>
      </c>
      <c r="HH40" s="33">
        <f>HH47</f>
        <v>5.475E-2</v>
      </c>
      <c r="HJ40" s="1">
        <v>1</v>
      </c>
      <c r="HK40" s="18">
        <v>802582.08581175201</v>
      </c>
      <c r="HL40" s="11">
        <v>802582.08581175201</v>
      </c>
      <c r="HM40" s="5"/>
      <c r="HN40" s="11">
        <v>1</v>
      </c>
      <c r="HO40" s="11">
        <v>1</v>
      </c>
      <c r="HP40" s="5">
        <v>1574.7372869990065</v>
      </c>
      <c r="HQ40" s="8">
        <v>4.921875E-3</v>
      </c>
      <c r="HR40" s="8">
        <v>1.6682973291004544E-4</v>
      </c>
      <c r="HS40" s="5"/>
      <c r="HT40" s="21">
        <v>203.20849873938491</v>
      </c>
      <c r="HU40" s="22">
        <v>37</v>
      </c>
      <c r="JI40" s="67" t="s">
        <v>89</v>
      </c>
      <c r="JJ40" s="68">
        <f>JJ39/JJ36</f>
        <v>5.475E-2</v>
      </c>
      <c r="JY40" s="16" t="s">
        <v>34</v>
      </c>
      <c r="JZ40" s="32" t="s">
        <v>34</v>
      </c>
      <c r="KA40" s="32"/>
      <c r="KB40" s="32"/>
      <c r="KC40" s="32"/>
      <c r="KD40" s="30"/>
      <c r="KE40" s="30"/>
      <c r="KF40" s="30"/>
      <c r="KG40" s="30" t="s">
        <v>80</v>
      </c>
      <c r="KH40" s="30" t="s">
        <v>34</v>
      </c>
      <c r="KI40" s="17">
        <v>1</v>
      </c>
      <c r="KJ40" s="33">
        <f t="shared" si="31"/>
        <v>5.1614929986526174E-3</v>
      </c>
      <c r="KK40" s="33">
        <f>KK47</f>
        <v>5.475E-2</v>
      </c>
      <c r="KM40" s="1">
        <v>1</v>
      </c>
      <c r="KN40" s="18">
        <v>512541.16945503198</v>
      </c>
      <c r="KO40" s="11">
        <v>512541.16945503198</v>
      </c>
      <c r="KP40" s="5"/>
      <c r="KQ40" s="11">
        <v>1</v>
      </c>
      <c r="KR40" s="11">
        <v>1</v>
      </c>
      <c r="KS40" s="5">
        <v>1651.6777595688375</v>
      </c>
      <c r="KT40" s="8">
        <v>5.1625000000000004E-3</v>
      </c>
      <c r="KU40" s="8">
        <v>1.9509884981849801E-4</v>
      </c>
      <c r="KV40" s="5"/>
      <c r="KW40" s="21">
        <v>193.74239202902049</v>
      </c>
      <c r="KX40" s="22">
        <v>37</v>
      </c>
      <c r="LN40" s="1"/>
      <c r="LO40" s="26"/>
      <c r="LP40" s="11"/>
      <c r="LQ40" s="5"/>
      <c r="LR40" s="11"/>
      <c r="LS40" s="11"/>
      <c r="LT40" s="5"/>
      <c r="LU40" s="8"/>
      <c r="LV40" s="8"/>
      <c r="LW40" s="5"/>
      <c r="LX40" s="21"/>
      <c r="LY40" s="22"/>
      <c r="MA40" s="16" t="s">
        <v>34</v>
      </c>
      <c r="MB40" s="32" t="s">
        <v>34</v>
      </c>
      <c r="MC40" s="32"/>
      <c r="MD40" s="32"/>
      <c r="ME40" s="32"/>
      <c r="MF40" s="30"/>
      <c r="MG40" s="30"/>
      <c r="MH40" s="30"/>
      <c r="MI40" s="30" t="s">
        <v>80</v>
      </c>
      <c r="MJ40" s="30" t="s">
        <v>34</v>
      </c>
      <c r="MK40" s="17">
        <v>1</v>
      </c>
      <c r="ML40" s="33">
        <f t="shared" si="16"/>
        <v>4.3687499582644946E-3</v>
      </c>
      <c r="MM40" s="33">
        <f>MM47</f>
        <v>5.475E-2</v>
      </c>
      <c r="MO40" s="1">
        <v>1</v>
      </c>
      <c r="MP40" s="18">
        <v>784864.72979920404</v>
      </c>
      <c r="MQ40" s="11">
        <v>784864.72979920404</v>
      </c>
      <c r="MR40" s="5"/>
      <c r="MS40" s="11">
        <v>1</v>
      </c>
      <c r="MT40" s="11">
        <v>1</v>
      </c>
      <c r="MU40" s="5">
        <v>1397.9999866446383</v>
      </c>
      <c r="MV40" s="8">
        <v>4.3687500000000002E-3</v>
      </c>
      <c r="MW40" s="8">
        <v>9.5531915711433157E-9</v>
      </c>
      <c r="MX40" s="5"/>
      <c r="MY40" s="21">
        <v>228.89842851002956</v>
      </c>
      <c r="MZ40" s="22">
        <v>37</v>
      </c>
      <c r="ON40" s="67" t="s">
        <v>89</v>
      </c>
      <c r="OO40" s="68">
        <f>OO39/OO36</f>
        <v>5.475E-2</v>
      </c>
      <c r="RF40" s="16" t="s">
        <v>1348</v>
      </c>
      <c r="RG40" s="34" t="s">
        <v>1321</v>
      </c>
      <c r="RH40" s="34"/>
      <c r="RI40" s="32" t="s">
        <v>1734</v>
      </c>
      <c r="RJ40" s="34"/>
      <c r="RK40" s="30" t="s">
        <v>862</v>
      </c>
    </row>
    <row r="41" spans="15:479" ht="15" thickBot="1" x14ac:dyDescent="0.25">
      <c r="O41" s="16" t="s">
        <v>852</v>
      </c>
      <c r="P41" s="32" t="s">
        <v>224</v>
      </c>
      <c r="Q41" s="32" t="s">
        <v>357</v>
      </c>
      <c r="R41" s="32" t="s">
        <v>1463</v>
      </c>
      <c r="S41" s="32"/>
      <c r="T41" s="30" t="s">
        <v>853</v>
      </c>
      <c r="U41" s="30" t="s">
        <v>26</v>
      </c>
      <c r="V41" s="30" t="s">
        <v>33</v>
      </c>
      <c r="W41" s="30" t="s">
        <v>28</v>
      </c>
      <c r="X41" s="30" t="s">
        <v>34</v>
      </c>
      <c r="Y41" s="17">
        <v>281.74</v>
      </c>
      <c r="Z41" s="33">
        <f t="shared" si="0"/>
        <v>2.1579558582114591E-2</v>
      </c>
      <c r="AA41" s="33">
        <f t="shared" si="1"/>
        <v>2.0501305892170495E-2</v>
      </c>
      <c r="AB41" s="4"/>
      <c r="AC41" s="1">
        <v>1</v>
      </c>
      <c r="AD41" s="18">
        <v>15762.324509382401</v>
      </c>
      <c r="AE41" s="11">
        <v>4440877.3072733982</v>
      </c>
      <c r="AF41" s="5"/>
      <c r="AG41" s="11">
        <v>1</v>
      </c>
      <c r="AH41" s="11">
        <v>281.74</v>
      </c>
      <c r="AI41" s="5">
        <v>24.510040272154004</v>
      </c>
      <c r="AJ41" s="8">
        <v>2.2010937500000001E-2</v>
      </c>
      <c r="AK41" s="8">
        <v>1.9990164128887322E-2</v>
      </c>
      <c r="AL41" s="5"/>
      <c r="AM41" s="21">
        <v>13055.874100849758</v>
      </c>
      <c r="AN41" s="22">
        <v>10424.379999999999</v>
      </c>
      <c r="DF41" s="1"/>
      <c r="DG41" s="26"/>
      <c r="DH41" s="46"/>
      <c r="DI41" s="26"/>
      <c r="DJ41" s="46"/>
      <c r="DK41" s="46"/>
      <c r="DL41" s="26"/>
      <c r="DM41" s="48"/>
      <c r="DN41" s="49"/>
      <c r="DO41" s="26"/>
      <c r="DP41" s="1"/>
      <c r="DQ41" s="1"/>
      <c r="FE41" s="64" t="s">
        <v>87</v>
      </c>
      <c r="FF41" s="66">
        <f>FF39+FF40</f>
        <v>5475</v>
      </c>
      <c r="GF41" s="64" t="s">
        <v>88</v>
      </c>
      <c r="GG41" s="66">
        <f>(GG39-GG40)*0.5%</f>
        <v>475</v>
      </c>
      <c r="GV41" s="35" t="s">
        <v>81</v>
      </c>
      <c r="GW41" s="36"/>
      <c r="GX41" s="36"/>
      <c r="GY41" s="36"/>
      <c r="GZ41" s="36"/>
      <c r="HA41" s="36"/>
      <c r="HB41" s="36"/>
      <c r="HC41" s="36"/>
      <c r="HD41" s="36"/>
      <c r="HE41" s="36"/>
      <c r="HF41" s="25" t="s">
        <v>81</v>
      </c>
      <c r="HG41" s="37">
        <f>SUM(HG6:HG40)</f>
        <v>0.99999999999999956</v>
      </c>
      <c r="HH41" s="37">
        <f>SUM(HH6:HH40)</f>
        <v>0.99999999999999956</v>
      </c>
      <c r="HK41" s="58"/>
      <c r="HL41" s="56">
        <v>163091500.77293032</v>
      </c>
      <c r="JY41" s="35" t="s">
        <v>81</v>
      </c>
      <c r="JZ41" s="25"/>
      <c r="KA41" s="25"/>
      <c r="KB41" s="25"/>
      <c r="KC41" s="25"/>
      <c r="KD41" s="25"/>
      <c r="KE41" s="25"/>
      <c r="KF41" s="25"/>
      <c r="KG41" s="25"/>
      <c r="KH41" s="25"/>
      <c r="KI41" s="25" t="s">
        <v>81</v>
      </c>
      <c r="KJ41" s="37">
        <f>SUM(KJ6:KJ40)</f>
        <v>1.0000000000000002</v>
      </c>
      <c r="KK41" s="37">
        <f>SUM(KK6:KK40)</f>
        <v>1.0000000000000002</v>
      </c>
      <c r="KO41" s="56">
        <v>99300952.183569431</v>
      </c>
      <c r="MA41" s="35" t="s">
        <v>81</v>
      </c>
      <c r="MB41" s="36"/>
      <c r="MC41" s="36"/>
      <c r="MD41" s="36"/>
      <c r="ME41" s="36"/>
      <c r="MF41" s="36"/>
      <c r="MG41" s="36"/>
      <c r="MH41" s="36"/>
      <c r="MI41" s="36"/>
      <c r="MJ41" s="36"/>
      <c r="MK41" s="25" t="s">
        <v>81</v>
      </c>
      <c r="ML41" s="37">
        <f>SUM(ML6:ML40)</f>
        <v>0.99999999999999989</v>
      </c>
      <c r="MM41" s="37">
        <f>SUM(MM6:MM40)</f>
        <v>1</v>
      </c>
      <c r="MQ41" s="56">
        <v>179654303.24398676</v>
      </c>
      <c r="RF41" s="16" t="s">
        <v>790</v>
      </c>
      <c r="RG41" s="32" t="s">
        <v>34</v>
      </c>
      <c r="RH41" s="32"/>
      <c r="RI41" s="32"/>
      <c r="RJ41" s="32"/>
      <c r="RK41" s="30"/>
    </row>
    <row r="42" spans="15:479" ht="15" thickBot="1" x14ac:dyDescent="0.25">
      <c r="O42" s="16" t="s">
        <v>34</v>
      </c>
      <c r="P42" s="32" t="s">
        <v>34</v>
      </c>
      <c r="Q42" s="1"/>
      <c r="R42" s="32"/>
      <c r="S42" s="32"/>
      <c r="T42" s="30"/>
      <c r="U42" s="30"/>
      <c r="V42" s="34"/>
      <c r="W42" s="30" t="s">
        <v>80</v>
      </c>
      <c r="X42" s="30" t="s">
        <v>34</v>
      </c>
      <c r="Y42" s="17">
        <v>1</v>
      </c>
      <c r="Z42" s="33">
        <f t="shared" si="0"/>
        <v>5.0351983902693189E-3</v>
      </c>
      <c r="AA42" s="33">
        <f>AA49</f>
        <v>5.475E-2</v>
      </c>
      <c r="AB42" s="4"/>
      <c r="AC42" s="1">
        <v>1</v>
      </c>
      <c r="AD42" s="18">
        <v>1036198.13092467</v>
      </c>
      <c r="AE42" s="11">
        <v>1036198.13092467</v>
      </c>
      <c r="AF42" s="5"/>
      <c r="AG42" s="11"/>
      <c r="AH42" s="11"/>
      <c r="AI42" s="5"/>
      <c r="AJ42" s="19"/>
      <c r="AK42" s="20"/>
      <c r="AL42" s="5"/>
      <c r="AM42" s="1"/>
      <c r="AN42" s="1"/>
      <c r="DF42" s="23"/>
      <c r="DG42" s="5"/>
      <c r="DH42" s="24"/>
      <c r="DI42" s="5"/>
      <c r="DJ42" s="11"/>
      <c r="DK42" s="11"/>
      <c r="DL42" s="5"/>
      <c r="DM42" s="19"/>
      <c r="DN42" s="20"/>
      <c r="DO42" s="5"/>
      <c r="DP42" s="1"/>
      <c r="DQ42" s="1"/>
      <c r="FE42" s="67" t="s">
        <v>89</v>
      </c>
      <c r="FF42" s="68">
        <f>FF41/FF38</f>
        <v>5.475E-2</v>
      </c>
      <c r="GF42" s="64" t="s">
        <v>87</v>
      </c>
      <c r="GG42" s="66">
        <f>GG40+GG41</f>
        <v>5475</v>
      </c>
      <c r="RF42" s="35" t="s">
        <v>81</v>
      </c>
      <c r="RG42" s="36"/>
      <c r="RH42" s="36"/>
      <c r="RI42" s="36"/>
      <c r="RJ42" s="36"/>
      <c r="RK42" s="36"/>
    </row>
    <row r="43" spans="15:479" ht="15" thickBot="1" x14ac:dyDescent="0.25">
      <c r="O43" s="35" t="s">
        <v>81</v>
      </c>
      <c r="P43" s="36"/>
      <c r="Q43" s="36"/>
      <c r="R43" s="36"/>
      <c r="S43" s="36"/>
      <c r="T43" s="36"/>
      <c r="U43" s="36"/>
      <c r="V43" s="36"/>
      <c r="W43" s="36"/>
      <c r="X43" s="36"/>
      <c r="Y43" s="25" t="s">
        <v>81</v>
      </c>
      <c r="Z43" s="37">
        <f>SUM(Z6:Z42)</f>
        <v>0.99999999999999989</v>
      </c>
      <c r="AA43" s="37">
        <f>SUM(AA6:AA42)</f>
        <v>0.99999999999999967</v>
      </c>
      <c r="AB43" s="4"/>
      <c r="AC43" s="23"/>
      <c r="AD43" s="5"/>
      <c r="AE43" s="24">
        <v>205790924.33123505</v>
      </c>
      <c r="AF43" s="5"/>
      <c r="AG43" s="11"/>
      <c r="AH43" s="11"/>
      <c r="AI43" s="5"/>
      <c r="AJ43" s="19"/>
      <c r="AK43" s="20"/>
      <c r="AL43" s="5"/>
      <c r="AM43" s="1"/>
      <c r="AN43" s="1"/>
      <c r="GF43" s="67" t="s">
        <v>89</v>
      </c>
      <c r="GG43" s="68">
        <f>GG42/GG39</f>
        <v>5.475E-2</v>
      </c>
      <c r="HG43" s="62" t="s">
        <v>86</v>
      </c>
      <c r="HH43" s="63">
        <v>100000</v>
      </c>
      <c r="KJ43" s="62" t="s">
        <v>86</v>
      </c>
      <c r="KK43" s="63">
        <v>100000</v>
      </c>
      <c r="ML43" s="62" t="s">
        <v>86</v>
      </c>
      <c r="MM43" s="63">
        <v>100000</v>
      </c>
    </row>
    <row r="44" spans="15:479" ht="15" thickBot="1" x14ac:dyDescent="0.25">
      <c r="O44" s="11"/>
      <c r="P44" s="5"/>
      <c r="Q44" s="5"/>
      <c r="R44" s="5"/>
      <c r="S44" s="5"/>
      <c r="T44" s="11"/>
      <c r="U44" s="11"/>
      <c r="V44" s="11"/>
      <c r="W44" s="11"/>
      <c r="X44" s="5"/>
      <c r="Y44" s="1"/>
      <c r="Z44" s="1"/>
      <c r="AA44" s="1"/>
      <c r="AB44" s="1"/>
      <c r="AC44" s="1"/>
      <c r="AD44" s="1"/>
      <c r="AE44" s="1"/>
      <c r="AF44" s="5"/>
      <c r="AG44" s="11"/>
      <c r="AH44" s="11"/>
      <c r="AI44" s="5"/>
      <c r="AJ44" s="19"/>
      <c r="AK44" s="20"/>
      <c r="AL44" s="5"/>
      <c r="AM44" s="1"/>
      <c r="AN44" s="1"/>
      <c r="HG44" s="64" t="s">
        <v>85</v>
      </c>
      <c r="HH44" s="65">
        <v>5000</v>
      </c>
      <c r="KJ44" s="64" t="s">
        <v>85</v>
      </c>
      <c r="KK44" s="65">
        <v>5000</v>
      </c>
      <c r="ML44" s="64" t="s">
        <v>85</v>
      </c>
      <c r="MM44" s="65">
        <v>5000</v>
      </c>
    </row>
    <row r="45" spans="15:479" x14ac:dyDescent="0.2"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62" t="s">
        <v>86</v>
      </c>
      <c r="AA45" s="63">
        <v>100000</v>
      </c>
      <c r="AB45" s="1"/>
      <c r="AC45" s="26"/>
      <c r="AD45" s="1"/>
      <c r="AE45" s="22"/>
      <c r="AF45" s="5"/>
      <c r="AG45" s="11"/>
      <c r="AH45" s="11"/>
      <c r="AI45" s="5"/>
      <c r="AJ45" s="19"/>
      <c r="AK45" s="20"/>
      <c r="AL45" s="5"/>
      <c r="AM45" s="1"/>
      <c r="AN45" s="1"/>
      <c r="HG45" s="64" t="s">
        <v>88</v>
      </c>
      <c r="HH45" s="66">
        <f>(HH43-HH44)*0.5%</f>
        <v>475</v>
      </c>
      <c r="KJ45" s="64" t="s">
        <v>88</v>
      </c>
      <c r="KK45" s="66">
        <f>(KK43-KK44)*0.5%</f>
        <v>475</v>
      </c>
      <c r="ML45" s="64" t="s">
        <v>88</v>
      </c>
      <c r="MM45" s="66">
        <f>(MM43-MM44)*0.5%</f>
        <v>475</v>
      </c>
    </row>
    <row r="46" spans="15:479" x14ac:dyDescent="0.2"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64" t="s">
        <v>85</v>
      </c>
      <c r="AA46" s="65">
        <v>5000</v>
      </c>
      <c r="AB46" s="1"/>
      <c r="AC46" s="26"/>
      <c r="AD46" s="1"/>
      <c r="AE46" s="22"/>
      <c r="AF46" s="5"/>
      <c r="AG46" s="11"/>
      <c r="AH46" s="11"/>
      <c r="AI46" s="5"/>
      <c r="AJ46" s="19"/>
      <c r="AK46" s="20"/>
      <c r="AL46" s="5"/>
      <c r="AM46" s="1"/>
      <c r="AN46" s="1"/>
      <c r="HG46" s="64" t="s">
        <v>87</v>
      </c>
      <c r="HH46" s="66">
        <f>HH44+HH45</f>
        <v>5475</v>
      </c>
      <c r="KJ46" s="64" t="s">
        <v>87</v>
      </c>
      <c r="KK46" s="66">
        <f>KK44+KK45</f>
        <v>5475</v>
      </c>
      <c r="ML46" s="64" t="s">
        <v>87</v>
      </c>
      <c r="MM46" s="66">
        <f>MM44+MM45</f>
        <v>5475</v>
      </c>
    </row>
    <row r="47" spans="15:479" ht="15" thickBot="1" x14ac:dyDescent="0.25"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64" t="s">
        <v>88</v>
      </c>
      <c r="AA47" s="66">
        <f>(AA45-AA46)*0.5%</f>
        <v>475</v>
      </c>
      <c r="AB47" s="1"/>
      <c r="AC47" s="26"/>
      <c r="AD47" s="1"/>
      <c r="AE47" s="22"/>
      <c r="AF47" s="5"/>
      <c r="AG47" s="11"/>
      <c r="AH47" s="11"/>
      <c r="AI47" s="5"/>
      <c r="AJ47" s="19"/>
      <c r="AK47" s="20"/>
      <c r="AL47" s="5"/>
      <c r="AM47" s="1"/>
      <c r="AN47" s="1"/>
      <c r="HG47" s="67" t="s">
        <v>89</v>
      </c>
      <c r="HH47" s="68">
        <f>HH46/HH43</f>
        <v>5.475E-2</v>
      </c>
      <c r="KJ47" s="67" t="s">
        <v>89</v>
      </c>
      <c r="KK47" s="68">
        <f>KK46/KK43</f>
        <v>5.475E-2</v>
      </c>
      <c r="ML47" s="67" t="s">
        <v>89</v>
      </c>
      <c r="MM47" s="68">
        <f>MM46/MM43</f>
        <v>5.475E-2</v>
      </c>
    </row>
    <row r="48" spans="15:479" x14ac:dyDescent="0.2"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64" t="s">
        <v>87</v>
      </c>
      <c r="AA48" s="66">
        <f>AA46+AA47</f>
        <v>5475</v>
      </c>
      <c r="AB48" s="1"/>
      <c r="AC48" s="26"/>
      <c r="AD48" s="1"/>
      <c r="AE48" s="22"/>
      <c r="AF48" s="5"/>
      <c r="AG48" s="11"/>
      <c r="AH48" s="11"/>
      <c r="AI48" s="5"/>
      <c r="AJ48" s="19"/>
      <c r="AK48" s="20"/>
      <c r="AL48" s="5"/>
      <c r="AM48" s="1"/>
      <c r="AN48" s="1"/>
    </row>
    <row r="49" spans="15:479" ht="15" thickBot="1" x14ac:dyDescent="0.25"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67" t="s">
        <v>89</v>
      </c>
      <c r="AA49" s="68">
        <f>AA48/AA45</f>
        <v>5.475E-2</v>
      </c>
      <c r="AB49" s="1"/>
      <c r="AC49" s="26"/>
      <c r="AD49" s="1"/>
      <c r="AE49" s="22"/>
      <c r="AF49" s="5"/>
      <c r="AG49" s="11"/>
      <c r="AH49" s="11"/>
      <c r="AI49" s="5"/>
      <c r="AJ49" s="19"/>
      <c r="AK49" s="20"/>
      <c r="AL49" s="5"/>
      <c r="AM49" s="1"/>
      <c r="AN49" s="1"/>
      <c r="RF49" s="55"/>
      <c r="RG49" s="1"/>
      <c r="RH49" s="1"/>
      <c r="RI49" s="1"/>
      <c r="RJ49" s="1"/>
      <c r="RK49" s="51"/>
    </row>
    <row r="50" spans="15:479" x14ac:dyDescent="0.2"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26"/>
      <c r="AD50" s="1"/>
      <c r="AE50" s="22"/>
      <c r="AF50" s="5"/>
      <c r="AG50" s="11"/>
      <c r="AH50" s="11"/>
      <c r="AI50" s="5"/>
      <c r="AJ50" s="19"/>
      <c r="AK50" s="20"/>
      <c r="AL50" s="5"/>
      <c r="AM50" s="1"/>
      <c r="AN50" s="1"/>
      <c r="RF50" s="55"/>
      <c r="RG50" s="1"/>
      <c r="RH50" s="1"/>
      <c r="RI50" s="1"/>
      <c r="RJ50" s="1"/>
      <c r="RK50" s="51"/>
    </row>
    <row r="51" spans="15:479" x14ac:dyDescent="0.2"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26"/>
      <c r="AD51" s="1"/>
      <c r="AE51" s="22"/>
      <c r="AF51" s="5"/>
      <c r="AG51" s="11"/>
      <c r="AH51" s="11"/>
      <c r="AI51" s="5"/>
      <c r="AJ51" s="19"/>
      <c r="AK51" s="20"/>
      <c r="AL51" s="5"/>
      <c r="AM51" s="1"/>
      <c r="AN51" s="1"/>
    </row>
    <row r="52" spans="15:479" x14ac:dyDescent="0.2"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26"/>
      <c r="AD52" s="1"/>
      <c r="AE52" s="22"/>
      <c r="AF52" s="5"/>
      <c r="AG52" s="11"/>
      <c r="AH52" s="11"/>
      <c r="AI52" s="5"/>
      <c r="AJ52" s="19"/>
      <c r="AK52" s="20"/>
      <c r="AL52" s="5"/>
      <c r="AM52" s="1"/>
      <c r="AN52" s="1"/>
    </row>
    <row r="53" spans="15:479" x14ac:dyDescent="0.2"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26"/>
      <c r="AD53" s="1"/>
      <c r="AE53" s="22"/>
      <c r="AF53" s="5"/>
      <c r="AG53" s="11"/>
      <c r="AH53" s="11"/>
      <c r="AI53" s="5"/>
      <c r="AJ53" s="19"/>
      <c r="AK53" s="20"/>
      <c r="AL53" s="5"/>
      <c r="AM53" s="1"/>
      <c r="AN53" s="1"/>
    </row>
    <row r="54" spans="15:479" x14ac:dyDescent="0.2"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26"/>
      <c r="AD54" s="1"/>
      <c r="AE54" s="22"/>
      <c r="AF54" s="5"/>
      <c r="AG54" s="11"/>
      <c r="AH54" s="11"/>
      <c r="AI54" s="5"/>
      <c r="AJ54" s="19"/>
      <c r="AK54" s="20"/>
      <c r="AL54" s="5"/>
      <c r="AM54" s="1"/>
      <c r="AN54" s="1"/>
    </row>
    <row r="55" spans="15:479" x14ac:dyDescent="0.2"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26"/>
      <c r="AD55" s="1"/>
      <c r="AE55" s="22"/>
      <c r="AF55" s="5"/>
      <c r="AG55" s="11"/>
      <c r="AH55" s="11"/>
      <c r="AI55" s="5"/>
      <c r="AJ55" s="19"/>
      <c r="AK55" s="20"/>
      <c r="AL55" s="5"/>
      <c r="AM55" s="1"/>
      <c r="AN55" s="1"/>
    </row>
    <row r="56" spans="15:479" x14ac:dyDescent="0.2"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26"/>
      <c r="AD56" s="1"/>
      <c r="AE56" s="22"/>
      <c r="AF56" s="5"/>
      <c r="AG56" s="5"/>
      <c r="AH56" s="5"/>
      <c r="AI56" s="5"/>
      <c r="AJ56" s="5"/>
      <c r="AK56" s="5"/>
      <c r="AL56" s="5"/>
      <c r="AM56" s="1"/>
      <c r="AN56" s="1"/>
    </row>
    <row r="57" spans="15:479" x14ac:dyDescent="0.2"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26"/>
      <c r="AD57" s="1"/>
      <c r="AE57" s="22"/>
      <c r="AF57" s="5"/>
      <c r="AG57" s="5"/>
      <c r="AH57" s="5"/>
      <c r="AI57" s="5"/>
      <c r="AJ57" s="5"/>
      <c r="AK57" s="5"/>
      <c r="AL57" s="5"/>
      <c r="AM57" s="1"/>
      <c r="AN57" s="1"/>
    </row>
    <row r="58" spans="15:479" x14ac:dyDescent="0.2"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26"/>
      <c r="AD58" s="1"/>
      <c r="AE58" s="22"/>
      <c r="AF58" s="1"/>
      <c r="AG58" s="1"/>
      <c r="AH58" s="1"/>
      <c r="AI58" s="1"/>
      <c r="AJ58" s="1"/>
      <c r="AK58" s="1"/>
      <c r="AL58" s="1"/>
      <c r="AM58" s="1"/>
      <c r="AN58" s="1"/>
    </row>
    <row r="59" spans="15:479" x14ac:dyDescent="0.2"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26"/>
      <c r="AD59" s="1"/>
      <c r="AE59" s="22"/>
      <c r="AF59" s="1"/>
      <c r="AG59" s="1"/>
      <c r="AH59" s="1"/>
      <c r="AI59" s="1"/>
      <c r="AJ59" s="1"/>
      <c r="AK59" s="1"/>
      <c r="AL59" s="1"/>
      <c r="AM59" s="1"/>
      <c r="AN59" s="1"/>
    </row>
    <row r="60" spans="15:479" x14ac:dyDescent="0.2"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26"/>
      <c r="AD60" s="1"/>
      <c r="AE60" s="22"/>
      <c r="AF60" s="1"/>
      <c r="AG60" s="1"/>
      <c r="AH60" s="1"/>
      <c r="AI60" s="1"/>
      <c r="AJ60" s="1"/>
      <c r="AK60" s="1"/>
      <c r="AL60" s="1"/>
      <c r="AM60" s="1"/>
      <c r="AN60" s="1"/>
    </row>
  </sheetData>
  <conditionalFormatting sqref="AE3">
    <cfRule type="cellIs" dxfId="88" priority="89" operator="lessThan">
      <formula>TODAY()-31</formula>
    </cfRule>
  </conditionalFormatting>
  <conditionalFormatting sqref="AK6:AK55">
    <cfRule type="cellIs" dxfId="87" priority="85" operator="greaterThan">
      <formula>0.1</formula>
    </cfRule>
    <cfRule type="cellIs" dxfId="86" priority="86" operator="lessThan">
      <formula>-0.1</formula>
    </cfRule>
    <cfRule type="cellIs" dxfId="85" priority="87" operator="greaterThan">
      <formula>0.05</formula>
    </cfRule>
    <cfRule type="cellIs" dxfId="84" priority="88" operator="lessThan">
      <formula>-0.05</formula>
    </cfRule>
  </conditionalFormatting>
  <conditionalFormatting sqref="BF3">
    <cfRule type="cellIs" dxfId="83" priority="80" operator="lessThan">
      <formula>TODAY()-14</formula>
    </cfRule>
  </conditionalFormatting>
  <conditionalFormatting sqref="BL6:BL27">
    <cfRule type="cellIs" dxfId="82" priority="81" operator="greaterThan">
      <formula>0.1</formula>
    </cfRule>
    <cfRule type="cellIs" dxfId="81" priority="82" operator="lessThan">
      <formula>-0.1</formula>
    </cfRule>
    <cfRule type="cellIs" dxfId="80" priority="83" operator="greaterThan">
      <formula>0.05</formula>
    </cfRule>
    <cfRule type="cellIs" dxfId="79" priority="84" operator="lessThan">
      <formula>-0.05</formula>
    </cfRule>
  </conditionalFormatting>
  <conditionalFormatting sqref="CM6:CM22">
    <cfRule type="cellIs" dxfId="78" priority="76" operator="greaterThan">
      <formula>0.1</formula>
    </cfRule>
    <cfRule type="cellIs" dxfId="77" priority="77" operator="lessThan">
      <formula>-0.1</formula>
    </cfRule>
    <cfRule type="cellIs" dxfId="76" priority="78" operator="greaterThan">
      <formula>0.05</formula>
    </cfRule>
    <cfRule type="cellIs" dxfId="75" priority="79" operator="lessThan">
      <formula>-0.05</formula>
    </cfRule>
  </conditionalFormatting>
  <conditionalFormatting sqref="CG3">
    <cfRule type="cellIs" dxfId="74" priority="75" operator="lessThan">
      <formula>TODAY()-14</formula>
    </cfRule>
  </conditionalFormatting>
  <conditionalFormatting sqref="DN6:DN42">
    <cfRule type="cellIs" dxfId="73" priority="71" operator="greaterThan">
      <formula>0.1</formula>
    </cfRule>
    <cfRule type="cellIs" dxfId="72" priority="72" operator="lessThan">
      <formula>-0.1</formula>
    </cfRule>
    <cfRule type="cellIs" dxfId="71" priority="73" operator="greaterThan">
      <formula>0.05</formula>
    </cfRule>
    <cfRule type="cellIs" dxfId="70" priority="74" operator="lessThan">
      <formula>-0.05</formula>
    </cfRule>
  </conditionalFormatting>
  <conditionalFormatting sqref="DH3">
    <cfRule type="cellIs" dxfId="69" priority="70" operator="lessThan">
      <formula>TODAY()-31</formula>
    </cfRule>
  </conditionalFormatting>
  <conditionalFormatting sqref="EI3">
    <cfRule type="cellIs" dxfId="68" priority="65" operator="lessThan">
      <formula>TODAY()-14</formula>
    </cfRule>
  </conditionalFormatting>
  <conditionalFormatting sqref="EO6:EO27">
    <cfRule type="cellIs" dxfId="67" priority="61" operator="greaterThan">
      <formula>0.1</formula>
    </cfRule>
    <cfRule type="cellIs" dxfId="66" priority="62" operator="lessThan">
      <formula>-0.1</formula>
    </cfRule>
    <cfRule type="cellIs" dxfId="65" priority="63" operator="greaterThan">
      <formula>0.05</formula>
    </cfRule>
    <cfRule type="cellIs" dxfId="64" priority="64" operator="lessThan">
      <formula>-0.05</formula>
    </cfRule>
  </conditionalFormatting>
  <conditionalFormatting sqref="EO27">
    <cfRule type="cellIs" dxfId="63" priority="66" operator="greaterThan">
      <formula>0.1</formula>
    </cfRule>
    <cfRule type="cellIs" dxfId="62" priority="67" operator="lessThan">
      <formula>-0.1</formula>
    </cfRule>
    <cfRule type="cellIs" dxfId="61" priority="68" operator="greaterThan">
      <formula>0.05</formula>
    </cfRule>
    <cfRule type="cellIs" dxfId="60" priority="69" operator="lessThan">
      <formula>-0.05</formula>
    </cfRule>
  </conditionalFormatting>
  <conditionalFormatting sqref="FP6:FP35">
    <cfRule type="cellIs" dxfId="59" priority="57" operator="greaterThan">
      <formula>0.1</formula>
    </cfRule>
    <cfRule type="cellIs" dxfId="58" priority="58" operator="lessThan">
      <formula>-0.1</formula>
    </cfRule>
    <cfRule type="cellIs" dxfId="57" priority="59" operator="greaterThan">
      <formula>0.05</formula>
    </cfRule>
    <cfRule type="cellIs" dxfId="56" priority="60" operator="lessThan">
      <formula>-0.05</formula>
    </cfRule>
  </conditionalFormatting>
  <conditionalFormatting sqref="FJ3">
    <cfRule type="cellIs" dxfId="55" priority="56" operator="lessThan">
      <formula>TODAY()-14</formula>
    </cfRule>
  </conditionalFormatting>
  <conditionalFormatting sqref="GQ6:GQ39">
    <cfRule type="cellIs" dxfId="54" priority="52" operator="greaterThan">
      <formula>0.1</formula>
    </cfRule>
    <cfRule type="cellIs" dxfId="53" priority="53" operator="lessThan">
      <formula>-0.1</formula>
    </cfRule>
    <cfRule type="cellIs" dxfId="52" priority="54" operator="greaterThan">
      <formula>0.05</formula>
    </cfRule>
    <cfRule type="cellIs" dxfId="51" priority="55" operator="lessThan">
      <formula>-0.05</formula>
    </cfRule>
  </conditionalFormatting>
  <conditionalFormatting sqref="GK3">
    <cfRule type="cellIs" dxfId="50" priority="51" operator="lessThan">
      <formula>TODAY()-14</formula>
    </cfRule>
  </conditionalFormatting>
  <conditionalFormatting sqref="HR6:HR40">
    <cfRule type="cellIs" dxfId="49" priority="47" operator="greaterThan">
      <formula>0.1</formula>
    </cfRule>
    <cfRule type="cellIs" dxfId="48" priority="48" operator="lessThan">
      <formula>-0.1</formula>
    </cfRule>
    <cfRule type="cellIs" dxfId="47" priority="49" operator="greaterThan">
      <formula>0.05</formula>
    </cfRule>
    <cfRule type="cellIs" dxfId="46" priority="50" operator="lessThan">
      <formula>-0.05</formula>
    </cfRule>
  </conditionalFormatting>
  <conditionalFormatting sqref="HL3">
    <cfRule type="cellIs" dxfId="45" priority="46" operator="lessThan">
      <formula>TODAY()-14</formula>
    </cfRule>
  </conditionalFormatting>
  <conditionalFormatting sqref="IS6:IS28">
    <cfRule type="cellIs" dxfId="44" priority="42" operator="greaterThan">
      <formula>0.1</formula>
    </cfRule>
    <cfRule type="cellIs" dxfId="43" priority="43" operator="lessThan">
      <formula>-0.1</formula>
    </cfRule>
    <cfRule type="cellIs" dxfId="42" priority="44" operator="greaterThan">
      <formula>0.05</formula>
    </cfRule>
    <cfRule type="cellIs" dxfId="41" priority="45" operator="lessThan">
      <formula>-0.05</formula>
    </cfRule>
  </conditionalFormatting>
  <conditionalFormatting sqref="IM3">
    <cfRule type="cellIs" dxfId="40" priority="41" operator="lessThan">
      <formula>TODAY()-14</formula>
    </cfRule>
  </conditionalFormatting>
  <conditionalFormatting sqref="JN3">
    <cfRule type="cellIs" dxfId="39" priority="40" operator="lessThan">
      <formula>TODAY()-14</formula>
    </cfRule>
  </conditionalFormatting>
  <conditionalFormatting sqref="JT6:JT33">
    <cfRule type="cellIs" dxfId="38" priority="36" operator="greaterThan">
      <formula>0.1</formula>
    </cfRule>
    <cfRule type="cellIs" dxfId="37" priority="37" operator="lessThan">
      <formula>-0.1</formula>
    </cfRule>
    <cfRule type="cellIs" dxfId="36" priority="38" operator="greaterThan">
      <formula>0.05</formula>
    </cfRule>
    <cfRule type="cellIs" dxfId="35" priority="39" operator="lessThan">
      <formula>-0.05</formula>
    </cfRule>
  </conditionalFormatting>
  <conditionalFormatting sqref="KO3">
    <cfRule type="cellIs" dxfId="34" priority="35" operator="lessThan">
      <formula>TODAY()-14</formula>
    </cfRule>
  </conditionalFormatting>
  <conditionalFormatting sqref="KU6:KU40">
    <cfRule type="cellIs" dxfId="33" priority="31" operator="greaterThan">
      <formula>0.1</formula>
    </cfRule>
    <cfRule type="cellIs" dxfId="32" priority="32" operator="lessThan">
      <formula>-0.1</formula>
    </cfRule>
    <cfRule type="cellIs" dxfId="31" priority="33" operator="greaterThan">
      <formula>0.05</formula>
    </cfRule>
    <cfRule type="cellIs" dxfId="30" priority="34" operator="lessThan">
      <formula>-0.05</formula>
    </cfRule>
  </conditionalFormatting>
  <conditionalFormatting sqref="LV32:LV40 LV6:LV30">
    <cfRule type="cellIs" dxfId="29" priority="27" operator="greaterThan">
      <formula>0.1</formula>
    </cfRule>
    <cfRule type="cellIs" dxfId="28" priority="28" operator="lessThan">
      <formula>-0.1</formula>
    </cfRule>
    <cfRule type="cellIs" dxfId="27" priority="29" operator="greaterThan">
      <formula>0.05</formula>
    </cfRule>
    <cfRule type="cellIs" dxfId="26" priority="30" operator="lessThan">
      <formula>-0.05</formula>
    </cfRule>
  </conditionalFormatting>
  <conditionalFormatting sqref="LP3">
    <cfRule type="cellIs" dxfId="25" priority="26" operator="lessThan">
      <formula>TODAY()-14</formula>
    </cfRule>
  </conditionalFormatting>
  <conditionalFormatting sqref="MW6:MW40">
    <cfRule type="cellIs" dxfId="24" priority="22" operator="greaterThan">
      <formula>0.1</formula>
    </cfRule>
    <cfRule type="cellIs" dxfId="23" priority="23" operator="lessThan">
      <formula>-0.1</formula>
    </cfRule>
    <cfRule type="cellIs" dxfId="22" priority="24" operator="greaterThan">
      <formula>0.05</formula>
    </cfRule>
    <cfRule type="cellIs" dxfId="21" priority="25" operator="lessThan">
      <formula>-0.05</formula>
    </cfRule>
  </conditionalFormatting>
  <conditionalFormatting sqref="MQ3">
    <cfRule type="cellIs" dxfId="20" priority="21" operator="lessThan">
      <formula>TODAY()-14</formula>
    </cfRule>
  </conditionalFormatting>
  <conditionalFormatting sqref="NX6:NX32">
    <cfRule type="cellIs" dxfId="19" priority="17" operator="greaterThan">
      <formula>0.1</formula>
    </cfRule>
    <cfRule type="cellIs" dxfId="18" priority="18" operator="lessThan">
      <formula>-0.1</formula>
    </cfRule>
    <cfRule type="cellIs" dxfId="17" priority="19" operator="greaterThan">
      <formula>0.05</formula>
    </cfRule>
    <cfRule type="cellIs" dxfId="16" priority="20" operator="lessThan">
      <formula>-0.05</formula>
    </cfRule>
  </conditionalFormatting>
  <conditionalFormatting sqref="NR3">
    <cfRule type="cellIs" dxfId="15" priority="16" operator="lessThan">
      <formula>TODAY()-14</formula>
    </cfRule>
  </conditionalFormatting>
  <conditionalFormatting sqref="OY6:OY33">
    <cfRule type="cellIs" dxfId="14" priority="12" operator="greaterThan">
      <formula>0.1</formula>
    </cfRule>
    <cfRule type="cellIs" dxfId="13" priority="13" operator="lessThan">
      <formula>-0.1</formula>
    </cfRule>
    <cfRule type="cellIs" dxfId="12" priority="14" operator="greaterThan">
      <formula>0.05</formula>
    </cfRule>
    <cfRule type="cellIs" dxfId="11" priority="15" operator="lessThan">
      <formula>-0.05</formula>
    </cfRule>
  </conditionalFormatting>
  <conditionalFormatting sqref="OS3">
    <cfRule type="cellIs" dxfId="10" priority="11" operator="lessThan">
      <formula>TODAY()-14</formula>
    </cfRule>
  </conditionalFormatting>
  <conditionalFormatting sqref="PZ6:PZ36">
    <cfRule type="cellIs" dxfId="9" priority="7" operator="greaterThan">
      <formula>0.1</formula>
    </cfRule>
    <cfRule type="cellIs" dxfId="8" priority="8" operator="lessThan">
      <formula>-0.1</formula>
    </cfRule>
    <cfRule type="cellIs" dxfId="7" priority="9" operator="greaterThan">
      <formula>0.05</formula>
    </cfRule>
    <cfRule type="cellIs" dxfId="6" priority="10" operator="lessThan">
      <formula>-0.05</formula>
    </cfRule>
  </conditionalFormatting>
  <conditionalFormatting sqref="PT3">
    <cfRule type="cellIs" dxfId="5" priority="6" operator="lessThan">
      <formula>TODAY()-14</formula>
    </cfRule>
  </conditionalFormatting>
  <conditionalFormatting sqref="RA6:RA30">
    <cfRule type="cellIs" dxfId="4" priority="2" operator="greaterThan">
      <formula>0.1</formula>
    </cfRule>
    <cfRule type="cellIs" dxfId="3" priority="3" operator="lessThan">
      <formula>-0.1</formula>
    </cfRule>
    <cfRule type="cellIs" dxfId="2" priority="4" operator="greaterThan">
      <formula>0.05</formula>
    </cfRule>
    <cfRule type="cellIs" dxfId="1" priority="5" operator="lessThan">
      <formula>-0.05</formula>
    </cfRule>
  </conditionalFormatting>
  <conditionalFormatting sqref="QU3">
    <cfRule type="cellIs" dxfId="0" priority="1" operator="lessThan">
      <formula>TODAY()-14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GlobalBrandsToCSV">
                <anchor moveWithCells="1" sizeWithCells="1">
                  <from>
                    <xdr:col>25</xdr:col>
                    <xdr:colOff>0</xdr:colOff>
                    <xdr:row>49</xdr:row>
                    <xdr:rowOff>19050</xdr:rowOff>
                  </from>
                  <to>
                    <xdr:col>26</xdr:col>
                    <xdr:colOff>0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GlobalHealthcareToCSV">
                <anchor moveWithCells="1" sizeWithCells="1">
                  <from>
                    <xdr:col>52</xdr:col>
                    <xdr:colOff>28575</xdr:colOff>
                    <xdr:row>34</xdr:row>
                    <xdr:rowOff>19050</xdr:rowOff>
                  </from>
                  <to>
                    <xdr:col>53</xdr:col>
                    <xdr:colOff>28575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xportJapanREITToCSV">
                <anchor moveWithCells="1" sizeWithCells="1">
                  <from>
                    <xdr:col>79</xdr:col>
                    <xdr:colOff>38100</xdr:colOff>
                    <xdr:row>29</xdr:row>
                    <xdr:rowOff>9525</xdr:rowOff>
                  </from>
                  <to>
                    <xdr:col>80</xdr:col>
                    <xdr:colOff>38100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ExportGlobalREITToCSV">
                <anchor moveWithCells="1" sizeWithCells="1">
                  <from>
                    <xdr:col>106</xdr:col>
                    <xdr:colOff>0</xdr:colOff>
                    <xdr:row>32</xdr:row>
                    <xdr:rowOff>19050</xdr:rowOff>
                  </from>
                  <to>
                    <xdr:col>107</xdr:col>
                    <xdr:colOff>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ExportUKEquityIncomeToCSV">
                <anchor moveWithCells="1" sizeWithCells="1">
                  <from>
                    <xdr:col>133</xdr:col>
                    <xdr:colOff>0</xdr:colOff>
                    <xdr:row>34</xdr:row>
                    <xdr:rowOff>19050</xdr:rowOff>
                  </from>
                  <to>
                    <xdr:col>134</xdr:col>
                    <xdr:colOff>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xportUSBrandsToCSV">
                <anchor moveWithCells="1" sizeWithCells="1">
                  <from>
                    <xdr:col>160</xdr:col>
                    <xdr:colOff>0</xdr:colOff>
                    <xdr:row>47</xdr:row>
                    <xdr:rowOff>19050</xdr:rowOff>
                  </from>
                  <to>
                    <xdr:col>161</xdr:col>
                    <xdr:colOff>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ExportGlobalTechnologyToCSV">
                <anchor moveWithCells="1" sizeWithCells="1">
                  <from>
                    <xdr:col>183</xdr:col>
                    <xdr:colOff>819150</xdr:colOff>
                    <xdr:row>39</xdr:row>
                    <xdr:rowOff>104775</xdr:rowOff>
                  </from>
                  <to>
                    <xdr:col>186</xdr:col>
                    <xdr:colOff>381000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ExportAsianLeadersToCSV">
                <anchor moveWithCells="1" sizeWithCells="1">
                  <from>
                    <xdr:col>214</xdr:col>
                    <xdr:colOff>0</xdr:colOff>
                    <xdr:row>48</xdr:row>
                    <xdr:rowOff>19050</xdr:rowOff>
                  </from>
                  <to>
                    <xdr:col>215</xdr:col>
                    <xdr:colOff>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ExportHKEquityIncomeToCSV">
                <anchor moveWithCells="1" sizeWithCells="1">
                  <from>
                    <xdr:col>241</xdr:col>
                    <xdr:colOff>0</xdr:colOff>
                    <xdr:row>35</xdr:row>
                    <xdr:rowOff>19050</xdr:rowOff>
                  </from>
                  <to>
                    <xdr:col>242</xdr:col>
                    <xdr:colOff>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ExportAIandRoboticsToCSV">
                <anchor moveWithCells="1" sizeWithCells="1">
                  <from>
                    <xdr:col>268</xdr:col>
                    <xdr:colOff>0</xdr:colOff>
                    <xdr:row>40</xdr:row>
                    <xdr:rowOff>19050</xdr:rowOff>
                  </from>
                  <to>
                    <xdr:col>269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ExportSustainableFutureToCSV">
                <anchor moveWithCells="1" sizeWithCells="1">
                  <from>
                    <xdr:col>295</xdr:col>
                    <xdr:colOff>0</xdr:colOff>
                    <xdr:row>48</xdr:row>
                    <xdr:rowOff>19050</xdr:rowOff>
                  </from>
                  <to>
                    <xdr:col>296</xdr:col>
                    <xdr:colOff>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[0]!ExportUSREITToCSV">
                <anchor moveWithCells="1" sizeWithCells="1">
                  <from>
                    <xdr:col>322</xdr:col>
                    <xdr:colOff>0</xdr:colOff>
                    <xdr:row>30</xdr:row>
                    <xdr:rowOff>19050</xdr:rowOff>
                  </from>
                  <to>
                    <xdr:col>323</xdr:col>
                    <xdr:colOff>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[0]!ExportGlobalEquityIncomeToCSV">
                <anchor moveWithCells="1" sizeWithCells="1">
                  <from>
                    <xdr:col>349</xdr:col>
                    <xdr:colOff>0</xdr:colOff>
                    <xdr:row>46</xdr:row>
                    <xdr:rowOff>19050</xdr:rowOff>
                  </from>
                  <to>
                    <xdr:col>350</xdr:col>
                    <xdr:colOff>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 macro="[0]!ExportUSEquityIncomeToCSV">
                <anchor moveWithCells="1" sizeWithCells="1">
                  <from>
                    <xdr:col>376</xdr:col>
                    <xdr:colOff>0</xdr:colOff>
                    <xdr:row>42</xdr:row>
                    <xdr:rowOff>19050</xdr:rowOff>
                  </from>
                  <to>
                    <xdr:col>377</xdr:col>
                    <xdr:colOff>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utton 15">
              <controlPr defaultSize="0" print="0" autoFill="0" autoPict="0" macro="[0]!ExportEuropeEquityIncomeToCSV">
                <anchor moveWithCells="1" sizeWithCells="1">
                  <from>
                    <xdr:col>403</xdr:col>
                    <xdr:colOff>0</xdr:colOff>
                    <xdr:row>41</xdr:row>
                    <xdr:rowOff>19050</xdr:rowOff>
                  </from>
                  <to>
                    <xdr:col>404</xdr:col>
                    <xdr:colOff>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Button 16">
              <controlPr defaultSize="0" print="0" autoFill="0" autoPict="0" macro="[0]!ExportJapanEquityIncomeToCSV">
                <anchor moveWithCells="1" sizeWithCells="1">
                  <from>
                    <xdr:col>430</xdr:col>
                    <xdr:colOff>0</xdr:colOff>
                    <xdr:row>36</xdr:row>
                    <xdr:rowOff>19050</xdr:rowOff>
                  </from>
                  <to>
                    <xdr:col>431</xdr:col>
                    <xdr:colOff>0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Button 17">
              <controlPr defaultSize="0" print="0" autoFill="0" autoPict="0" macro="[0]!ExportCybersecurityToCSV">
                <anchor moveWithCells="1" sizeWithCells="1">
                  <from>
                    <xdr:col>457</xdr:col>
                    <xdr:colOff>0</xdr:colOff>
                    <xdr:row>34</xdr:row>
                    <xdr:rowOff>19050</xdr:rowOff>
                  </from>
                  <to>
                    <xdr:col>458</xdr:col>
                    <xdr:colOff>0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CAC42-0EA7-46FB-BC65-FF5AEA75906B}">
  <dimension ref="A1:E957"/>
  <sheetViews>
    <sheetView tabSelected="1" workbookViewId="0">
      <selection activeCell="A32" sqref="A32"/>
    </sheetView>
  </sheetViews>
  <sheetFormatPr defaultRowHeight="14.25" x14ac:dyDescent="0.2"/>
  <cols>
    <col min="1" max="1" width="75.3984375" bestFit="1" customWidth="1"/>
    <col min="2" max="2" width="12.09765625" bestFit="1" customWidth="1"/>
    <col min="3" max="3" width="13.5" bestFit="1" customWidth="1"/>
    <col min="4" max="4" width="25.09765625" bestFit="1" customWidth="1"/>
    <col min="5" max="5" width="44.8984375" bestFit="1" customWidth="1"/>
  </cols>
  <sheetData>
    <row r="1" spans="1:5" ht="12.75" customHeight="1" x14ac:dyDescent="0.2">
      <c r="A1" s="3" t="s">
        <v>1838</v>
      </c>
      <c r="B1" s="3" t="s">
        <v>1839</v>
      </c>
      <c r="C1" s="3" t="s">
        <v>1426</v>
      </c>
      <c r="D1" s="3" t="s">
        <v>1838</v>
      </c>
      <c r="E1" s="3" t="s">
        <v>1840</v>
      </c>
    </row>
    <row r="2" spans="1:5" x14ac:dyDescent="0.2">
      <c r="A2" s="3" t="s">
        <v>1172</v>
      </c>
      <c r="B2" t="s">
        <v>1841</v>
      </c>
      <c r="C2" t="s">
        <v>1841</v>
      </c>
      <c r="D2" t="s">
        <v>1172</v>
      </c>
      <c r="E2" s="191">
        <v>0.99999999999999978</v>
      </c>
    </row>
    <row r="3" spans="1:5" x14ac:dyDescent="0.2">
      <c r="A3" t="s">
        <v>1842</v>
      </c>
      <c r="B3" t="s">
        <v>1843</v>
      </c>
      <c r="C3" t="s">
        <v>1823</v>
      </c>
      <c r="D3" t="s">
        <v>1172</v>
      </c>
      <c r="E3" s="192">
        <v>0.14955726966098765</v>
      </c>
    </row>
    <row r="4" spans="1:5" x14ac:dyDescent="0.2">
      <c r="A4" t="s">
        <v>1844</v>
      </c>
      <c r="B4" t="s">
        <v>1845</v>
      </c>
      <c r="C4" t="s">
        <v>1821</v>
      </c>
      <c r="D4" t="s">
        <v>1172</v>
      </c>
      <c r="E4" s="192">
        <v>0.20011639081661114</v>
      </c>
    </row>
    <row r="5" spans="1:5" x14ac:dyDescent="0.2">
      <c r="A5" t="s">
        <v>1846</v>
      </c>
      <c r="B5" t="s">
        <v>1847</v>
      </c>
      <c r="C5" t="s">
        <v>1822</v>
      </c>
      <c r="D5" t="s">
        <v>1172</v>
      </c>
      <c r="E5" s="192">
        <v>0.1505432822518514</v>
      </c>
    </row>
    <row r="6" spans="1:5" x14ac:dyDescent="0.2">
      <c r="A6" t="s">
        <v>1848</v>
      </c>
      <c r="B6" t="s">
        <v>1849</v>
      </c>
      <c r="C6" t="s">
        <v>1820</v>
      </c>
      <c r="D6" t="s">
        <v>1172</v>
      </c>
      <c r="E6" s="192">
        <v>0.35017656217046705</v>
      </c>
    </row>
    <row r="7" spans="1:5" x14ac:dyDescent="0.2">
      <c r="A7" t="s">
        <v>1850</v>
      </c>
      <c r="B7" t="s">
        <v>1851</v>
      </c>
      <c r="C7" t="s">
        <v>1824</v>
      </c>
      <c r="D7" t="s">
        <v>1172</v>
      </c>
      <c r="E7" s="192">
        <v>0.14960649510008264</v>
      </c>
    </row>
    <row r="8" spans="1:5" x14ac:dyDescent="0.2">
      <c r="A8" s="3" t="s">
        <v>1165</v>
      </c>
      <c r="B8" t="s">
        <v>1841</v>
      </c>
      <c r="C8" t="s">
        <v>1841</v>
      </c>
      <c r="D8" t="s">
        <v>1165</v>
      </c>
      <c r="E8" s="191">
        <v>1</v>
      </c>
    </row>
    <row r="9" spans="1:5" x14ac:dyDescent="0.2">
      <c r="A9" t="s">
        <v>1852</v>
      </c>
      <c r="B9" t="s">
        <v>1853</v>
      </c>
      <c r="C9" t="s">
        <v>1816</v>
      </c>
      <c r="D9" t="s">
        <v>1165</v>
      </c>
      <c r="E9" s="192">
        <v>0.12487274885961962</v>
      </c>
    </row>
    <row r="10" spans="1:5" x14ac:dyDescent="0.2">
      <c r="A10" t="s">
        <v>1854</v>
      </c>
      <c r="B10" t="s">
        <v>1845</v>
      </c>
      <c r="C10" t="s">
        <v>1815</v>
      </c>
      <c r="D10" t="s">
        <v>1165</v>
      </c>
      <c r="E10" s="192">
        <v>0.2008662214995435</v>
      </c>
    </row>
    <row r="11" spans="1:5" x14ac:dyDescent="0.2">
      <c r="A11" t="s">
        <v>1855</v>
      </c>
      <c r="B11" t="s">
        <v>1856</v>
      </c>
      <c r="C11" t="s">
        <v>1814</v>
      </c>
      <c r="D11" t="s">
        <v>1165</v>
      </c>
      <c r="E11" s="192">
        <v>0.34891195499874517</v>
      </c>
    </row>
    <row r="12" spans="1:5" x14ac:dyDescent="0.2">
      <c r="A12" t="s">
        <v>1857</v>
      </c>
      <c r="B12" t="s">
        <v>1858</v>
      </c>
      <c r="C12" t="s">
        <v>1818</v>
      </c>
      <c r="D12" t="s">
        <v>1165</v>
      </c>
      <c r="E12" s="192">
        <v>0.10049814915848035</v>
      </c>
    </row>
    <row r="13" spans="1:5" x14ac:dyDescent="0.2">
      <c r="A13" t="s">
        <v>1859</v>
      </c>
      <c r="B13" t="s">
        <v>1860</v>
      </c>
      <c r="C13" t="s">
        <v>1819</v>
      </c>
      <c r="D13" t="s">
        <v>1165</v>
      </c>
      <c r="E13" s="192">
        <v>0.10017433569699503</v>
      </c>
    </row>
    <row r="14" spans="1:5" x14ac:dyDescent="0.2">
      <c r="A14" t="s">
        <v>1861</v>
      </c>
      <c r="B14" t="s">
        <v>1851</v>
      </c>
      <c r="C14" t="s">
        <v>1817</v>
      </c>
      <c r="D14" t="s">
        <v>1165</v>
      </c>
      <c r="E14" s="192">
        <v>0.12467658978661629</v>
      </c>
    </row>
    <row r="15" spans="1:5" x14ac:dyDescent="0.2">
      <c r="A15" s="3" t="s">
        <v>252</v>
      </c>
      <c r="B15" t="s">
        <v>1841</v>
      </c>
      <c r="C15" t="s">
        <v>1841</v>
      </c>
      <c r="D15" t="s">
        <v>252</v>
      </c>
      <c r="E15" s="192">
        <v>0.99544721253881063</v>
      </c>
    </row>
    <row r="16" spans="1:5" x14ac:dyDescent="0.2">
      <c r="A16" t="s">
        <v>922</v>
      </c>
      <c r="B16" t="s">
        <v>369</v>
      </c>
      <c r="C16" t="s">
        <v>1496</v>
      </c>
      <c r="D16" t="s">
        <v>252</v>
      </c>
      <c r="E16" s="192">
        <v>6.3322800612150384E-2</v>
      </c>
    </row>
    <row r="17" spans="1:5" x14ac:dyDescent="0.2">
      <c r="A17" t="s">
        <v>1862</v>
      </c>
      <c r="B17" t="s">
        <v>370</v>
      </c>
      <c r="C17" t="s">
        <v>1497</v>
      </c>
      <c r="D17" t="s">
        <v>252</v>
      </c>
      <c r="E17" s="192">
        <v>6.420903878686314E-2</v>
      </c>
    </row>
    <row r="18" spans="1:5" x14ac:dyDescent="0.2">
      <c r="A18" t="s">
        <v>1863</v>
      </c>
      <c r="B18" t="s">
        <v>371</v>
      </c>
      <c r="C18" t="s">
        <v>1500</v>
      </c>
      <c r="D18" t="s">
        <v>252</v>
      </c>
      <c r="E18" s="192">
        <v>7.0922930513645011E-2</v>
      </c>
    </row>
    <row r="19" spans="1:5" x14ac:dyDescent="0.2">
      <c r="A19" t="s">
        <v>1864</v>
      </c>
      <c r="B19" t="s">
        <v>748</v>
      </c>
      <c r="C19" t="s">
        <v>1641</v>
      </c>
      <c r="D19" t="s">
        <v>252</v>
      </c>
      <c r="E19" s="192">
        <v>6.7048800264707734E-2</v>
      </c>
    </row>
    <row r="20" spans="1:5" x14ac:dyDescent="0.2">
      <c r="A20" t="s">
        <v>1865</v>
      </c>
      <c r="B20" t="s">
        <v>372</v>
      </c>
      <c r="C20" t="s">
        <v>1501</v>
      </c>
      <c r="D20" t="s">
        <v>252</v>
      </c>
      <c r="E20" s="192">
        <v>6.6756817775118132E-2</v>
      </c>
    </row>
    <row r="21" spans="1:5" x14ac:dyDescent="0.2">
      <c r="A21" t="s">
        <v>1866</v>
      </c>
      <c r="B21" t="s">
        <v>373</v>
      </c>
      <c r="C21" t="s">
        <v>1642</v>
      </c>
      <c r="D21" t="s">
        <v>252</v>
      </c>
      <c r="E21" s="192">
        <v>7.0520511241952646E-2</v>
      </c>
    </row>
    <row r="22" spans="1:5" x14ac:dyDescent="0.2">
      <c r="A22" t="s">
        <v>1867</v>
      </c>
      <c r="B22" t="s">
        <v>375</v>
      </c>
      <c r="C22" t="s">
        <v>1504</v>
      </c>
      <c r="D22" t="s">
        <v>252</v>
      </c>
      <c r="E22" s="192">
        <v>6.7177808065159536E-2</v>
      </c>
    </row>
    <row r="23" spans="1:5" x14ac:dyDescent="0.2">
      <c r="A23" t="s">
        <v>1868</v>
      </c>
      <c r="B23" t="s">
        <v>374</v>
      </c>
      <c r="C23" t="s">
        <v>1643</v>
      </c>
      <c r="D23" t="s">
        <v>252</v>
      </c>
      <c r="E23" s="192">
        <v>6.8141865058957751E-2</v>
      </c>
    </row>
    <row r="24" spans="1:5" x14ac:dyDescent="0.2">
      <c r="A24" t="s">
        <v>1869</v>
      </c>
      <c r="B24" t="s">
        <v>376</v>
      </c>
      <c r="C24" t="s">
        <v>1505</v>
      </c>
      <c r="D24" t="s">
        <v>252</v>
      </c>
      <c r="E24" s="192">
        <v>6.7643177815248687E-2</v>
      </c>
    </row>
    <row r="25" spans="1:5" x14ac:dyDescent="0.2">
      <c r="A25" t="s">
        <v>1870</v>
      </c>
      <c r="B25" t="s">
        <v>377</v>
      </c>
      <c r="C25" t="s">
        <v>1506</v>
      </c>
      <c r="D25" t="s">
        <v>252</v>
      </c>
      <c r="E25" s="192">
        <v>6.6553964216626724E-2</v>
      </c>
    </row>
    <row r="26" spans="1:5" x14ac:dyDescent="0.2">
      <c r="A26" t="s">
        <v>1871</v>
      </c>
      <c r="B26" t="s">
        <v>749</v>
      </c>
      <c r="C26" t="s">
        <v>1644</v>
      </c>
      <c r="D26" t="s">
        <v>252</v>
      </c>
      <c r="E26" s="192">
        <v>5.9989799512474871E-2</v>
      </c>
    </row>
    <row r="27" spans="1:5" x14ac:dyDescent="0.2">
      <c r="A27" t="s">
        <v>1872</v>
      </c>
      <c r="B27" t="s">
        <v>750</v>
      </c>
      <c r="C27" t="s">
        <v>1645</v>
      </c>
      <c r="D27" t="s">
        <v>252</v>
      </c>
      <c r="E27" s="192">
        <v>6.7857142497335585E-2</v>
      </c>
    </row>
    <row r="28" spans="1:5" x14ac:dyDescent="0.2">
      <c r="A28" t="s">
        <v>939</v>
      </c>
      <c r="B28" t="s">
        <v>378</v>
      </c>
      <c r="C28" t="s">
        <v>1508</v>
      </c>
      <c r="D28" t="s">
        <v>252</v>
      </c>
      <c r="E28" s="192">
        <v>6.9084405173850172E-2</v>
      </c>
    </row>
    <row r="29" spans="1:5" x14ac:dyDescent="0.2">
      <c r="A29" t="s">
        <v>1873</v>
      </c>
      <c r="B29" t="s">
        <v>379</v>
      </c>
      <c r="C29" t="s">
        <v>1509</v>
      </c>
      <c r="D29" t="s">
        <v>252</v>
      </c>
      <c r="E29" s="192">
        <v>5.9796109113447064E-2</v>
      </c>
    </row>
    <row r="30" spans="1:5" x14ac:dyDescent="0.2">
      <c r="A30" t="s">
        <v>941</v>
      </c>
      <c r="B30" t="s">
        <v>744</v>
      </c>
      <c r="C30" t="s">
        <v>1510</v>
      </c>
      <c r="D30" t="s">
        <v>252</v>
      </c>
      <c r="E30" s="192">
        <v>6.6422041891273292E-2</v>
      </c>
    </row>
    <row r="31" spans="1:5" x14ac:dyDescent="0.2">
      <c r="A31" s="3" t="s">
        <v>568</v>
      </c>
      <c r="B31" t="s">
        <v>1841</v>
      </c>
      <c r="C31" t="s">
        <v>1841</v>
      </c>
      <c r="D31" t="s">
        <v>568</v>
      </c>
      <c r="E31" s="191">
        <v>0.99510683038868786</v>
      </c>
    </row>
    <row r="32" spans="1:5" x14ac:dyDescent="0.2">
      <c r="A32" t="s">
        <v>1874</v>
      </c>
      <c r="B32" t="s">
        <v>587</v>
      </c>
      <c r="C32" t="s">
        <v>1754</v>
      </c>
      <c r="D32" t="s">
        <v>568</v>
      </c>
      <c r="E32" s="192">
        <v>0.14302480416567503</v>
      </c>
    </row>
    <row r="33" spans="1:5" x14ac:dyDescent="0.2">
      <c r="A33" t="s">
        <v>1875</v>
      </c>
      <c r="B33" t="s">
        <v>589</v>
      </c>
      <c r="C33" t="s">
        <v>1753</v>
      </c>
      <c r="D33" t="s">
        <v>568</v>
      </c>
      <c r="E33" s="192">
        <v>0.15276346358050796</v>
      </c>
    </row>
    <row r="34" spans="1:5" x14ac:dyDescent="0.2">
      <c r="A34" t="s">
        <v>1876</v>
      </c>
      <c r="B34" t="s">
        <v>596</v>
      </c>
      <c r="C34" t="s">
        <v>1762</v>
      </c>
      <c r="D34" t="s">
        <v>568</v>
      </c>
      <c r="E34" s="192">
        <v>1.2499573942498166E-2</v>
      </c>
    </row>
    <row r="35" spans="1:5" x14ac:dyDescent="0.2">
      <c r="A35" t="s">
        <v>1877</v>
      </c>
      <c r="B35" t="s">
        <v>591</v>
      </c>
      <c r="C35" t="s">
        <v>1758</v>
      </c>
      <c r="D35" t="s">
        <v>568</v>
      </c>
      <c r="E35" s="192">
        <v>2.192502995402177E-2</v>
      </c>
    </row>
    <row r="36" spans="1:5" x14ac:dyDescent="0.2">
      <c r="A36" t="s">
        <v>1878</v>
      </c>
      <c r="B36" t="s">
        <v>599</v>
      </c>
      <c r="C36" t="s">
        <v>1767</v>
      </c>
      <c r="D36" t="s">
        <v>568</v>
      </c>
      <c r="E36" s="192">
        <v>1.4565757558674558E-2</v>
      </c>
    </row>
    <row r="37" spans="1:5" x14ac:dyDescent="0.2">
      <c r="A37" t="s">
        <v>1879</v>
      </c>
      <c r="B37" t="s">
        <v>598</v>
      </c>
      <c r="C37" t="s">
        <v>1766</v>
      </c>
      <c r="D37" t="s">
        <v>568</v>
      </c>
      <c r="E37" s="192">
        <v>2.4597166049951703E-2</v>
      </c>
    </row>
    <row r="38" spans="1:5" x14ac:dyDescent="0.2">
      <c r="A38" t="s">
        <v>1880</v>
      </c>
      <c r="B38" t="s">
        <v>1265</v>
      </c>
      <c r="C38" t="s">
        <v>1759</v>
      </c>
      <c r="D38" t="s">
        <v>568</v>
      </c>
      <c r="E38" s="192">
        <v>2.2069504021158409E-2</v>
      </c>
    </row>
    <row r="39" spans="1:5" x14ac:dyDescent="0.2">
      <c r="A39" t="s">
        <v>1881</v>
      </c>
      <c r="B39" t="s">
        <v>600</v>
      </c>
      <c r="C39" t="s">
        <v>1768</v>
      </c>
      <c r="D39" t="s">
        <v>568</v>
      </c>
      <c r="E39" s="192">
        <v>7.706691167300439E-2</v>
      </c>
    </row>
    <row r="40" spans="1:5" x14ac:dyDescent="0.2">
      <c r="A40" t="s">
        <v>1882</v>
      </c>
      <c r="B40" t="s">
        <v>597</v>
      </c>
      <c r="C40" t="s">
        <v>1763</v>
      </c>
      <c r="D40" t="s">
        <v>568</v>
      </c>
      <c r="E40" s="192">
        <v>5.9249274487737348E-2</v>
      </c>
    </row>
    <row r="41" spans="1:5" x14ac:dyDescent="0.2">
      <c r="A41" t="s">
        <v>1883</v>
      </c>
      <c r="B41" t="s">
        <v>602</v>
      </c>
      <c r="C41" t="s">
        <v>1765</v>
      </c>
      <c r="D41" t="s">
        <v>568</v>
      </c>
      <c r="E41" s="192">
        <v>3.8213172621794342E-2</v>
      </c>
    </row>
    <row r="42" spans="1:5" x14ac:dyDescent="0.2">
      <c r="A42" t="s">
        <v>1884</v>
      </c>
      <c r="B42" t="s">
        <v>592</v>
      </c>
      <c r="C42" t="s">
        <v>1755</v>
      </c>
      <c r="D42" t="s">
        <v>568</v>
      </c>
      <c r="E42" s="192">
        <v>3.9805424119576445E-2</v>
      </c>
    </row>
    <row r="43" spans="1:5" x14ac:dyDescent="0.2">
      <c r="A43" t="s">
        <v>1885</v>
      </c>
      <c r="B43" t="s">
        <v>1279</v>
      </c>
      <c r="C43" t="s">
        <v>1764</v>
      </c>
      <c r="D43" t="s">
        <v>568</v>
      </c>
      <c r="E43" s="192">
        <v>1.9009237158163893E-2</v>
      </c>
    </row>
    <row r="44" spans="1:5" x14ac:dyDescent="0.2">
      <c r="A44" t="s">
        <v>1886</v>
      </c>
      <c r="B44" t="s">
        <v>593</v>
      </c>
      <c r="C44" t="s">
        <v>1752</v>
      </c>
      <c r="D44" t="s">
        <v>568</v>
      </c>
      <c r="E44" s="192">
        <v>7.5204677052385954E-2</v>
      </c>
    </row>
    <row r="45" spans="1:5" x14ac:dyDescent="0.2">
      <c r="A45" t="s">
        <v>1887</v>
      </c>
      <c r="B45" t="s">
        <v>594</v>
      </c>
      <c r="C45" t="s">
        <v>1751</v>
      </c>
      <c r="D45" t="s">
        <v>568</v>
      </c>
      <c r="E45" s="192">
        <v>0.22271217887416855</v>
      </c>
    </row>
    <row r="46" spans="1:5" x14ac:dyDescent="0.2">
      <c r="A46" t="s">
        <v>801</v>
      </c>
      <c r="B46" t="s">
        <v>595</v>
      </c>
      <c r="C46" t="s">
        <v>1757</v>
      </c>
      <c r="D46" t="s">
        <v>568</v>
      </c>
      <c r="E46" s="192">
        <v>2.1350021288904692E-2</v>
      </c>
    </row>
    <row r="47" spans="1:5" x14ac:dyDescent="0.2">
      <c r="A47" t="s">
        <v>1888</v>
      </c>
      <c r="B47" t="s">
        <v>590</v>
      </c>
      <c r="C47" t="s">
        <v>1761</v>
      </c>
      <c r="D47" t="s">
        <v>568</v>
      </c>
      <c r="E47" s="192">
        <v>2.962266698012796E-2</v>
      </c>
    </row>
    <row r="48" spans="1:5" x14ac:dyDescent="0.2">
      <c r="A48" t="s">
        <v>1889</v>
      </c>
      <c r="B48" t="s">
        <v>601</v>
      </c>
      <c r="C48" t="s">
        <v>1769</v>
      </c>
      <c r="D48" t="s">
        <v>568</v>
      </c>
      <c r="E48" s="192">
        <v>2.1427966860336593E-2</v>
      </c>
    </row>
    <row r="49" spans="1:5" x14ac:dyDescent="0.2">
      <c r="A49" s="3" t="s">
        <v>266</v>
      </c>
      <c r="B49" t="s">
        <v>1841</v>
      </c>
      <c r="C49" t="s">
        <v>1841</v>
      </c>
      <c r="D49" t="s">
        <v>266</v>
      </c>
      <c r="E49" s="191">
        <v>0.99575904112849933</v>
      </c>
    </row>
    <row r="50" spans="1:5" x14ac:dyDescent="0.2">
      <c r="A50" t="s">
        <v>1890</v>
      </c>
      <c r="B50" t="s">
        <v>339</v>
      </c>
      <c r="C50" t="s">
        <v>1528</v>
      </c>
      <c r="D50" t="s">
        <v>266</v>
      </c>
      <c r="E50" s="192">
        <v>4.004186797399787E-2</v>
      </c>
    </row>
    <row r="51" spans="1:5" x14ac:dyDescent="0.2">
      <c r="A51" t="s">
        <v>1891</v>
      </c>
      <c r="B51" t="s">
        <v>1410</v>
      </c>
      <c r="C51" t="s">
        <v>1647</v>
      </c>
      <c r="D51" t="s">
        <v>266</v>
      </c>
      <c r="E51" s="192">
        <v>3.8943321057075535E-2</v>
      </c>
    </row>
    <row r="52" spans="1:5" x14ac:dyDescent="0.2">
      <c r="A52" t="s">
        <v>1892</v>
      </c>
      <c r="B52" t="s">
        <v>324</v>
      </c>
      <c r="C52" t="s">
        <v>1458</v>
      </c>
      <c r="D52" t="s">
        <v>266</v>
      </c>
      <c r="E52" s="192">
        <v>3.8724509534188968E-2</v>
      </c>
    </row>
    <row r="53" spans="1:5" x14ac:dyDescent="0.2">
      <c r="A53" t="s">
        <v>1893</v>
      </c>
      <c r="B53" t="s">
        <v>341</v>
      </c>
      <c r="C53" t="s">
        <v>1662</v>
      </c>
      <c r="D53" t="s">
        <v>266</v>
      </c>
      <c r="E53" s="192">
        <v>3.9928770566742267E-2</v>
      </c>
    </row>
    <row r="54" spans="1:5" x14ac:dyDescent="0.2">
      <c r="A54" t="s">
        <v>1894</v>
      </c>
      <c r="B54" t="s">
        <v>46</v>
      </c>
      <c r="C54" t="s">
        <v>1452</v>
      </c>
      <c r="D54" t="s">
        <v>266</v>
      </c>
      <c r="E54" s="192">
        <v>3.906903039179152E-2</v>
      </c>
    </row>
    <row r="55" spans="1:5" x14ac:dyDescent="0.2">
      <c r="A55" t="s">
        <v>1895</v>
      </c>
      <c r="B55" t="s">
        <v>342</v>
      </c>
      <c r="C55" t="s">
        <v>1663</v>
      </c>
      <c r="D55" t="s">
        <v>266</v>
      </c>
      <c r="E55" s="192">
        <v>3.6091167794548552E-2</v>
      </c>
    </row>
    <row r="56" spans="1:5" x14ac:dyDescent="0.2">
      <c r="A56" t="s">
        <v>1896</v>
      </c>
      <c r="B56" t="s">
        <v>44</v>
      </c>
      <c r="C56" t="s">
        <v>1457</v>
      </c>
      <c r="D56" t="s">
        <v>266</v>
      </c>
      <c r="E56" s="192">
        <v>3.8994345450813678E-2</v>
      </c>
    </row>
    <row r="57" spans="1:5" x14ac:dyDescent="0.2">
      <c r="A57" t="s">
        <v>961</v>
      </c>
      <c r="B57" t="s">
        <v>344</v>
      </c>
      <c r="C57" t="s">
        <v>1530</v>
      </c>
      <c r="D57" t="s">
        <v>266</v>
      </c>
      <c r="E57" s="192">
        <v>4.0146869470351079E-2</v>
      </c>
    </row>
    <row r="58" spans="1:5" x14ac:dyDescent="0.2">
      <c r="A58" t="s">
        <v>1414</v>
      </c>
      <c r="B58" t="s">
        <v>1411</v>
      </c>
      <c r="C58" t="s">
        <v>1651</v>
      </c>
      <c r="D58" t="s">
        <v>266</v>
      </c>
      <c r="E58" s="192">
        <v>3.8836485600953284E-2</v>
      </c>
    </row>
    <row r="59" spans="1:5" x14ac:dyDescent="0.2">
      <c r="A59" t="s">
        <v>1897</v>
      </c>
      <c r="B59" t="s">
        <v>345</v>
      </c>
      <c r="C59" t="s">
        <v>1664</v>
      </c>
      <c r="D59" t="s">
        <v>266</v>
      </c>
      <c r="E59" s="192">
        <v>3.9466559588308303E-2</v>
      </c>
    </row>
    <row r="60" spans="1:5" x14ac:dyDescent="0.2">
      <c r="A60" t="s">
        <v>1083</v>
      </c>
      <c r="B60" t="s">
        <v>332</v>
      </c>
      <c r="C60" t="s">
        <v>1652</v>
      </c>
      <c r="D60" t="s">
        <v>266</v>
      </c>
      <c r="E60" s="192">
        <v>3.7763439086668509E-2</v>
      </c>
    </row>
    <row r="61" spans="1:5" x14ac:dyDescent="0.2">
      <c r="A61" t="s">
        <v>1898</v>
      </c>
      <c r="B61" t="s">
        <v>333</v>
      </c>
      <c r="C61" t="s">
        <v>1665</v>
      </c>
      <c r="D61" t="s">
        <v>266</v>
      </c>
      <c r="E61" s="192">
        <v>3.5912040844638705E-2</v>
      </c>
    </row>
    <row r="62" spans="1:5" x14ac:dyDescent="0.2">
      <c r="A62" t="s">
        <v>50</v>
      </c>
      <c r="B62" t="s">
        <v>50</v>
      </c>
      <c r="C62" t="s">
        <v>1455</v>
      </c>
      <c r="D62" t="s">
        <v>266</v>
      </c>
      <c r="E62" s="192">
        <v>3.8581769865265375E-2</v>
      </c>
    </row>
    <row r="63" spans="1:5" x14ac:dyDescent="0.2">
      <c r="A63" t="s">
        <v>872</v>
      </c>
      <c r="B63" t="s">
        <v>52</v>
      </c>
      <c r="C63" t="s">
        <v>1653</v>
      </c>
      <c r="D63" t="s">
        <v>266</v>
      </c>
      <c r="E63" s="192">
        <v>3.7215533883056547E-2</v>
      </c>
    </row>
    <row r="64" spans="1:5" x14ac:dyDescent="0.2">
      <c r="A64" t="s">
        <v>899</v>
      </c>
      <c r="B64" t="s">
        <v>58</v>
      </c>
      <c r="C64" t="s">
        <v>1474</v>
      </c>
      <c r="D64" t="s">
        <v>266</v>
      </c>
      <c r="E64" s="192">
        <v>3.6715473824396938E-2</v>
      </c>
    </row>
    <row r="65" spans="1:5" x14ac:dyDescent="0.2">
      <c r="A65" t="s">
        <v>1899</v>
      </c>
      <c r="B65" t="s">
        <v>346</v>
      </c>
      <c r="C65" t="s">
        <v>1666</v>
      </c>
      <c r="D65" t="s">
        <v>266</v>
      </c>
      <c r="E65" s="192">
        <v>3.8278854029018344E-2</v>
      </c>
    </row>
    <row r="66" spans="1:5" x14ac:dyDescent="0.2">
      <c r="A66" t="s">
        <v>1900</v>
      </c>
      <c r="B66" t="s">
        <v>337</v>
      </c>
      <c r="C66" t="s">
        <v>1656</v>
      </c>
      <c r="D66" t="s">
        <v>266</v>
      </c>
      <c r="E66" s="192">
        <v>3.8615459361700452E-2</v>
      </c>
    </row>
    <row r="67" spans="1:5" x14ac:dyDescent="0.2">
      <c r="A67" t="s">
        <v>1901</v>
      </c>
      <c r="B67" t="s">
        <v>429</v>
      </c>
      <c r="C67" t="s">
        <v>1433</v>
      </c>
      <c r="D67" t="s">
        <v>266</v>
      </c>
      <c r="E67" s="192">
        <v>3.9905266916627664E-2</v>
      </c>
    </row>
    <row r="68" spans="1:5" x14ac:dyDescent="0.2">
      <c r="A68" t="s">
        <v>1902</v>
      </c>
      <c r="B68" t="s">
        <v>1412</v>
      </c>
      <c r="C68" t="s">
        <v>1657</v>
      </c>
      <c r="D68" t="s">
        <v>266</v>
      </c>
      <c r="E68" s="192">
        <v>3.7065848558487331E-2</v>
      </c>
    </row>
    <row r="69" spans="1:5" x14ac:dyDescent="0.2">
      <c r="A69" t="s">
        <v>1903</v>
      </c>
      <c r="B69" t="s">
        <v>347</v>
      </c>
      <c r="C69" t="s">
        <v>1667</v>
      </c>
      <c r="D69" t="s">
        <v>266</v>
      </c>
      <c r="E69" s="192">
        <v>3.5311158967165537E-2</v>
      </c>
    </row>
    <row r="70" spans="1:5" x14ac:dyDescent="0.2">
      <c r="A70" t="s">
        <v>1904</v>
      </c>
      <c r="B70" t="s">
        <v>348</v>
      </c>
      <c r="C70" t="s">
        <v>1668</v>
      </c>
      <c r="D70" t="s">
        <v>266</v>
      </c>
      <c r="E70" s="192">
        <v>3.7217873513336677E-2</v>
      </c>
    </row>
    <row r="71" spans="1:5" x14ac:dyDescent="0.2">
      <c r="A71" t="s">
        <v>1905</v>
      </c>
      <c r="B71" t="s">
        <v>154</v>
      </c>
      <c r="C71" t="s">
        <v>1669</v>
      </c>
      <c r="D71" t="s">
        <v>266</v>
      </c>
      <c r="E71" s="192">
        <v>4.0205321876608455E-2</v>
      </c>
    </row>
    <row r="72" spans="1:5" x14ac:dyDescent="0.2">
      <c r="A72" t="s">
        <v>1906</v>
      </c>
      <c r="B72" t="s">
        <v>73</v>
      </c>
      <c r="C72" t="s">
        <v>1447</v>
      </c>
      <c r="D72" t="s">
        <v>266</v>
      </c>
      <c r="E72" s="192">
        <v>3.8251414476745932E-2</v>
      </c>
    </row>
    <row r="73" spans="1:5" x14ac:dyDescent="0.2">
      <c r="A73" t="s">
        <v>1907</v>
      </c>
      <c r="B73" t="s">
        <v>75</v>
      </c>
      <c r="C73" t="s">
        <v>1436</v>
      </c>
      <c r="D73" t="s">
        <v>266</v>
      </c>
      <c r="E73" s="192">
        <v>4.0189036181591475E-2</v>
      </c>
    </row>
    <row r="74" spans="1:5" x14ac:dyDescent="0.2">
      <c r="A74" t="s">
        <v>1873</v>
      </c>
      <c r="B74" t="s">
        <v>379</v>
      </c>
      <c r="C74" t="s">
        <v>1509</v>
      </c>
      <c r="D74" t="s">
        <v>266</v>
      </c>
      <c r="E74" s="192">
        <v>3.8159401467603812E-2</v>
      </c>
    </row>
    <row r="75" spans="1:5" x14ac:dyDescent="0.2">
      <c r="A75" t="s">
        <v>1908</v>
      </c>
      <c r="B75" t="s">
        <v>160</v>
      </c>
      <c r="C75" t="s">
        <v>1670</v>
      </c>
      <c r="D75" t="s">
        <v>266</v>
      </c>
      <c r="E75" s="192">
        <v>3.6128220846816654E-2</v>
      </c>
    </row>
    <row r="76" spans="1:5" x14ac:dyDescent="0.2">
      <c r="A76" t="s">
        <v>164</v>
      </c>
      <c r="B76" t="s">
        <v>1841</v>
      </c>
      <c r="C76" t="s">
        <v>1841</v>
      </c>
      <c r="D76" t="s">
        <v>164</v>
      </c>
      <c r="E76" s="191">
        <v>1</v>
      </c>
    </row>
    <row r="77" spans="1:5" x14ac:dyDescent="0.2">
      <c r="A77" t="s">
        <v>1909</v>
      </c>
      <c r="B77" t="s">
        <v>321</v>
      </c>
      <c r="C77" t="s">
        <v>1437</v>
      </c>
      <c r="D77" t="s">
        <v>164</v>
      </c>
      <c r="E77" s="192">
        <v>3.5767722341072943E-2</v>
      </c>
    </row>
    <row r="78" spans="1:5" x14ac:dyDescent="0.2">
      <c r="A78" t="s">
        <v>1910</v>
      </c>
      <c r="B78" t="s">
        <v>38</v>
      </c>
      <c r="C78" t="s">
        <v>1461</v>
      </c>
      <c r="D78" t="s">
        <v>164</v>
      </c>
      <c r="E78" s="192">
        <v>2.4318876375980736E-2</v>
      </c>
    </row>
    <row r="79" spans="1:5" x14ac:dyDescent="0.2">
      <c r="A79" t="s">
        <v>852</v>
      </c>
      <c r="B79" t="s">
        <v>357</v>
      </c>
      <c r="C79" t="s">
        <v>1463</v>
      </c>
      <c r="D79" t="s">
        <v>164</v>
      </c>
      <c r="E79" s="192">
        <v>2.8222296550685408E-2</v>
      </c>
    </row>
    <row r="80" spans="1:5" x14ac:dyDescent="0.2">
      <c r="A80" t="s">
        <v>1911</v>
      </c>
      <c r="B80" t="s">
        <v>706</v>
      </c>
      <c r="C80" t="s">
        <v>1444</v>
      </c>
      <c r="D80" t="s">
        <v>164</v>
      </c>
      <c r="E80" s="192">
        <v>3.6433240016548955E-2</v>
      </c>
    </row>
    <row r="81" spans="1:5" x14ac:dyDescent="0.2">
      <c r="A81" t="s">
        <v>1912</v>
      </c>
      <c r="B81" t="s">
        <v>48</v>
      </c>
      <c r="C81" t="s">
        <v>1428</v>
      </c>
      <c r="D81" t="s">
        <v>164</v>
      </c>
      <c r="E81" s="192">
        <v>4.9737714237275063E-2</v>
      </c>
    </row>
    <row r="82" spans="1:5" x14ac:dyDescent="0.2">
      <c r="A82" t="s">
        <v>1913</v>
      </c>
      <c r="B82" t="s">
        <v>42</v>
      </c>
      <c r="C82" t="s">
        <v>1434</v>
      </c>
      <c r="D82" t="s">
        <v>164</v>
      </c>
      <c r="E82" s="192">
        <v>3.5152125172267623E-2</v>
      </c>
    </row>
    <row r="83" spans="1:5" x14ac:dyDescent="0.2">
      <c r="A83" t="s">
        <v>1914</v>
      </c>
      <c r="B83" t="s">
        <v>707</v>
      </c>
      <c r="C83" t="s">
        <v>1432</v>
      </c>
      <c r="D83" t="s">
        <v>164</v>
      </c>
      <c r="E83" s="192">
        <v>3.7948101130466087E-2</v>
      </c>
    </row>
    <row r="84" spans="1:5" x14ac:dyDescent="0.2">
      <c r="A84" t="s">
        <v>860</v>
      </c>
      <c r="B84" t="s">
        <v>32</v>
      </c>
      <c r="C84" t="s">
        <v>1429</v>
      </c>
      <c r="D84" t="s">
        <v>164</v>
      </c>
      <c r="E84" s="192">
        <v>3.8819625522085309E-2</v>
      </c>
    </row>
    <row r="85" spans="1:5" x14ac:dyDescent="0.2">
      <c r="A85" t="s">
        <v>1890</v>
      </c>
      <c r="B85" t="s">
        <v>339</v>
      </c>
      <c r="C85" t="s">
        <v>1528</v>
      </c>
      <c r="D85" t="s">
        <v>164</v>
      </c>
      <c r="E85" s="192">
        <v>3.62964841959907E-2</v>
      </c>
    </row>
    <row r="86" spans="1:5" x14ac:dyDescent="0.2">
      <c r="A86" t="s">
        <v>1892</v>
      </c>
      <c r="B86" t="s">
        <v>324</v>
      </c>
      <c r="C86" t="s">
        <v>1458</v>
      </c>
      <c r="D86" t="s">
        <v>164</v>
      </c>
      <c r="E86" s="192">
        <v>3.5090944936754714E-2</v>
      </c>
    </row>
    <row r="87" spans="1:5" x14ac:dyDescent="0.2">
      <c r="A87" t="s">
        <v>1894</v>
      </c>
      <c r="B87" t="s">
        <v>46</v>
      </c>
      <c r="C87" t="s">
        <v>1452</v>
      </c>
      <c r="D87" t="s">
        <v>164</v>
      </c>
      <c r="E87" s="192">
        <v>3.1553127444915612E-2</v>
      </c>
    </row>
    <row r="88" spans="1:5" x14ac:dyDescent="0.2">
      <c r="A88" t="s">
        <v>1915</v>
      </c>
      <c r="B88" t="s">
        <v>392</v>
      </c>
      <c r="C88" t="s">
        <v>1532</v>
      </c>
      <c r="D88" t="s">
        <v>164</v>
      </c>
      <c r="E88" s="192">
        <v>2.935254528130242E-2</v>
      </c>
    </row>
    <row r="89" spans="1:5" x14ac:dyDescent="0.2">
      <c r="A89" t="s">
        <v>1896</v>
      </c>
      <c r="B89" t="s">
        <v>44</v>
      </c>
      <c r="C89" t="s">
        <v>1457</v>
      </c>
      <c r="D89" t="s">
        <v>164</v>
      </c>
      <c r="E89" s="192">
        <v>2.8414299869882437E-2</v>
      </c>
    </row>
    <row r="90" spans="1:5" x14ac:dyDescent="0.2">
      <c r="A90" t="s">
        <v>961</v>
      </c>
      <c r="B90" t="s">
        <v>344</v>
      </c>
      <c r="C90" t="s">
        <v>1530</v>
      </c>
      <c r="D90" t="s">
        <v>164</v>
      </c>
      <c r="E90" s="192">
        <v>3.6949405940625818E-2</v>
      </c>
    </row>
    <row r="91" spans="1:5" x14ac:dyDescent="0.2">
      <c r="A91" t="s">
        <v>1916</v>
      </c>
      <c r="B91" t="s">
        <v>427</v>
      </c>
      <c r="C91" t="s">
        <v>1529</v>
      </c>
      <c r="D91" t="s">
        <v>164</v>
      </c>
      <c r="E91" s="192">
        <v>3.8713156946830467E-2</v>
      </c>
    </row>
    <row r="92" spans="1:5" x14ac:dyDescent="0.2">
      <c r="A92" t="s">
        <v>869</v>
      </c>
      <c r="B92" t="s">
        <v>77</v>
      </c>
      <c r="C92" t="s">
        <v>1443</v>
      </c>
      <c r="D92" t="s">
        <v>164</v>
      </c>
      <c r="E92" s="192">
        <v>3.4400609536156541E-2</v>
      </c>
    </row>
    <row r="93" spans="1:5" x14ac:dyDescent="0.2">
      <c r="A93" t="s">
        <v>1917</v>
      </c>
      <c r="B93" t="s">
        <v>331</v>
      </c>
      <c r="C93" t="s">
        <v>1531</v>
      </c>
      <c r="D93" t="s">
        <v>164</v>
      </c>
      <c r="E93" s="192">
        <v>3.6835704058551452E-2</v>
      </c>
    </row>
    <row r="94" spans="1:5" x14ac:dyDescent="0.2">
      <c r="A94" t="s">
        <v>50</v>
      </c>
      <c r="B94" t="s">
        <v>50</v>
      </c>
      <c r="C94" t="s">
        <v>1455</v>
      </c>
      <c r="D94" t="s">
        <v>164</v>
      </c>
      <c r="E94" s="192">
        <v>2.9152542566139958E-2</v>
      </c>
    </row>
    <row r="95" spans="1:5" x14ac:dyDescent="0.2">
      <c r="A95" t="s">
        <v>1918</v>
      </c>
      <c r="B95" t="s">
        <v>428</v>
      </c>
      <c r="C95" t="s">
        <v>1456</v>
      </c>
      <c r="D95" t="s">
        <v>164</v>
      </c>
      <c r="E95" s="192">
        <v>3.1675612628127965E-2</v>
      </c>
    </row>
    <row r="96" spans="1:5" x14ac:dyDescent="0.2">
      <c r="A96" t="s">
        <v>874</v>
      </c>
      <c r="B96" t="s">
        <v>358</v>
      </c>
      <c r="C96" t="s">
        <v>1439</v>
      </c>
      <c r="D96" t="s">
        <v>164</v>
      </c>
      <c r="E96" s="192">
        <v>3.3309627328274083E-2</v>
      </c>
    </row>
    <row r="97" spans="1:5" x14ac:dyDescent="0.2">
      <c r="A97" t="s">
        <v>1398</v>
      </c>
      <c r="B97" t="s">
        <v>1393</v>
      </c>
      <c r="C97" t="s">
        <v>1451</v>
      </c>
      <c r="D97" t="s">
        <v>164</v>
      </c>
      <c r="E97" s="192">
        <v>3.5700645000739196E-2</v>
      </c>
    </row>
    <row r="98" spans="1:5" x14ac:dyDescent="0.2">
      <c r="A98" t="s">
        <v>875</v>
      </c>
      <c r="B98" t="s">
        <v>60</v>
      </c>
      <c r="C98" t="s">
        <v>1430</v>
      </c>
      <c r="D98" t="s">
        <v>164</v>
      </c>
      <c r="E98" s="192">
        <v>3.7623386228760144E-2</v>
      </c>
    </row>
    <row r="99" spans="1:5" x14ac:dyDescent="0.2">
      <c r="A99" t="s">
        <v>880</v>
      </c>
      <c r="B99" t="s">
        <v>69</v>
      </c>
      <c r="C99" t="s">
        <v>1440</v>
      </c>
      <c r="D99" t="s">
        <v>164</v>
      </c>
      <c r="E99" s="192">
        <v>2.933088099289715E-2</v>
      </c>
    </row>
    <row r="100" spans="1:5" x14ac:dyDescent="0.2">
      <c r="A100" t="s">
        <v>1901</v>
      </c>
      <c r="B100" t="s">
        <v>429</v>
      </c>
      <c r="C100" t="s">
        <v>1433</v>
      </c>
      <c r="D100" t="s">
        <v>164</v>
      </c>
      <c r="E100" s="192">
        <v>3.5779926319327554E-2</v>
      </c>
    </row>
    <row r="101" spans="1:5" x14ac:dyDescent="0.2">
      <c r="A101" t="s">
        <v>1919</v>
      </c>
      <c r="B101" t="s">
        <v>340</v>
      </c>
      <c r="C101" t="s">
        <v>1448</v>
      </c>
      <c r="D101" t="s">
        <v>164</v>
      </c>
      <c r="E101" s="192">
        <v>3.1013408733608683E-2</v>
      </c>
    </row>
    <row r="102" spans="1:5" x14ac:dyDescent="0.2">
      <c r="A102" t="s">
        <v>1920</v>
      </c>
      <c r="B102" t="s">
        <v>1394</v>
      </c>
      <c r="C102" t="s">
        <v>1454</v>
      </c>
      <c r="D102" t="s">
        <v>164</v>
      </c>
      <c r="E102" s="192">
        <v>3.557846268997987E-2</v>
      </c>
    </row>
    <row r="103" spans="1:5" x14ac:dyDescent="0.2">
      <c r="A103" t="s">
        <v>1907</v>
      </c>
      <c r="B103" t="s">
        <v>75</v>
      </c>
      <c r="C103" t="s">
        <v>1436</v>
      </c>
      <c r="D103" t="s">
        <v>164</v>
      </c>
      <c r="E103" s="192">
        <v>3.7034530915955079E-2</v>
      </c>
    </row>
    <row r="104" spans="1:5" x14ac:dyDescent="0.2">
      <c r="A104" t="s">
        <v>1921</v>
      </c>
      <c r="B104" t="s">
        <v>708</v>
      </c>
      <c r="C104" t="s">
        <v>1446</v>
      </c>
      <c r="D104" t="s">
        <v>164</v>
      </c>
      <c r="E104" s="192">
        <v>3.4155995490264816E-2</v>
      </c>
    </row>
    <row r="105" spans="1:5" x14ac:dyDescent="0.2">
      <c r="A105" t="s">
        <v>889</v>
      </c>
      <c r="B105" t="s">
        <v>709</v>
      </c>
      <c r="C105" t="s">
        <v>1438</v>
      </c>
      <c r="D105" t="s">
        <v>164</v>
      </c>
      <c r="E105" s="192">
        <v>3.5639001548533417E-2</v>
      </c>
    </row>
    <row r="106" spans="1:5" x14ac:dyDescent="0.2">
      <c r="A106" t="s">
        <v>163</v>
      </c>
      <c r="B106" t="s">
        <v>1841</v>
      </c>
      <c r="C106" t="s">
        <v>1841</v>
      </c>
      <c r="D106" t="s">
        <v>163</v>
      </c>
      <c r="E106" s="192">
        <v>1</v>
      </c>
    </row>
    <row r="107" spans="1:5" x14ac:dyDescent="0.2">
      <c r="A107" t="s">
        <v>943</v>
      </c>
      <c r="B107" t="s">
        <v>128</v>
      </c>
      <c r="C107" t="s">
        <v>1512</v>
      </c>
      <c r="D107" t="s">
        <v>163</v>
      </c>
      <c r="E107" s="192">
        <v>4.1251457516998102E-2</v>
      </c>
    </row>
    <row r="108" spans="1:5" x14ac:dyDescent="0.2">
      <c r="A108" t="s">
        <v>1922</v>
      </c>
      <c r="B108" t="s">
        <v>131</v>
      </c>
      <c r="C108" t="s">
        <v>1465</v>
      </c>
      <c r="D108" t="s">
        <v>163</v>
      </c>
      <c r="E108" s="192">
        <v>6.0317006533666208E-2</v>
      </c>
    </row>
    <row r="109" spans="1:5" x14ac:dyDescent="0.2">
      <c r="A109" t="s">
        <v>944</v>
      </c>
      <c r="B109" t="s">
        <v>735</v>
      </c>
      <c r="C109" t="s">
        <v>1513</v>
      </c>
      <c r="D109" t="s">
        <v>163</v>
      </c>
      <c r="E109" s="192">
        <v>4.3067828144137087E-2</v>
      </c>
    </row>
    <row r="110" spans="1:5" x14ac:dyDescent="0.2">
      <c r="A110" t="s">
        <v>945</v>
      </c>
      <c r="B110" t="s">
        <v>134</v>
      </c>
      <c r="C110" t="s">
        <v>1514</v>
      </c>
      <c r="D110" t="s">
        <v>163</v>
      </c>
      <c r="E110" s="192">
        <v>4.7456476664745423E-2</v>
      </c>
    </row>
    <row r="111" spans="1:5" x14ac:dyDescent="0.2">
      <c r="A111" t="s">
        <v>1923</v>
      </c>
      <c r="B111" t="s">
        <v>136</v>
      </c>
      <c r="C111" t="s">
        <v>1515</v>
      </c>
      <c r="D111" t="s">
        <v>163</v>
      </c>
      <c r="E111" s="192">
        <v>5.8592247647981585E-2</v>
      </c>
    </row>
    <row r="112" spans="1:5" x14ac:dyDescent="0.2">
      <c r="A112" t="s">
        <v>893</v>
      </c>
      <c r="B112" t="s">
        <v>333</v>
      </c>
      <c r="C112" t="s">
        <v>1468</v>
      </c>
      <c r="D112" t="s">
        <v>163</v>
      </c>
      <c r="E112" s="192">
        <v>6.112408780508314E-2</v>
      </c>
    </row>
    <row r="113" spans="1:5" x14ac:dyDescent="0.2">
      <c r="A113" t="s">
        <v>947</v>
      </c>
      <c r="B113" t="s">
        <v>1924</v>
      </c>
      <c r="C113" t="s">
        <v>1516</v>
      </c>
      <c r="D113" t="s">
        <v>163</v>
      </c>
      <c r="E113" s="192">
        <v>3.2617668625163597E-2</v>
      </c>
    </row>
    <row r="114" spans="1:5" x14ac:dyDescent="0.2">
      <c r="A114" t="s">
        <v>1925</v>
      </c>
      <c r="B114" t="s">
        <v>140</v>
      </c>
      <c r="C114" t="s">
        <v>1517</v>
      </c>
      <c r="D114" t="s">
        <v>163</v>
      </c>
      <c r="E114" s="192">
        <v>2.5094825638015433E-2</v>
      </c>
    </row>
    <row r="115" spans="1:5" x14ac:dyDescent="0.2">
      <c r="A115" t="s">
        <v>1926</v>
      </c>
      <c r="B115" t="s">
        <v>140</v>
      </c>
      <c r="C115" t="s">
        <v>1517</v>
      </c>
      <c r="D115" t="s">
        <v>163</v>
      </c>
      <c r="E115" s="192">
        <v>2.9927800894442101E-2</v>
      </c>
    </row>
    <row r="116" spans="1:5" x14ac:dyDescent="0.2">
      <c r="A116" t="s">
        <v>1927</v>
      </c>
      <c r="B116" t="s">
        <v>726</v>
      </c>
      <c r="C116" t="s">
        <v>1518</v>
      </c>
      <c r="D116" t="s">
        <v>163</v>
      </c>
      <c r="E116" s="192">
        <v>5.5245768164738515E-2</v>
      </c>
    </row>
    <row r="117" spans="1:5" x14ac:dyDescent="0.2">
      <c r="A117" t="s">
        <v>1928</v>
      </c>
      <c r="B117" t="s">
        <v>1929</v>
      </c>
      <c r="C117" t="s">
        <v>1519</v>
      </c>
      <c r="D117" t="s">
        <v>163</v>
      </c>
      <c r="E117" s="192">
        <v>4.2345304315091828E-2</v>
      </c>
    </row>
    <row r="118" spans="1:5" x14ac:dyDescent="0.2">
      <c r="A118" t="s">
        <v>955</v>
      </c>
      <c r="B118" t="s">
        <v>1930</v>
      </c>
      <c r="C118" t="s">
        <v>1524</v>
      </c>
      <c r="D118" t="s">
        <v>163</v>
      </c>
      <c r="E118" s="192">
        <v>4.6258201565405596E-2</v>
      </c>
    </row>
    <row r="119" spans="1:5" x14ac:dyDescent="0.2">
      <c r="A119" t="s">
        <v>951</v>
      </c>
      <c r="B119" t="s">
        <v>1931</v>
      </c>
      <c r="C119" t="s">
        <v>1520</v>
      </c>
      <c r="D119" t="s">
        <v>163</v>
      </c>
      <c r="E119" s="192">
        <v>5.0858949058538022E-2</v>
      </c>
    </row>
    <row r="120" spans="1:5" x14ac:dyDescent="0.2">
      <c r="A120" t="s">
        <v>952</v>
      </c>
      <c r="B120" t="s">
        <v>146</v>
      </c>
      <c r="C120" t="s">
        <v>1521</v>
      </c>
      <c r="D120" t="s">
        <v>163</v>
      </c>
      <c r="E120" s="192">
        <v>5.2163192388781456E-2</v>
      </c>
    </row>
    <row r="121" spans="1:5" x14ac:dyDescent="0.2">
      <c r="A121" t="s">
        <v>1932</v>
      </c>
      <c r="B121" t="s">
        <v>1933</v>
      </c>
      <c r="C121" t="s">
        <v>1522</v>
      </c>
      <c r="D121" t="s">
        <v>163</v>
      </c>
      <c r="E121" s="192">
        <v>5.0770134114870524E-2</v>
      </c>
    </row>
    <row r="122" spans="1:5" x14ac:dyDescent="0.2">
      <c r="A122" t="s">
        <v>1934</v>
      </c>
      <c r="B122" t="s">
        <v>1935</v>
      </c>
      <c r="C122" t="s">
        <v>1511</v>
      </c>
      <c r="D122" t="s">
        <v>163</v>
      </c>
      <c r="E122" s="192">
        <v>3.7500585246107984E-2</v>
      </c>
    </row>
    <row r="123" spans="1:5" x14ac:dyDescent="0.2">
      <c r="A123" t="s">
        <v>954</v>
      </c>
      <c r="B123" t="s">
        <v>150</v>
      </c>
      <c r="C123" t="s">
        <v>1523</v>
      </c>
      <c r="D123" t="s">
        <v>163</v>
      </c>
      <c r="E123" s="192">
        <v>6.3553107143746845E-2</v>
      </c>
    </row>
    <row r="124" spans="1:5" x14ac:dyDescent="0.2">
      <c r="A124" t="s">
        <v>883</v>
      </c>
      <c r="B124" t="s">
        <v>154</v>
      </c>
      <c r="C124" t="s">
        <v>1431</v>
      </c>
      <c r="D124" t="s">
        <v>163</v>
      </c>
      <c r="E124" s="192">
        <v>2.1605940774943773E-2</v>
      </c>
    </row>
    <row r="125" spans="1:5" x14ac:dyDescent="0.2">
      <c r="A125" t="s">
        <v>1936</v>
      </c>
      <c r="B125" t="s">
        <v>154</v>
      </c>
      <c r="C125" t="s">
        <v>1431</v>
      </c>
      <c r="D125" t="s">
        <v>163</v>
      </c>
      <c r="E125" s="192">
        <v>2.7710137323509191E-2</v>
      </c>
    </row>
    <row r="126" spans="1:5" x14ac:dyDescent="0.2">
      <c r="A126" t="s">
        <v>956</v>
      </c>
      <c r="B126" t="s">
        <v>156</v>
      </c>
      <c r="C126" t="s">
        <v>1525</v>
      </c>
      <c r="D126" t="s">
        <v>163</v>
      </c>
      <c r="E126" s="192">
        <v>4.730005136910552E-2</v>
      </c>
    </row>
    <row r="127" spans="1:5" x14ac:dyDescent="0.2">
      <c r="A127" t="s">
        <v>957</v>
      </c>
      <c r="B127" t="s">
        <v>158</v>
      </c>
      <c r="C127" t="s">
        <v>1937</v>
      </c>
      <c r="D127" t="s">
        <v>163</v>
      </c>
      <c r="E127" s="192">
        <v>1.2731370278739775E-2</v>
      </c>
    </row>
    <row r="128" spans="1:5" x14ac:dyDescent="0.2">
      <c r="A128" t="s">
        <v>957</v>
      </c>
      <c r="B128" t="s">
        <v>158</v>
      </c>
      <c r="C128" t="s">
        <v>1526</v>
      </c>
      <c r="D128" t="s">
        <v>163</v>
      </c>
      <c r="E128" s="192">
        <v>3.5355056988452864E-2</v>
      </c>
    </row>
    <row r="129" spans="1:5" x14ac:dyDescent="0.2">
      <c r="A129" t="s">
        <v>958</v>
      </c>
      <c r="B129" t="s">
        <v>160</v>
      </c>
      <c r="C129" t="s">
        <v>1527</v>
      </c>
      <c r="D129" t="s">
        <v>163</v>
      </c>
      <c r="E129" s="192">
        <v>5.7152801797735263E-2</v>
      </c>
    </row>
    <row r="130" spans="1:5" x14ac:dyDescent="0.2">
      <c r="A130" t="s">
        <v>1938</v>
      </c>
      <c r="B130" t="s">
        <v>1841</v>
      </c>
      <c r="C130" t="s">
        <v>1841</v>
      </c>
      <c r="D130" t="s">
        <v>1938</v>
      </c>
      <c r="E130" s="192">
        <v>1</v>
      </c>
    </row>
    <row r="131" spans="1:5" x14ac:dyDescent="0.2">
      <c r="A131" t="s">
        <v>1939</v>
      </c>
      <c r="B131" t="s">
        <v>1940</v>
      </c>
      <c r="C131" t="s">
        <v>1533</v>
      </c>
      <c r="D131" t="s">
        <v>1938</v>
      </c>
      <c r="E131" s="192">
        <v>0.65705286076374236</v>
      </c>
    </row>
    <row r="132" spans="1:5" x14ac:dyDescent="0.2">
      <c r="A132" t="s">
        <v>1941</v>
      </c>
      <c r="B132" t="s">
        <v>1942</v>
      </c>
      <c r="C132" t="s">
        <v>1943</v>
      </c>
      <c r="D132" t="s">
        <v>1938</v>
      </c>
      <c r="E132" s="192">
        <v>6.5217054461879614E-2</v>
      </c>
    </row>
    <row r="133" spans="1:5" x14ac:dyDescent="0.2">
      <c r="A133" t="s">
        <v>1944</v>
      </c>
      <c r="B133" t="s">
        <v>1945</v>
      </c>
      <c r="C133" t="s">
        <v>1946</v>
      </c>
      <c r="D133" t="s">
        <v>1938</v>
      </c>
      <c r="E133" s="192">
        <v>6.6633095475246873E-2</v>
      </c>
    </row>
    <row r="134" spans="1:5" x14ac:dyDescent="0.2">
      <c r="A134" t="s">
        <v>1947</v>
      </c>
      <c r="B134" t="s">
        <v>1948</v>
      </c>
      <c r="C134" t="s">
        <v>1810</v>
      </c>
      <c r="D134" t="s">
        <v>1938</v>
      </c>
      <c r="E134" s="192">
        <v>7.0939027127899817E-2</v>
      </c>
    </row>
    <row r="135" spans="1:5" x14ac:dyDescent="0.2">
      <c r="A135" t="s">
        <v>1949</v>
      </c>
      <c r="B135" t="s">
        <v>1950</v>
      </c>
      <c r="C135" t="s">
        <v>1809</v>
      </c>
      <c r="D135" t="s">
        <v>1938</v>
      </c>
      <c r="E135" s="192">
        <v>7.1516484002463812E-2</v>
      </c>
    </row>
    <row r="136" spans="1:5" x14ac:dyDescent="0.2">
      <c r="A136" t="s">
        <v>1951</v>
      </c>
      <c r="B136" t="s">
        <v>1952</v>
      </c>
      <c r="C136" t="s">
        <v>1811</v>
      </c>
      <c r="D136" t="s">
        <v>1938</v>
      </c>
      <c r="E136" s="192">
        <v>6.8641478168767686E-2</v>
      </c>
    </row>
    <row r="137" spans="1:5" x14ac:dyDescent="0.2">
      <c r="A137" t="s">
        <v>106</v>
      </c>
      <c r="B137" t="s">
        <v>1841</v>
      </c>
      <c r="C137" t="s">
        <v>1841</v>
      </c>
      <c r="D137" t="s">
        <v>106</v>
      </c>
      <c r="E137" s="192">
        <v>1</v>
      </c>
    </row>
    <row r="138" spans="1:5" x14ac:dyDescent="0.2">
      <c r="A138" t="s">
        <v>1953</v>
      </c>
      <c r="B138" t="s">
        <v>1954</v>
      </c>
      <c r="C138" t="s">
        <v>1481</v>
      </c>
      <c r="D138" t="s">
        <v>106</v>
      </c>
      <c r="E138" s="192">
        <v>7.0139627762254311E-2</v>
      </c>
    </row>
    <row r="139" spans="1:5" x14ac:dyDescent="0.2">
      <c r="A139" t="s">
        <v>1955</v>
      </c>
      <c r="B139" t="s">
        <v>1956</v>
      </c>
      <c r="C139" t="s">
        <v>1482</v>
      </c>
      <c r="D139" t="s">
        <v>106</v>
      </c>
      <c r="E139" s="192">
        <v>6.7963455691363778E-2</v>
      </c>
    </row>
    <row r="140" spans="1:5" x14ac:dyDescent="0.2">
      <c r="A140" t="s">
        <v>1957</v>
      </c>
      <c r="B140" t="s">
        <v>1958</v>
      </c>
      <c r="C140" t="s">
        <v>1483</v>
      </c>
      <c r="D140" t="s">
        <v>106</v>
      </c>
      <c r="E140" s="192">
        <v>6.6671616997537653E-2</v>
      </c>
    </row>
    <row r="141" spans="1:5" x14ac:dyDescent="0.2">
      <c r="A141" t="s">
        <v>1959</v>
      </c>
      <c r="B141" t="s">
        <v>1960</v>
      </c>
      <c r="C141" t="s">
        <v>1484</v>
      </c>
      <c r="D141" t="s">
        <v>106</v>
      </c>
      <c r="E141" s="192">
        <v>5.3444088094836639E-2</v>
      </c>
    </row>
    <row r="142" spans="1:5" x14ac:dyDescent="0.2">
      <c r="A142" t="s">
        <v>1961</v>
      </c>
      <c r="B142" t="s">
        <v>1962</v>
      </c>
      <c r="C142" t="s">
        <v>1485</v>
      </c>
      <c r="D142" t="s">
        <v>106</v>
      </c>
      <c r="E142" s="192">
        <v>6.9510102307394891E-2</v>
      </c>
    </row>
    <row r="143" spans="1:5" x14ac:dyDescent="0.2">
      <c r="A143" t="s">
        <v>912</v>
      </c>
      <c r="B143" t="s">
        <v>1963</v>
      </c>
      <c r="C143" t="s">
        <v>1486</v>
      </c>
      <c r="D143" t="s">
        <v>106</v>
      </c>
      <c r="E143" s="192">
        <v>7.1178082460499503E-2</v>
      </c>
    </row>
    <row r="144" spans="1:5" x14ac:dyDescent="0.2">
      <c r="A144" t="s">
        <v>1964</v>
      </c>
      <c r="B144" t="s">
        <v>1965</v>
      </c>
      <c r="C144" t="s">
        <v>1487</v>
      </c>
      <c r="D144" t="s">
        <v>106</v>
      </c>
      <c r="E144" s="192">
        <v>6.4454258785839227E-2</v>
      </c>
    </row>
    <row r="145" spans="1:5" x14ac:dyDescent="0.2">
      <c r="A145" t="s">
        <v>1966</v>
      </c>
      <c r="B145" t="s">
        <v>1967</v>
      </c>
      <c r="C145" t="s">
        <v>1488</v>
      </c>
      <c r="D145" t="s">
        <v>106</v>
      </c>
      <c r="E145" s="192">
        <v>6.8902872545728397E-2</v>
      </c>
    </row>
    <row r="146" spans="1:5" x14ac:dyDescent="0.2">
      <c r="A146" t="s">
        <v>1968</v>
      </c>
      <c r="B146" t="s">
        <v>1969</v>
      </c>
      <c r="C146" t="s">
        <v>1489</v>
      </c>
      <c r="D146" t="s">
        <v>106</v>
      </c>
      <c r="E146" s="192">
        <v>6.7168117728304763E-2</v>
      </c>
    </row>
    <row r="147" spans="1:5" x14ac:dyDescent="0.2">
      <c r="A147" t="s">
        <v>1970</v>
      </c>
      <c r="B147" t="s">
        <v>1971</v>
      </c>
      <c r="C147" t="s">
        <v>1490</v>
      </c>
      <c r="D147" t="s">
        <v>106</v>
      </c>
      <c r="E147" s="192">
        <v>6.701260995225318E-2</v>
      </c>
    </row>
    <row r="148" spans="1:5" x14ac:dyDescent="0.2">
      <c r="A148" t="s">
        <v>1972</v>
      </c>
      <c r="B148" t="s">
        <v>1973</v>
      </c>
      <c r="C148" t="s">
        <v>1491</v>
      </c>
      <c r="D148" t="s">
        <v>106</v>
      </c>
      <c r="E148" s="192">
        <v>4.5052644932696922E-2</v>
      </c>
    </row>
    <row r="149" spans="1:5" x14ac:dyDescent="0.2">
      <c r="A149" t="s">
        <v>1974</v>
      </c>
      <c r="B149" t="s">
        <v>1975</v>
      </c>
      <c r="C149" t="s">
        <v>1492</v>
      </c>
      <c r="D149" t="s">
        <v>106</v>
      </c>
      <c r="E149" s="192">
        <v>6.8283839181783296E-2</v>
      </c>
    </row>
    <row r="150" spans="1:5" x14ac:dyDescent="0.2">
      <c r="A150" t="s">
        <v>1976</v>
      </c>
      <c r="B150" t="s">
        <v>1977</v>
      </c>
      <c r="C150" t="s">
        <v>1493</v>
      </c>
      <c r="D150" t="s">
        <v>106</v>
      </c>
      <c r="E150" s="192">
        <v>7.9290229909675242E-2</v>
      </c>
    </row>
    <row r="151" spans="1:5" x14ac:dyDescent="0.2">
      <c r="A151" t="s">
        <v>920</v>
      </c>
      <c r="B151" t="s">
        <v>1978</v>
      </c>
      <c r="C151" t="s">
        <v>1494</v>
      </c>
      <c r="D151" t="s">
        <v>106</v>
      </c>
      <c r="E151" s="192">
        <v>6.9837980148467496E-2</v>
      </c>
    </row>
    <row r="152" spans="1:5" x14ac:dyDescent="0.2">
      <c r="A152" t="s">
        <v>1979</v>
      </c>
      <c r="B152" t="s">
        <v>1980</v>
      </c>
      <c r="C152" t="s">
        <v>1495</v>
      </c>
      <c r="D152" t="s">
        <v>106</v>
      </c>
      <c r="E152" s="192">
        <v>7.1090473501364895E-2</v>
      </c>
    </row>
    <row r="153" spans="1:5" x14ac:dyDescent="0.2">
      <c r="A153" t="s">
        <v>280</v>
      </c>
      <c r="B153" t="s">
        <v>1841</v>
      </c>
      <c r="C153" t="s">
        <v>1841</v>
      </c>
      <c r="D153" t="s">
        <v>280</v>
      </c>
      <c r="E153" s="192">
        <v>1</v>
      </c>
    </row>
    <row r="154" spans="1:5" x14ac:dyDescent="0.2">
      <c r="A154" t="s">
        <v>1981</v>
      </c>
      <c r="B154" t="s">
        <v>1982</v>
      </c>
      <c r="C154" t="s">
        <v>1685</v>
      </c>
      <c r="D154" t="s">
        <v>280</v>
      </c>
      <c r="E154" s="192">
        <v>4.2395161827098418E-2</v>
      </c>
    </row>
    <row r="155" spans="1:5" x14ac:dyDescent="0.2">
      <c r="A155" t="s">
        <v>1100</v>
      </c>
      <c r="B155" t="s">
        <v>1983</v>
      </c>
      <c r="C155" t="s">
        <v>1681</v>
      </c>
      <c r="D155" t="s">
        <v>280</v>
      </c>
      <c r="E155" s="192">
        <v>4.4851153766553582E-2</v>
      </c>
    </row>
    <row r="156" spans="1:5" x14ac:dyDescent="0.2">
      <c r="A156" t="s">
        <v>994</v>
      </c>
      <c r="B156" t="s">
        <v>1984</v>
      </c>
      <c r="C156" t="s">
        <v>1556</v>
      </c>
      <c r="D156" t="s">
        <v>280</v>
      </c>
      <c r="E156" s="192">
        <v>4.4061604459741721E-2</v>
      </c>
    </row>
    <row r="157" spans="1:5" x14ac:dyDescent="0.2">
      <c r="A157" t="s">
        <v>1985</v>
      </c>
      <c r="B157" t="s">
        <v>1986</v>
      </c>
      <c r="C157" t="s">
        <v>1686</v>
      </c>
      <c r="D157" t="s">
        <v>280</v>
      </c>
      <c r="E157" s="192">
        <v>4.4199973635918779E-2</v>
      </c>
    </row>
    <row r="158" spans="1:5" x14ac:dyDescent="0.2">
      <c r="A158" t="s">
        <v>995</v>
      </c>
      <c r="B158" t="s">
        <v>1987</v>
      </c>
      <c r="C158" t="s">
        <v>1558</v>
      </c>
      <c r="D158" t="s">
        <v>280</v>
      </c>
      <c r="E158" s="192">
        <v>4.3749197247527509E-2</v>
      </c>
    </row>
    <row r="159" spans="1:5" x14ac:dyDescent="0.2">
      <c r="A159" t="s">
        <v>1988</v>
      </c>
      <c r="B159" t="s">
        <v>1989</v>
      </c>
      <c r="C159" t="s">
        <v>1687</v>
      </c>
      <c r="D159" t="s">
        <v>280</v>
      </c>
      <c r="E159" s="192">
        <v>4.4237369063596703E-2</v>
      </c>
    </row>
    <row r="160" spans="1:5" x14ac:dyDescent="0.2">
      <c r="A160" t="s">
        <v>1990</v>
      </c>
      <c r="B160" t="s">
        <v>1991</v>
      </c>
      <c r="C160" t="s">
        <v>1693</v>
      </c>
      <c r="D160" t="s">
        <v>280</v>
      </c>
      <c r="E160" s="192">
        <v>4.1950072956224688E-2</v>
      </c>
    </row>
    <row r="161" spans="1:5" x14ac:dyDescent="0.2">
      <c r="A161" t="s">
        <v>1992</v>
      </c>
      <c r="B161" t="s">
        <v>1993</v>
      </c>
      <c r="C161" t="s">
        <v>1694</v>
      </c>
      <c r="D161" t="s">
        <v>280</v>
      </c>
      <c r="E161" s="192">
        <v>4.3054507607883423E-2</v>
      </c>
    </row>
    <row r="162" spans="1:5" x14ac:dyDescent="0.2">
      <c r="A162" t="s">
        <v>1994</v>
      </c>
      <c r="B162" t="s">
        <v>1995</v>
      </c>
      <c r="C162" t="s">
        <v>1679</v>
      </c>
      <c r="D162" t="s">
        <v>280</v>
      </c>
      <c r="E162" s="192">
        <v>3.965580963989368E-2</v>
      </c>
    </row>
    <row r="163" spans="1:5" x14ac:dyDescent="0.2">
      <c r="A163" t="s">
        <v>1996</v>
      </c>
      <c r="B163" t="s">
        <v>1997</v>
      </c>
      <c r="C163" t="s">
        <v>1567</v>
      </c>
      <c r="D163" t="s">
        <v>280</v>
      </c>
      <c r="E163" s="192">
        <v>4.3495290215493844E-2</v>
      </c>
    </row>
    <row r="164" spans="1:5" x14ac:dyDescent="0.2">
      <c r="A164" t="s">
        <v>1998</v>
      </c>
      <c r="B164" t="s">
        <v>1999</v>
      </c>
      <c r="C164" t="s">
        <v>1689</v>
      </c>
      <c r="D164" t="s">
        <v>280</v>
      </c>
      <c r="E164" s="192">
        <v>4.3392508648926617E-2</v>
      </c>
    </row>
    <row r="165" spans="1:5" x14ac:dyDescent="0.2">
      <c r="A165" t="s">
        <v>2000</v>
      </c>
      <c r="B165" t="s">
        <v>2001</v>
      </c>
      <c r="C165" t="s">
        <v>1569</v>
      </c>
      <c r="D165" t="s">
        <v>280</v>
      </c>
      <c r="E165" s="192">
        <v>3.2309649513720486E-3</v>
      </c>
    </row>
    <row r="166" spans="1:5" x14ac:dyDescent="0.2">
      <c r="A166" t="s">
        <v>2002</v>
      </c>
      <c r="B166" t="s">
        <v>2003</v>
      </c>
      <c r="C166" t="s">
        <v>1569</v>
      </c>
      <c r="D166" t="s">
        <v>280</v>
      </c>
      <c r="E166" s="192">
        <v>3.9625389546199777E-2</v>
      </c>
    </row>
    <row r="167" spans="1:5" x14ac:dyDescent="0.2">
      <c r="A167" t="s">
        <v>1106</v>
      </c>
      <c r="B167" t="s">
        <v>2004</v>
      </c>
      <c r="C167" t="s">
        <v>1691</v>
      </c>
      <c r="D167" t="s">
        <v>280</v>
      </c>
      <c r="E167" s="192">
        <v>4.2957819810085007E-2</v>
      </c>
    </row>
    <row r="168" spans="1:5" x14ac:dyDescent="0.2">
      <c r="A168" t="s">
        <v>2005</v>
      </c>
      <c r="B168" t="s">
        <v>2006</v>
      </c>
      <c r="C168" t="s">
        <v>2007</v>
      </c>
      <c r="D168" t="s">
        <v>280</v>
      </c>
      <c r="E168" s="192">
        <v>4.1632628228494926E-3</v>
      </c>
    </row>
    <row r="169" spans="1:5" x14ac:dyDescent="0.2">
      <c r="A169" t="s">
        <v>2008</v>
      </c>
      <c r="B169" t="s">
        <v>2009</v>
      </c>
      <c r="C169" t="s">
        <v>1684</v>
      </c>
      <c r="D169" t="s">
        <v>280</v>
      </c>
      <c r="E169" s="192">
        <v>4.7492396276580511E-3</v>
      </c>
    </row>
    <row r="170" spans="1:5" x14ac:dyDescent="0.2">
      <c r="A170" t="s">
        <v>2010</v>
      </c>
      <c r="B170" t="s">
        <v>2011</v>
      </c>
      <c r="C170" t="s">
        <v>1684</v>
      </c>
      <c r="D170" t="s">
        <v>280</v>
      </c>
      <c r="E170" s="192">
        <v>3.9576996897150427E-2</v>
      </c>
    </row>
    <row r="171" spans="1:5" x14ac:dyDescent="0.2">
      <c r="A171" t="s">
        <v>2012</v>
      </c>
      <c r="B171" t="s">
        <v>2013</v>
      </c>
      <c r="C171" t="s">
        <v>2014</v>
      </c>
      <c r="D171" t="s">
        <v>280</v>
      </c>
      <c r="E171" s="192">
        <v>4.3387633633911581E-3</v>
      </c>
    </row>
    <row r="172" spans="1:5" x14ac:dyDescent="0.2">
      <c r="A172" t="s">
        <v>2015</v>
      </c>
      <c r="B172" t="s">
        <v>2016</v>
      </c>
      <c r="C172" t="s">
        <v>1678</v>
      </c>
      <c r="D172" t="s">
        <v>280</v>
      </c>
      <c r="E172" s="192">
        <v>4.2368479244916067E-2</v>
      </c>
    </row>
    <row r="173" spans="1:5" x14ac:dyDescent="0.2">
      <c r="A173" t="s">
        <v>2017</v>
      </c>
      <c r="B173" t="s">
        <v>2018</v>
      </c>
      <c r="C173" t="s">
        <v>1683</v>
      </c>
      <c r="D173" t="s">
        <v>280</v>
      </c>
      <c r="E173" s="192">
        <v>4.2519840336108228E-2</v>
      </c>
    </row>
    <row r="174" spans="1:5" x14ac:dyDescent="0.2">
      <c r="A174" t="s">
        <v>2019</v>
      </c>
      <c r="B174" t="s">
        <v>2020</v>
      </c>
      <c r="C174" t="s">
        <v>1692</v>
      </c>
      <c r="D174" t="s">
        <v>280</v>
      </c>
      <c r="E174" s="192">
        <v>4.2381958661432663E-2</v>
      </c>
    </row>
    <row r="175" spans="1:5" x14ac:dyDescent="0.2">
      <c r="A175" t="s">
        <v>2021</v>
      </c>
      <c r="B175" t="s">
        <v>2022</v>
      </c>
      <c r="C175" t="s">
        <v>1476</v>
      </c>
      <c r="D175" t="s">
        <v>280</v>
      </c>
      <c r="E175" s="192">
        <v>4.304557008035584E-3</v>
      </c>
    </row>
    <row r="176" spans="1:5" x14ac:dyDescent="0.2">
      <c r="A176" t="s">
        <v>2023</v>
      </c>
      <c r="B176" t="s">
        <v>2024</v>
      </c>
      <c r="C176" t="s">
        <v>1659</v>
      </c>
      <c r="D176" t="s">
        <v>280</v>
      </c>
      <c r="E176" s="192">
        <v>4.2695852753226474E-2</v>
      </c>
    </row>
    <row r="177" spans="1:5" x14ac:dyDescent="0.2">
      <c r="A177" t="s">
        <v>1111</v>
      </c>
      <c r="B177" t="s">
        <v>2025</v>
      </c>
      <c r="C177" t="s">
        <v>1688</v>
      </c>
      <c r="D177" t="s">
        <v>280</v>
      </c>
      <c r="E177" s="192">
        <v>4.2318786591862695E-2</v>
      </c>
    </row>
    <row r="178" spans="1:5" x14ac:dyDescent="0.2">
      <c r="A178" t="s">
        <v>2026</v>
      </c>
      <c r="B178" t="s">
        <v>2027</v>
      </c>
      <c r="C178" t="s">
        <v>1690</v>
      </c>
      <c r="D178" t="s">
        <v>280</v>
      </c>
      <c r="E178" s="192">
        <v>3.9248745886137318E-2</v>
      </c>
    </row>
    <row r="179" spans="1:5" x14ac:dyDescent="0.2">
      <c r="A179" t="s">
        <v>2028</v>
      </c>
      <c r="B179" t="s">
        <v>2029</v>
      </c>
      <c r="C179" t="s">
        <v>1680</v>
      </c>
      <c r="D179" t="s">
        <v>280</v>
      </c>
      <c r="E179" s="192">
        <v>4.3403396182460231E-2</v>
      </c>
    </row>
    <row r="180" spans="1:5" x14ac:dyDescent="0.2">
      <c r="A180" t="s">
        <v>2030</v>
      </c>
      <c r="B180" t="s">
        <v>2031</v>
      </c>
      <c r="C180" t="s">
        <v>1576</v>
      </c>
      <c r="D180" t="s">
        <v>280</v>
      </c>
      <c r="E180" s="192">
        <v>4.328688332360062E-3</v>
      </c>
    </row>
    <row r="181" spans="1:5" x14ac:dyDescent="0.2">
      <c r="A181" t="s">
        <v>2032</v>
      </c>
      <c r="B181" t="s">
        <v>2033</v>
      </c>
      <c r="C181" t="s">
        <v>1576</v>
      </c>
      <c r="D181" t="s">
        <v>280</v>
      </c>
      <c r="E181" s="192">
        <v>3.9915062938393836E-2</v>
      </c>
    </row>
    <row r="182" spans="1:5" x14ac:dyDescent="0.2">
      <c r="A182" t="s">
        <v>1113</v>
      </c>
      <c r="B182" t="s">
        <v>2034</v>
      </c>
      <c r="C182" t="s">
        <v>1682</v>
      </c>
      <c r="D182" t="s">
        <v>280</v>
      </c>
      <c r="E182" s="192">
        <v>4.2829545977501604E-2</v>
      </c>
    </row>
    <row r="183" spans="1:5" x14ac:dyDescent="0.2">
      <c r="A183" t="s">
        <v>205</v>
      </c>
      <c r="B183" t="s">
        <v>1841</v>
      </c>
      <c r="C183" t="s">
        <v>1841</v>
      </c>
      <c r="D183" t="s">
        <v>205</v>
      </c>
      <c r="E183" s="192">
        <v>1</v>
      </c>
    </row>
    <row r="184" spans="1:5" x14ac:dyDescent="0.2">
      <c r="A184" t="s">
        <v>2035</v>
      </c>
      <c r="B184" t="s">
        <v>2036</v>
      </c>
      <c r="C184" t="s">
        <v>1594</v>
      </c>
      <c r="D184" t="s">
        <v>205</v>
      </c>
      <c r="E184" s="192">
        <v>4.2672997050477557E-2</v>
      </c>
    </row>
    <row r="185" spans="1:5" x14ac:dyDescent="0.2">
      <c r="A185" t="s">
        <v>2037</v>
      </c>
      <c r="B185" t="s">
        <v>2038</v>
      </c>
      <c r="C185" t="s">
        <v>1593</v>
      </c>
      <c r="D185" t="s">
        <v>205</v>
      </c>
      <c r="E185" s="192">
        <v>3.7190674662303205E-2</v>
      </c>
    </row>
    <row r="186" spans="1:5" x14ac:dyDescent="0.2">
      <c r="A186" t="s">
        <v>2039</v>
      </c>
      <c r="B186" t="s">
        <v>2040</v>
      </c>
      <c r="C186" t="s">
        <v>1597</v>
      </c>
      <c r="D186" t="s">
        <v>205</v>
      </c>
      <c r="E186" s="192">
        <v>3.139670598452534E-2</v>
      </c>
    </row>
    <row r="187" spans="1:5" x14ac:dyDescent="0.2">
      <c r="A187" t="s">
        <v>2041</v>
      </c>
      <c r="B187" t="s">
        <v>2042</v>
      </c>
      <c r="C187" t="s">
        <v>1584</v>
      </c>
      <c r="D187" t="s">
        <v>205</v>
      </c>
      <c r="E187" s="192">
        <v>4.4035399695240778E-2</v>
      </c>
    </row>
    <row r="188" spans="1:5" x14ac:dyDescent="0.2">
      <c r="A188" t="s">
        <v>2043</v>
      </c>
      <c r="B188" t="s">
        <v>2044</v>
      </c>
      <c r="C188" t="s">
        <v>1582</v>
      </c>
      <c r="D188" t="s">
        <v>205</v>
      </c>
      <c r="E188" s="192">
        <v>3.3904154563983595E-2</v>
      </c>
    </row>
    <row r="189" spans="1:5" x14ac:dyDescent="0.2">
      <c r="A189" t="s">
        <v>2045</v>
      </c>
      <c r="B189" t="s">
        <v>2046</v>
      </c>
      <c r="C189" t="s">
        <v>1586</v>
      </c>
      <c r="D189" t="s">
        <v>205</v>
      </c>
      <c r="E189" s="192">
        <v>3.6920139159838869E-2</v>
      </c>
    </row>
    <row r="190" spans="1:5" x14ac:dyDescent="0.2">
      <c r="A190" t="s">
        <v>2047</v>
      </c>
      <c r="B190" t="s">
        <v>2048</v>
      </c>
      <c r="C190" t="s">
        <v>1583</v>
      </c>
      <c r="D190" t="s">
        <v>205</v>
      </c>
      <c r="E190" s="192">
        <v>3.8881521552705314E-2</v>
      </c>
    </row>
    <row r="191" spans="1:5" x14ac:dyDescent="0.2">
      <c r="A191" t="s">
        <v>2049</v>
      </c>
      <c r="B191" t="s">
        <v>2050</v>
      </c>
      <c r="C191" t="s">
        <v>1585</v>
      </c>
      <c r="D191" t="s">
        <v>205</v>
      </c>
      <c r="E191" s="192">
        <v>4.166545122696147E-2</v>
      </c>
    </row>
    <row r="192" spans="1:5" x14ac:dyDescent="0.2">
      <c r="A192" t="s">
        <v>2051</v>
      </c>
      <c r="B192" t="s">
        <v>2052</v>
      </c>
      <c r="C192" t="s">
        <v>1560</v>
      </c>
      <c r="D192" t="s">
        <v>205</v>
      </c>
      <c r="E192" s="192">
        <v>4.6548020276952026E-2</v>
      </c>
    </row>
    <row r="193" spans="1:5" x14ac:dyDescent="0.2">
      <c r="A193" t="s">
        <v>2053</v>
      </c>
      <c r="B193" t="s">
        <v>1856</v>
      </c>
      <c r="C193" t="s">
        <v>2054</v>
      </c>
      <c r="D193" t="s">
        <v>205</v>
      </c>
      <c r="E193" s="192">
        <v>8.3691368484497972E-2</v>
      </c>
    </row>
    <row r="194" spans="1:5" x14ac:dyDescent="0.2">
      <c r="A194" t="s">
        <v>2055</v>
      </c>
      <c r="B194" t="s">
        <v>2056</v>
      </c>
      <c r="C194" t="s">
        <v>1595</v>
      </c>
      <c r="D194" t="s">
        <v>205</v>
      </c>
      <c r="E194" s="192">
        <v>3.8478812659331112E-2</v>
      </c>
    </row>
    <row r="195" spans="1:5" x14ac:dyDescent="0.2">
      <c r="A195" t="s">
        <v>2057</v>
      </c>
      <c r="B195" t="s">
        <v>2058</v>
      </c>
      <c r="C195" t="s">
        <v>1563</v>
      </c>
      <c r="D195" t="s">
        <v>205</v>
      </c>
      <c r="E195" s="192">
        <v>3.9236488886821096E-2</v>
      </c>
    </row>
    <row r="196" spans="1:5" x14ac:dyDescent="0.2">
      <c r="A196" t="s">
        <v>2059</v>
      </c>
      <c r="B196" t="s">
        <v>2060</v>
      </c>
      <c r="C196" t="s">
        <v>1592</v>
      </c>
      <c r="D196" t="s">
        <v>205</v>
      </c>
      <c r="E196" s="192">
        <v>3.9227647857328803E-2</v>
      </c>
    </row>
    <row r="197" spans="1:5" x14ac:dyDescent="0.2">
      <c r="A197" t="s">
        <v>2061</v>
      </c>
      <c r="B197" t="s">
        <v>2062</v>
      </c>
      <c r="C197" t="s">
        <v>1587</v>
      </c>
      <c r="D197" t="s">
        <v>205</v>
      </c>
      <c r="E197" s="192">
        <v>3.4423432431213756E-2</v>
      </c>
    </row>
    <row r="198" spans="1:5" x14ac:dyDescent="0.2">
      <c r="A198" t="s">
        <v>2063</v>
      </c>
      <c r="B198" t="s">
        <v>2064</v>
      </c>
      <c r="C198" t="s">
        <v>1571</v>
      </c>
      <c r="D198" t="s">
        <v>205</v>
      </c>
      <c r="E198" s="192">
        <v>5.144595061568543E-2</v>
      </c>
    </row>
    <row r="199" spans="1:5" x14ac:dyDescent="0.2">
      <c r="A199" t="s">
        <v>2065</v>
      </c>
      <c r="B199" t="s">
        <v>2066</v>
      </c>
      <c r="C199" t="s">
        <v>1572</v>
      </c>
      <c r="D199" t="s">
        <v>205</v>
      </c>
      <c r="E199" s="192">
        <v>3.7071320764157173E-2</v>
      </c>
    </row>
    <row r="200" spans="1:5" x14ac:dyDescent="0.2">
      <c r="A200" t="s">
        <v>2067</v>
      </c>
      <c r="B200" t="s">
        <v>2068</v>
      </c>
      <c r="C200" t="s">
        <v>1588</v>
      </c>
      <c r="D200" t="s">
        <v>205</v>
      </c>
      <c r="E200" s="192">
        <v>3.6104554189174333E-2</v>
      </c>
    </row>
    <row r="201" spans="1:5" x14ac:dyDescent="0.2">
      <c r="A201" t="s">
        <v>2069</v>
      </c>
      <c r="B201" t="s">
        <v>2070</v>
      </c>
      <c r="C201" t="s">
        <v>2071</v>
      </c>
      <c r="D201" t="s">
        <v>205</v>
      </c>
      <c r="E201" s="192">
        <v>3.5570445494970834E-2</v>
      </c>
    </row>
    <row r="202" spans="1:5" x14ac:dyDescent="0.2">
      <c r="A202" t="s">
        <v>2072</v>
      </c>
      <c r="B202" t="s">
        <v>2073</v>
      </c>
      <c r="C202" t="s">
        <v>1589</v>
      </c>
      <c r="D202" t="s">
        <v>205</v>
      </c>
      <c r="E202" s="192">
        <v>4.1606768893706354E-2</v>
      </c>
    </row>
    <row r="203" spans="1:5" x14ac:dyDescent="0.2">
      <c r="A203" t="s">
        <v>2074</v>
      </c>
      <c r="B203" t="s">
        <v>2075</v>
      </c>
      <c r="C203" t="s">
        <v>1580</v>
      </c>
      <c r="D203" t="s">
        <v>205</v>
      </c>
      <c r="E203" s="192">
        <v>4.2053682934542043E-2</v>
      </c>
    </row>
    <row r="204" spans="1:5" x14ac:dyDescent="0.2">
      <c r="A204" t="s">
        <v>2076</v>
      </c>
      <c r="B204" t="s">
        <v>2077</v>
      </c>
      <c r="C204" t="s">
        <v>1575</v>
      </c>
      <c r="D204" t="s">
        <v>205</v>
      </c>
      <c r="E204" s="192">
        <v>5.5499562637904336E-2</v>
      </c>
    </row>
    <row r="205" spans="1:5" x14ac:dyDescent="0.2">
      <c r="A205" t="s">
        <v>2078</v>
      </c>
      <c r="B205" t="s">
        <v>2079</v>
      </c>
      <c r="C205" t="s">
        <v>1591</v>
      </c>
      <c r="D205" t="s">
        <v>205</v>
      </c>
      <c r="E205" s="192">
        <v>3.6141354974436025E-2</v>
      </c>
    </row>
    <row r="206" spans="1:5" x14ac:dyDescent="0.2">
      <c r="A206" t="s">
        <v>2080</v>
      </c>
      <c r="B206" t="s">
        <v>2081</v>
      </c>
      <c r="C206" t="s">
        <v>1596</v>
      </c>
      <c r="D206" t="s">
        <v>205</v>
      </c>
      <c r="E206" s="192">
        <v>4.2100098339376599E-2</v>
      </c>
    </row>
    <row r="207" spans="1:5" x14ac:dyDescent="0.2">
      <c r="A207" t="s">
        <v>2082</v>
      </c>
      <c r="B207" t="s">
        <v>2083</v>
      </c>
      <c r="C207" t="s">
        <v>1590</v>
      </c>
      <c r="D207" t="s">
        <v>205</v>
      </c>
      <c r="E207" s="192">
        <v>3.4133446663866369E-2</v>
      </c>
    </row>
    <row r="208" spans="1:5" x14ac:dyDescent="0.2">
      <c r="A208" t="s">
        <v>2084</v>
      </c>
      <c r="B208" t="s">
        <v>1841</v>
      </c>
      <c r="C208" t="s">
        <v>1841</v>
      </c>
      <c r="D208" t="s">
        <v>2084</v>
      </c>
      <c r="E208" s="192">
        <v>1</v>
      </c>
    </row>
    <row r="209" spans="1:5" x14ac:dyDescent="0.2">
      <c r="A209" t="s">
        <v>1909</v>
      </c>
      <c r="B209" t="s">
        <v>321</v>
      </c>
      <c r="C209" t="s">
        <v>1437</v>
      </c>
      <c r="D209" t="s">
        <v>2084</v>
      </c>
      <c r="E209" s="192">
        <v>2.9461231462719575E-2</v>
      </c>
    </row>
    <row r="210" spans="1:5" x14ac:dyDescent="0.2">
      <c r="A210" t="s">
        <v>1910</v>
      </c>
      <c r="B210" t="s">
        <v>38</v>
      </c>
      <c r="C210" t="s">
        <v>1461</v>
      </c>
      <c r="D210" t="s">
        <v>2084</v>
      </c>
      <c r="E210" s="192">
        <v>2.3949178376909092E-2</v>
      </c>
    </row>
    <row r="211" spans="1:5" x14ac:dyDescent="0.2">
      <c r="A211" t="s">
        <v>852</v>
      </c>
      <c r="B211" t="s">
        <v>357</v>
      </c>
      <c r="C211" t="s">
        <v>1463</v>
      </c>
      <c r="D211" t="s">
        <v>2084</v>
      </c>
      <c r="E211" s="192">
        <v>2.1528500078443022E-2</v>
      </c>
    </row>
    <row r="212" spans="1:5" x14ac:dyDescent="0.2">
      <c r="A212" t="s">
        <v>2085</v>
      </c>
      <c r="B212" t="s">
        <v>2086</v>
      </c>
      <c r="C212" t="s">
        <v>1445</v>
      </c>
      <c r="D212" t="s">
        <v>2084</v>
      </c>
      <c r="E212" s="192">
        <v>2.6192224577334347E-2</v>
      </c>
    </row>
    <row r="213" spans="1:5" x14ac:dyDescent="0.2">
      <c r="A213" t="s">
        <v>1911</v>
      </c>
      <c r="B213" t="s">
        <v>706</v>
      </c>
      <c r="C213" t="s">
        <v>1444</v>
      </c>
      <c r="D213" t="s">
        <v>2084</v>
      </c>
      <c r="E213" s="192">
        <v>3.0054533364122539E-2</v>
      </c>
    </row>
    <row r="214" spans="1:5" x14ac:dyDescent="0.2">
      <c r="A214" t="s">
        <v>1912</v>
      </c>
      <c r="B214" t="s">
        <v>48</v>
      </c>
      <c r="C214" t="s">
        <v>1428</v>
      </c>
      <c r="D214" t="s">
        <v>2084</v>
      </c>
      <c r="E214" s="192">
        <v>4.0268298205299806E-2</v>
      </c>
    </row>
    <row r="215" spans="1:5" x14ac:dyDescent="0.2">
      <c r="A215" t="s">
        <v>1913</v>
      </c>
      <c r="B215" t="s">
        <v>42</v>
      </c>
      <c r="C215" t="s">
        <v>1434</v>
      </c>
      <c r="D215" t="s">
        <v>2084</v>
      </c>
      <c r="E215" s="192">
        <v>2.9181444934764336E-2</v>
      </c>
    </row>
    <row r="216" spans="1:5" x14ac:dyDescent="0.2">
      <c r="A216" t="s">
        <v>1914</v>
      </c>
      <c r="B216" t="s">
        <v>707</v>
      </c>
      <c r="C216" t="s">
        <v>1432</v>
      </c>
      <c r="D216" t="s">
        <v>2084</v>
      </c>
      <c r="E216" s="192">
        <v>3.0766637781160951E-2</v>
      </c>
    </row>
    <row r="217" spans="1:5" x14ac:dyDescent="0.2">
      <c r="A217" t="s">
        <v>860</v>
      </c>
      <c r="B217" t="s">
        <v>32</v>
      </c>
      <c r="C217" t="s">
        <v>1429</v>
      </c>
      <c r="D217" t="s">
        <v>2084</v>
      </c>
      <c r="E217" s="192">
        <v>3.0984408850892653E-2</v>
      </c>
    </row>
    <row r="218" spans="1:5" x14ac:dyDescent="0.2">
      <c r="A218" t="s">
        <v>1892</v>
      </c>
      <c r="B218" t="s">
        <v>324</v>
      </c>
      <c r="C218" t="s">
        <v>1458</v>
      </c>
      <c r="D218" t="s">
        <v>2084</v>
      </c>
      <c r="E218" s="192">
        <v>2.8511777774193336E-2</v>
      </c>
    </row>
    <row r="219" spans="1:5" x14ac:dyDescent="0.2">
      <c r="A219" t="s">
        <v>1894</v>
      </c>
      <c r="B219" t="s">
        <v>46</v>
      </c>
      <c r="C219" t="s">
        <v>1452</v>
      </c>
      <c r="D219" t="s">
        <v>2084</v>
      </c>
      <c r="E219" s="192">
        <v>2.5904977630956717E-2</v>
      </c>
    </row>
    <row r="220" spans="1:5" x14ac:dyDescent="0.2">
      <c r="A220" t="s">
        <v>1896</v>
      </c>
      <c r="B220" t="s">
        <v>44</v>
      </c>
      <c r="C220" t="s">
        <v>1457</v>
      </c>
      <c r="D220" t="s">
        <v>2084</v>
      </c>
      <c r="E220" s="192">
        <v>2.7904926893461777E-2</v>
      </c>
    </row>
    <row r="221" spans="1:5" x14ac:dyDescent="0.2">
      <c r="A221" t="s">
        <v>2087</v>
      </c>
      <c r="B221" t="s">
        <v>2088</v>
      </c>
      <c r="C221" t="s">
        <v>1460</v>
      </c>
      <c r="D221" t="s">
        <v>2084</v>
      </c>
      <c r="E221" s="192">
        <v>2.7732168581093921E-2</v>
      </c>
    </row>
    <row r="222" spans="1:5" x14ac:dyDescent="0.2">
      <c r="A222" t="s">
        <v>2089</v>
      </c>
      <c r="B222" t="s">
        <v>329</v>
      </c>
      <c r="C222" t="s">
        <v>2090</v>
      </c>
      <c r="D222" t="s">
        <v>2084</v>
      </c>
      <c r="E222" s="192">
        <v>3.0937151989988216E-2</v>
      </c>
    </row>
    <row r="223" spans="1:5" x14ac:dyDescent="0.2">
      <c r="A223" t="s">
        <v>869</v>
      </c>
      <c r="B223" t="s">
        <v>77</v>
      </c>
      <c r="C223" t="s">
        <v>1443</v>
      </c>
      <c r="D223" t="s">
        <v>2084</v>
      </c>
      <c r="E223" s="192">
        <v>2.688045802199953E-2</v>
      </c>
    </row>
    <row r="224" spans="1:5" x14ac:dyDescent="0.2">
      <c r="A224" t="s">
        <v>50</v>
      </c>
      <c r="B224" t="s">
        <v>50</v>
      </c>
      <c r="C224" t="s">
        <v>1455</v>
      </c>
      <c r="D224" t="s">
        <v>2084</v>
      </c>
      <c r="E224" s="192">
        <v>2.4458572201934623E-2</v>
      </c>
    </row>
    <row r="225" spans="1:5" x14ac:dyDescent="0.2">
      <c r="A225" t="s">
        <v>2091</v>
      </c>
      <c r="B225" t="s">
        <v>1392</v>
      </c>
      <c r="C225" t="s">
        <v>1450</v>
      </c>
      <c r="D225" t="s">
        <v>2084</v>
      </c>
      <c r="E225" s="192">
        <v>2.6247809943212404E-2</v>
      </c>
    </row>
    <row r="226" spans="1:5" x14ac:dyDescent="0.2">
      <c r="A226" t="s">
        <v>1918</v>
      </c>
      <c r="B226" t="s">
        <v>428</v>
      </c>
      <c r="C226" t="s">
        <v>1456</v>
      </c>
      <c r="D226" t="s">
        <v>2084</v>
      </c>
      <c r="E226" s="192">
        <v>2.7406128231909362E-2</v>
      </c>
    </row>
    <row r="227" spans="1:5" x14ac:dyDescent="0.2">
      <c r="A227" t="s">
        <v>2092</v>
      </c>
      <c r="B227" t="s">
        <v>56</v>
      </c>
      <c r="C227" t="s">
        <v>1462</v>
      </c>
      <c r="D227" t="s">
        <v>2084</v>
      </c>
      <c r="E227" s="192">
        <v>2.0397188605792121E-2</v>
      </c>
    </row>
    <row r="228" spans="1:5" x14ac:dyDescent="0.2">
      <c r="A228" t="s">
        <v>874</v>
      </c>
      <c r="B228" t="s">
        <v>358</v>
      </c>
      <c r="C228" t="s">
        <v>1439</v>
      </c>
      <c r="D228" t="s">
        <v>2084</v>
      </c>
      <c r="E228" s="192">
        <v>2.7436542682180039E-2</v>
      </c>
    </row>
    <row r="229" spans="1:5" x14ac:dyDescent="0.2">
      <c r="A229" t="s">
        <v>1398</v>
      </c>
      <c r="B229" t="s">
        <v>1393</v>
      </c>
      <c r="C229" t="s">
        <v>1451</v>
      </c>
      <c r="D229" t="s">
        <v>2084</v>
      </c>
      <c r="E229" s="192">
        <v>2.7305553841798003E-2</v>
      </c>
    </row>
    <row r="230" spans="1:5" x14ac:dyDescent="0.2">
      <c r="A230" t="s">
        <v>875</v>
      </c>
      <c r="B230" t="s">
        <v>60</v>
      </c>
      <c r="C230" t="s">
        <v>1430</v>
      </c>
      <c r="D230" t="s">
        <v>2084</v>
      </c>
      <c r="E230" s="192">
        <v>2.9116704167376755E-2</v>
      </c>
    </row>
    <row r="231" spans="1:5" x14ac:dyDescent="0.2">
      <c r="A231" t="s">
        <v>2093</v>
      </c>
      <c r="B231" t="s">
        <v>2094</v>
      </c>
      <c r="C231" t="s">
        <v>1453</v>
      </c>
      <c r="D231" t="s">
        <v>2084</v>
      </c>
      <c r="E231" s="192">
        <v>2.5825033092462583E-2</v>
      </c>
    </row>
    <row r="232" spans="1:5" x14ac:dyDescent="0.2">
      <c r="A232" t="s">
        <v>2095</v>
      </c>
      <c r="B232" t="s">
        <v>63</v>
      </c>
      <c r="C232" t="s">
        <v>1442</v>
      </c>
      <c r="D232" t="s">
        <v>2084</v>
      </c>
      <c r="E232" s="192">
        <v>2.8617975511411521E-2</v>
      </c>
    </row>
    <row r="233" spans="1:5" x14ac:dyDescent="0.2">
      <c r="A233" t="s">
        <v>2096</v>
      </c>
      <c r="B233" t="s">
        <v>69</v>
      </c>
      <c r="C233" t="s">
        <v>1440</v>
      </c>
      <c r="D233" t="s">
        <v>2084</v>
      </c>
      <c r="E233" s="192">
        <v>2.8241183923687567E-2</v>
      </c>
    </row>
    <row r="234" spans="1:5" x14ac:dyDescent="0.2">
      <c r="A234" t="s">
        <v>1901</v>
      </c>
      <c r="B234" t="s">
        <v>429</v>
      </c>
      <c r="C234" t="s">
        <v>1433</v>
      </c>
      <c r="D234" t="s">
        <v>2084</v>
      </c>
      <c r="E234" s="192">
        <v>2.9072424182636114E-2</v>
      </c>
    </row>
    <row r="235" spans="1:5" x14ac:dyDescent="0.2">
      <c r="A235" t="s">
        <v>2097</v>
      </c>
      <c r="B235" t="s">
        <v>71</v>
      </c>
      <c r="C235" t="s">
        <v>1449</v>
      </c>
      <c r="D235" t="s">
        <v>2084</v>
      </c>
      <c r="E235" s="192">
        <v>2.7578360896427727E-2</v>
      </c>
    </row>
    <row r="236" spans="1:5" x14ac:dyDescent="0.2">
      <c r="A236" t="s">
        <v>883</v>
      </c>
      <c r="B236" t="s">
        <v>154</v>
      </c>
      <c r="C236" t="s">
        <v>1431</v>
      </c>
      <c r="D236" t="s">
        <v>2084</v>
      </c>
      <c r="E236" s="192">
        <v>2.9467910559235581E-2</v>
      </c>
    </row>
    <row r="237" spans="1:5" x14ac:dyDescent="0.2">
      <c r="A237" t="s">
        <v>1919</v>
      </c>
      <c r="B237" t="s">
        <v>340</v>
      </c>
      <c r="C237" t="s">
        <v>1448</v>
      </c>
      <c r="D237" t="s">
        <v>2084</v>
      </c>
      <c r="E237" s="192">
        <v>2.5545188604295277E-2</v>
      </c>
    </row>
    <row r="238" spans="1:5" x14ac:dyDescent="0.2">
      <c r="A238" t="s">
        <v>2098</v>
      </c>
      <c r="B238" t="s">
        <v>2099</v>
      </c>
      <c r="C238" t="s">
        <v>1441</v>
      </c>
      <c r="D238" t="s">
        <v>2084</v>
      </c>
      <c r="E238" s="192">
        <v>2.4424917851958883E-2</v>
      </c>
    </row>
    <row r="239" spans="1:5" x14ac:dyDescent="0.2">
      <c r="A239" t="s">
        <v>1906</v>
      </c>
      <c r="B239" t="s">
        <v>73</v>
      </c>
      <c r="C239" t="s">
        <v>1447</v>
      </c>
      <c r="D239" t="s">
        <v>2084</v>
      </c>
      <c r="E239" s="192">
        <v>2.8566646936457139E-2</v>
      </c>
    </row>
    <row r="240" spans="1:5" x14ac:dyDescent="0.2">
      <c r="A240" t="s">
        <v>1920</v>
      </c>
      <c r="B240" t="s">
        <v>1394</v>
      </c>
      <c r="C240" t="s">
        <v>1454</v>
      </c>
      <c r="D240" t="s">
        <v>2084</v>
      </c>
      <c r="E240" s="192">
        <v>3.0024892482376112E-2</v>
      </c>
    </row>
    <row r="241" spans="1:5" x14ac:dyDescent="0.2">
      <c r="A241" t="s">
        <v>2100</v>
      </c>
      <c r="B241" t="s">
        <v>1395</v>
      </c>
      <c r="C241" t="s">
        <v>1459</v>
      </c>
      <c r="D241" t="s">
        <v>2084</v>
      </c>
      <c r="E241" s="192">
        <v>2.440588568661875E-2</v>
      </c>
    </row>
    <row r="242" spans="1:5" x14ac:dyDescent="0.2">
      <c r="A242" t="s">
        <v>1907</v>
      </c>
      <c r="B242" t="s">
        <v>75</v>
      </c>
      <c r="C242" t="s">
        <v>1436</v>
      </c>
      <c r="D242" t="s">
        <v>2084</v>
      </c>
      <c r="E242" s="192">
        <v>2.9227389454486708E-2</v>
      </c>
    </row>
    <row r="243" spans="1:5" x14ac:dyDescent="0.2">
      <c r="A243" t="s">
        <v>1921</v>
      </c>
      <c r="B243" t="s">
        <v>708</v>
      </c>
      <c r="C243" t="s">
        <v>1446</v>
      </c>
      <c r="D243" t="s">
        <v>2084</v>
      </c>
      <c r="E243" s="192">
        <v>2.7276273539417899E-2</v>
      </c>
    </row>
    <row r="244" spans="1:5" x14ac:dyDescent="0.2">
      <c r="A244" t="s">
        <v>889</v>
      </c>
      <c r="B244" t="s">
        <v>709</v>
      </c>
      <c r="C244" t="s">
        <v>1438</v>
      </c>
      <c r="D244" t="s">
        <v>2084</v>
      </c>
      <c r="E244" s="192">
        <v>2.9099499080985011E-2</v>
      </c>
    </row>
    <row r="245" spans="1:5" x14ac:dyDescent="0.2">
      <c r="A245" t="s">
        <v>174</v>
      </c>
      <c r="B245" t="s">
        <v>1841</v>
      </c>
      <c r="C245" t="s">
        <v>1841</v>
      </c>
      <c r="D245" t="s">
        <v>174</v>
      </c>
      <c r="E245" s="192">
        <v>1</v>
      </c>
    </row>
    <row r="246" spans="1:5" x14ac:dyDescent="0.2">
      <c r="A246" t="s">
        <v>852</v>
      </c>
      <c r="B246" t="s">
        <v>357</v>
      </c>
      <c r="C246" t="s">
        <v>1463</v>
      </c>
      <c r="D246" t="s">
        <v>174</v>
      </c>
      <c r="E246" s="192">
        <v>2.7599725876542691E-2</v>
      </c>
    </row>
    <row r="247" spans="1:5" x14ac:dyDescent="0.2">
      <c r="A247" t="s">
        <v>1939</v>
      </c>
      <c r="B247" t="s">
        <v>1940</v>
      </c>
      <c r="C247" t="s">
        <v>1533</v>
      </c>
      <c r="D247" t="s">
        <v>174</v>
      </c>
      <c r="E247" s="192">
        <v>2.6340128683555813E-2</v>
      </c>
    </row>
    <row r="248" spans="1:5" x14ac:dyDescent="0.2">
      <c r="A248" t="s">
        <v>1912</v>
      </c>
      <c r="B248" t="s">
        <v>48</v>
      </c>
      <c r="C248" t="s">
        <v>1428</v>
      </c>
      <c r="D248" t="s">
        <v>174</v>
      </c>
      <c r="E248" s="192">
        <v>3.5474823407148193E-2</v>
      </c>
    </row>
    <row r="249" spans="1:5" x14ac:dyDescent="0.2">
      <c r="A249" t="s">
        <v>2101</v>
      </c>
      <c r="B249" t="s">
        <v>2102</v>
      </c>
      <c r="C249" t="s">
        <v>1534</v>
      </c>
      <c r="D249" t="s">
        <v>174</v>
      </c>
      <c r="E249" s="192">
        <v>2.6921761942328835E-2</v>
      </c>
    </row>
    <row r="250" spans="1:5" x14ac:dyDescent="0.2">
      <c r="A250" t="s">
        <v>1913</v>
      </c>
      <c r="B250" t="s">
        <v>42</v>
      </c>
      <c r="C250" t="s">
        <v>1434</v>
      </c>
      <c r="D250" t="s">
        <v>174</v>
      </c>
      <c r="E250" s="192">
        <v>3.0824946694881304E-2</v>
      </c>
    </row>
    <row r="251" spans="1:5" x14ac:dyDescent="0.2">
      <c r="A251" t="s">
        <v>2103</v>
      </c>
      <c r="B251" t="s">
        <v>409</v>
      </c>
      <c r="C251" t="s">
        <v>1535</v>
      </c>
      <c r="D251" t="s">
        <v>174</v>
      </c>
      <c r="E251" s="192">
        <v>2.985843457585478E-2</v>
      </c>
    </row>
    <row r="252" spans="1:5" x14ac:dyDescent="0.2">
      <c r="A252" t="s">
        <v>860</v>
      </c>
      <c r="B252" t="s">
        <v>32</v>
      </c>
      <c r="C252" t="s">
        <v>1429</v>
      </c>
      <c r="D252" t="s">
        <v>174</v>
      </c>
      <c r="E252" s="192">
        <v>3.2380447028247064E-2</v>
      </c>
    </row>
    <row r="253" spans="1:5" x14ac:dyDescent="0.2">
      <c r="A253" t="s">
        <v>2104</v>
      </c>
      <c r="B253" t="s">
        <v>387</v>
      </c>
      <c r="C253" t="s">
        <v>1536</v>
      </c>
      <c r="D253" t="s">
        <v>174</v>
      </c>
      <c r="E253" s="192">
        <v>5.3631607043893241E-2</v>
      </c>
    </row>
    <row r="254" spans="1:5" x14ac:dyDescent="0.2">
      <c r="A254" t="s">
        <v>2105</v>
      </c>
      <c r="B254" t="s">
        <v>759</v>
      </c>
      <c r="C254" t="s">
        <v>1537</v>
      </c>
      <c r="D254" t="s">
        <v>174</v>
      </c>
      <c r="E254" s="192">
        <v>4.7040636814647652E-2</v>
      </c>
    </row>
    <row r="255" spans="1:5" x14ac:dyDescent="0.2">
      <c r="A255" t="s">
        <v>972</v>
      </c>
      <c r="B255" t="s">
        <v>388</v>
      </c>
      <c r="C255" t="s">
        <v>1538</v>
      </c>
      <c r="D255" t="s">
        <v>174</v>
      </c>
      <c r="E255" s="192">
        <v>2.912664392719647E-2</v>
      </c>
    </row>
    <row r="256" spans="1:5" x14ac:dyDescent="0.2">
      <c r="A256" t="s">
        <v>2106</v>
      </c>
      <c r="B256" t="s">
        <v>760</v>
      </c>
      <c r="C256" t="s">
        <v>1539</v>
      </c>
      <c r="D256" t="s">
        <v>174</v>
      </c>
      <c r="E256" s="192">
        <v>3.2075146638627497E-2</v>
      </c>
    </row>
    <row r="257" spans="1:5" x14ac:dyDescent="0.2">
      <c r="A257" t="s">
        <v>2107</v>
      </c>
      <c r="B257" t="s">
        <v>391</v>
      </c>
      <c r="C257" t="s">
        <v>1540</v>
      </c>
      <c r="D257" t="s">
        <v>174</v>
      </c>
      <c r="E257" s="192">
        <v>2.6774059519101924E-2</v>
      </c>
    </row>
    <row r="258" spans="1:5" x14ac:dyDescent="0.2">
      <c r="A258" t="s">
        <v>1894</v>
      </c>
      <c r="B258" t="s">
        <v>46</v>
      </c>
      <c r="C258" t="s">
        <v>1452</v>
      </c>
      <c r="D258" t="s">
        <v>174</v>
      </c>
      <c r="E258" s="192">
        <v>3.4611648376450026E-2</v>
      </c>
    </row>
    <row r="259" spans="1:5" x14ac:dyDescent="0.2">
      <c r="A259" t="s">
        <v>1915</v>
      </c>
      <c r="B259" t="s">
        <v>392</v>
      </c>
      <c r="C259" t="s">
        <v>1532</v>
      </c>
      <c r="D259" t="s">
        <v>174</v>
      </c>
      <c r="E259" s="192">
        <v>3.0096578985105833E-2</v>
      </c>
    </row>
    <row r="260" spans="1:5" x14ac:dyDescent="0.2">
      <c r="A260" t="s">
        <v>2108</v>
      </c>
      <c r="B260" t="s">
        <v>395</v>
      </c>
      <c r="C260" t="s">
        <v>1541</v>
      </c>
      <c r="D260" t="s">
        <v>174</v>
      </c>
      <c r="E260" s="192">
        <v>4.0960679875921058E-2</v>
      </c>
    </row>
    <row r="261" spans="1:5" x14ac:dyDescent="0.2">
      <c r="A261" t="s">
        <v>50</v>
      </c>
      <c r="B261" t="s">
        <v>50</v>
      </c>
      <c r="C261" t="s">
        <v>1455</v>
      </c>
      <c r="D261" t="s">
        <v>174</v>
      </c>
      <c r="E261" s="192">
        <v>2.7808540009201427E-2</v>
      </c>
    </row>
    <row r="262" spans="1:5" x14ac:dyDescent="0.2">
      <c r="A262" t="s">
        <v>874</v>
      </c>
      <c r="B262" t="s">
        <v>358</v>
      </c>
      <c r="C262" t="s">
        <v>1439</v>
      </c>
      <c r="D262" t="s">
        <v>174</v>
      </c>
      <c r="E262" s="192">
        <v>3.6715121100783246E-2</v>
      </c>
    </row>
    <row r="263" spans="1:5" x14ac:dyDescent="0.2">
      <c r="A263" t="s">
        <v>875</v>
      </c>
      <c r="B263" t="s">
        <v>60</v>
      </c>
      <c r="C263" t="s">
        <v>1430</v>
      </c>
      <c r="D263" t="s">
        <v>174</v>
      </c>
      <c r="E263" s="192">
        <v>2.6554535699229446E-2</v>
      </c>
    </row>
    <row r="264" spans="1:5" x14ac:dyDescent="0.2">
      <c r="A264" t="s">
        <v>2093</v>
      </c>
      <c r="B264" t="s">
        <v>2094</v>
      </c>
      <c r="C264" t="s">
        <v>1453</v>
      </c>
      <c r="D264" t="s">
        <v>174</v>
      </c>
      <c r="E264" s="192">
        <v>2.8784169203486403E-2</v>
      </c>
    </row>
    <row r="265" spans="1:5" x14ac:dyDescent="0.2">
      <c r="A265" t="s">
        <v>2109</v>
      </c>
      <c r="B265" t="s">
        <v>2110</v>
      </c>
      <c r="C265" t="s">
        <v>1542</v>
      </c>
      <c r="D265" t="s">
        <v>174</v>
      </c>
      <c r="E265" s="192">
        <v>1.9591522139117235E-2</v>
      </c>
    </row>
    <row r="266" spans="1:5" x14ac:dyDescent="0.2">
      <c r="A266" t="s">
        <v>2111</v>
      </c>
      <c r="B266" t="s">
        <v>410</v>
      </c>
      <c r="C266" t="s">
        <v>1543</v>
      </c>
      <c r="D266" t="s">
        <v>174</v>
      </c>
      <c r="E266" s="192">
        <v>2.9624839466170349E-2</v>
      </c>
    </row>
    <row r="267" spans="1:5" x14ac:dyDescent="0.2">
      <c r="A267" t="s">
        <v>2112</v>
      </c>
      <c r="B267" t="s">
        <v>417</v>
      </c>
      <c r="C267" t="s">
        <v>1544</v>
      </c>
      <c r="D267" t="s">
        <v>174</v>
      </c>
      <c r="E267" s="192">
        <v>6.3018732097971875E-2</v>
      </c>
    </row>
    <row r="268" spans="1:5" x14ac:dyDescent="0.2">
      <c r="A268" t="s">
        <v>2113</v>
      </c>
      <c r="B268" t="s">
        <v>411</v>
      </c>
      <c r="C268" t="s">
        <v>1545</v>
      </c>
      <c r="D268" t="s">
        <v>174</v>
      </c>
      <c r="E268" s="192">
        <v>1.8100282853969855E-2</v>
      </c>
    </row>
    <row r="269" spans="1:5" x14ac:dyDescent="0.2">
      <c r="A269" t="s">
        <v>2114</v>
      </c>
      <c r="B269" t="s">
        <v>424</v>
      </c>
      <c r="C269" t="s">
        <v>1546</v>
      </c>
      <c r="D269" t="s">
        <v>174</v>
      </c>
      <c r="E269" s="192">
        <v>1.9797000469060608E-2</v>
      </c>
    </row>
    <row r="270" spans="1:5" x14ac:dyDescent="0.2">
      <c r="A270" t="s">
        <v>2115</v>
      </c>
      <c r="B270" t="s">
        <v>412</v>
      </c>
      <c r="C270" t="s">
        <v>1547</v>
      </c>
      <c r="D270" t="s">
        <v>174</v>
      </c>
      <c r="E270" s="192">
        <v>4.1963586107787255E-2</v>
      </c>
    </row>
    <row r="271" spans="1:5" x14ac:dyDescent="0.2">
      <c r="A271" t="s">
        <v>2116</v>
      </c>
      <c r="B271" t="s">
        <v>2117</v>
      </c>
      <c r="C271" t="s">
        <v>1548</v>
      </c>
      <c r="D271" t="s">
        <v>174</v>
      </c>
      <c r="E271" s="192">
        <v>2.7201620275366659E-2</v>
      </c>
    </row>
    <row r="272" spans="1:5" x14ac:dyDescent="0.2">
      <c r="A272" t="s">
        <v>1919</v>
      </c>
      <c r="B272" t="s">
        <v>340</v>
      </c>
      <c r="C272" t="s">
        <v>1448</v>
      </c>
      <c r="D272" t="s">
        <v>174</v>
      </c>
      <c r="E272" s="192">
        <v>2.9713081036579617E-2</v>
      </c>
    </row>
    <row r="273" spans="1:5" x14ac:dyDescent="0.2">
      <c r="A273" t="s">
        <v>2118</v>
      </c>
      <c r="B273" t="s">
        <v>2119</v>
      </c>
      <c r="C273" t="s">
        <v>1549</v>
      </c>
      <c r="D273" t="s">
        <v>174</v>
      </c>
      <c r="E273" s="192">
        <v>4.7465783585831985E-2</v>
      </c>
    </row>
    <row r="274" spans="1:5" x14ac:dyDescent="0.2">
      <c r="A274" t="s">
        <v>988</v>
      </c>
      <c r="B274" t="s">
        <v>762</v>
      </c>
      <c r="C274" t="s">
        <v>1550</v>
      </c>
      <c r="D274" t="s">
        <v>174</v>
      </c>
      <c r="E274" s="192">
        <v>2.8135294448461485E-2</v>
      </c>
    </row>
    <row r="275" spans="1:5" x14ac:dyDescent="0.2">
      <c r="A275" t="s">
        <v>2120</v>
      </c>
      <c r="B275" t="s">
        <v>413</v>
      </c>
      <c r="C275" t="s">
        <v>1551</v>
      </c>
      <c r="D275" t="s">
        <v>174</v>
      </c>
      <c r="E275" s="192">
        <v>5.1808622117480399E-2</v>
      </c>
    </row>
    <row r="276" spans="1:5" x14ac:dyDescent="0.2">
      <c r="A276" t="s">
        <v>2121</v>
      </c>
      <c r="B276" t="s">
        <v>1841</v>
      </c>
      <c r="C276" t="s">
        <v>1841</v>
      </c>
      <c r="D276" t="s">
        <v>2121</v>
      </c>
      <c r="E276" s="192">
        <v>1</v>
      </c>
    </row>
    <row r="277" spans="1:5" x14ac:dyDescent="0.2">
      <c r="A277" t="s">
        <v>2122</v>
      </c>
      <c r="B277" t="s">
        <v>2123</v>
      </c>
      <c r="C277" t="s">
        <v>2124</v>
      </c>
      <c r="D277" t="s">
        <v>2121</v>
      </c>
      <c r="E277" s="192">
        <v>0.17350816281953654</v>
      </c>
    </row>
    <row r="278" spans="1:5" x14ac:dyDescent="0.2">
      <c r="A278" t="s">
        <v>2125</v>
      </c>
      <c r="B278" t="s">
        <v>2126</v>
      </c>
      <c r="C278" t="s">
        <v>2127</v>
      </c>
      <c r="D278" t="s">
        <v>2121</v>
      </c>
      <c r="E278" s="192">
        <v>1.5310852027555114E-2</v>
      </c>
    </row>
    <row r="279" spans="1:5" x14ac:dyDescent="0.2">
      <c r="A279" t="s">
        <v>2128</v>
      </c>
      <c r="B279" t="s">
        <v>2129</v>
      </c>
      <c r="C279" t="s">
        <v>2130</v>
      </c>
      <c r="D279" t="s">
        <v>2121</v>
      </c>
      <c r="E279" s="192">
        <v>0.12173045119246878</v>
      </c>
    </row>
    <row r="280" spans="1:5" x14ac:dyDescent="0.2">
      <c r="A280" t="s">
        <v>2131</v>
      </c>
      <c r="B280" t="s">
        <v>2132</v>
      </c>
      <c r="C280" t="s">
        <v>2133</v>
      </c>
      <c r="D280" t="s">
        <v>2121</v>
      </c>
      <c r="E280" s="192">
        <v>0.39378048802170779</v>
      </c>
    </row>
    <row r="281" spans="1:5" x14ac:dyDescent="0.2">
      <c r="A281" t="s">
        <v>2134</v>
      </c>
      <c r="B281" t="s">
        <v>2135</v>
      </c>
      <c r="C281" t="s">
        <v>2136</v>
      </c>
      <c r="D281" t="s">
        <v>2121</v>
      </c>
      <c r="E281" s="192">
        <v>2.677502679473371E-2</v>
      </c>
    </row>
    <row r="282" spans="1:5" x14ac:dyDescent="0.2">
      <c r="A282" t="s">
        <v>2137</v>
      </c>
      <c r="B282" t="s">
        <v>2138</v>
      </c>
      <c r="C282" t="s">
        <v>2139</v>
      </c>
      <c r="D282" t="s">
        <v>2121</v>
      </c>
      <c r="E282" s="192">
        <v>6.0420689972253243E-2</v>
      </c>
    </row>
    <row r="283" spans="1:5" x14ac:dyDescent="0.2">
      <c r="A283" t="s">
        <v>2140</v>
      </c>
      <c r="B283" t="s">
        <v>2141</v>
      </c>
      <c r="C283" t="s">
        <v>2142</v>
      </c>
      <c r="D283" t="s">
        <v>2121</v>
      </c>
      <c r="E283" s="192">
        <v>0.20847432917174508</v>
      </c>
    </row>
    <row r="284" spans="1:5" x14ac:dyDescent="0.2">
      <c r="A284" t="s">
        <v>125</v>
      </c>
      <c r="B284" t="s">
        <v>1841</v>
      </c>
      <c r="C284" t="s">
        <v>1841</v>
      </c>
      <c r="D284" t="s">
        <v>125</v>
      </c>
      <c r="E284" s="192">
        <v>1</v>
      </c>
    </row>
    <row r="285" spans="1:5" x14ac:dyDescent="0.2">
      <c r="A285" t="s">
        <v>922</v>
      </c>
      <c r="B285" t="s">
        <v>369</v>
      </c>
      <c r="C285" t="s">
        <v>1496</v>
      </c>
      <c r="D285" t="s">
        <v>125</v>
      </c>
      <c r="E285" s="192">
        <v>5.3040917660652012E-2</v>
      </c>
    </row>
    <row r="286" spans="1:5" x14ac:dyDescent="0.2">
      <c r="A286" t="s">
        <v>1862</v>
      </c>
      <c r="B286" t="s">
        <v>370</v>
      </c>
      <c r="C286" t="s">
        <v>1497</v>
      </c>
      <c r="D286" t="s">
        <v>125</v>
      </c>
      <c r="E286" s="192">
        <v>2.610885952824438E-2</v>
      </c>
    </row>
    <row r="287" spans="1:5" x14ac:dyDescent="0.2">
      <c r="A287" t="s">
        <v>2143</v>
      </c>
      <c r="B287" t="s">
        <v>2144</v>
      </c>
      <c r="C287" t="s">
        <v>1497</v>
      </c>
      <c r="D287" t="s">
        <v>125</v>
      </c>
      <c r="E287" s="192">
        <v>2.5301828057002547E-2</v>
      </c>
    </row>
    <row r="288" spans="1:5" x14ac:dyDescent="0.2">
      <c r="A288" t="s">
        <v>2145</v>
      </c>
      <c r="B288" t="s">
        <v>382</v>
      </c>
      <c r="C288" t="s">
        <v>1498</v>
      </c>
      <c r="D288" t="s">
        <v>125</v>
      </c>
      <c r="E288" s="192">
        <v>5.3755000996267788E-2</v>
      </c>
    </row>
    <row r="289" spans="1:5" x14ac:dyDescent="0.2">
      <c r="A289" t="s">
        <v>2146</v>
      </c>
      <c r="B289" t="s">
        <v>2147</v>
      </c>
      <c r="C289" t="s">
        <v>1499</v>
      </c>
      <c r="D289" t="s">
        <v>125</v>
      </c>
      <c r="E289" s="192">
        <v>5.8877917714998465E-2</v>
      </c>
    </row>
    <row r="290" spans="1:5" x14ac:dyDescent="0.2">
      <c r="A290" t="s">
        <v>1957</v>
      </c>
      <c r="B290" t="s">
        <v>1958</v>
      </c>
      <c r="C290" t="s">
        <v>1483</v>
      </c>
      <c r="D290" t="s">
        <v>125</v>
      </c>
      <c r="E290" s="192">
        <v>4.6562582443519025E-2</v>
      </c>
    </row>
    <row r="291" spans="1:5" x14ac:dyDescent="0.2">
      <c r="A291" t="s">
        <v>1863</v>
      </c>
      <c r="B291" t="s">
        <v>371</v>
      </c>
      <c r="C291" t="s">
        <v>1500</v>
      </c>
      <c r="D291" t="s">
        <v>125</v>
      </c>
      <c r="E291" s="192">
        <v>5.9082226270684962E-2</v>
      </c>
    </row>
    <row r="292" spans="1:5" x14ac:dyDescent="0.2">
      <c r="A292" t="s">
        <v>1865</v>
      </c>
      <c r="B292" t="s">
        <v>372</v>
      </c>
      <c r="C292" t="s">
        <v>1501</v>
      </c>
      <c r="D292" t="s">
        <v>125</v>
      </c>
      <c r="E292" s="192">
        <v>5.4492620183009981E-2</v>
      </c>
    </row>
    <row r="293" spans="1:5" x14ac:dyDescent="0.2">
      <c r="A293" t="s">
        <v>1961</v>
      </c>
      <c r="B293" t="s">
        <v>1962</v>
      </c>
      <c r="C293" t="s">
        <v>1485</v>
      </c>
      <c r="D293" t="s">
        <v>125</v>
      </c>
      <c r="E293" s="192">
        <v>4.8949484531684996E-2</v>
      </c>
    </row>
    <row r="294" spans="1:5" x14ac:dyDescent="0.2">
      <c r="A294" t="s">
        <v>930</v>
      </c>
      <c r="B294" t="s">
        <v>2148</v>
      </c>
      <c r="C294" t="s">
        <v>1502</v>
      </c>
      <c r="D294" t="s">
        <v>125</v>
      </c>
      <c r="E294" s="192">
        <v>5.2078604280524889E-2</v>
      </c>
    </row>
    <row r="295" spans="1:5" x14ac:dyDescent="0.2">
      <c r="A295" t="s">
        <v>2149</v>
      </c>
      <c r="B295" t="s">
        <v>743</v>
      </c>
      <c r="C295" t="s">
        <v>1503</v>
      </c>
      <c r="D295" t="s">
        <v>125</v>
      </c>
      <c r="E295" s="192">
        <v>2.6643561775978515E-3</v>
      </c>
    </row>
    <row r="296" spans="1:5" x14ac:dyDescent="0.2">
      <c r="A296" t="s">
        <v>2150</v>
      </c>
      <c r="B296" t="s">
        <v>743</v>
      </c>
      <c r="C296" t="s">
        <v>1503</v>
      </c>
      <c r="D296" t="s">
        <v>125</v>
      </c>
      <c r="E296" s="192">
        <v>4.565918058829143E-2</v>
      </c>
    </row>
    <row r="297" spans="1:5" x14ac:dyDescent="0.2">
      <c r="A297" t="s">
        <v>1970</v>
      </c>
      <c r="B297" t="s">
        <v>1971</v>
      </c>
      <c r="C297" t="s">
        <v>1490</v>
      </c>
      <c r="D297" t="s">
        <v>125</v>
      </c>
      <c r="E297" s="192">
        <v>4.7350470036063762E-2</v>
      </c>
    </row>
    <row r="298" spans="1:5" x14ac:dyDescent="0.2">
      <c r="A298" t="s">
        <v>1867</v>
      </c>
      <c r="B298" t="s">
        <v>375</v>
      </c>
      <c r="C298" t="s">
        <v>1504</v>
      </c>
      <c r="D298" t="s">
        <v>125</v>
      </c>
      <c r="E298" s="192">
        <v>5.3204338220641419E-2</v>
      </c>
    </row>
    <row r="299" spans="1:5" x14ac:dyDescent="0.2">
      <c r="A299" t="s">
        <v>1869</v>
      </c>
      <c r="B299" t="s">
        <v>376</v>
      </c>
      <c r="C299" t="s">
        <v>1505</v>
      </c>
      <c r="D299" t="s">
        <v>125</v>
      </c>
      <c r="E299" s="192">
        <v>5.5838379394988848E-2</v>
      </c>
    </row>
    <row r="300" spans="1:5" x14ac:dyDescent="0.2">
      <c r="A300" t="s">
        <v>1870</v>
      </c>
      <c r="B300" t="s">
        <v>377</v>
      </c>
      <c r="C300" t="s">
        <v>1506</v>
      </c>
      <c r="D300" t="s">
        <v>125</v>
      </c>
      <c r="E300" s="192">
        <v>5.4359095567176934E-2</v>
      </c>
    </row>
    <row r="301" spans="1:5" x14ac:dyDescent="0.2">
      <c r="A301" t="s">
        <v>2151</v>
      </c>
      <c r="B301" t="s">
        <v>381</v>
      </c>
      <c r="C301" t="s">
        <v>1507</v>
      </c>
      <c r="D301" t="s">
        <v>125</v>
      </c>
      <c r="E301" s="192">
        <v>5.2331913607474745E-2</v>
      </c>
    </row>
    <row r="302" spans="1:5" x14ac:dyDescent="0.2">
      <c r="A302" t="s">
        <v>939</v>
      </c>
      <c r="B302" t="s">
        <v>378</v>
      </c>
      <c r="C302" t="s">
        <v>1508</v>
      </c>
      <c r="D302" t="s">
        <v>125</v>
      </c>
      <c r="E302" s="192">
        <v>5.6819079444902505E-2</v>
      </c>
    </row>
    <row r="303" spans="1:5" x14ac:dyDescent="0.2">
      <c r="A303" t="s">
        <v>920</v>
      </c>
      <c r="B303" t="s">
        <v>1978</v>
      </c>
      <c r="C303" t="s">
        <v>1494</v>
      </c>
      <c r="D303" t="s">
        <v>125</v>
      </c>
      <c r="E303" s="192">
        <v>5.1229560756922692E-2</v>
      </c>
    </row>
    <row r="304" spans="1:5" x14ac:dyDescent="0.2">
      <c r="A304" t="s">
        <v>1873</v>
      </c>
      <c r="B304" t="s">
        <v>379</v>
      </c>
      <c r="C304" t="s">
        <v>1509</v>
      </c>
      <c r="D304" t="s">
        <v>125</v>
      </c>
      <c r="E304" s="192">
        <v>4.8464393993378402E-2</v>
      </c>
    </row>
    <row r="305" spans="1:5" x14ac:dyDescent="0.2">
      <c r="A305" t="s">
        <v>941</v>
      </c>
      <c r="B305" t="s">
        <v>744</v>
      </c>
      <c r="C305" t="s">
        <v>1510</v>
      </c>
      <c r="D305" t="s">
        <v>125</v>
      </c>
      <c r="E305" s="192">
        <v>5.3829190545972266E-2</v>
      </c>
    </row>
    <row r="306" spans="1:5" x14ac:dyDescent="0.2">
      <c r="A306" t="s">
        <v>2152</v>
      </c>
      <c r="B306" t="s">
        <v>1841</v>
      </c>
      <c r="C306" t="s">
        <v>1841</v>
      </c>
      <c r="D306" t="s">
        <v>2152</v>
      </c>
      <c r="E306" s="192">
        <v>1</v>
      </c>
    </row>
    <row r="307" spans="1:5" x14ac:dyDescent="0.2">
      <c r="A307" t="s">
        <v>1874</v>
      </c>
      <c r="B307" t="s">
        <v>587</v>
      </c>
      <c r="C307" t="s">
        <v>1754</v>
      </c>
      <c r="D307" t="s">
        <v>2152</v>
      </c>
      <c r="E307" s="192">
        <v>7.2245225292989795E-2</v>
      </c>
    </row>
    <row r="308" spans="1:5" x14ac:dyDescent="0.2">
      <c r="A308" t="s">
        <v>793</v>
      </c>
      <c r="B308" t="s">
        <v>588</v>
      </c>
      <c r="C308" t="s">
        <v>1760</v>
      </c>
      <c r="D308" t="s">
        <v>2152</v>
      </c>
      <c r="E308" s="192">
        <v>1.0159081214890424E-2</v>
      </c>
    </row>
    <row r="309" spans="1:5" x14ac:dyDescent="0.2">
      <c r="A309" t="s">
        <v>1875</v>
      </c>
      <c r="B309" t="s">
        <v>589</v>
      </c>
      <c r="C309" t="s">
        <v>1753</v>
      </c>
      <c r="D309" t="s">
        <v>2152</v>
      </c>
      <c r="E309" s="192">
        <v>7.6036182842374206E-2</v>
      </c>
    </row>
    <row r="310" spans="1:5" x14ac:dyDescent="0.2">
      <c r="A310" t="s">
        <v>1876</v>
      </c>
      <c r="B310" t="s">
        <v>596</v>
      </c>
      <c r="C310" t="s">
        <v>1762</v>
      </c>
      <c r="D310" t="s">
        <v>2152</v>
      </c>
      <c r="E310" s="192">
        <v>2.5141193916823151E-2</v>
      </c>
    </row>
    <row r="311" spans="1:5" x14ac:dyDescent="0.2">
      <c r="A311" t="s">
        <v>1877</v>
      </c>
      <c r="B311" t="s">
        <v>591</v>
      </c>
      <c r="C311" t="s">
        <v>1758</v>
      </c>
      <c r="D311" t="s">
        <v>2152</v>
      </c>
      <c r="E311" s="192">
        <v>1.9799319843954395E-2</v>
      </c>
    </row>
    <row r="312" spans="1:5" x14ac:dyDescent="0.2">
      <c r="A312" t="s">
        <v>1878</v>
      </c>
      <c r="B312" t="s">
        <v>599</v>
      </c>
      <c r="C312" t="s">
        <v>1856</v>
      </c>
      <c r="D312" t="s">
        <v>2152</v>
      </c>
      <c r="E312" s="192">
        <v>5.3708073085114466E-2</v>
      </c>
    </row>
    <row r="313" spans="1:5" x14ac:dyDescent="0.2">
      <c r="A313" t="s">
        <v>1879</v>
      </c>
      <c r="B313" t="s">
        <v>598</v>
      </c>
      <c r="C313" t="s">
        <v>1766</v>
      </c>
      <c r="D313" t="s">
        <v>2152</v>
      </c>
      <c r="E313" s="192">
        <v>5.4297792673792471E-2</v>
      </c>
    </row>
    <row r="314" spans="1:5" x14ac:dyDescent="0.2">
      <c r="A314" t="s">
        <v>2153</v>
      </c>
      <c r="B314" t="s">
        <v>1277</v>
      </c>
      <c r="C314" t="s">
        <v>1756</v>
      </c>
      <c r="D314" t="s">
        <v>2152</v>
      </c>
      <c r="E314" s="192">
        <v>2.9908771018343876E-2</v>
      </c>
    </row>
    <row r="315" spans="1:5" x14ac:dyDescent="0.2">
      <c r="A315" t="s">
        <v>1880</v>
      </c>
      <c r="B315" t="s">
        <v>1265</v>
      </c>
      <c r="C315" t="s">
        <v>1759</v>
      </c>
      <c r="D315" t="s">
        <v>2152</v>
      </c>
      <c r="E315" s="192">
        <v>1.9701930174284184E-2</v>
      </c>
    </row>
    <row r="316" spans="1:5" x14ac:dyDescent="0.2">
      <c r="A316" t="s">
        <v>2154</v>
      </c>
      <c r="B316" t="s">
        <v>2155</v>
      </c>
      <c r="C316" t="s">
        <v>2156</v>
      </c>
      <c r="D316" t="s">
        <v>2152</v>
      </c>
      <c r="E316" s="192">
        <v>7.0039373068908908E-2</v>
      </c>
    </row>
    <row r="317" spans="1:5" x14ac:dyDescent="0.2">
      <c r="A317" t="s">
        <v>1881</v>
      </c>
      <c r="B317" t="s">
        <v>600</v>
      </c>
      <c r="C317" t="s">
        <v>1856</v>
      </c>
      <c r="D317" t="s">
        <v>2152</v>
      </c>
      <c r="E317" s="192">
        <v>0.12350724519967829</v>
      </c>
    </row>
    <row r="318" spans="1:5" x14ac:dyDescent="0.2">
      <c r="A318" t="s">
        <v>1882</v>
      </c>
      <c r="B318" t="s">
        <v>597</v>
      </c>
      <c r="C318" t="s">
        <v>1856</v>
      </c>
      <c r="D318" t="s">
        <v>2152</v>
      </c>
      <c r="E318" s="192">
        <v>0.1000831923372856</v>
      </c>
    </row>
    <row r="319" spans="1:5" x14ac:dyDescent="0.2">
      <c r="A319" t="s">
        <v>1883</v>
      </c>
      <c r="B319" t="s">
        <v>602</v>
      </c>
      <c r="C319" t="s">
        <v>1765</v>
      </c>
      <c r="D319" t="s">
        <v>2152</v>
      </c>
      <c r="E319" s="192">
        <v>7.2619133760041463E-3</v>
      </c>
    </row>
    <row r="320" spans="1:5" x14ac:dyDescent="0.2">
      <c r="A320" t="s">
        <v>1884</v>
      </c>
      <c r="B320" t="s">
        <v>592</v>
      </c>
      <c r="C320" t="s">
        <v>1755</v>
      </c>
      <c r="D320" t="s">
        <v>2152</v>
      </c>
      <c r="E320" s="192">
        <v>3.009387346188979E-2</v>
      </c>
    </row>
    <row r="321" spans="1:5" x14ac:dyDescent="0.2">
      <c r="A321" t="s">
        <v>1885</v>
      </c>
      <c r="B321" t="s">
        <v>1279</v>
      </c>
      <c r="C321" t="s">
        <v>1764</v>
      </c>
      <c r="D321" t="s">
        <v>2152</v>
      </c>
      <c r="E321" s="192">
        <v>6.0930469883658848E-2</v>
      </c>
    </row>
    <row r="322" spans="1:5" x14ac:dyDescent="0.2">
      <c r="A322" t="s">
        <v>1886</v>
      </c>
      <c r="B322" t="s">
        <v>593</v>
      </c>
      <c r="C322" t="s">
        <v>1752</v>
      </c>
      <c r="D322" t="s">
        <v>2152</v>
      </c>
      <c r="E322" s="192">
        <v>9.6301582706481384E-2</v>
      </c>
    </row>
    <row r="323" spans="1:5" x14ac:dyDescent="0.2">
      <c r="A323" t="s">
        <v>1887</v>
      </c>
      <c r="B323" t="s">
        <v>594</v>
      </c>
      <c r="C323" t="s">
        <v>1751</v>
      </c>
      <c r="D323" t="s">
        <v>2152</v>
      </c>
      <c r="E323" s="192">
        <v>0.1138856879245011</v>
      </c>
    </row>
    <row r="324" spans="1:5" x14ac:dyDescent="0.2">
      <c r="A324" t="s">
        <v>801</v>
      </c>
      <c r="B324" t="s">
        <v>595</v>
      </c>
      <c r="C324" t="s">
        <v>1757</v>
      </c>
      <c r="D324" t="s">
        <v>2152</v>
      </c>
      <c r="E324" s="192">
        <v>1.922366351392836E-2</v>
      </c>
    </row>
    <row r="325" spans="1:5" x14ac:dyDescent="0.2">
      <c r="A325" t="s">
        <v>1888</v>
      </c>
      <c r="B325" t="s">
        <v>590</v>
      </c>
      <c r="C325" t="s">
        <v>1761</v>
      </c>
      <c r="D325" t="s">
        <v>2152</v>
      </c>
      <c r="E325" s="192">
        <v>2.7852493767702539E-3</v>
      </c>
    </row>
    <row r="326" spans="1:5" x14ac:dyDescent="0.2">
      <c r="A326" t="s">
        <v>2157</v>
      </c>
      <c r="B326" t="s">
        <v>590</v>
      </c>
      <c r="C326" t="s">
        <v>1856</v>
      </c>
      <c r="D326" t="s">
        <v>2152</v>
      </c>
      <c r="E326" s="192">
        <v>1.4890179088326259E-2</v>
      </c>
    </row>
    <row r="327" spans="1:5" x14ac:dyDescent="0.2">
      <c r="A327" t="s">
        <v>559</v>
      </c>
      <c r="B327" t="s">
        <v>1841</v>
      </c>
      <c r="C327" t="s">
        <v>1841</v>
      </c>
      <c r="D327" t="s">
        <v>559</v>
      </c>
      <c r="E327" s="192">
        <v>1</v>
      </c>
    </row>
    <row r="328" spans="1:5" x14ac:dyDescent="0.2">
      <c r="A328" t="s">
        <v>2158</v>
      </c>
      <c r="B328" t="s">
        <v>543</v>
      </c>
      <c r="C328" t="s">
        <v>1742</v>
      </c>
      <c r="D328" t="s">
        <v>559</v>
      </c>
      <c r="E328" s="192">
        <v>1.8952497526839453E-2</v>
      </c>
    </row>
    <row r="329" spans="1:5" x14ac:dyDescent="0.2">
      <c r="A329" t="s">
        <v>1269</v>
      </c>
      <c r="B329" t="s">
        <v>1262</v>
      </c>
      <c r="C329" t="s">
        <v>1736</v>
      </c>
      <c r="D329" t="s">
        <v>559</v>
      </c>
      <c r="E329" s="192">
        <v>8.7509032563026654E-2</v>
      </c>
    </row>
    <row r="330" spans="1:5" x14ac:dyDescent="0.2">
      <c r="A330" t="s">
        <v>2159</v>
      </c>
      <c r="B330" t="s">
        <v>580</v>
      </c>
      <c r="C330" t="s">
        <v>1778</v>
      </c>
      <c r="D330" t="s">
        <v>559</v>
      </c>
      <c r="E330" s="192">
        <v>3.1889594812521564E-2</v>
      </c>
    </row>
    <row r="331" spans="1:5" x14ac:dyDescent="0.2">
      <c r="A331" t="s">
        <v>2160</v>
      </c>
      <c r="B331" t="s">
        <v>544</v>
      </c>
      <c r="C331" t="s">
        <v>1744</v>
      </c>
      <c r="D331" t="s">
        <v>559</v>
      </c>
      <c r="E331" s="192">
        <v>4.9844796672423322E-2</v>
      </c>
    </row>
    <row r="332" spans="1:5" x14ac:dyDescent="0.2">
      <c r="A332" t="s">
        <v>2161</v>
      </c>
      <c r="B332" t="s">
        <v>2162</v>
      </c>
      <c r="C332" t="s">
        <v>1745</v>
      </c>
      <c r="D332" t="s">
        <v>559</v>
      </c>
      <c r="E332" s="192">
        <v>1.8671252641579802E-2</v>
      </c>
    </row>
    <row r="333" spans="1:5" x14ac:dyDescent="0.2">
      <c r="A333" t="s">
        <v>2163</v>
      </c>
      <c r="B333" t="s">
        <v>545</v>
      </c>
      <c r="C333" t="s">
        <v>1745</v>
      </c>
      <c r="D333" t="s">
        <v>559</v>
      </c>
      <c r="E333" s="192">
        <v>6.226424142267914E-2</v>
      </c>
    </row>
    <row r="334" spans="1:5" x14ac:dyDescent="0.2">
      <c r="A334" t="s">
        <v>2164</v>
      </c>
      <c r="B334" t="s">
        <v>546</v>
      </c>
      <c r="C334" t="s">
        <v>1746</v>
      </c>
      <c r="D334" t="s">
        <v>559</v>
      </c>
      <c r="E334" s="192">
        <v>2.8684622294436842E-4</v>
      </c>
    </row>
    <row r="335" spans="1:5" x14ac:dyDescent="0.2">
      <c r="A335" t="s">
        <v>2165</v>
      </c>
      <c r="B335" t="s">
        <v>2166</v>
      </c>
      <c r="C335" t="s">
        <v>1746</v>
      </c>
      <c r="D335" t="s">
        <v>559</v>
      </c>
      <c r="E335" s="192">
        <v>1.1841991850612703E-2</v>
      </c>
    </row>
    <row r="336" spans="1:5" x14ac:dyDescent="0.2">
      <c r="A336" t="s">
        <v>2167</v>
      </c>
      <c r="B336" t="s">
        <v>546</v>
      </c>
      <c r="C336" t="s">
        <v>1746</v>
      </c>
      <c r="D336" t="s">
        <v>559</v>
      </c>
      <c r="E336" s="192">
        <v>3.9296663047129275E-2</v>
      </c>
    </row>
    <row r="337" spans="1:5" x14ac:dyDescent="0.2">
      <c r="A337" t="s">
        <v>2168</v>
      </c>
      <c r="B337" t="s">
        <v>1265</v>
      </c>
      <c r="C337" t="s">
        <v>1740</v>
      </c>
      <c r="D337" t="s">
        <v>559</v>
      </c>
      <c r="E337" s="192">
        <v>1.8373286088968661E-2</v>
      </c>
    </row>
    <row r="338" spans="1:5" x14ac:dyDescent="0.2">
      <c r="A338" t="s">
        <v>2169</v>
      </c>
      <c r="B338" t="s">
        <v>2170</v>
      </c>
      <c r="C338" t="s">
        <v>2171</v>
      </c>
      <c r="D338" t="s">
        <v>559</v>
      </c>
      <c r="E338" s="192">
        <v>3.4157529504011207E-2</v>
      </c>
    </row>
    <row r="339" spans="1:5" x14ac:dyDescent="0.2">
      <c r="A339" t="s">
        <v>2172</v>
      </c>
      <c r="B339" t="s">
        <v>2173</v>
      </c>
      <c r="C339" t="s">
        <v>1749</v>
      </c>
      <c r="D339" t="s">
        <v>559</v>
      </c>
      <c r="E339" s="192">
        <v>4.1466627396367049E-2</v>
      </c>
    </row>
    <row r="340" spans="1:5" x14ac:dyDescent="0.2">
      <c r="A340" t="s">
        <v>2174</v>
      </c>
      <c r="B340" t="s">
        <v>548</v>
      </c>
      <c r="C340" t="s">
        <v>1748</v>
      </c>
      <c r="D340" t="s">
        <v>559</v>
      </c>
      <c r="E340" s="192">
        <v>0.11864804721084446</v>
      </c>
    </row>
    <row r="341" spans="1:5" x14ac:dyDescent="0.2">
      <c r="A341" t="s">
        <v>2175</v>
      </c>
      <c r="B341" t="s">
        <v>548</v>
      </c>
      <c r="C341" t="s">
        <v>1748</v>
      </c>
      <c r="D341" t="s">
        <v>559</v>
      </c>
      <c r="E341" s="192">
        <v>6.653313185590676E-4</v>
      </c>
    </row>
    <row r="342" spans="1:5" x14ac:dyDescent="0.2">
      <c r="A342" t="s">
        <v>2176</v>
      </c>
      <c r="B342" t="s">
        <v>547</v>
      </c>
      <c r="C342" t="s">
        <v>1747</v>
      </c>
      <c r="D342" t="s">
        <v>559</v>
      </c>
      <c r="E342" s="192">
        <v>2.0975499958033657E-2</v>
      </c>
    </row>
    <row r="343" spans="1:5" x14ac:dyDescent="0.2">
      <c r="A343" t="s">
        <v>2177</v>
      </c>
      <c r="B343" t="s">
        <v>541</v>
      </c>
      <c r="C343" t="s">
        <v>1737</v>
      </c>
      <c r="D343" t="s">
        <v>559</v>
      </c>
      <c r="E343" s="192">
        <v>8.7904969457889684E-2</v>
      </c>
    </row>
    <row r="344" spans="1:5" x14ac:dyDescent="0.2">
      <c r="A344" t="s">
        <v>2178</v>
      </c>
      <c r="B344" t="s">
        <v>550</v>
      </c>
      <c r="C344" t="s">
        <v>1750</v>
      </c>
      <c r="D344" t="s">
        <v>559</v>
      </c>
      <c r="E344" s="192">
        <v>7.3562849535691852E-2</v>
      </c>
    </row>
    <row r="345" spans="1:5" x14ac:dyDescent="0.2">
      <c r="A345" t="s">
        <v>789</v>
      </c>
      <c r="B345" t="s">
        <v>2179</v>
      </c>
      <c r="C345" t="s">
        <v>1750</v>
      </c>
      <c r="D345" t="s">
        <v>559</v>
      </c>
      <c r="E345" s="192">
        <v>4.2776808369855463E-4</v>
      </c>
    </row>
    <row r="346" spans="1:5" x14ac:dyDescent="0.2">
      <c r="A346" t="s">
        <v>2180</v>
      </c>
      <c r="B346" t="s">
        <v>1266</v>
      </c>
      <c r="C346" t="s">
        <v>1743</v>
      </c>
      <c r="D346" t="s">
        <v>559</v>
      </c>
      <c r="E346" s="192">
        <v>2.7867294075593262E-2</v>
      </c>
    </row>
    <row r="347" spans="1:5" x14ac:dyDescent="0.2">
      <c r="A347" t="s">
        <v>2181</v>
      </c>
      <c r="B347" t="s">
        <v>1356</v>
      </c>
      <c r="C347" t="s">
        <v>1738</v>
      </c>
      <c r="D347" t="s">
        <v>559</v>
      </c>
      <c r="E347" s="192">
        <v>7.5141408878400831E-2</v>
      </c>
    </row>
    <row r="348" spans="1:5" x14ac:dyDescent="0.2">
      <c r="A348" t="s">
        <v>2182</v>
      </c>
      <c r="B348" t="s">
        <v>542</v>
      </c>
      <c r="C348" t="s">
        <v>1741</v>
      </c>
      <c r="D348" t="s">
        <v>559</v>
      </c>
      <c r="E348" s="192">
        <v>1.073177140434574E-2</v>
      </c>
    </row>
    <row r="349" spans="1:5" x14ac:dyDescent="0.2">
      <c r="A349" t="s">
        <v>2182</v>
      </c>
      <c r="B349" t="s">
        <v>603</v>
      </c>
      <c r="C349" t="s">
        <v>1741</v>
      </c>
      <c r="D349" t="s">
        <v>559</v>
      </c>
      <c r="E349" s="192">
        <v>7.5193392805531604E-3</v>
      </c>
    </row>
    <row r="350" spans="1:5" x14ac:dyDescent="0.2">
      <c r="A350" t="s">
        <v>2183</v>
      </c>
      <c r="B350" t="s">
        <v>1261</v>
      </c>
      <c r="C350" t="s">
        <v>1735</v>
      </c>
      <c r="D350" t="s">
        <v>559</v>
      </c>
      <c r="E350" s="192">
        <v>0.12187743522976498</v>
      </c>
    </row>
    <row r="351" spans="1:5" x14ac:dyDescent="0.2">
      <c r="A351" t="s">
        <v>2184</v>
      </c>
      <c r="B351" t="s">
        <v>1264</v>
      </c>
      <c r="C351" t="s">
        <v>1739</v>
      </c>
      <c r="D351" t="s">
        <v>559</v>
      </c>
      <c r="E351" s="192">
        <v>3.9840147886953073E-2</v>
      </c>
    </row>
    <row r="352" spans="1:5" x14ac:dyDescent="0.2">
      <c r="A352" t="s">
        <v>2185</v>
      </c>
      <c r="B352" t="s">
        <v>1263</v>
      </c>
      <c r="C352" t="s">
        <v>1738</v>
      </c>
      <c r="D352" t="s">
        <v>559</v>
      </c>
      <c r="E352" s="192">
        <v>2.8377793056839917E-4</v>
      </c>
    </row>
    <row r="353" spans="1:5" x14ac:dyDescent="0.2">
      <c r="A353" t="s">
        <v>90</v>
      </c>
      <c r="B353" t="s">
        <v>1841</v>
      </c>
      <c r="C353" t="s">
        <v>1841</v>
      </c>
      <c r="D353" t="s">
        <v>90</v>
      </c>
      <c r="E353" s="192">
        <v>1</v>
      </c>
    </row>
    <row r="354" spans="1:5" x14ac:dyDescent="0.2">
      <c r="A354" t="s">
        <v>2186</v>
      </c>
      <c r="B354" t="s">
        <v>36</v>
      </c>
      <c r="C354" t="s">
        <v>1856</v>
      </c>
      <c r="D354" t="s">
        <v>90</v>
      </c>
      <c r="E354" s="192">
        <v>1.6869860213189976E-2</v>
      </c>
    </row>
    <row r="355" spans="1:5" x14ac:dyDescent="0.2">
      <c r="A355" t="s">
        <v>1909</v>
      </c>
      <c r="B355" t="s">
        <v>321</v>
      </c>
      <c r="C355" t="s">
        <v>1437</v>
      </c>
      <c r="D355" t="s">
        <v>90</v>
      </c>
      <c r="E355" s="192">
        <v>3.4711731290824596E-2</v>
      </c>
    </row>
    <row r="356" spans="1:5" x14ac:dyDescent="0.2">
      <c r="A356" t="s">
        <v>1922</v>
      </c>
      <c r="B356" t="s">
        <v>131</v>
      </c>
      <c r="C356" t="s">
        <v>1465</v>
      </c>
      <c r="D356" t="s">
        <v>90</v>
      </c>
      <c r="E356" s="192">
        <v>3.9337475961025666E-2</v>
      </c>
    </row>
    <row r="357" spans="1:5" x14ac:dyDescent="0.2">
      <c r="A357" t="s">
        <v>870</v>
      </c>
      <c r="B357" t="s">
        <v>360</v>
      </c>
      <c r="C357" t="s">
        <v>1467</v>
      </c>
      <c r="D357" t="s">
        <v>90</v>
      </c>
      <c r="E357" s="192">
        <v>4.1290533684593969E-2</v>
      </c>
    </row>
    <row r="358" spans="1:5" x14ac:dyDescent="0.2">
      <c r="A358" t="s">
        <v>893</v>
      </c>
      <c r="B358" t="s">
        <v>333</v>
      </c>
      <c r="C358" t="s">
        <v>1468</v>
      </c>
      <c r="D358" t="s">
        <v>90</v>
      </c>
      <c r="E358" s="192">
        <v>4.2898306466230884E-2</v>
      </c>
    </row>
    <row r="359" spans="1:5" x14ac:dyDescent="0.2">
      <c r="A359" t="s">
        <v>2187</v>
      </c>
      <c r="B359" t="s">
        <v>361</v>
      </c>
      <c r="C359" t="s">
        <v>1469</v>
      </c>
      <c r="D359" t="s">
        <v>90</v>
      </c>
      <c r="E359" s="192">
        <v>4.4184280198486754E-2</v>
      </c>
    </row>
    <row r="360" spans="1:5" x14ac:dyDescent="0.2">
      <c r="A360" t="s">
        <v>895</v>
      </c>
      <c r="B360" t="s">
        <v>362</v>
      </c>
      <c r="C360" t="s">
        <v>1470</v>
      </c>
      <c r="D360" t="s">
        <v>90</v>
      </c>
      <c r="E360" s="192">
        <v>3.5563493840804289E-2</v>
      </c>
    </row>
    <row r="361" spans="1:5" x14ac:dyDescent="0.2">
      <c r="A361" t="s">
        <v>2188</v>
      </c>
      <c r="B361" t="s">
        <v>2189</v>
      </c>
      <c r="C361" t="s">
        <v>2190</v>
      </c>
      <c r="D361" t="s">
        <v>90</v>
      </c>
      <c r="E361" s="192">
        <v>0.31228566232971983</v>
      </c>
    </row>
    <row r="362" spans="1:5" x14ac:dyDescent="0.2">
      <c r="A362" t="s">
        <v>896</v>
      </c>
      <c r="B362" t="s">
        <v>334</v>
      </c>
      <c r="C362" t="s">
        <v>1471</v>
      </c>
      <c r="D362" t="s">
        <v>90</v>
      </c>
      <c r="E362" s="192">
        <v>4.3814519921774653E-2</v>
      </c>
    </row>
    <row r="363" spans="1:5" x14ac:dyDescent="0.2">
      <c r="A363" t="s">
        <v>2191</v>
      </c>
      <c r="B363" t="s">
        <v>363</v>
      </c>
      <c r="C363" t="s">
        <v>1472</v>
      </c>
      <c r="D363" t="s">
        <v>90</v>
      </c>
      <c r="E363" s="192">
        <v>3.3351863677680699E-2</v>
      </c>
    </row>
    <row r="364" spans="1:5" x14ac:dyDescent="0.2">
      <c r="A364" t="s">
        <v>898</v>
      </c>
      <c r="B364" t="s">
        <v>54</v>
      </c>
      <c r="C364" t="s">
        <v>1473</v>
      </c>
      <c r="D364" t="s">
        <v>90</v>
      </c>
      <c r="E364" s="192">
        <v>3.1874358029061502E-2</v>
      </c>
    </row>
    <row r="365" spans="1:5" x14ac:dyDescent="0.2">
      <c r="A365" t="s">
        <v>899</v>
      </c>
      <c r="B365" t="s">
        <v>58</v>
      </c>
      <c r="C365" t="s">
        <v>1474</v>
      </c>
      <c r="D365" t="s">
        <v>90</v>
      </c>
      <c r="E365" s="192">
        <v>4.590739335842739E-2</v>
      </c>
    </row>
    <row r="366" spans="1:5" x14ac:dyDescent="0.2">
      <c r="A366" t="s">
        <v>2095</v>
      </c>
      <c r="B366" t="s">
        <v>63</v>
      </c>
      <c r="C366" t="s">
        <v>1442</v>
      </c>
      <c r="D366" t="s">
        <v>90</v>
      </c>
      <c r="E366" s="192">
        <v>4.0930330408265984E-2</v>
      </c>
    </row>
    <row r="367" spans="1:5" x14ac:dyDescent="0.2">
      <c r="A367" t="s">
        <v>1900</v>
      </c>
      <c r="B367" t="s">
        <v>337</v>
      </c>
      <c r="C367" t="s">
        <v>1656</v>
      </c>
      <c r="D367" t="s">
        <v>90</v>
      </c>
      <c r="E367" s="192">
        <v>3.5385117464804834E-2</v>
      </c>
    </row>
    <row r="368" spans="1:5" x14ac:dyDescent="0.2">
      <c r="A368" t="s">
        <v>2097</v>
      </c>
      <c r="B368" t="s">
        <v>71</v>
      </c>
      <c r="C368" t="s">
        <v>1449</v>
      </c>
      <c r="D368" t="s">
        <v>90</v>
      </c>
      <c r="E368" s="192">
        <v>4.0358029257589793E-2</v>
      </c>
    </row>
    <row r="369" spans="1:5" x14ac:dyDescent="0.2">
      <c r="A369" t="s">
        <v>2192</v>
      </c>
      <c r="B369" t="s">
        <v>2193</v>
      </c>
      <c r="C369" t="s">
        <v>1475</v>
      </c>
      <c r="D369" t="s">
        <v>90</v>
      </c>
      <c r="E369" s="192">
        <v>3.0140483536509183E-2</v>
      </c>
    </row>
    <row r="370" spans="1:5" x14ac:dyDescent="0.2">
      <c r="A370" t="s">
        <v>2021</v>
      </c>
      <c r="B370" t="s">
        <v>2022</v>
      </c>
      <c r="C370" t="s">
        <v>1476</v>
      </c>
      <c r="D370" t="s">
        <v>90</v>
      </c>
      <c r="E370" s="192">
        <v>3.8171822985158886E-2</v>
      </c>
    </row>
    <row r="371" spans="1:5" x14ac:dyDescent="0.2">
      <c r="A371" t="s">
        <v>903</v>
      </c>
      <c r="B371" t="s">
        <v>2194</v>
      </c>
      <c r="C371" t="s">
        <v>1477</v>
      </c>
      <c r="D371" t="s">
        <v>90</v>
      </c>
      <c r="E371" s="192">
        <v>1.6916071188502697E-2</v>
      </c>
    </row>
    <row r="372" spans="1:5" x14ac:dyDescent="0.2">
      <c r="A372" t="s">
        <v>904</v>
      </c>
      <c r="B372" t="s">
        <v>2195</v>
      </c>
      <c r="C372" t="s">
        <v>1478</v>
      </c>
      <c r="D372" t="s">
        <v>90</v>
      </c>
      <c r="E372" s="192">
        <v>3.2587793885309073E-2</v>
      </c>
    </row>
    <row r="373" spans="1:5" x14ac:dyDescent="0.2">
      <c r="A373" t="s">
        <v>2196</v>
      </c>
      <c r="B373" t="s">
        <v>365</v>
      </c>
      <c r="C373" t="s">
        <v>1479</v>
      </c>
      <c r="D373" t="s">
        <v>90</v>
      </c>
      <c r="E373" s="192">
        <v>3.0604446333031939E-2</v>
      </c>
    </row>
    <row r="374" spans="1:5" x14ac:dyDescent="0.2">
      <c r="A374" t="s">
        <v>906</v>
      </c>
      <c r="B374" t="s">
        <v>367</v>
      </c>
      <c r="C374" t="s">
        <v>1480</v>
      </c>
      <c r="D374" t="s">
        <v>90</v>
      </c>
      <c r="E374" s="192">
        <v>1.2816425969007575E-2</v>
      </c>
    </row>
    <row r="375" spans="1:5" x14ac:dyDescent="0.2">
      <c r="A375" t="s">
        <v>2197</v>
      </c>
      <c r="B375" t="s">
        <v>1841</v>
      </c>
      <c r="C375" t="s">
        <v>1841</v>
      </c>
      <c r="D375" t="s">
        <v>2197</v>
      </c>
      <c r="E375" s="192">
        <v>1</v>
      </c>
    </row>
    <row r="376" spans="1:5" x14ac:dyDescent="0.2">
      <c r="A376" t="s">
        <v>1876</v>
      </c>
      <c r="B376" t="s">
        <v>596</v>
      </c>
      <c r="C376" t="s">
        <v>1762</v>
      </c>
      <c r="D376" t="s">
        <v>2197</v>
      </c>
      <c r="E376" s="192">
        <v>5.1177923493566986E-2</v>
      </c>
    </row>
    <row r="377" spans="1:5" x14ac:dyDescent="0.2">
      <c r="A377" t="s">
        <v>1878</v>
      </c>
      <c r="B377" t="s">
        <v>599</v>
      </c>
      <c r="C377" t="s">
        <v>1856</v>
      </c>
      <c r="D377" t="s">
        <v>2197</v>
      </c>
      <c r="E377" s="192">
        <v>0.10905013170693426</v>
      </c>
    </row>
    <row r="378" spans="1:5" x14ac:dyDescent="0.2">
      <c r="A378" t="s">
        <v>1879</v>
      </c>
      <c r="B378" t="s">
        <v>598</v>
      </c>
      <c r="C378" t="s">
        <v>1766</v>
      </c>
      <c r="D378" t="s">
        <v>2197</v>
      </c>
      <c r="E378" s="192">
        <v>0.11032843230802518</v>
      </c>
    </row>
    <row r="379" spans="1:5" x14ac:dyDescent="0.2">
      <c r="A379" t="s">
        <v>2154</v>
      </c>
      <c r="B379" t="s">
        <v>2155</v>
      </c>
      <c r="C379" t="s">
        <v>2156</v>
      </c>
      <c r="D379" t="s">
        <v>2197</v>
      </c>
      <c r="E379" s="192">
        <v>3.7981196448018138E-2</v>
      </c>
    </row>
    <row r="380" spans="1:5" x14ac:dyDescent="0.2">
      <c r="A380" t="s">
        <v>1881</v>
      </c>
      <c r="B380" t="s">
        <v>600</v>
      </c>
      <c r="C380" t="s">
        <v>1856</v>
      </c>
      <c r="D380" t="s">
        <v>2197</v>
      </c>
      <c r="E380" s="192">
        <v>0.24885883067967987</v>
      </c>
    </row>
    <row r="381" spans="1:5" x14ac:dyDescent="0.2">
      <c r="A381" t="s">
        <v>1882</v>
      </c>
      <c r="B381" t="s">
        <v>597</v>
      </c>
      <c r="C381" t="s">
        <v>1856</v>
      </c>
      <c r="D381" t="s">
        <v>2197</v>
      </c>
      <c r="E381" s="192">
        <v>0.20208356290729684</v>
      </c>
    </row>
    <row r="382" spans="1:5" x14ac:dyDescent="0.2">
      <c r="A382" t="s">
        <v>1883</v>
      </c>
      <c r="B382" t="s">
        <v>602</v>
      </c>
      <c r="C382" t="s">
        <v>1765</v>
      </c>
      <c r="D382" t="s">
        <v>2197</v>
      </c>
      <c r="E382" s="192">
        <v>0.11829796134785413</v>
      </c>
    </row>
    <row r="383" spans="1:5" x14ac:dyDescent="0.2">
      <c r="A383" t="s">
        <v>1885</v>
      </c>
      <c r="B383" t="s">
        <v>1279</v>
      </c>
      <c r="C383" t="s">
        <v>1764</v>
      </c>
      <c r="D383" t="s">
        <v>2197</v>
      </c>
      <c r="E383" s="192">
        <v>0.12222196110862464</v>
      </c>
    </row>
    <row r="384" spans="1:5" x14ac:dyDescent="0.2">
      <c r="A384" t="s">
        <v>561</v>
      </c>
      <c r="B384" t="s">
        <v>1841</v>
      </c>
      <c r="C384" t="s">
        <v>1841</v>
      </c>
      <c r="D384" t="s">
        <v>561</v>
      </c>
      <c r="E384" s="192">
        <v>1</v>
      </c>
    </row>
    <row r="385" spans="1:5" x14ac:dyDescent="0.2">
      <c r="A385" t="s">
        <v>2160</v>
      </c>
      <c r="B385" t="s">
        <v>544</v>
      </c>
      <c r="C385" t="s">
        <v>1744</v>
      </c>
      <c r="D385" t="s">
        <v>561</v>
      </c>
      <c r="E385" s="192">
        <v>0.1060695071570416</v>
      </c>
    </row>
    <row r="386" spans="1:5" x14ac:dyDescent="0.2">
      <c r="A386" t="s">
        <v>2161</v>
      </c>
      <c r="B386" t="s">
        <v>2162</v>
      </c>
      <c r="C386" t="s">
        <v>1745</v>
      </c>
      <c r="D386" t="s">
        <v>561</v>
      </c>
      <c r="E386" s="192">
        <v>1.7416872762796499E-2</v>
      </c>
    </row>
    <row r="387" spans="1:5" x14ac:dyDescent="0.2">
      <c r="A387" t="s">
        <v>2163</v>
      </c>
      <c r="B387" t="s">
        <v>545</v>
      </c>
      <c r="C387" t="s">
        <v>1745</v>
      </c>
      <c r="D387" t="s">
        <v>561</v>
      </c>
      <c r="E387" s="192">
        <v>0.1505546172110418</v>
      </c>
    </row>
    <row r="388" spans="1:5" x14ac:dyDescent="0.2">
      <c r="A388" t="s">
        <v>2164</v>
      </c>
      <c r="B388" t="s">
        <v>546</v>
      </c>
      <c r="C388" t="s">
        <v>1746</v>
      </c>
      <c r="D388" t="s">
        <v>561</v>
      </c>
      <c r="E388" s="192">
        <v>6.6833505053762021E-3</v>
      </c>
    </row>
    <row r="389" spans="1:5" x14ac:dyDescent="0.2">
      <c r="A389" t="s">
        <v>2165</v>
      </c>
      <c r="B389" t="s">
        <v>2166</v>
      </c>
      <c r="C389" t="s">
        <v>1746</v>
      </c>
      <c r="D389" t="s">
        <v>561</v>
      </c>
      <c r="E389" s="192">
        <v>4.4076205003244088E-3</v>
      </c>
    </row>
    <row r="390" spans="1:5" x14ac:dyDescent="0.2">
      <c r="A390" t="s">
        <v>2198</v>
      </c>
      <c r="B390" t="s">
        <v>547</v>
      </c>
      <c r="C390" t="s">
        <v>1747</v>
      </c>
      <c r="D390" t="s">
        <v>561</v>
      </c>
      <c r="E390" s="192">
        <v>2.8493518927320545E-3</v>
      </c>
    </row>
    <row r="391" spans="1:5" x14ac:dyDescent="0.2">
      <c r="A391" t="s">
        <v>2167</v>
      </c>
      <c r="B391" t="s">
        <v>546</v>
      </c>
      <c r="C391" t="s">
        <v>1746</v>
      </c>
      <c r="D391" t="s">
        <v>561</v>
      </c>
      <c r="E391" s="192">
        <v>6.5610279183842782E-2</v>
      </c>
    </row>
    <row r="392" spans="1:5" x14ac:dyDescent="0.2">
      <c r="A392" t="s">
        <v>2169</v>
      </c>
      <c r="B392" t="s">
        <v>2170</v>
      </c>
      <c r="C392" t="s">
        <v>2171</v>
      </c>
      <c r="D392" t="s">
        <v>561</v>
      </c>
      <c r="E392" s="192">
        <v>1.0338272419750058E-2</v>
      </c>
    </row>
    <row r="393" spans="1:5" x14ac:dyDescent="0.2">
      <c r="A393" t="s">
        <v>2172</v>
      </c>
      <c r="B393" t="s">
        <v>2173</v>
      </c>
      <c r="C393" t="s">
        <v>1749</v>
      </c>
      <c r="D393" t="s">
        <v>561</v>
      </c>
      <c r="E393" s="192">
        <v>0.11940419124307666</v>
      </c>
    </row>
    <row r="394" spans="1:5" x14ac:dyDescent="0.2">
      <c r="A394" t="s">
        <v>2174</v>
      </c>
      <c r="B394" t="s">
        <v>548</v>
      </c>
      <c r="C394" t="s">
        <v>1748</v>
      </c>
      <c r="D394" t="s">
        <v>561</v>
      </c>
      <c r="E394" s="192">
        <v>0.23439665507503482</v>
      </c>
    </row>
    <row r="395" spans="1:5" x14ac:dyDescent="0.2">
      <c r="A395" t="s">
        <v>2175</v>
      </c>
      <c r="B395" t="s">
        <v>548</v>
      </c>
      <c r="C395" t="s">
        <v>1748</v>
      </c>
      <c r="D395" t="s">
        <v>561</v>
      </c>
      <c r="E395" s="192">
        <v>1.5396190938401132E-2</v>
      </c>
    </row>
    <row r="396" spans="1:5" x14ac:dyDescent="0.2">
      <c r="A396" t="s">
        <v>2176</v>
      </c>
      <c r="B396" t="s">
        <v>547</v>
      </c>
      <c r="C396" t="s">
        <v>1747</v>
      </c>
      <c r="D396" t="s">
        <v>561</v>
      </c>
      <c r="E396" s="192">
        <v>4.4794112642561126E-2</v>
      </c>
    </row>
    <row r="397" spans="1:5" x14ac:dyDescent="0.2">
      <c r="A397" t="s">
        <v>2199</v>
      </c>
      <c r="B397" t="s">
        <v>2200</v>
      </c>
      <c r="C397" t="s">
        <v>2201</v>
      </c>
      <c r="D397" t="s">
        <v>561</v>
      </c>
      <c r="E397" s="192">
        <v>6.2737712102343177E-2</v>
      </c>
    </row>
    <row r="398" spans="1:5" x14ac:dyDescent="0.2">
      <c r="A398" t="s">
        <v>2178</v>
      </c>
      <c r="B398" t="s">
        <v>550</v>
      </c>
      <c r="C398" t="s">
        <v>1750</v>
      </c>
      <c r="D398" t="s">
        <v>561</v>
      </c>
      <c r="E398" s="192">
        <v>0.14940801228847142</v>
      </c>
    </row>
    <row r="399" spans="1:5" x14ac:dyDescent="0.2">
      <c r="A399" t="s">
        <v>789</v>
      </c>
      <c r="B399" t="s">
        <v>2179</v>
      </c>
      <c r="C399" t="s">
        <v>1750</v>
      </c>
      <c r="D399" t="s">
        <v>561</v>
      </c>
      <c r="E399" s="192">
        <v>9.9332540772066637E-3</v>
      </c>
    </row>
    <row r="400" spans="1:5" x14ac:dyDescent="0.2">
      <c r="A400" t="s">
        <v>258</v>
      </c>
      <c r="B400" t="s">
        <v>1841</v>
      </c>
      <c r="C400" t="s">
        <v>1841</v>
      </c>
      <c r="D400" t="s">
        <v>258</v>
      </c>
      <c r="E400" s="192">
        <v>1</v>
      </c>
    </row>
    <row r="401" spans="1:5" x14ac:dyDescent="0.2">
      <c r="A401" t="s">
        <v>2085</v>
      </c>
      <c r="B401" t="s">
        <v>2086</v>
      </c>
      <c r="C401" t="s">
        <v>1445</v>
      </c>
      <c r="D401" t="s">
        <v>258</v>
      </c>
      <c r="E401" s="192">
        <v>2.9176620737357255E-2</v>
      </c>
    </row>
    <row r="402" spans="1:5" x14ac:dyDescent="0.2">
      <c r="A402" t="s">
        <v>1890</v>
      </c>
      <c r="B402" t="s">
        <v>339</v>
      </c>
      <c r="C402" t="s">
        <v>1528</v>
      </c>
      <c r="D402" t="s">
        <v>258</v>
      </c>
      <c r="E402" s="192">
        <v>3.0441752212865721E-2</v>
      </c>
    </row>
    <row r="403" spans="1:5" x14ac:dyDescent="0.2">
      <c r="A403" t="s">
        <v>2202</v>
      </c>
      <c r="B403" t="s">
        <v>2203</v>
      </c>
      <c r="C403" t="s">
        <v>1646</v>
      </c>
      <c r="D403" t="s">
        <v>258</v>
      </c>
      <c r="E403" s="192">
        <v>2.9017385142194686E-2</v>
      </c>
    </row>
    <row r="404" spans="1:5" x14ac:dyDescent="0.2">
      <c r="A404" t="s">
        <v>1891</v>
      </c>
      <c r="B404" t="s">
        <v>1410</v>
      </c>
      <c r="C404" t="s">
        <v>1647</v>
      </c>
      <c r="D404" t="s">
        <v>258</v>
      </c>
      <c r="E404" s="192">
        <v>2.9494823982068045E-2</v>
      </c>
    </row>
    <row r="405" spans="1:5" x14ac:dyDescent="0.2">
      <c r="A405" t="s">
        <v>2204</v>
      </c>
      <c r="B405" t="s">
        <v>322</v>
      </c>
      <c r="C405" t="s">
        <v>1555</v>
      </c>
      <c r="D405" t="s">
        <v>258</v>
      </c>
      <c r="E405" s="192">
        <v>2.8491735659982156E-2</v>
      </c>
    </row>
    <row r="406" spans="1:5" x14ac:dyDescent="0.2">
      <c r="A406" t="s">
        <v>2035</v>
      </c>
      <c r="B406" t="s">
        <v>2036</v>
      </c>
      <c r="C406" t="s">
        <v>1594</v>
      </c>
      <c r="D406" t="s">
        <v>258</v>
      </c>
      <c r="E406" s="192">
        <v>2.4712149309322792E-4</v>
      </c>
    </row>
    <row r="407" spans="1:5" x14ac:dyDescent="0.2">
      <c r="A407" t="s">
        <v>1892</v>
      </c>
      <c r="B407" t="s">
        <v>324</v>
      </c>
      <c r="C407" t="s">
        <v>1458</v>
      </c>
      <c r="D407" t="s">
        <v>258</v>
      </c>
      <c r="E407" s="192">
        <v>3.0123224918272733E-2</v>
      </c>
    </row>
    <row r="408" spans="1:5" x14ac:dyDescent="0.2">
      <c r="A408" t="s">
        <v>2049</v>
      </c>
      <c r="B408" t="s">
        <v>2050</v>
      </c>
      <c r="C408" t="s">
        <v>1585</v>
      </c>
      <c r="D408" t="s">
        <v>258</v>
      </c>
      <c r="E408" s="192">
        <v>2.4734810239767404E-4</v>
      </c>
    </row>
    <row r="409" spans="1:5" x14ac:dyDescent="0.2">
      <c r="A409" t="s">
        <v>1895</v>
      </c>
      <c r="B409" t="s">
        <v>342</v>
      </c>
      <c r="C409" t="s">
        <v>1663</v>
      </c>
      <c r="D409" t="s">
        <v>258</v>
      </c>
      <c r="E409" s="192">
        <v>3.5754854434447252E-3</v>
      </c>
    </row>
    <row r="410" spans="1:5" x14ac:dyDescent="0.2">
      <c r="A410" t="s">
        <v>2205</v>
      </c>
      <c r="B410" t="s">
        <v>335</v>
      </c>
      <c r="C410" t="s">
        <v>1648</v>
      </c>
      <c r="D410" t="s">
        <v>258</v>
      </c>
      <c r="E410" s="192">
        <v>2.589905049006112E-2</v>
      </c>
    </row>
    <row r="411" spans="1:5" x14ac:dyDescent="0.2">
      <c r="A411" t="s">
        <v>1896</v>
      </c>
      <c r="B411" t="s">
        <v>44</v>
      </c>
      <c r="C411" t="s">
        <v>1457</v>
      </c>
      <c r="D411" t="s">
        <v>258</v>
      </c>
      <c r="E411" s="192">
        <v>3.0880991904923917E-2</v>
      </c>
    </row>
    <row r="412" spans="1:5" x14ac:dyDescent="0.2">
      <c r="A412" t="s">
        <v>2206</v>
      </c>
      <c r="B412" t="s">
        <v>2207</v>
      </c>
      <c r="C412" t="s">
        <v>2208</v>
      </c>
      <c r="D412" t="s">
        <v>258</v>
      </c>
      <c r="E412" s="192">
        <v>2.6002609161910749E-4</v>
      </c>
    </row>
    <row r="413" spans="1:5" x14ac:dyDescent="0.2">
      <c r="A413" t="s">
        <v>1081</v>
      </c>
      <c r="B413" t="s">
        <v>2209</v>
      </c>
      <c r="C413" t="s">
        <v>1649</v>
      </c>
      <c r="D413" t="s">
        <v>258</v>
      </c>
      <c r="E413" s="192">
        <v>2.9283069011381693E-2</v>
      </c>
    </row>
    <row r="414" spans="1:5" x14ac:dyDescent="0.2">
      <c r="A414" t="s">
        <v>2210</v>
      </c>
      <c r="B414" t="s">
        <v>2211</v>
      </c>
      <c r="C414" t="s">
        <v>1650</v>
      </c>
      <c r="D414" t="s">
        <v>258</v>
      </c>
      <c r="E414" s="192">
        <v>2.8745977457136453E-2</v>
      </c>
    </row>
    <row r="415" spans="1:5" x14ac:dyDescent="0.2">
      <c r="A415" t="s">
        <v>2212</v>
      </c>
      <c r="B415" t="s">
        <v>329</v>
      </c>
      <c r="C415" t="s">
        <v>1435</v>
      </c>
      <c r="D415" t="s">
        <v>258</v>
      </c>
      <c r="E415" s="192">
        <v>1.5499231483590999E-2</v>
      </c>
    </row>
    <row r="416" spans="1:5" x14ac:dyDescent="0.2">
      <c r="A416" t="s">
        <v>1414</v>
      </c>
      <c r="B416" t="s">
        <v>1411</v>
      </c>
      <c r="C416" t="s">
        <v>1651</v>
      </c>
      <c r="D416" t="s">
        <v>258</v>
      </c>
      <c r="E416" s="192">
        <v>2.9398072430540337E-2</v>
      </c>
    </row>
    <row r="417" spans="1:5" x14ac:dyDescent="0.2">
      <c r="A417" t="s">
        <v>1917</v>
      </c>
      <c r="B417" t="s">
        <v>331</v>
      </c>
      <c r="C417" t="s">
        <v>1531</v>
      </c>
      <c r="D417" t="s">
        <v>258</v>
      </c>
      <c r="E417" s="192">
        <v>2.604678451477458E-4</v>
      </c>
    </row>
    <row r="418" spans="1:5" x14ac:dyDescent="0.2">
      <c r="A418" t="s">
        <v>1083</v>
      </c>
      <c r="B418" t="s">
        <v>332</v>
      </c>
      <c r="C418" t="s">
        <v>1652</v>
      </c>
      <c r="D418" t="s">
        <v>258</v>
      </c>
      <c r="E418" s="192">
        <v>2.86612119914623E-2</v>
      </c>
    </row>
    <row r="419" spans="1:5" x14ac:dyDescent="0.2">
      <c r="A419" t="s">
        <v>893</v>
      </c>
      <c r="B419" t="s">
        <v>333</v>
      </c>
      <c r="C419" t="s">
        <v>1468</v>
      </c>
      <c r="D419" t="s">
        <v>258</v>
      </c>
      <c r="E419" s="192">
        <v>2.9314385983764651E-2</v>
      </c>
    </row>
    <row r="420" spans="1:5" x14ac:dyDescent="0.2">
      <c r="A420" t="s">
        <v>2213</v>
      </c>
      <c r="B420" t="s">
        <v>2214</v>
      </c>
      <c r="C420" t="s">
        <v>1595</v>
      </c>
      <c r="D420" t="s">
        <v>258</v>
      </c>
      <c r="E420" s="192">
        <v>3.680412096473496E-3</v>
      </c>
    </row>
    <row r="421" spans="1:5" x14ac:dyDescent="0.2">
      <c r="A421" t="s">
        <v>2055</v>
      </c>
      <c r="B421" t="s">
        <v>2056</v>
      </c>
      <c r="C421" t="s">
        <v>1595</v>
      </c>
      <c r="D421" t="s">
        <v>258</v>
      </c>
      <c r="E421" s="192">
        <v>2.4624978678629571E-2</v>
      </c>
    </row>
    <row r="422" spans="1:5" x14ac:dyDescent="0.2">
      <c r="A422" t="s">
        <v>872</v>
      </c>
      <c r="B422" t="s">
        <v>52</v>
      </c>
      <c r="C422" t="s">
        <v>1653</v>
      </c>
      <c r="D422" t="s">
        <v>258</v>
      </c>
      <c r="E422" s="192">
        <v>2.8451880132355719E-2</v>
      </c>
    </row>
    <row r="423" spans="1:5" x14ac:dyDescent="0.2">
      <c r="A423" t="s">
        <v>1419</v>
      </c>
      <c r="B423" t="s">
        <v>2215</v>
      </c>
      <c r="C423" t="s">
        <v>1654</v>
      </c>
      <c r="D423" t="s">
        <v>258</v>
      </c>
      <c r="E423" s="192">
        <v>2.888282340338947E-2</v>
      </c>
    </row>
    <row r="424" spans="1:5" x14ac:dyDescent="0.2">
      <c r="A424" t="s">
        <v>2216</v>
      </c>
      <c r="B424" t="s">
        <v>2217</v>
      </c>
      <c r="C424" t="s">
        <v>2218</v>
      </c>
      <c r="D424" t="s">
        <v>258</v>
      </c>
      <c r="E424" s="192">
        <v>2.5053214017825147E-4</v>
      </c>
    </row>
    <row r="425" spans="1:5" x14ac:dyDescent="0.2">
      <c r="A425" t="s">
        <v>2095</v>
      </c>
      <c r="B425" t="s">
        <v>63</v>
      </c>
      <c r="C425" t="s">
        <v>1442</v>
      </c>
      <c r="D425" t="s">
        <v>258</v>
      </c>
      <c r="E425" s="192">
        <v>2.947724141111429E-2</v>
      </c>
    </row>
    <row r="426" spans="1:5" x14ac:dyDescent="0.2">
      <c r="A426" t="s">
        <v>2219</v>
      </c>
      <c r="B426" t="s">
        <v>65</v>
      </c>
      <c r="C426" t="s">
        <v>1677</v>
      </c>
      <c r="D426" t="s">
        <v>258</v>
      </c>
      <c r="E426" s="192">
        <v>2.8261635414340933E-4</v>
      </c>
    </row>
    <row r="427" spans="1:5" x14ac:dyDescent="0.2">
      <c r="A427" t="s">
        <v>2220</v>
      </c>
      <c r="B427" t="s">
        <v>67</v>
      </c>
      <c r="C427" t="s">
        <v>1655</v>
      </c>
      <c r="D427" t="s">
        <v>258</v>
      </c>
      <c r="E427" s="192">
        <v>2.9113976208678324E-2</v>
      </c>
    </row>
    <row r="428" spans="1:5" x14ac:dyDescent="0.2">
      <c r="A428" t="s">
        <v>2063</v>
      </c>
      <c r="B428" t="s">
        <v>2064</v>
      </c>
      <c r="C428" t="s">
        <v>1571</v>
      </c>
      <c r="D428" t="s">
        <v>258</v>
      </c>
      <c r="E428" s="192">
        <v>3.1078144509318111E-2</v>
      </c>
    </row>
    <row r="429" spans="1:5" x14ac:dyDescent="0.2">
      <c r="A429" t="s">
        <v>1900</v>
      </c>
      <c r="B429" t="s">
        <v>337</v>
      </c>
      <c r="C429" t="s">
        <v>1656</v>
      </c>
      <c r="D429" t="s">
        <v>258</v>
      </c>
      <c r="E429" s="192">
        <v>2.9016659415517551E-2</v>
      </c>
    </row>
    <row r="430" spans="1:5" x14ac:dyDescent="0.2">
      <c r="A430" t="s">
        <v>1901</v>
      </c>
      <c r="B430" t="s">
        <v>429</v>
      </c>
      <c r="C430" t="s">
        <v>1433</v>
      </c>
      <c r="D430" t="s">
        <v>258</v>
      </c>
      <c r="E430" s="192">
        <v>2.9062307587694819E-2</v>
      </c>
    </row>
    <row r="431" spans="1:5" x14ac:dyDescent="0.2">
      <c r="A431" t="s">
        <v>1902</v>
      </c>
      <c r="B431" t="s">
        <v>1412</v>
      </c>
      <c r="C431" t="s">
        <v>1657</v>
      </c>
      <c r="D431" t="s">
        <v>258</v>
      </c>
      <c r="E431" s="192">
        <v>2.9611700430035519E-2</v>
      </c>
    </row>
    <row r="432" spans="1:5" x14ac:dyDescent="0.2">
      <c r="A432" t="s">
        <v>2221</v>
      </c>
      <c r="B432" t="s">
        <v>2222</v>
      </c>
      <c r="C432" t="s">
        <v>1658</v>
      </c>
      <c r="D432" t="s">
        <v>258</v>
      </c>
      <c r="E432" s="192">
        <v>2.9223095671528889E-2</v>
      </c>
    </row>
    <row r="433" spans="1:5" x14ac:dyDescent="0.2">
      <c r="A433" t="s">
        <v>2223</v>
      </c>
      <c r="B433" t="s">
        <v>2224</v>
      </c>
      <c r="C433" t="s">
        <v>1435</v>
      </c>
      <c r="D433" t="s">
        <v>258</v>
      </c>
      <c r="E433" s="192">
        <v>1.4008304900412607E-2</v>
      </c>
    </row>
    <row r="434" spans="1:5" x14ac:dyDescent="0.2">
      <c r="A434" t="s">
        <v>2097</v>
      </c>
      <c r="B434" t="s">
        <v>71</v>
      </c>
      <c r="C434" t="s">
        <v>1449</v>
      </c>
      <c r="D434" t="s">
        <v>258</v>
      </c>
      <c r="E434" s="192">
        <v>2.9901217543606765E-2</v>
      </c>
    </row>
    <row r="435" spans="1:5" x14ac:dyDescent="0.2">
      <c r="A435" t="s">
        <v>2192</v>
      </c>
      <c r="B435" t="s">
        <v>2193</v>
      </c>
      <c r="C435" t="s">
        <v>1475</v>
      </c>
      <c r="D435" t="s">
        <v>258</v>
      </c>
      <c r="E435" s="192">
        <v>2.6737152069651524E-2</v>
      </c>
    </row>
    <row r="436" spans="1:5" x14ac:dyDescent="0.2">
      <c r="A436" t="s">
        <v>900</v>
      </c>
      <c r="B436" t="s">
        <v>2193</v>
      </c>
      <c r="C436" t="s">
        <v>1475</v>
      </c>
      <c r="D436" t="s">
        <v>258</v>
      </c>
      <c r="E436" s="192">
        <v>2.2134755538576697E-3</v>
      </c>
    </row>
    <row r="437" spans="1:5" x14ac:dyDescent="0.2">
      <c r="A437" t="s">
        <v>883</v>
      </c>
      <c r="B437" t="s">
        <v>154</v>
      </c>
      <c r="C437" t="s">
        <v>1431</v>
      </c>
      <c r="D437" t="s">
        <v>258</v>
      </c>
      <c r="E437" s="192">
        <v>2.9018836875147322E-2</v>
      </c>
    </row>
    <row r="438" spans="1:5" x14ac:dyDescent="0.2">
      <c r="A438" t="s">
        <v>2023</v>
      </c>
      <c r="B438" t="s">
        <v>2024</v>
      </c>
      <c r="C438" t="s">
        <v>1659</v>
      </c>
      <c r="D438" t="s">
        <v>258</v>
      </c>
      <c r="E438" s="192">
        <v>2.9413051348415022E-2</v>
      </c>
    </row>
    <row r="439" spans="1:5" x14ac:dyDescent="0.2">
      <c r="A439" t="s">
        <v>2225</v>
      </c>
      <c r="B439" t="s">
        <v>2226</v>
      </c>
      <c r="C439" t="s">
        <v>1660</v>
      </c>
      <c r="D439" t="s">
        <v>258</v>
      </c>
      <c r="E439" s="192">
        <v>2.9475699859148594E-2</v>
      </c>
    </row>
    <row r="440" spans="1:5" x14ac:dyDescent="0.2">
      <c r="A440" t="s">
        <v>1906</v>
      </c>
      <c r="B440" t="s">
        <v>73</v>
      </c>
      <c r="C440" t="s">
        <v>1447</v>
      </c>
      <c r="D440" t="s">
        <v>258</v>
      </c>
      <c r="E440" s="192">
        <v>2.869088783003395E-2</v>
      </c>
    </row>
    <row r="441" spans="1:5" x14ac:dyDescent="0.2">
      <c r="A441" t="s">
        <v>1907</v>
      </c>
      <c r="B441" t="s">
        <v>75</v>
      </c>
      <c r="C441" t="s">
        <v>1436</v>
      </c>
      <c r="D441" t="s">
        <v>258</v>
      </c>
      <c r="E441" s="192">
        <v>3.0348134207567296E-2</v>
      </c>
    </row>
    <row r="442" spans="1:5" x14ac:dyDescent="0.2">
      <c r="A442" t="s">
        <v>1873</v>
      </c>
      <c r="B442" t="s">
        <v>379</v>
      </c>
      <c r="C442" t="s">
        <v>1509</v>
      </c>
      <c r="D442" t="s">
        <v>258</v>
      </c>
      <c r="E442" s="192">
        <v>2.9403404447695024E-2</v>
      </c>
    </row>
    <row r="443" spans="1:5" x14ac:dyDescent="0.2">
      <c r="A443" t="s">
        <v>958</v>
      </c>
      <c r="B443" t="s">
        <v>160</v>
      </c>
      <c r="C443" t="s">
        <v>1527</v>
      </c>
      <c r="D443" t="s">
        <v>258</v>
      </c>
      <c r="E443" s="192">
        <v>2.6237317206944749E-2</v>
      </c>
    </row>
    <row r="444" spans="1:5" x14ac:dyDescent="0.2">
      <c r="A444" t="s">
        <v>958</v>
      </c>
      <c r="B444" t="s">
        <v>2227</v>
      </c>
      <c r="C444" t="s">
        <v>1527</v>
      </c>
      <c r="D444" t="s">
        <v>258</v>
      </c>
      <c r="E444" s="192">
        <v>3.3534982354902097E-3</v>
      </c>
    </row>
    <row r="445" spans="1:5" x14ac:dyDescent="0.2">
      <c r="A445" t="s">
        <v>1088</v>
      </c>
      <c r="B445" t="s">
        <v>79</v>
      </c>
      <c r="C445" t="s">
        <v>1661</v>
      </c>
      <c r="D445" t="s">
        <v>258</v>
      </c>
      <c r="E445" s="192">
        <v>2.9424669501669283E-2</v>
      </c>
    </row>
    <row r="446" spans="1:5" x14ac:dyDescent="0.2">
      <c r="A446" t="s">
        <v>2228</v>
      </c>
      <c r="B446" t="s">
        <v>1841</v>
      </c>
      <c r="C446" t="s">
        <v>1841</v>
      </c>
      <c r="D446" t="s">
        <v>2228</v>
      </c>
      <c r="E446" s="192">
        <v>1</v>
      </c>
    </row>
    <row r="447" spans="1:5" x14ac:dyDescent="0.2">
      <c r="A447" t="s">
        <v>1874</v>
      </c>
      <c r="B447" t="s">
        <v>587</v>
      </c>
      <c r="C447" t="s">
        <v>1754</v>
      </c>
      <c r="D447" t="s">
        <v>2228</v>
      </c>
      <c r="E447" s="192">
        <v>6.290794118543995E-2</v>
      </c>
    </row>
    <row r="448" spans="1:5" x14ac:dyDescent="0.2">
      <c r="A448" t="s">
        <v>793</v>
      </c>
      <c r="B448" t="s">
        <v>588</v>
      </c>
      <c r="C448" t="s">
        <v>1760</v>
      </c>
      <c r="D448" t="s">
        <v>2228</v>
      </c>
      <c r="E448" s="192">
        <v>2.1690225266334715E-2</v>
      </c>
    </row>
    <row r="449" spans="1:5" x14ac:dyDescent="0.2">
      <c r="A449" t="s">
        <v>1875</v>
      </c>
      <c r="B449" t="s">
        <v>589</v>
      </c>
      <c r="C449" t="s">
        <v>1753</v>
      </c>
      <c r="D449" t="s">
        <v>2228</v>
      </c>
      <c r="E449" s="192">
        <v>6.6237682454621499E-2</v>
      </c>
    </row>
    <row r="450" spans="1:5" x14ac:dyDescent="0.2">
      <c r="A450" t="s">
        <v>1877</v>
      </c>
      <c r="B450" t="s">
        <v>591</v>
      </c>
      <c r="C450" t="s">
        <v>1758</v>
      </c>
      <c r="D450" t="s">
        <v>2228</v>
      </c>
      <c r="E450" s="192">
        <v>3.8891409538843832E-2</v>
      </c>
    </row>
    <row r="451" spans="1:5" x14ac:dyDescent="0.2">
      <c r="A451" t="s">
        <v>2153</v>
      </c>
      <c r="B451" t="s">
        <v>1277</v>
      </c>
      <c r="C451" t="s">
        <v>1756</v>
      </c>
      <c r="D451" t="s">
        <v>2228</v>
      </c>
      <c r="E451" s="192">
        <v>5.8260701556936641E-2</v>
      </c>
    </row>
    <row r="452" spans="1:5" x14ac:dyDescent="0.2">
      <c r="A452" t="s">
        <v>1880</v>
      </c>
      <c r="B452" t="s">
        <v>1265</v>
      </c>
      <c r="C452" t="s">
        <v>1759</v>
      </c>
      <c r="D452" t="s">
        <v>2228</v>
      </c>
      <c r="E452" s="192">
        <v>3.8988410542135699E-2</v>
      </c>
    </row>
    <row r="453" spans="1:5" x14ac:dyDescent="0.2">
      <c r="A453" t="s">
        <v>1884</v>
      </c>
      <c r="B453" t="s">
        <v>592</v>
      </c>
      <c r="C453" t="s">
        <v>1755</v>
      </c>
      <c r="D453" t="s">
        <v>2228</v>
      </c>
      <c r="E453" s="192">
        <v>5.8321497445558548E-2</v>
      </c>
    </row>
    <row r="454" spans="1:5" x14ac:dyDescent="0.2">
      <c r="A454" t="s">
        <v>1886</v>
      </c>
      <c r="B454" t="s">
        <v>593</v>
      </c>
      <c r="C454" t="s">
        <v>1752</v>
      </c>
      <c r="D454" t="s">
        <v>2228</v>
      </c>
      <c r="E454" s="192">
        <v>0.17961646983258056</v>
      </c>
    </row>
    <row r="455" spans="1:5" x14ac:dyDescent="0.2">
      <c r="A455" t="s">
        <v>1887</v>
      </c>
      <c r="B455" t="s">
        <v>594</v>
      </c>
      <c r="C455" t="s">
        <v>1751</v>
      </c>
      <c r="D455" t="s">
        <v>2228</v>
      </c>
      <c r="E455" s="192">
        <v>9.8765911778538953E-2</v>
      </c>
    </row>
    <row r="456" spans="1:5" x14ac:dyDescent="0.2">
      <c r="A456" t="s">
        <v>801</v>
      </c>
      <c r="B456" t="s">
        <v>595</v>
      </c>
      <c r="C456" t="s">
        <v>1757</v>
      </c>
      <c r="D456" t="s">
        <v>2228</v>
      </c>
      <c r="E456" s="192">
        <v>3.8019752664632783E-2</v>
      </c>
    </row>
    <row r="457" spans="1:5" x14ac:dyDescent="0.2">
      <c r="A457" t="s">
        <v>2229</v>
      </c>
      <c r="B457" t="s">
        <v>2230</v>
      </c>
      <c r="C457" t="s">
        <v>2231</v>
      </c>
      <c r="D457" t="s">
        <v>2228</v>
      </c>
      <c r="E457" s="192">
        <v>0.25592113319377002</v>
      </c>
    </row>
    <row r="458" spans="1:5" x14ac:dyDescent="0.2">
      <c r="A458" t="s">
        <v>2232</v>
      </c>
      <c r="B458" t="s">
        <v>2233</v>
      </c>
      <c r="C458" t="s">
        <v>2234</v>
      </c>
      <c r="D458" t="s">
        <v>2228</v>
      </c>
      <c r="E458" s="192">
        <v>6.5606985353839006E-3</v>
      </c>
    </row>
    <row r="459" spans="1:5" x14ac:dyDescent="0.2">
      <c r="A459" t="s">
        <v>2235</v>
      </c>
      <c r="B459" t="s">
        <v>2236</v>
      </c>
      <c r="C459" t="s">
        <v>2237</v>
      </c>
      <c r="D459" t="s">
        <v>2228</v>
      </c>
      <c r="E459" s="192">
        <v>7.581816600522269E-2</v>
      </c>
    </row>
    <row r="460" spans="1:5" x14ac:dyDescent="0.2">
      <c r="A460" t="s">
        <v>557</v>
      </c>
      <c r="B460" t="s">
        <v>1841</v>
      </c>
      <c r="C460" t="s">
        <v>1841</v>
      </c>
      <c r="D460" t="s">
        <v>557</v>
      </c>
      <c r="E460" s="192">
        <v>1</v>
      </c>
    </row>
    <row r="461" spans="1:5" x14ac:dyDescent="0.2">
      <c r="A461" t="s">
        <v>2158</v>
      </c>
      <c r="B461" t="s">
        <v>543</v>
      </c>
      <c r="C461" t="s">
        <v>1742</v>
      </c>
      <c r="D461" t="s">
        <v>557</v>
      </c>
      <c r="E461" s="192">
        <v>3.8846219412576669E-2</v>
      </c>
    </row>
    <row r="462" spans="1:5" x14ac:dyDescent="0.2">
      <c r="A462" t="s">
        <v>2238</v>
      </c>
      <c r="B462" t="s">
        <v>1856</v>
      </c>
      <c r="C462" t="s">
        <v>2239</v>
      </c>
      <c r="D462" t="s">
        <v>557</v>
      </c>
      <c r="E462" s="192">
        <v>1.2691803327758081E-2</v>
      </c>
    </row>
    <row r="463" spans="1:5" x14ac:dyDescent="0.2">
      <c r="A463" t="s">
        <v>2240</v>
      </c>
      <c r="B463" t="s">
        <v>2241</v>
      </c>
      <c r="C463" t="s">
        <v>2241</v>
      </c>
      <c r="D463" t="s">
        <v>557</v>
      </c>
      <c r="E463" s="192">
        <v>5.3961590534547395E-4</v>
      </c>
    </row>
    <row r="464" spans="1:5" x14ac:dyDescent="0.2">
      <c r="A464" t="s">
        <v>2242</v>
      </c>
      <c r="B464" t="s">
        <v>2243</v>
      </c>
      <c r="C464" t="s">
        <v>2244</v>
      </c>
      <c r="D464" t="s">
        <v>557</v>
      </c>
      <c r="E464" s="192">
        <v>1.709400092515203E-3</v>
      </c>
    </row>
    <row r="465" spans="1:5" x14ac:dyDescent="0.2">
      <c r="A465" t="s">
        <v>2245</v>
      </c>
      <c r="B465" t="s">
        <v>2246</v>
      </c>
      <c r="C465" t="s">
        <v>2246</v>
      </c>
      <c r="D465" t="s">
        <v>557</v>
      </c>
      <c r="E465" s="192">
        <v>1.8483384559009195E-4</v>
      </c>
    </row>
    <row r="466" spans="1:5" x14ac:dyDescent="0.2">
      <c r="A466" t="s">
        <v>2247</v>
      </c>
      <c r="B466" t="s">
        <v>1856</v>
      </c>
      <c r="C466" t="s">
        <v>2248</v>
      </c>
      <c r="D466" t="s">
        <v>557</v>
      </c>
      <c r="E466" s="192">
        <v>9.2711549858344802E-3</v>
      </c>
    </row>
    <row r="467" spans="1:5" x14ac:dyDescent="0.2">
      <c r="A467" t="s">
        <v>2249</v>
      </c>
      <c r="B467" t="s">
        <v>2250</v>
      </c>
      <c r="C467" t="s">
        <v>2250</v>
      </c>
      <c r="D467" t="s">
        <v>557</v>
      </c>
      <c r="E467" s="192">
        <v>5.4820374683072555E-4</v>
      </c>
    </row>
    <row r="468" spans="1:5" x14ac:dyDescent="0.2">
      <c r="A468" t="s">
        <v>2251</v>
      </c>
      <c r="B468" t="s">
        <v>1856</v>
      </c>
      <c r="C468" t="s">
        <v>2252</v>
      </c>
      <c r="D468" t="s">
        <v>557</v>
      </c>
      <c r="E468" s="192">
        <v>7.1698399558584573E-5</v>
      </c>
    </row>
    <row r="469" spans="1:5" x14ac:dyDescent="0.2">
      <c r="A469" t="s">
        <v>2253</v>
      </c>
      <c r="B469" t="s">
        <v>1856</v>
      </c>
      <c r="C469" t="s">
        <v>2254</v>
      </c>
      <c r="D469" t="s">
        <v>557</v>
      </c>
      <c r="E469" s="192">
        <v>2.0863831316368536E-4</v>
      </c>
    </row>
    <row r="470" spans="1:5" x14ac:dyDescent="0.2">
      <c r="A470" t="s">
        <v>2255</v>
      </c>
      <c r="B470" t="s">
        <v>2256</v>
      </c>
      <c r="C470" t="s">
        <v>2257</v>
      </c>
      <c r="D470" t="s">
        <v>557</v>
      </c>
      <c r="E470" s="192">
        <v>2.4148668829367573E-4</v>
      </c>
    </row>
    <row r="471" spans="1:5" x14ac:dyDescent="0.2">
      <c r="A471" t="s">
        <v>1269</v>
      </c>
      <c r="B471" t="s">
        <v>1262</v>
      </c>
      <c r="C471" t="s">
        <v>1736</v>
      </c>
      <c r="D471" t="s">
        <v>557</v>
      </c>
      <c r="E471" s="192">
        <v>0.18232726046525177</v>
      </c>
    </row>
    <row r="472" spans="1:5" x14ac:dyDescent="0.2">
      <c r="A472" t="s">
        <v>2168</v>
      </c>
      <c r="B472" t="s">
        <v>1265</v>
      </c>
      <c r="C472" t="s">
        <v>1740</v>
      </c>
      <c r="D472" t="s">
        <v>557</v>
      </c>
      <c r="E472" s="192">
        <v>4.0165011811884199E-2</v>
      </c>
    </row>
    <row r="473" spans="1:5" x14ac:dyDescent="0.2">
      <c r="A473" t="s">
        <v>2177</v>
      </c>
      <c r="B473" t="s">
        <v>541</v>
      </c>
      <c r="C473" t="s">
        <v>1737</v>
      </c>
      <c r="D473" t="s">
        <v>557</v>
      </c>
      <c r="E473" s="192">
        <v>0.18305419801096329</v>
      </c>
    </row>
    <row r="474" spans="1:5" x14ac:dyDescent="0.2">
      <c r="A474" t="s">
        <v>2258</v>
      </c>
      <c r="B474" t="s">
        <v>2259</v>
      </c>
      <c r="C474" t="s">
        <v>1856</v>
      </c>
      <c r="D474" t="s">
        <v>557</v>
      </c>
      <c r="E474" s="192">
        <v>8.3087840574198847E-4</v>
      </c>
    </row>
    <row r="475" spans="1:5" x14ac:dyDescent="0.2">
      <c r="A475" t="s">
        <v>2260</v>
      </c>
      <c r="B475" t="s">
        <v>2261</v>
      </c>
      <c r="C475" t="s">
        <v>2262</v>
      </c>
      <c r="D475" t="s">
        <v>557</v>
      </c>
      <c r="E475" s="192">
        <v>4.5650622981696583E-4</v>
      </c>
    </row>
    <row r="476" spans="1:5" x14ac:dyDescent="0.2">
      <c r="A476" t="s">
        <v>2263</v>
      </c>
      <c r="B476" t="s">
        <v>2264</v>
      </c>
      <c r="C476" t="s">
        <v>2265</v>
      </c>
      <c r="D476" t="s">
        <v>557</v>
      </c>
      <c r="E476" s="192">
        <v>6.6512460343138777E-4</v>
      </c>
    </row>
    <row r="477" spans="1:5" x14ac:dyDescent="0.2">
      <c r="A477" t="s">
        <v>2266</v>
      </c>
      <c r="B477" t="s">
        <v>2267</v>
      </c>
      <c r="C477" t="s">
        <v>2265</v>
      </c>
      <c r="D477" t="s">
        <v>557</v>
      </c>
      <c r="E477" s="192">
        <v>1.9253606941434908E-3</v>
      </c>
    </row>
    <row r="478" spans="1:5" x14ac:dyDescent="0.2">
      <c r="A478" t="s">
        <v>2268</v>
      </c>
      <c r="B478" t="s">
        <v>2269</v>
      </c>
      <c r="C478" t="s">
        <v>2270</v>
      </c>
      <c r="D478" t="s">
        <v>557</v>
      </c>
      <c r="E478" s="192">
        <v>8.9012313108488838E-5</v>
      </c>
    </row>
    <row r="479" spans="1:5" x14ac:dyDescent="0.2">
      <c r="A479" t="s">
        <v>2271</v>
      </c>
      <c r="B479" t="s">
        <v>2272</v>
      </c>
      <c r="C479" t="s">
        <v>2273</v>
      </c>
      <c r="D479" t="s">
        <v>557</v>
      </c>
      <c r="E479" s="192">
        <v>4.3735503291419638E-4</v>
      </c>
    </row>
    <row r="480" spans="1:5" x14ac:dyDescent="0.2">
      <c r="A480" t="s">
        <v>2181</v>
      </c>
      <c r="B480" t="s">
        <v>1356</v>
      </c>
      <c r="C480" t="s">
        <v>1738</v>
      </c>
      <c r="D480" t="s">
        <v>557</v>
      </c>
      <c r="E480" s="192">
        <v>0.14100749351051617</v>
      </c>
    </row>
    <row r="481" spans="1:5" x14ac:dyDescent="0.2">
      <c r="A481" t="s">
        <v>2182</v>
      </c>
      <c r="B481" t="s">
        <v>542</v>
      </c>
      <c r="C481" t="s">
        <v>1741</v>
      </c>
      <c r="D481" t="s">
        <v>557</v>
      </c>
      <c r="E481" s="192">
        <v>3.84701483024293E-2</v>
      </c>
    </row>
    <row r="482" spans="1:5" x14ac:dyDescent="0.2">
      <c r="A482" t="s">
        <v>2182</v>
      </c>
      <c r="B482" t="s">
        <v>603</v>
      </c>
      <c r="C482" t="s">
        <v>1741</v>
      </c>
      <c r="D482" t="s">
        <v>557</v>
      </c>
      <c r="E482" s="192">
        <v>1.1973532787708636E-3</v>
      </c>
    </row>
    <row r="483" spans="1:5" x14ac:dyDescent="0.2">
      <c r="A483" t="s">
        <v>2183</v>
      </c>
      <c r="B483" t="s">
        <v>1261</v>
      </c>
      <c r="C483" t="s">
        <v>1735</v>
      </c>
      <c r="D483" t="s">
        <v>557</v>
      </c>
      <c r="E483" s="192">
        <v>0.2533173783900956</v>
      </c>
    </row>
    <row r="484" spans="1:5" x14ac:dyDescent="0.2">
      <c r="A484" t="s">
        <v>2274</v>
      </c>
      <c r="B484" t="s">
        <v>2275</v>
      </c>
      <c r="C484" t="s">
        <v>2276</v>
      </c>
      <c r="D484" t="s">
        <v>557</v>
      </c>
      <c r="E484" s="192">
        <v>2.9366363432034511E-4</v>
      </c>
    </row>
    <row r="485" spans="1:5" x14ac:dyDescent="0.2">
      <c r="A485" t="s">
        <v>2184</v>
      </c>
      <c r="B485" t="s">
        <v>1264</v>
      </c>
      <c r="C485" t="s">
        <v>1739</v>
      </c>
      <c r="D485" t="s">
        <v>557</v>
      </c>
      <c r="E485" s="192">
        <v>8.4903227515515128E-2</v>
      </c>
    </row>
    <row r="486" spans="1:5" x14ac:dyDescent="0.2">
      <c r="A486" t="s">
        <v>2185</v>
      </c>
      <c r="B486" t="s">
        <v>1263</v>
      </c>
      <c r="C486" t="s">
        <v>1738</v>
      </c>
      <c r="D486" t="s">
        <v>557</v>
      </c>
      <c r="E486" s="192">
        <v>5.4525052044697205E-3</v>
      </c>
    </row>
    <row r="487" spans="1:5" x14ac:dyDescent="0.2">
      <c r="A487" t="s">
        <v>781</v>
      </c>
      <c r="B487" t="s">
        <v>543</v>
      </c>
      <c r="C487" t="s">
        <v>1742</v>
      </c>
      <c r="D487" t="s">
        <v>557</v>
      </c>
      <c r="E487" s="192">
        <v>1.0944678791592396E-3</v>
      </c>
    </row>
    <row r="488" spans="1:5" x14ac:dyDescent="0.2">
      <c r="A488" t="s">
        <v>560</v>
      </c>
      <c r="B488" t="s">
        <v>1841</v>
      </c>
      <c r="C488" t="s">
        <v>1841</v>
      </c>
      <c r="D488" t="s">
        <v>560</v>
      </c>
      <c r="E488" s="192">
        <v>1</v>
      </c>
    </row>
    <row r="489" spans="1:5" x14ac:dyDescent="0.2">
      <c r="A489" t="s">
        <v>2158</v>
      </c>
      <c r="B489" t="s">
        <v>543</v>
      </c>
      <c r="C489" t="s">
        <v>1742</v>
      </c>
      <c r="D489" t="s">
        <v>560</v>
      </c>
      <c r="E489" s="192">
        <v>8.8101014361031006E-3</v>
      </c>
    </row>
    <row r="490" spans="1:5" x14ac:dyDescent="0.2">
      <c r="A490" t="s">
        <v>1269</v>
      </c>
      <c r="B490" t="s">
        <v>1262</v>
      </c>
      <c r="C490" t="s">
        <v>1736</v>
      </c>
      <c r="D490" t="s">
        <v>560</v>
      </c>
      <c r="E490" s="192">
        <v>6.39824244023635E-2</v>
      </c>
    </row>
    <row r="491" spans="1:5" x14ac:dyDescent="0.2">
      <c r="A491" t="s">
        <v>2160</v>
      </c>
      <c r="B491" t="s">
        <v>544</v>
      </c>
      <c r="C491" t="s">
        <v>1744</v>
      </c>
      <c r="D491" t="s">
        <v>560</v>
      </c>
      <c r="E491" s="192">
        <v>7.1825640796000956E-2</v>
      </c>
    </row>
    <row r="492" spans="1:5" x14ac:dyDescent="0.2">
      <c r="A492" t="s">
        <v>2163</v>
      </c>
      <c r="B492" t="s">
        <v>545</v>
      </c>
      <c r="C492" t="s">
        <v>1745</v>
      </c>
      <c r="D492" t="s">
        <v>560</v>
      </c>
      <c r="E492" s="192">
        <v>0.11022472026090488</v>
      </c>
    </row>
    <row r="493" spans="1:5" x14ac:dyDescent="0.2">
      <c r="A493" t="s">
        <v>2167</v>
      </c>
      <c r="B493" t="s">
        <v>546</v>
      </c>
      <c r="C493" t="s">
        <v>1746</v>
      </c>
      <c r="D493" t="s">
        <v>560</v>
      </c>
      <c r="E493" s="192">
        <v>7.0497423883969484E-2</v>
      </c>
    </row>
    <row r="494" spans="1:5" x14ac:dyDescent="0.2">
      <c r="A494" t="s">
        <v>2168</v>
      </c>
      <c r="B494" t="s">
        <v>1265</v>
      </c>
      <c r="C494" t="s">
        <v>1740</v>
      </c>
      <c r="D494" t="s">
        <v>560</v>
      </c>
      <c r="E494" s="192">
        <v>8.7328442513267615E-3</v>
      </c>
    </row>
    <row r="495" spans="1:5" x14ac:dyDescent="0.2">
      <c r="A495" t="s">
        <v>2172</v>
      </c>
      <c r="B495" t="s">
        <v>2173</v>
      </c>
      <c r="C495" t="s">
        <v>1749</v>
      </c>
      <c r="D495" t="s">
        <v>560</v>
      </c>
      <c r="E495" s="192">
        <v>0.10163806508685139</v>
      </c>
    </row>
    <row r="496" spans="1:5" x14ac:dyDescent="0.2">
      <c r="A496" t="s">
        <v>2174</v>
      </c>
      <c r="B496" t="s">
        <v>548</v>
      </c>
      <c r="C496" t="s">
        <v>1748</v>
      </c>
      <c r="D496" t="s">
        <v>560</v>
      </c>
      <c r="E496" s="192">
        <v>0.16188126029518413</v>
      </c>
    </row>
    <row r="497" spans="1:5" x14ac:dyDescent="0.2">
      <c r="A497" t="s">
        <v>2176</v>
      </c>
      <c r="B497" t="s">
        <v>547</v>
      </c>
      <c r="C497" t="s">
        <v>1747</v>
      </c>
      <c r="D497" t="s">
        <v>560</v>
      </c>
      <c r="E497" s="192">
        <v>2.7002643602180923E-2</v>
      </c>
    </row>
    <row r="498" spans="1:5" x14ac:dyDescent="0.2">
      <c r="A498" t="s">
        <v>2177</v>
      </c>
      <c r="B498" t="s">
        <v>541</v>
      </c>
      <c r="C498" t="s">
        <v>1737</v>
      </c>
      <c r="D498" t="s">
        <v>560</v>
      </c>
      <c r="E498" s="192">
        <v>6.4082256986518732E-2</v>
      </c>
    </row>
    <row r="499" spans="1:5" x14ac:dyDescent="0.2">
      <c r="A499" t="s">
        <v>2178</v>
      </c>
      <c r="B499" t="s">
        <v>550</v>
      </c>
      <c r="C499" t="s">
        <v>1750</v>
      </c>
      <c r="D499" t="s">
        <v>560</v>
      </c>
      <c r="E499" s="192">
        <v>0.10447239611317312</v>
      </c>
    </row>
    <row r="500" spans="1:5" x14ac:dyDescent="0.2">
      <c r="A500" t="s">
        <v>2180</v>
      </c>
      <c r="B500" t="s">
        <v>1266</v>
      </c>
      <c r="C500" t="s">
        <v>1743</v>
      </c>
      <c r="D500" t="s">
        <v>560</v>
      </c>
      <c r="E500" s="192">
        <v>2.7764795195518568E-2</v>
      </c>
    </row>
    <row r="501" spans="1:5" x14ac:dyDescent="0.2">
      <c r="A501" t="s">
        <v>2181</v>
      </c>
      <c r="B501" t="s">
        <v>1356</v>
      </c>
      <c r="C501" t="s">
        <v>1738</v>
      </c>
      <c r="D501" t="s">
        <v>560</v>
      </c>
      <c r="E501" s="192">
        <v>5.4236147668382431E-2</v>
      </c>
    </row>
    <row r="502" spans="1:5" x14ac:dyDescent="0.2">
      <c r="A502" t="s">
        <v>2182</v>
      </c>
      <c r="B502" t="s">
        <v>542</v>
      </c>
      <c r="C502" t="s">
        <v>1741</v>
      </c>
      <c r="D502" t="s">
        <v>560</v>
      </c>
      <c r="E502" s="192">
        <v>8.6073702034014047E-3</v>
      </c>
    </row>
    <row r="503" spans="1:5" x14ac:dyDescent="0.2">
      <c r="A503" t="s">
        <v>2183</v>
      </c>
      <c r="B503" t="s">
        <v>1261</v>
      </c>
      <c r="C503" t="s">
        <v>1735</v>
      </c>
      <c r="D503" t="s">
        <v>560</v>
      </c>
      <c r="E503" s="192">
        <v>8.9119515124502863E-2</v>
      </c>
    </row>
    <row r="504" spans="1:5" x14ac:dyDescent="0.2">
      <c r="A504" t="s">
        <v>2184</v>
      </c>
      <c r="B504" t="s">
        <v>1264</v>
      </c>
      <c r="C504" t="s">
        <v>1739</v>
      </c>
      <c r="D504" t="s">
        <v>560</v>
      </c>
      <c r="E504" s="192">
        <v>2.7122394693618015E-2</v>
      </c>
    </row>
    <row r="505" spans="1:5" x14ac:dyDescent="0.2">
      <c r="A505" t="s">
        <v>4</v>
      </c>
      <c r="B505" t="s">
        <v>1841</v>
      </c>
      <c r="C505" t="s">
        <v>1841</v>
      </c>
      <c r="D505" t="s">
        <v>4</v>
      </c>
      <c r="E505" s="192">
        <v>1</v>
      </c>
    </row>
    <row r="506" spans="1:5" x14ac:dyDescent="0.2">
      <c r="A506" t="s">
        <v>1909</v>
      </c>
      <c r="B506" t="s">
        <v>321</v>
      </c>
      <c r="C506" t="s">
        <v>1437</v>
      </c>
      <c r="D506" t="s">
        <v>4</v>
      </c>
      <c r="E506" s="192">
        <v>2.8582462750899953E-2</v>
      </c>
    </row>
    <row r="507" spans="1:5" x14ac:dyDescent="0.2">
      <c r="A507" t="s">
        <v>1910</v>
      </c>
      <c r="B507" t="s">
        <v>38</v>
      </c>
      <c r="C507" t="s">
        <v>1461</v>
      </c>
      <c r="D507" t="s">
        <v>4</v>
      </c>
      <c r="E507" s="192">
        <v>2.2836563436797883E-2</v>
      </c>
    </row>
    <row r="508" spans="1:5" x14ac:dyDescent="0.2">
      <c r="A508" t="s">
        <v>852</v>
      </c>
      <c r="B508" t="s">
        <v>357</v>
      </c>
      <c r="C508" t="s">
        <v>1463</v>
      </c>
      <c r="D508" t="s">
        <v>4</v>
      </c>
      <c r="E508" s="192">
        <v>2.0494155208266061E-2</v>
      </c>
    </row>
    <row r="509" spans="1:5" x14ac:dyDescent="0.2">
      <c r="A509" t="s">
        <v>2085</v>
      </c>
      <c r="B509" t="s">
        <v>2086</v>
      </c>
      <c r="C509" t="s">
        <v>1445</v>
      </c>
      <c r="D509" t="s">
        <v>4</v>
      </c>
      <c r="E509" s="192">
        <v>2.5110522037558859E-2</v>
      </c>
    </row>
    <row r="510" spans="1:5" x14ac:dyDescent="0.2">
      <c r="A510" t="s">
        <v>1911</v>
      </c>
      <c r="B510" t="s">
        <v>706</v>
      </c>
      <c r="C510" t="s">
        <v>1444</v>
      </c>
      <c r="D510" t="s">
        <v>4</v>
      </c>
      <c r="E510" s="192">
        <v>2.9065368304864083E-2</v>
      </c>
    </row>
    <row r="511" spans="1:5" x14ac:dyDescent="0.2">
      <c r="A511" t="s">
        <v>2277</v>
      </c>
      <c r="B511" t="s">
        <v>2278</v>
      </c>
      <c r="C511" t="s">
        <v>2279</v>
      </c>
      <c r="D511" t="s">
        <v>4</v>
      </c>
      <c r="E511" s="192">
        <v>5.7267209990341614E-4</v>
      </c>
    </row>
    <row r="512" spans="1:5" x14ac:dyDescent="0.2">
      <c r="A512" t="s">
        <v>1912</v>
      </c>
      <c r="B512" t="s">
        <v>48</v>
      </c>
      <c r="C512" t="s">
        <v>1428</v>
      </c>
      <c r="D512" t="s">
        <v>4</v>
      </c>
      <c r="E512" s="192">
        <v>3.9105196608010123E-2</v>
      </c>
    </row>
    <row r="513" spans="1:5" x14ac:dyDescent="0.2">
      <c r="A513" t="s">
        <v>1913</v>
      </c>
      <c r="B513" t="s">
        <v>42</v>
      </c>
      <c r="C513" t="s">
        <v>1434</v>
      </c>
      <c r="D513" t="s">
        <v>4</v>
      </c>
      <c r="E513" s="192">
        <v>2.610954013311699E-2</v>
      </c>
    </row>
    <row r="514" spans="1:5" x14ac:dyDescent="0.2">
      <c r="A514" t="s">
        <v>1914</v>
      </c>
      <c r="B514" t="s">
        <v>707</v>
      </c>
      <c r="C514" t="s">
        <v>1432</v>
      </c>
      <c r="D514" t="s">
        <v>4</v>
      </c>
      <c r="E514" s="192">
        <v>2.9945540442548331E-2</v>
      </c>
    </row>
    <row r="515" spans="1:5" x14ac:dyDescent="0.2">
      <c r="A515" t="s">
        <v>860</v>
      </c>
      <c r="B515" t="s">
        <v>32</v>
      </c>
      <c r="C515" t="s">
        <v>1429</v>
      </c>
      <c r="D515" t="s">
        <v>4</v>
      </c>
      <c r="E515" s="192">
        <v>3.1378705409622405E-2</v>
      </c>
    </row>
    <row r="516" spans="1:5" x14ac:dyDescent="0.2">
      <c r="A516" t="s">
        <v>1892</v>
      </c>
      <c r="B516" t="s">
        <v>324</v>
      </c>
      <c r="C516" t="s">
        <v>1458</v>
      </c>
      <c r="D516" t="s">
        <v>4</v>
      </c>
      <c r="E516" s="192">
        <v>2.7914221088119293E-2</v>
      </c>
    </row>
    <row r="517" spans="1:5" x14ac:dyDescent="0.2">
      <c r="A517" t="s">
        <v>2280</v>
      </c>
      <c r="B517" t="s">
        <v>2281</v>
      </c>
      <c r="C517" t="s">
        <v>1557</v>
      </c>
      <c r="D517" t="s">
        <v>4</v>
      </c>
      <c r="E517" s="192">
        <v>7.7428017665838076E-4</v>
      </c>
    </row>
    <row r="518" spans="1:5" x14ac:dyDescent="0.2">
      <c r="A518" t="s">
        <v>1894</v>
      </c>
      <c r="B518" t="s">
        <v>46</v>
      </c>
      <c r="C518" t="s">
        <v>1452</v>
      </c>
      <c r="D518" t="s">
        <v>4</v>
      </c>
      <c r="E518" s="192">
        <v>2.5984499318917494E-2</v>
      </c>
    </row>
    <row r="519" spans="1:5" x14ac:dyDescent="0.2">
      <c r="A519" t="s">
        <v>2282</v>
      </c>
      <c r="B519" t="s">
        <v>2283</v>
      </c>
      <c r="C519" t="s">
        <v>2284</v>
      </c>
      <c r="D519" t="s">
        <v>4</v>
      </c>
      <c r="E519" s="192">
        <v>7.5265159402871946E-4</v>
      </c>
    </row>
    <row r="520" spans="1:5" x14ac:dyDescent="0.2">
      <c r="A520" t="s">
        <v>1896</v>
      </c>
      <c r="B520" t="s">
        <v>44</v>
      </c>
      <c r="C520" t="s">
        <v>1457</v>
      </c>
      <c r="D520" t="s">
        <v>4</v>
      </c>
      <c r="E520" s="192">
        <v>2.7428754717843101E-2</v>
      </c>
    </row>
    <row r="521" spans="1:5" x14ac:dyDescent="0.2">
      <c r="A521" t="s">
        <v>865</v>
      </c>
      <c r="B521" t="s">
        <v>2285</v>
      </c>
      <c r="C521" t="s">
        <v>1460</v>
      </c>
      <c r="D521" t="s">
        <v>4</v>
      </c>
      <c r="E521" s="192">
        <v>2.9612917956032487E-3</v>
      </c>
    </row>
    <row r="522" spans="1:5" x14ac:dyDescent="0.2">
      <c r="A522" t="s">
        <v>2087</v>
      </c>
      <c r="B522" t="s">
        <v>2088</v>
      </c>
      <c r="C522" t="s">
        <v>1460</v>
      </c>
      <c r="D522" t="s">
        <v>4</v>
      </c>
      <c r="E522" s="192">
        <v>2.4835878134876248E-2</v>
      </c>
    </row>
    <row r="523" spans="1:5" x14ac:dyDescent="0.2">
      <c r="A523" t="s">
        <v>2212</v>
      </c>
      <c r="B523" t="s">
        <v>329</v>
      </c>
      <c r="C523" t="s">
        <v>1435</v>
      </c>
      <c r="D523" t="s">
        <v>4</v>
      </c>
      <c r="E523" s="192">
        <v>3.0438052092974784E-2</v>
      </c>
    </row>
    <row r="524" spans="1:5" x14ac:dyDescent="0.2">
      <c r="A524" t="s">
        <v>2089</v>
      </c>
      <c r="B524" t="s">
        <v>329</v>
      </c>
      <c r="C524" t="s">
        <v>2090</v>
      </c>
      <c r="D524" t="s">
        <v>4</v>
      </c>
      <c r="E524" s="192">
        <v>8.4731773894971651E-4</v>
      </c>
    </row>
    <row r="525" spans="1:5" x14ac:dyDescent="0.2">
      <c r="A525" t="s">
        <v>869</v>
      </c>
      <c r="B525" t="s">
        <v>77</v>
      </c>
      <c r="C525" t="s">
        <v>1443</v>
      </c>
      <c r="D525" t="s">
        <v>4</v>
      </c>
      <c r="E525" s="192">
        <v>2.6303777753210609E-2</v>
      </c>
    </row>
    <row r="526" spans="1:5" x14ac:dyDescent="0.2">
      <c r="A526" t="s">
        <v>870</v>
      </c>
      <c r="B526" t="s">
        <v>360</v>
      </c>
      <c r="C526" t="s">
        <v>1467</v>
      </c>
      <c r="D526" t="s">
        <v>4</v>
      </c>
      <c r="E526" s="192">
        <v>9.1556018226600388E-4</v>
      </c>
    </row>
    <row r="527" spans="1:5" x14ac:dyDescent="0.2">
      <c r="A527" t="s">
        <v>50</v>
      </c>
      <c r="B527" t="s">
        <v>50</v>
      </c>
      <c r="C527" t="s">
        <v>1455</v>
      </c>
      <c r="D527" t="s">
        <v>4</v>
      </c>
      <c r="E527" s="192">
        <v>2.391791567288333E-2</v>
      </c>
    </row>
    <row r="528" spans="1:5" x14ac:dyDescent="0.2">
      <c r="A528" t="s">
        <v>2286</v>
      </c>
      <c r="B528" t="s">
        <v>2287</v>
      </c>
      <c r="C528" t="s">
        <v>1856</v>
      </c>
      <c r="D528" t="s">
        <v>4</v>
      </c>
      <c r="E528" s="192">
        <v>1.2030912019979511E-2</v>
      </c>
    </row>
    <row r="529" spans="1:5" x14ac:dyDescent="0.2">
      <c r="A529" t="s">
        <v>2288</v>
      </c>
      <c r="B529" t="s">
        <v>2289</v>
      </c>
      <c r="C529" t="s">
        <v>2290</v>
      </c>
      <c r="D529" t="s">
        <v>4</v>
      </c>
      <c r="E529" s="192">
        <v>3.1971812883131554E-3</v>
      </c>
    </row>
    <row r="530" spans="1:5" x14ac:dyDescent="0.2">
      <c r="A530" t="s">
        <v>2091</v>
      </c>
      <c r="B530" t="s">
        <v>1392</v>
      </c>
      <c r="C530" t="s">
        <v>1450</v>
      </c>
      <c r="D530" t="s">
        <v>4</v>
      </c>
      <c r="E530" s="192">
        <v>2.4433389916788749E-2</v>
      </c>
    </row>
    <row r="531" spans="1:5" x14ac:dyDescent="0.2">
      <c r="A531" t="s">
        <v>1918</v>
      </c>
      <c r="B531" t="s">
        <v>428</v>
      </c>
      <c r="C531" t="s">
        <v>1456</v>
      </c>
      <c r="D531" t="s">
        <v>4</v>
      </c>
      <c r="E531" s="192">
        <v>2.6151562228776425E-2</v>
      </c>
    </row>
    <row r="532" spans="1:5" x14ac:dyDescent="0.2">
      <c r="A532" t="s">
        <v>2092</v>
      </c>
      <c r="B532" t="s">
        <v>56</v>
      </c>
      <c r="C532" t="s">
        <v>1462</v>
      </c>
      <c r="D532" t="s">
        <v>4</v>
      </c>
      <c r="E532" s="192">
        <v>1.9451453382967627E-2</v>
      </c>
    </row>
    <row r="533" spans="1:5" x14ac:dyDescent="0.2">
      <c r="A533" t="s">
        <v>899</v>
      </c>
      <c r="B533" t="s">
        <v>58</v>
      </c>
      <c r="C533" t="s">
        <v>1474</v>
      </c>
      <c r="D533" t="s">
        <v>4</v>
      </c>
      <c r="E533" s="192">
        <v>8.7063254502171806E-4</v>
      </c>
    </row>
    <row r="534" spans="1:5" x14ac:dyDescent="0.2">
      <c r="A534" t="s">
        <v>874</v>
      </c>
      <c r="B534" t="s">
        <v>358</v>
      </c>
      <c r="C534" t="s">
        <v>1439</v>
      </c>
      <c r="D534" t="s">
        <v>4</v>
      </c>
      <c r="E534" s="192">
        <v>2.6774412233717796E-2</v>
      </c>
    </row>
    <row r="535" spans="1:5" x14ac:dyDescent="0.2">
      <c r="A535" t="s">
        <v>1398</v>
      </c>
      <c r="B535" t="s">
        <v>1393</v>
      </c>
      <c r="C535" t="s">
        <v>1451</v>
      </c>
      <c r="D535" t="s">
        <v>4</v>
      </c>
      <c r="E535" s="192">
        <v>2.7358881834366595E-2</v>
      </c>
    </row>
    <row r="536" spans="1:5" x14ac:dyDescent="0.2">
      <c r="A536" t="s">
        <v>875</v>
      </c>
      <c r="B536" t="s">
        <v>60</v>
      </c>
      <c r="C536" t="s">
        <v>1430</v>
      </c>
      <c r="D536" t="s">
        <v>4</v>
      </c>
      <c r="E536" s="192">
        <v>2.8566623643508204E-2</v>
      </c>
    </row>
    <row r="537" spans="1:5" x14ac:dyDescent="0.2">
      <c r="A537" t="s">
        <v>2216</v>
      </c>
      <c r="B537" t="s">
        <v>2217</v>
      </c>
      <c r="C537" t="s">
        <v>2218</v>
      </c>
      <c r="D537" t="s">
        <v>4</v>
      </c>
      <c r="E537" s="192">
        <v>4.3416730037371533E-4</v>
      </c>
    </row>
    <row r="538" spans="1:5" x14ac:dyDescent="0.2">
      <c r="A538" t="s">
        <v>2093</v>
      </c>
      <c r="B538" t="s">
        <v>2094</v>
      </c>
      <c r="C538" t="s">
        <v>1453</v>
      </c>
      <c r="D538" t="s">
        <v>4</v>
      </c>
      <c r="E538" s="192">
        <v>2.5550561291649992E-2</v>
      </c>
    </row>
    <row r="539" spans="1:5" x14ac:dyDescent="0.2">
      <c r="A539" t="s">
        <v>2095</v>
      </c>
      <c r="B539" t="s">
        <v>63</v>
      </c>
      <c r="C539" t="s">
        <v>1442</v>
      </c>
      <c r="D539" t="s">
        <v>4</v>
      </c>
      <c r="E539" s="192">
        <v>2.8612192307035419E-2</v>
      </c>
    </row>
    <row r="540" spans="1:5" x14ac:dyDescent="0.2">
      <c r="A540" t="s">
        <v>2291</v>
      </c>
      <c r="B540" t="s">
        <v>2292</v>
      </c>
      <c r="C540" t="s">
        <v>2293</v>
      </c>
      <c r="D540" t="s">
        <v>4</v>
      </c>
      <c r="E540" s="192">
        <v>1.0123505056381693E-3</v>
      </c>
    </row>
    <row r="541" spans="1:5" x14ac:dyDescent="0.2">
      <c r="A541" t="s">
        <v>2219</v>
      </c>
      <c r="B541" t="s">
        <v>65</v>
      </c>
      <c r="C541" t="s">
        <v>1677</v>
      </c>
      <c r="D541" t="s">
        <v>4</v>
      </c>
      <c r="E541" s="192">
        <v>6.7398863896564421E-4</v>
      </c>
    </row>
    <row r="542" spans="1:5" x14ac:dyDescent="0.2">
      <c r="A542" t="s">
        <v>2220</v>
      </c>
      <c r="B542" t="s">
        <v>67</v>
      </c>
      <c r="C542" t="s">
        <v>1655</v>
      </c>
      <c r="D542" t="s">
        <v>4</v>
      </c>
      <c r="E542" s="192">
        <v>4.5233729512356797E-4</v>
      </c>
    </row>
    <row r="543" spans="1:5" x14ac:dyDescent="0.2">
      <c r="A543" t="s">
        <v>880</v>
      </c>
      <c r="B543" t="s">
        <v>69</v>
      </c>
      <c r="C543" t="s">
        <v>1440</v>
      </c>
      <c r="D543" t="s">
        <v>4</v>
      </c>
      <c r="E543" s="192">
        <v>2.7271564451110362E-2</v>
      </c>
    </row>
    <row r="544" spans="1:5" x14ac:dyDescent="0.2">
      <c r="A544" t="s">
        <v>1901</v>
      </c>
      <c r="B544" t="s">
        <v>429</v>
      </c>
      <c r="C544" t="s">
        <v>1433</v>
      </c>
      <c r="D544" t="s">
        <v>4</v>
      </c>
      <c r="E544" s="192">
        <v>2.8113386114467238E-2</v>
      </c>
    </row>
    <row r="545" spans="1:5" x14ac:dyDescent="0.2">
      <c r="A545" t="s">
        <v>2097</v>
      </c>
      <c r="B545" t="s">
        <v>71</v>
      </c>
      <c r="C545" t="s">
        <v>1449</v>
      </c>
      <c r="D545" t="s">
        <v>4</v>
      </c>
      <c r="E545" s="192">
        <v>2.8236793698079431E-2</v>
      </c>
    </row>
    <row r="546" spans="1:5" x14ac:dyDescent="0.2">
      <c r="A546" t="s">
        <v>883</v>
      </c>
      <c r="B546" t="s">
        <v>154</v>
      </c>
      <c r="C546" t="s">
        <v>1431</v>
      </c>
      <c r="D546" t="s">
        <v>4</v>
      </c>
      <c r="E546" s="192">
        <v>2.8681652384941442E-2</v>
      </c>
    </row>
    <row r="547" spans="1:5" x14ac:dyDescent="0.2">
      <c r="A547" t="s">
        <v>883</v>
      </c>
      <c r="B547" t="s">
        <v>2294</v>
      </c>
      <c r="C547" t="s">
        <v>1856</v>
      </c>
      <c r="D547" t="s">
        <v>4</v>
      </c>
      <c r="E547" s="192">
        <v>9.6725747985976164E-4</v>
      </c>
    </row>
    <row r="548" spans="1:5" x14ac:dyDescent="0.2">
      <c r="A548" t="s">
        <v>1919</v>
      </c>
      <c r="B548" t="s">
        <v>340</v>
      </c>
      <c r="C548" t="s">
        <v>1448</v>
      </c>
      <c r="D548" t="s">
        <v>4</v>
      </c>
      <c r="E548" s="192">
        <v>2.4968515824951985E-2</v>
      </c>
    </row>
    <row r="549" spans="1:5" x14ac:dyDescent="0.2">
      <c r="A549" t="s">
        <v>2098</v>
      </c>
      <c r="B549" t="s">
        <v>2099</v>
      </c>
      <c r="C549" t="s">
        <v>1441</v>
      </c>
      <c r="D549" t="s">
        <v>4</v>
      </c>
      <c r="E549" s="192">
        <v>2.3563478677972167E-2</v>
      </c>
    </row>
    <row r="550" spans="1:5" x14ac:dyDescent="0.2">
      <c r="A550" t="s">
        <v>1906</v>
      </c>
      <c r="B550" t="s">
        <v>73</v>
      </c>
      <c r="C550" t="s">
        <v>1447</v>
      </c>
      <c r="D550" t="s">
        <v>4</v>
      </c>
      <c r="E550" s="192">
        <v>2.8595192220654712E-2</v>
      </c>
    </row>
    <row r="551" spans="1:5" x14ac:dyDescent="0.2">
      <c r="A551" t="s">
        <v>1920</v>
      </c>
      <c r="B551" t="s">
        <v>1394</v>
      </c>
      <c r="C551" t="s">
        <v>1454</v>
      </c>
      <c r="D551" t="s">
        <v>4</v>
      </c>
      <c r="E551" s="192">
        <v>2.8818577062212216E-2</v>
      </c>
    </row>
    <row r="552" spans="1:5" x14ac:dyDescent="0.2">
      <c r="A552" t="s">
        <v>2100</v>
      </c>
      <c r="B552" t="s">
        <v>1395</v>
      </c>
      <c r="C552" t="s">
        <v>1459</v>
      </c>
      <c r="D552" t="s">
        <v>4</v>
      </c>
      <c r="E552" s="192">
        <v>2.3936923111199659E-2</v>
      </c>
    </row>
    <row r="553" spans="1:5" x14ac:dyDescent="0.2">
      <c r="A553" t="s">
        <v>1907</v>
      </c>
      <c r="B553" t="s">
        <v>75</v>
      </c>
      <c r="C553" t="s">
        <v>1436</v>
      </c>
      <c r="D553" t="s">
        <v>4</v>
      </c>
      <c r="E553" s="192">
        <v>2.9373446139561474E-2</v>
      </c>
    </row>
    <row r="554" spans="1:5" x14ac:dyDescent="0.2">
      <c r="A554" t="s">
        <v>1921</v>
      </c>
      <c r="B554" t="s">
        <v>708</v>
      </c>
      <c r="C554" t="s">
        <v>1446</v>
      </c>
      <c r="D554" t="s">
        <v>4</v>
      </c>
      <c r="E554" s="192">
        <v>2.7328183666740974E-2</v>
      </c>
    </row>
    <row r="555" spans="1:5" x14ac:dyDescent="0.2">
      <c r="A555" t="s">
        <v>889</v>
      </c>
      <c r="B555" t="s">
        <v>709</v>
      </c>
      <c r="C555" t="s">
        <v>1438</v>
      </c>
      <c r="D555" t="s">
        <v>4</v>
      </c>
      <c r="E555" s="192">
        <v>2.8299456038103975E-2</v>
      </c>
    </row>
    <row r="556" spans="1:5" x14ac:dyDescent="0.2">
      <c r="A556" t="s">
        <v>2295</v>
      </c>
      <c r="B556" t="s">
        <v>1841</v>
      </c>
      <c r="C556" t="s">
        <v>1841</v>
      </c>
      <c r="D556" t="s">
        <v>2295</v>
      </c>
      <c r="E556" s="192">
        <v>1</v>
      </c>
    </row>
    <row r="557" spans="1:5" x14ac:dyDescent="0.2">
      <c r="A557" t="s">
        <v>1874</v>
      </c>
      <c r="B557" t="s">
        <v>587</v>
      </c>
      <c r="C557" t="s">
        <v>1754</v>
      </c>
      <c r="D557" t="s">
        <v>2295</v>
      </c>
      <c r="E557" s="192">
        <v>0.10966939972680949</v>
      </c>
    </row>
    <row r="558" spans="1:5" x14ac:dyDescent="0.2">
      <c r="A558" t="s">
        <v>793</v>
      </c>
      <c r="B558" t="s">
        <v>588</v>
      </c>
      <c r="C558" t="s">
        <v>1760</v>
      </c>
      <c r="D558" t="s">
        <v>2295</v>
      </c>
      <c r="E558" s="192">
        <v>1.4230714132931926E-2</v>
      </c>
    </row>
    <row r="559" spans="1:5" x14ac:dyDescent="0.2">
      <c r="A559" t="s">
        <v>1875</v>
      </c>
      <c r="B559" t="s">
        <v>589</v>
      </c>
      <c r="C559" t="s">
        <v>1753</v>
      </c>
      <c r="D559" t="s">
        <v>2295</v>
      </c>
      <c r="E559" s="192">
        <v>0.1163985787367747</v>
      </c>
    </row>
    <row r="560" spans="1:5" x14ac:dyDescent="0.2">
      <c r="A560" t="s">
        <v>1876</v>
      </c>
      <c r="B560" t="s">
        <v>596</v>
      </c>
      <c r="C560" t="s">
        <v>1762</v>
      </c>
      <c r="D560" t="s">
        <v>2295</v>
      </c>
      <c r="E560" s="192">
        <v>1.0647715177739542E-2</v>
      </c>
    </row>
    <row r="561" spans="1:5" x14ac:dyDescent="0.2">
      <c r="A561" t="s">
        <v>1877</v>
      </c>
      <c r="B561" t="s">
        <v>591</v>
      </c>
      <c r="C561" t="s">
        <v>1758</v>
      </c>
      <c r="D561" t="s">
        <v>2295</v>
      </c>
      <c r="E561" s="192">
        <v>2.8268253279920292E-2</v>
      </c>
    </row>
    <row r="562" spans="1:5" x14ac:dyDescent="0.2">
      <c r="A562" t="s">
        <v>1878</v>
      </c>
      <c r="B562" t="s">
        <v>599</v>
      </c>
      <c r="C562" t="s">
        <v>1856</v>
      </c>
      <c r="D562" t="s">
        <v>2295</v>
      </c>
      <c r="E562" s="192">
        <v>2.4623782811467546E-2</v>
      </c>
    </row>
    <row r="563" spans="1:5" x14ac:dyDescent="0.2">
      <c r="A563" t="s">
        <v>1879</v>
      </c>
      <c r="B563" t="s">
        <v>598</v>
      </c>
      <c r="C563" t="s">
        <v>1766</v>
      </c>
      <c r="D563" t="s">
        <v>2295</v>
      </c>
      <c r="E563" s="192">
        <v>2.4889728675645345E-2</v>
      </c>
    </row>
    <row r="564" spans="1:5" x14ac:dyDescent="0.2">
      <c r="A564" t="s">
        <v>2153</v>
      </c>
      <c r="B564" t="s">
        <v>1277</v>
      </c>
      <c r="C564" t="s">
        <v>1756</v>
      </c>
      <c r="D564" t="s">
        <v>2295</v>
      </c>
      <c r="E564" s="192">
        <v>4.5092978771855551E-2</v>
      </c>
    </row>
    <row r="565" spans="1:5" x14ac:dyDescent="0.2">
      <c r="A565" t="s">
        <v>1880</v>
      </c>
      <c r="B565" t="s">
        <v>1265</v>
      </c>
      <c r="C565" t="s">
        <v>1759</v>
      </c>
      <c r="D565" t="s">
        <v>2295</v>
      </c>
      <c r="E565" s="192">
        <v>2.7541103674992521E-2</v>
      </c>
    </row>
    <row r="566" spans="1:5" x14ac:dyDescent="0.2">
      <c r="A566" t="s">
        <v>2154</v>
      </c>
      <c r="B566" t="s">
        <v>2155</v>
      </c>
      <c r="C566" t="s">
        <v>2156</v>
      </c>
      <c r="D566" t="s">
        <v>2295</v>
      </c>
      <c r="E566" s="192">
        <v>1.0122893695853017E-2</v>
      </c>
    </row>
    <row r="567" spans="1:5" x14ac:dyDescent="0.2">
      <c r="A567" t="s">
        <v>1881</v>
      </c>
      <c r="B567" t="s">
        <v>600</v>
      </c>
      <c r="C567" t="s">
        <v>1856</v>
      </c>
      <c r="D567" t="s">
        <v>2295</v>
      </c>
      <c r="E567" s="192">
        <v>6.1491980239517116E-2</v>
      </c>
    </row>
    <row r="568" spans="1:5" x14ac:dyDescent="0.2">
      <c r="A568" t="s">
        <v>1882</v>
      </c>
      <c r="B568" t="s">
        <v>597</v>
      </c>
      <c r="C568" t="s">
        <v>1856</v>
      </c>
      <c r="D568" t="s">
        <v>2295</v>
      </c>
      <c r="E568" s="192">
        <v>5.1187811721728899E-2</v>
      </c>
    </row>
    <row r="569" spans="1:5" x14ac:dyDescent="0.2">
      <c r="A569" t="s">
        <v>1883</v>
      </c>
      <c r="B569" t="s">
        <v>602</v>
      </c>
      <c r="C569" t="s">
        <v>1765</v>
      </c>
      <c r="D569" t="s">
        <v>2295</v>
      </c>
      <c r="E569" s="192">
        <v>2.8677296082808768E-2</v>
      </c>
    </row>
    <row r="570" spans="1:5" x14ac:dyDescent="0.2">
      <c r="A570" t="s">
        <v>1884</v>
      </c>
      <c r="B570" t="s">
        <v>592</v>
      </c>
      <c r="C570" t="s">
        <v>1755</v>
      </c>
      <c r="D570" t="s">
        <v>2295</v>
      </c>
      <c r="E570" s="192">
        <v>4.5275373758255646E-2</v>
      </c>
    </row>
    <row r="571" spans="1:5" x14ac:dyDescent="0.2">
      <c r="A571" t="s">
        <v>1885</v>
      </c>
      <c r="B571" t="s">
        <v>1279</v>
      </c>
      <c r="C571" t="s">
        <v>1764</v>
      </c>
      <c r="D571" t="s">
        <v>2295</v>
      </c>
      <c r="E571" s="192">
        <v>2.801554490049327E-2</v>
      </c>
    </row>
    <row r="572" spans="1:5" x14ac:dyDescent="0.2">
      <c r="A572" t="s">
        <v>1886</v>
      </c>
      <c r="B572" t="s">
        <v>593</v>
      </c>
      <c r="C572" t="s">
        <v>1752</v>
      </c>
      <c r="D572" t="s">
        <v>2295</v>
      </c>
      <c r="E572" s="192">
        <v>0.1458763942921443</v>
      </c>
    </row>
    <row r="573" spans="1:5" x14ac:dyDescent="0.2">
      <c r="A573" t="s">
        <v>1887</v>
      </c>
      <c r="B573" t="s">
        <v>594</v>
      </c>
      <c r="C573" t="s">
        <v>1751</v>
      </c>
      <c r="D573" t="s">
        <v>2295</v>
      </c>
      <c r="E573" s="192">
        <v>0.17454436713210467</v>
      </c>
    </row>
    <row r="574" spans="1:5" x14ac:dyDescent="0.2">
      <c r="A574" t="s">
        <v>801</v>
      </c>
      <c r="B574" t="s">
        <v>595</v>
      </c>
      <c r="C574" t="s">
        <v>1757</v>
      </c>
      <c r="D574" t="s">
        <v>2295</v>
      </c>
      <c r="E574" s="192">
        <v>2.7437530988427026E-2</v>
      </c>
    </row>
    <row r="575" spans="1:5" x14ac:dyDescent="0.2">
      <c r="A575" t="s">
        <v>1888</v>
      </c>
      <c r="B575" t="s">
        <v>590</v>
      </c>
      <c r="C575" t="s">
        <v>1761</v>
      </c>
      <c r="D575" t="s">
        <v>2295</v>
      </c>
      <c r="E575" s="192">
        <v>6.8548364899549885E-3</v>
      </c>
    </row>
    <row r="576" spans="1:5" x14ac:dyDescent="0.2">
      <c r="A576" t="s">
        <v>2157</v>
      </c>
      <c r="B576" t="s">
        <v>590</v>
      </c>
      <c r="C576" t="s">
        <v>1856</v>
      </c>
      <c r="D576" t="s">
        <v>2295</v>
      </c>
      <c r="E576" s="192">
        <v>1.9153715710575905E-2</v>
      </c>
    </row>
    <row r="577" spans="1:5" x14ac:dyDescent="0.2">
      <c r="A577" t="s">
        <v>558</v>
      </c>
      <c r="B577" t="s">
        <v>1841</v>
      </c>
      <c r="C577" t="s">
        <v>1841</v>
      </c>
      <c r="D577" t="s">
        <v>558</v>
      </c>
      <c r="E577" s="192">
        <v>1</v>
      </c>
    </row>
    <row r="578" spans="1:5" x14ac:dyDescent="0.2">
      <c r="A578" t="s">
        <v>2296</v>
      </c>
      <c r="B578" t="s">
        <v>2297</v>
      </c>
      <c r="C578" t="s">
        <v>2298</v>
      </c>
      <c r="D578" t="s">
        <v>558</v>
      </c>
      <c r="E578" s="192">
        <v>1.1034576800729658E-4</v>
      </c>
    </row>
    <row r="579" spans="1:5" x14ac:dyDescent="0.2">
      <c r="A579" t="s">
        <v>2158</v>
      </c>
      <c r="B579" t="s">
        <v>543</v>
      </c>
      <c r="C579" t="s">
        <v>1742</v>
      </c>
      <c r="D579" t="s">
        <v>558</v>
      </c>
      <c r="E579" s="192">
        <v>2.8602325182638593E-2</v>
      </c>
    </row>
    <row r="580" spans="1:5" x14ac:dyDescent="0.2">
      <c r="A580" t="s">
        <v>2299</v>
      </c>
      <c r="B580" t="s">
        <v>2300</v>
      </c>
      <c r="C580" t="s">
        <v>2301</v>
      </c>
      <c r="D580" t="s">
        <v>558</v>
      </c>
      <c r="E580" s="192">
        <v>8.6985087526134488E-5</v>
      </c>
    </row>
    <row r="581" spans="1:5" x14ac:dyDescent="0.2">
      <c r="A581" t="s">
        <v>1269</v>
      </c>
      <c r="B581" t="s">
        <v>1262</v>
      </c>
      <c r="C581" t="s">
        <v>1736</v>
      </c>
      <c r="D581" t="s">
        <v>558</v>
      </c>
      <c r="E581" s="192">
        <v>0.11988890651259025</v>
      </c>
    </row>
    <row r="582" spans="1:5" x14ac:dyDescent="0.2">
      <c r="A582" t="s">
        <v>2302</v>
      </c>
      <c r="B582" t="s">
        <v>2303</v>
      </c>
      <c r="C582" t="s">
        <v>2257</v>
      </c>
      <c r="D582" t="s">
        <v>558</v>
      </c>
      <c r="E582" s="192">
        <v>1.5129891037545256E-2</v>
      </c>
    </row>
    <row r="583" spans="1:5" x14ac:dyDescent="0.2">
      <c r="A583" t="s">
        <v>2160</v>
      </c>
      <c r="B583" t="s">
        <v>544</v>
      </c>
      <c r="C583" t="s">
        <v>1744</v>
      </c>
      <c r="D583" t="s">
        <v>558</v>
      </c>
      <c r="E583" s="192">
        <v>2.5968275936653913E-2</v>
      </c>
    </row>
    <row r="584" spans="1:5" x14ac:dyDescent="0.2">
      <c r="A584" t="s">
        <v>2161</v>
      </c>
      <c r="B584" t="s">
        <v>2162</v>
      </c>
      <c r="C584" t="s">
        <v>1745</v>
      </c>
      <c r="D584" t="s">
        <v>558</v>
      </c>
      <c r="E584" s="192">
        <v>1.1527445302702672E-3</v>
      </c>
    </row>
    <row r="585" spans="1:5" x14ac:dyDescent="0.2">
      <c r="A585" t="s">
        <v>2163</v>
      </c>
      <c r="B585" t="s">
        <v>545</v>
      </c>
      <c r="C585" t="s">
        <v>1745</v>
      </c>
      <c r="D585" t="s">
        <v>558</v>
      </c>
      <c r="E585" s="192">
        <v>3.9439795685210333E-2</v>
      </c>
    </row>
    <row r="586" spans="1:5" x14ac:dyDescent="0.2">
      <c r="A586" t="s">
        <v>2165</v>
      </c>
      <c r="B586" t="s">
        <v>2166</v>
      </c>
      <c r="C586" t="s">
        <v>1746</v>
      </c>
      <c r="D586" t="s">
        <v>558</v>
      </c>
      <c r="E586" s="192">
        <v>7.3001588744205786E-4</v>
      </c>
    </row>
    <row r="587" spans="1:5" x14ac:dyDescent="0.2">
      <c r="A587" t="s">
        <v>2167</v>
      </c>
      <c r="B587" t="s">
        <v>546</v>
      </c>
      <c r="C587" t="s">
        <v>1746</v>
      </c>
      <c r="D587" t="s">
        <v>558</v>
      </c>
      <c r="E587" s="192">
        <v>2.5286593866398827E-2</v>
      </c>
    </row>
    <row r="588" spans="1:5" x14ac:dyDescent="0.2">
      <c r="A588" t="s">
        <v>2168</v>
      </c>
      <c r="B588" t="s">
        <v>1265</v>
      </c>
      <c r="C588" t="s">
        <v>1740</v>
      </c>
      <c r="D588" t="s">
        <v>558</v>
      </c>
      <c r="E588" s="192">
        <v>2.8715938609831699E-2</v>
      </c>
    </row>
    <row r="589" spans="1:5" x14ac:dyDescent="0.2">
      <c r="A589" t="s">
        <v>2169</v>
      </c>
      <c r="B589" t="s">
        <v>2170</v>
      </c>
      <c r="C589" t="s">
        <v>2171</v>
      </c>
      <c r="D589" t="s">
        <v>558</v>
      </c>
      <c r="E589" s="192">
        <v>2.3360288636077347E-2</v>
      </c>
    </row>
    <row r="590" spans="1:5" x14ac:dyDescent="0.2">
      <c r="A590" t="s">
        <v>2172</v>
      </c>
      <c r="B590" t="s">
        <v>2173</v>
      </c>
      <c r="C590" t="s">
        <v>1749</v>
      </c>
      <c r="D590" t="s">
        <v>558</v>
      </c>
      <c r="E590" s="192">
        <v>1.4496188479795608E-2</v>
      </c>
    </row>
    <row r="591" spans="1:5" x14ac:dyDescent="0.2">
      <c r="A591" t="s">
        <v>2174</v>
      </c>
      <c r="B591" t="s">
        <v>548</v>
      </c>
      <c r="C591" t="s">
        <v>1748</v>
      </c>
      <c r="D591" t="s">
        <v>558</v>
      </c>
      <c r="E591" s="192">
        <v>6.0846888516511703E-2</v>
      </c>
    </row>
    <row r="592" spans="1:5" x14ac:dyDescent="0.2">
      <c r="A592" t="s">
        <v>2176</v>
      </c>
      <c r="B592" t="s">
        <v>547</v>
      </c>
      <c r="C592" t="s">
        <v>1747</v>
      </c>
      <c r="D592" t="s">
        <v>558</v>
      </c>
      <c r="E592" s="192">
        <v>9.9261270690804253E-3</v>
      </c>
    </row>
    <row r="593" spans="1:5" x14ac:dyDescent="0.2">
      <c r="A593" t="s">
        <v>2177</v>
      </c>
      <c r="B593" t="s">
        <v>541</v>
      </c>
      <c r="C593" t="s">
        <v>1737</v>
      </c>
      <c r="D593" t="s">
        <v>558</v>
      </c>
      <c r="E593" s="192">
        <v>0.13672353945763324</v>
      </c>
    </row>
    <row r="594" spans="1:5" x14ac:dyDescent="0.2">
      <c r="A594" t="s">
        <v>2178</v>
      </c>
      <c r="B594" t="s">
        <v>550</v>
      </c>
      <c r="C594" t="s">
        <v>1750</v>
      </c>
      <c r="D594" t="s">
        <v>558</v>
      </c>
      <c r="E594" s="192">
        <v>3.8156756909890677E-2</v>
      </c>
    </row>
    <row r="595" spans="1:5" x14ac:dyDescent="0.2">
      <c r="A595" t="s">
        <v>2304</v>
      </c>
      <c r="B595" t="s">
        <v>2305</v>
      </c>
      <c r="C595" t="s">
        <v>2306</v>
      </c>
      <c r="D595" t="s">
        <v>558</v>
      </c>
      <c r="E595" s="192">
        <v>1.5747562706677723E-3</v>
      </c>
    </row>
    <row r="596" spans="1:5" x14ac:dyDescent="0.2">
      <c r="A596" t="s">
        <v>2180</v>
      </c>
      <c r="B596" t="s">
        <v>1266</v>
      </c>
      <c r="C596" t="s">
        <v>1743</v>
      </c>
      <c r="D596" t="s">
        <v>558</v>
      </c>
      <c r="E596" s="192">
        <v>2.8363788391223908E-2</v>
      </c>
    </row>
    <row r="597" spans="1:5" x14ac:dyDescent="0.2">
      <c r="A597" t="s">
        <v>1861</v>
      </c>
      <c r="B597" t="s">
        <v>1851</v>
      </c>
      <c r="C597" t="s">
        <v>1817</v>
      </c>
      <c r="D597" t="s">
        <v>558</v>
      </c>
      <c r="E597" s="192">
        <v>2.0445511980760342E-3</v>
      </c>
    </row>
    <row r="598" spans="1:5" x14ac:dyDescent="0.2">
      <c r="A598" t="s">
        <v>2268</v>
      </c>
      <c r="B598" t="s">
        <v>2269</v>
      </c>
      <c r="C598" t="s">
        <v>2270</v>
      </c>
      <c r="D598" t="s">
        <v>558</v>
      </c>
      <c r="E598" s="192">
        <v>1.2867817864360477E-2</v>
      </c>
    </row>
    <row r="599" spans="1:5" x14ac:dyDescent="0.2">
      <c r="A599" t="s">
        <v>2271</v>
      </c>
      <c r="B599" t="s">
        <v>2272</v>
      </c>
      <c r="C599" t="s">
        <v>2273</v>
      </c>
      <c r="D599" t="s">
        <v>558</v>
      </c>
      <c r="E599" s="192">
        <v>3.1361478781431196E-2</v>
      </c>
    </row>
    <row r="600" spans="1:5" x14ac:dyDescent="0.2">
      <c r="A600" t="s">
        <v>2181</v>
      </c>
      <c r="B600" t="s">
        <v>1356</v>
      </c>
      <c r="C600" t="s">
        <v>1738</v>
      </c>
      <c r="D600" t="s">
        <v>558</v>
      </c>
      <c r="E600" s="192">
        <v>0.10299449718884164</v>
      </c>
    </row>
    <row r="601" spans="1:5" x14ac:dyDescent="0.2">
      <c r="A601" t="s">
        <v>2182</v>
      </c>
      <c r="B601" t="s">
        <v>542</v>
      </c>
      <c r="C601" t="s">
        <v>1741</v>
      </c>
      <c r="D601" t="s">
        <v>558</v>
      </c>
      <c r="E601" s="192">
        <v>2.7514242215808955E-2</v>
      </c>
    </row>
    <row r="602" spans="1:5" x14ac:dyDescent="0.2">
      <c r="A602" t="s">
        <v>2182</v>
      </c>
      <c r="B602" t="s">
        <v>603</v>
      </c>
      <c r="C602" t="s">
        <v>1741</v>
      </c>
      <c r="D602" t="s">
        <v>558</v>
      </c>
      <c r="E602" s="192">
        <v>8.0085243618685368E-4</v>
      </c>
    </row>
    <row r="603" spans="1:5" x14ac:dyDescent="0.2">
      <c r="A603" t="s">
        <v>2183</v>
      </c>
      <c r="B603" t="s">
        <v>1261</v>
      </c>
      <c r="C603" t="s">
        <v>1735</v>
      </c>
      <c r="D603" t="s">
        <v>558</v>
      </c>
      <c r="E603" s="192">
        <v>0.16675015370401405</v>
      </c>
    </row>
    <row r="604" spans="1:5" x14ac:dyDescent="0.2">
      <c r="A604" t="s">
        <v>2184</v>
      </c>
      <c r="B604" t="s">
        <v>1264</v>
      </c>
      <c r="C604" t="s">
        <v>1739</v>
      </c>
      <c r="D604" t="s">
        <v>558</v>
      </c>
      <c r="E604" s="192">
        <v>5.6948579328372335E-2</v>
      </c>
    </row>
    <row r="605" spans="1:5" x14ac:dyDescent="0.2">
      <c r="A605" t="s">
        <v>2185</v>
      </c>
      <c r="B605" t="s">
        <v>1263</v>
      </c>
      <c r="C605" t="s">
        <v>1738</v>
      </c>
      <c r="D605" t="s">
        <v>558</v>
      </c>
      <c r="E605" s="192">
        <v>1.5767544791238703E-4</v>
      </c>
    </row>
    <row r="606" spans="1:5" x14ac:dyDescent="0.2">
      <c r="A606" t="s">
        <v>635</v>
      </c>
      <c r="B606" t="s">
        <v>1841</v>
      </c>
      <c r="C606" t="s">
        <v>1841</v>
      </c>
      <c r="D606" t="s">
        <v>635</v>
      </c>
      <c r="E606" s="192">
        <v>1</v>
      </c>
    </row>
    <row r="607" spans="1:5" x14ac:dyDescent="0.2">
      <c r="A607" t="s">
        <v>2158</v>
      </c>
      <c r="B607" t="s">
        <v>543</v>
      </c>
      <c r="C607" t="s">
        <v>1742</v>
      </c>
      <c r="D607" t="s">
        <v>635</v>
      </c>
      <c r="E607" s="192">
        <v>1.792398202135571E-2</v>
      </c>
    </row>
    <row r="608" spans="1:5" x14ac:dyDescent="0.2">
      <c r="A608" t="s">
        <v>2160</v>
      </c>
      <c r="B608" t="s">
        <v>544</v>
      </c>
      <c r="C608" t="s">
        <v>1744</v>
      </c>
      <c r="D608" t="s">
        <v>635</v>
      </c>
      <c r="E608" s="192">
        <v>5.5621416453657223E-2</v>
      </c>
    </row>
    <row r="609" spans="1:5" x14ac:dyDescent="0.2">
      <c r="A609" t="s">
        <v>2307</v>
      </c>
      <c r="B609" t="s">
        <v>605</v>
      </c>
      <c r="C609" t="s">
        <v>1833</v>
      </c>
      <c r="D609" t="s">
        <v>635</v>
      </c>
      <c r="E609" s="192">
        <v>0.10896451229542188</v>
      </c>
    </row>
    <row r="610" spans="1:5" x14ac:dyDescent="0.2">
      <c r="A610" t="s">
        <v>2308</v>
      </c>
      <c r="B610" t="s">
        <v>606</v>
      </c>
      <c r="C610" t="s">
        <v>1834</v>
      </c>
      <c r="D610" t="s">
        <v>635</v>
      </c>
      <c r="E610" s="192">
        <v>0.10694256422957264</v>
      </c>
    </row>
    <row r="611" spans="1:5" x14ac:dyDescent="0.2">
      <c r="A611" t="s">
        <v>2309</v>
      </c>
      <c r="B611" t="s">
        <v>607</v>
      </c>
      <c r="C611" t="s">
        <v>1835</v>
      </c>
      <c r="D611" t="s">
        <v>635</v>
      </c>
      <c r="E611" s="192">
        <v>0.14430730400804512</v>
      </c>
    </row>
    <row r="612" spans="1:5" x14ac:dyDescent="0.2">
      <c r="A612" t="s">
        <v>2310</v>
      </c>
      <c r="B612" t="s">
        <v>609</v>
      </c>
      <c r="C612" t="s">
        <v>1837</v>
      </c>
      <c r="D612" t="s">
        <v>635</v>
      </c>
      <c r="E612" s="192">
        <v>5.4876268663008099E-2</v>
      </c>
    </row>
    <row r="613" spans="1:5" x14ac:dyDescent="0.2">
      <c r="A613" t="s">
        <v>2168</v>
      </c>
      <c r="B613" t="s">
        <v>1265</v>
      </c>
      <c r="C613" t="s">
        <v>1740</v>
      </c>
      <c r="D613" t="s">
        <v>635</v>
      </c>
      <c r="E613" s="192">
        <v>1.7855544028714011E-2</v>
      </c>
    </row>
    <row r="614" spans="1:5" x14ac:dyDescent="0.2">
      <c r="A614" t="s">
        <v>2311</v>
      </c>
      <c r="B614" t="s">
        <v>608</v>
      </c>
      <c r="C614" t="s">
        <v>1836</v>
      </c>
      <c r="D614" t="s">
        <v>635</v>
      </c>
      <c r="E614" s="192">
        <v>2.2598031323484383E-2</v>
      </c>
    </row>
    <row r="615" spans="1:5" x14ac:dyDescent="0.2">
      <c r="A615" t="s">
        <v>2312</v>
      </c>
      <c r="B615" t="s">
        <v>1357</v>
      </c>
      <c r="C615" t="s">
        <v>1832</v>
      </c>
      <c r="D615" t="s">
        <v>635</v>
      </c>
      <c r="E615" s="192">
        <v>9.0878529728673718E-2</v>
      </c>
    </row>
    <row r="616" spans="1:5" x14ac:dyDescent="0.2">
      <c r="A616" t="s">
        <v>2177</v>
      </c>
      <c r="B616" t="s">
        <v>655</v>
      </c>
      <c r="C616" t="s">
        <v>1831</v>
      </c>
      <c r="D616" t="s">
        <v>635</v>
      </c>
      <c r="E616" s="192">
        <v>9.1408323120672402E-2</v>
      </c>
    </row>
    <row r="617" spans="1:5" x14ac:dyDescent="0.2">
      <c r="A617" t="s">
        <v>2313</v>
      </c>
      <c r="B617" t="s">
        <v>1354</v>
      </c>
      <c r="C617" t="s">
        <v>1830</v>
      </c>
      <c r="D617" t="s">
        <v>635</v>
      </c>
      <c r="E617" s="192">
        <v>0.12530886941837907</v>
      </c>
    </row>
    <row r="618" spans="1:5" x14ac:dyDescent="0.2">
      <c r="A618" t="s">
        <v>2180</v>
      </c>
      <c r="B618" t="s">
        <v>1266</v>
      </c>
      <c r="C618" t="s">
        <v>1743</v>
      </c>
      <c r="D618" t="s">
        <v>635</v>
      </c>
      <c r="E618" s="192">
        <v>2.7900677144817303E-2</v>
      </c>
    </row>
    <row r="619" spans="1:5" x14ac:dyDescent="0.2">
      <c r="A619" t="s">
        <v>2181</v>
      </c>
      <c r="B619" t="s">
        <v>1356</v>
      </c>
      <c r="C619" t="s">
        <v>1738</v>
      </c>
      <c r="D619" t="s">
        <v>635</v>
      </c>
      <c r="E619" s="192">
        <v>7.9635918452627227E-2</v>
      </c>
    </row>
    <row r="620" spans="1:5" x14ac:dyDescent="0.2">
      <c r="A620" t="s">
        <v>2182</v>
      </c>
      <c r="B620" t="s">
        <v>542</v>
      </c>
      <c r="C620" t="s">
        <v>1741</v>
      </c>
      <c r="D620" t="s">
        <v>635</v>
      </c>
      <c r="E620" s="192">
        <v>7.3092833487557437E-3</v>
      </c>
    </row>
    <row r="621" spans="1:5" x14ac:dyDescent="0.2">
      <c r="A621" t="s">
        <v>2182</v>
      </c>
      <c r="B621" t="s">
        <v>603</v>
      </c>
      <c r="C621" t="s">
        <v>1741</v>
      </c>
      <c r="D621" t="s">
        <v>635</v>
      </c>
      <c r="E621" s="192">
        <v>1.023299668825804E-2</v>
      </c>
    </row>
    <row r="622" spans="1:5" x14ac:dyDescent="0.2">
      <c r="A622" t="s">
        <v>2184</v>
      </c>
      <c r="B622" t="s">
        <v>1264</v>
      </c>
      <c r="C622" t="s">
        <v>1739</v>
      </c>
      <c r="D622" t="s">
        <v>635</v>
      </c>
      <c r="E622" s="192">
        <v>3.8235779074557309E-2</v>
      </c>
    </row>
    <row r="623" spans="1:5" x14ac:dyDescent="0.2">
      <c r="A623" t="s">
        <v>633</v>
      </c>
      <c r="B623" t="s">
        <v>1841</v>
      </c>
      <c r="C623" t="s">
        <v>1841</v>
      </c>
      <c r="D623" t="s">
        <v>633</v>
      </c>
      <c r="E623" s="192">
        <v>1</v>
      </c>
    </row>
    <row r="624" spans="1:5" x14ac:dyDescent="0.2">
      <c r="A624" t="s">
        <v>2158</v>
      </c>
      <c r="B624" t="s">
        <v>543</v>
      </c>
      <c r="C624" t="s">
        <v>1742</v>
      </c>
      <c r="D624" t="s">
        <v>633</v>
      </c>
      <c r="E624" s="192">
        <v>4.0739012966667217E-2</v>
      </c>
    </row>
    <row r="625" spans="1:5" x14ac:dyDescent="0.2">
      <c r="A625" t="s">
        <v>2302</v>
      </c>
      <c r="B625" t="s">
        <v>2314</v>
      </c>
      <c r="C625" t="s">
        <v>2257</v>
      </c>
      <c r="D625" t="s">
        <v>633</v>
      </c>
      <c r="E625" s="192">
        <v>4.383676132966358E-3</v>
      </c>
    </row>
    <row r="626" spans="1:5" x14ac:dyDescent="0.2">
      <c r="A626" t="s">
        <v>2315</v>
      </c>
      <c r="B626" t="s">
        <v>2316</v>
      </c>
      <c r="C626" t="s">
        <v>2317</v>
      </c>
      <c r="D626" t="s">
        <v>633</v>
      </c>
      <c r="E626" s="192">
        <v>1.5145176966738143E-3</v>
      </c>
    </row>
    <row r="627" spans="1:5" x14ac:dyDescent="0.2">
      <c r="A627" t="s">
        <v>2168</v>
      </c>
      <c r="B627" t="s">
        <v>1265</v>
      </c>
      <c r="C627" t="s">
        <v>1740</v>
      </c>
      <c r="D627" t="s">
        <v>633</v>
      </c>
      <c r="E627" s="192">
        <v>3.9919530791695773E-2</v>
      </c>
    </row>
    <row r="628" spans="1:5" x14ac:dyDescent="0.2">
      <c r="A628" t="s">
        <v>2318</v>
      </c>
      <c r="B628" t="s">
        <v>2319</v>
      </c>
      <c r="C628" t="s">
        <v>2320</v>
      </c>
      <c r="D628" t="s">
        <v>633</v>
      </c>
      <c r="E628" s="192">
        <v>4.9779920136250105E-3</v>
      </c>
    </row>
    <row r="629" spans="1:5" x14ac:dyDescent="0.2">
      <c r="A629" t="s">
        <v>2312</v>
      </c>
      <c r="B629" t="s">
        <v>1357</v>
      </c>
      <c r="C629" t="s">
        <v>1832</v>
      </c>
      <c r="D629" t="s">
        <v>633</v>
      </c>
      <c r="E629" s="192">
        <v>0.18134241118140101</v>
      </c>
    </row>
    <row r="630" spans="1:5" x14ac:dyDescent="0.2">
      <c r="A630" t="s">
        <v>2177</v>
      </c>
      <c r="B630" t="s">
        <v>655</v>
      </c>
      <c r="C630" t="s">
        <v>1831</v>
      </c>
      <c r="D630" t="s">
        <v>633</v>
      </c>
      <c r="E630" s="192">
        <v>0.1861740071481324</v>
      </c>
    </row>
    <row r="631" spans="1:5" x14ac:dyDescent="0.2">
      <c r="A631" t="s">
        <v>2313</v>
      </c>
      <c r="B631" t="s">
        <v>1354</v>
      </c>
      <c r="C631" t="s">
        <v>1830</v>
      </c>
      <c r="D631" t="s">
        <v>633</v>
      </c>
      <c r="E631" s="192">
        <v>0.25345773329550436</v>
      </c>
    </row>
    <row r="632" spans="1:5" x14ac:dyDescent="0.2">
      <c r="A632" t="s">
        <v>2321</v>
      </c>
      <c r="B632" t="s">
        <v>2322</v>
      </c>
      <c r="C632" t="s">
        <v>2323</v>
      </c>
      <c r="D632" t="s">
        <v>633</v>
      </c>
      <c r="E632" s="192">
        <v>3.7920362167893915E-3</v>
      </c>
    </row>
    <row r="633" spans="1:5" x14ac:dyDescent="0.2">
      <c r="A633" t="s">
        <v>2181</v>
      </c>
      <c r="B633" t="s">
        <v>1356</v>
      </c>
      <c r="C633" t="s">
        <v>1738</v>
      </c>
      <c r="D633" t="s">
        <v>633</v>
      </c>
      <c r="E633" s="192">
        <v>0.15791524430476173</v>
      </c>
    </row>
    <row r="634" spans="1:5" x14ac:dyDescent="0.2">
      <c r="A634" t="s">
        <v>2182</v>
      </c>
      <c r="B634" t="s">
        <v>603</v>
      </c>
      <c r="C634" t="s">
        <v>1741</v>
      </c>
      <c r="D634" t="s">
        <v>633</v>
      </c>
      <c r="E634" s="192">
        <v>4.0185254255458699E-2</v>
      </c>
    </row>
    <row r="635" spans="1:5" x14ac:dyDescent="0.2">
      <c r="A635" t="s">
        <v>2184</v>
      </c>
      <c r="B635" t="s">
        <v>1264</v>
      </c>
      <c r="C635" t="s">
        <v>1739</v>
      </c>
      <c r="D635" t="s">
        <v>633</v>
      </c>
      <c r="E635" s="192">
        <v>8.5598583996324001E-2</v>
      </c>
    </row>
    <row r="636" spans="1:5" x14ac:dyDescent="0.2">
      <c r="A636" t="s">
        <v>636</v>
      </c>
      <c r="B636" t="s">
        <v>1841</v>
      </c>
      <c r="C636" t="s">
        <v>1841</v>
      </c>
      <c r="D636" t="s">
        <v>636</v>
      </c>
      <c r="E636" s="192">
        <v>1</v>
      </c>
    </row>
    <row r="637" spans="1:5" x14ac:dyDescent="0.2">
      <c r="A637" t="s">
        <v>2158</v>
      </c>
      <c r="B637" t="s">
        <v>543</v>
      </c>
      <c r="C637" t="s">
        <v>1742</v>
      </c>
      <c r="D637" t="s">
        <v>636</v>
      </c>
      <c r="E637" s="192">
        <v>1.2306412062159894E-2</v>
      </c>
    </row>
    <row r="638" spans="1:5" x14ac:dyDescent="0.2">
      <c r="A638" t="s">
        <v>2324</v>
      </c>
      <c r="B638" t="s">
        <v>1856</v>
      </c>
      <c r="C638" t="s">
        <v>2325</v>
      </c>
      <c r="D638" t="s">
        <v>636</v>
      </c>
      <c r="E638" s="192">
        <v>8.8063233862739537E-2</v>
      </c>
    </row>
    <row r="639" spans="1:5" x14ac:dyDescent="0.2">
      <c r="A639" t="s">
        <v>2160</v>
      </c>
      <c r="B639" t="s">
        <v>544</v>
      </c>
      <c r="C639" t="s">
        <v>1744</v>
      </c>
      <c r="D639" t="s">
        <v>636</v>
      </c>
      <c r="E639" s="192">
        <v>6.5501416184308381E-2</v>
      </c>
    </row>
    <row r="640" spans="1:5" x14ac:dyDescent="0.2">
      <c r="A640" t="s">
        <v>2307</v>
      </c>
      <c r="B640" t="s">
        <v>605</v>
      </c>
      <c r="C640" t="s">
        <v>1833</v>
      </c>
      <c r="D640" t="s">
        <v>636</v>
      </c>
      <c r="E640" s="192">
        <v>0.12794835236756635</v>
      </c>
    </row>
    <row r="641" spans="1:5" x14ac:dyDescent="0.2">
      <c r="A641" t="s">
        <v>2308</v>
      </c>
      <c r="B641" t="s">
        <v>606</v>
      </c>
      <c r="C641" t="s">
        <v>1834</v>
      </c>
      <c r="D641" t="s">
        <v>636</v>
      </c>
      <c r="E641" s="192">
        <v>0.12560328319882627</v>
      </c>
    </row>
    <row r="642" spans="1:5" x14ac:dyDescent="0.2">
      <c r="A642" t="s">
        <v>2309</v>
      </c>
      <c r="B642" t="s">
        <v>607</v>
      </c>
      <c r="C642" t="s">
        <v>1835</v>
      </c>
      <c r="D642" t="s">
        <v>636</v>
      </c>
      <c r="E642" s="192">
        <v>0.1684309852975219</v>
      </c>
    </row>
    <row r="643" spans="1:5" x14ac:dyDescent="0.2">
      <c r="A643" t="s">
        <v>2310</v>
      </c>
      <c r="B643" t="s">
        <v>609</v>
      </c>
      <c r="C643" t="s">
        <v>1837</v>
      </c>
      <c r="D643" t="s">
        <v>636</v>
      </c>
      <c r="E643" s="192">
        <v>6.401143650516132E-2</v>
      </c>
    </row>
    <row r="644" spans="1:5" x14ac:dyDescent="0.2">
      <c r="A644" t="s">
        <v>2168</v>
      </c>
      <c r="B644" t="s">
        <v>1265</v>
      </c>
      <c r="C644" t="s">
        <v>1740</v>
      </c>
      <c r="D644" t="s">
        <v>636</v>
      </c>
      <c r="E644" s="192">
        <v>1.213637722590047E-2</v>
      </c>
    </row>
    <row r="645" spans="1:5" x14ac:dyDescent="0.2">
      <c r="A645" t="s">
        <v>2311</v>
      </c>
      <c r="B645" t="s">
        <v>608</v>
      </c>
      <c r="C645" t="s">
        <v>1836</v>
      </c>
      <c r="D645" t="s">
        <v>636</v>
      </c>
      <c r="E645" s="192">
        <v>2.8161228112117208E-2</v>
      </c>
    </row>
    <row r="646" spans="1:5" x14ac:dyDescent="0.2">
      <c r="A646" t="s">
        <v>2312</v>
      </c>
      <c r="B646" t="s">
        <v>1357</v>
      </c>
      <c r="C646" t="s">
        <v>1832</v>
      </c>
      <c r="D646" t="s">
        <v>636</v>
      </c>
      <c r="E646" s="192">
        <v>5.7091707376036895E-2</v>
      </c>
    </row>
    <row r="647" spans="1:5" x14ac:dyDescent="0.2">
      <c r="A647" t="s">
        <v>2177</v>
      </c>
      <c r="B647" t="s">
        <v>655</v>
      </c>
      <c r="C647" t="s">
        <v>1831</v>
      </c>
      <c r="D647" t="s">
        <v>636</v>
      </c>
      <c r="E647" s="192">
        <v>5.769168071495781E-2</v>
      </c>
    </row>
    <row r="648" spans="1:5" x14ac:dyDescent="0.2">
      <c r="A648" t="s">
        <v>2313</v>
      </c>
      <c r="B648" t="s">
        <v>1354</v>
      </c>
      <c r="C648" t="s">
        <v>1830</v>
      </c>
      <c r="D648" t="s">
        <v>636</v>
      </c>
      <c r="E648" s="192">
        <v>7.8557825350429919E-2</v>
      </c>
    </row>
    <row r="649" spans="1:5" x14ac:dyDescent="0.2">
      <c r="A649" t="s">
        <v>2180</v>
      </c>
      <c r="B649" t="s">
        <v>1266</v>
      </c>
      <c r="C649" t="s">
        <v>1743</v>
      </c>
      <c r="D649" t="s">
        <v>636</v>
      </c>
      <c r="E649" s="192">
        <v>2.7956763511297715E-2</v>
      </c>
    </row>
    <row r="650" spans="1:5" x14ac:dyDescent="0.2">
      <c r="A650" t="s">
        <v>2181</v>
      </c>
      <c r="B650" t="s">
        <v>1356</v>
      </c>
      <c r="C650" t="s">
        <v>1738</v>
      </c>
      <c r="D650" t="s">
        <v>636</v>
      </c>
      <c r="E650" s="192">
        <v>4.9432311014796879E-2</v>
      </c>
    </row>
    <row r="651" spans="1:5" x14ac:dyDescent="0.2">
      <c r="A651" t="s">
        <v>2182</v>
      </c>
      <c r="B651" t="s">
        <v>542</v>
      </c>
      <c r="C651" t="s">
        <v>1741</v>
      </c>
      <c r="D651" t="s">
        <v>636</v>
      </c>
      <c r="E651" s="192">
        <v>8.2646180878476264E-3</v>
      </c>
    </row>
    <row r="652" spans="1:5" x14ac:dyDescent="0.2">
      <c r="A652" t="s">
        <v>2182</v>
      </c>
      <c r="B652" t="s">
        <v>603</v>
      </c>
      <c r="C652" t="s">
        <v>1741</v>
      </c>
      <c r="D652" t="s">
        <v>636</v>
      </c>
      <c r="E652" s="192">
        <v>3.707909736710016E-3</v>
      </c>
    </row>
    <row r="653" spans="1:5" x14ac:dyDescent="0.2">
      <c r="A653" t="s">
        <v>2184</v>
      </c>
      <c r="B653" t="s">
        <v>1264</v>
      </c>
      <c r="C653" t="s">
        <v>1739</v>
      </c>
      <c r="D653" t="s">
        <v>636</v>
      </c>
      <c r="E653" s="192">
        <v>2.513445939162167E-2</v>
      </c>
    </row>
    <row r="654" spans="1:5" x14ac:dyDescent="0.2">
      <c r="A654" t="s">
        <v>634</v>
      </c>
      <c r="B654" t="s">
        <v>1841</v>
      </c>
      <c r="C654" t="s">
        <v>1841</v>
      </c>
      <c r="D654" t="s">
        <v>634</v>
      </c>
      <c r="E654" s="192">
        <v>1</v>
      </c>
    </row>
    <row r="655" spans="1:5" x14ac:dyDescent="0.2">
      <c r="A655" t="s">
        <v>2158</v>
      </c>
      <c r="B655" t="s">
        <v>543</v>
      </c>
      <c r="C655" t="s">
        <v>1742</v>
      </c>
      <c r="D655" t="s">
        <v>634</v>
      </c>
      <c r="E655" s="192">
        <v>1.9093405837183046E-2</v>
      </c>
    </row>
    <row r="656" spans="1:5" x14ac:dyDescent="0.2">
      <c r="A656" t="s">
        <v>2302</v>
      </c>
      <c r="B656" t="s">
        <v>2303</v>
      </c>
      <c r="C656" t="s">
        <v>2257</v>
      </c>
      <c r="D656" t="s">
        <v>634</v>
      </c>
      <c r="E656" s="192">
        <v>4.9434720787394047E-2</v>
      </c>
    </row>
    <row r="657" spans="1:5" x14ac:dyDescent="0.2">
      <c r="A657" t="s">
        <v>2160</v>
      </c>
      <c r="B657" t="s">
        <v>544</v>
      </c>
      <c r="C657" t="s">
        <v>1744</v>
      </c>
      <c r="D657" t="s">
        <v>634</v>
      </c>
      <c r="E657" s="192">
        <v>2.3591613852263018E-2</v>
      </c>
    </row>
    <row r="658" spans="1:5" x14ac:dyDescent="0.2">
      <c r="A658" t="s">
        <v>2307</v>
      </c>
      <c r="B658" t="s">
        <v>605</v>
      </c>
      <c r="C658" t="s">
        <v>1833</v>
      </c>
      <c r="D658" t="s">
        <v>634</v>
      </c>
      <c r="E658" s="192">
        <v>5.0028728350512273E-2</v>
      </c>
    </row>
    <row r="659" spans="1:5" x14ac:dyDescent="0.2">
      <c r="A659" t="s">
        <v>2308</v>
      </c>
      <c r="B659" t="s">
        <v>606</v>
      </c>
      <c r="C659" t="s">
        <v>1834</v>
      </c>
      <c r="D659" t="s">
        <v>634</v>
      </c>
      <c r="E659" s="192">
        <v>4.7929132603782183E-2</v>
      </c>
    </row>
    <row r="660" spans="1:5" x14ac:dyDescent="0.2">
      <c r="A660" t="s">
        <v>2326</v>
      </c>
      <c r="B660" t="s">
        <v>2327</v>
      </c>
      <c r="C660" t="s">
        <v>2328</v>
      </c>
      <c r="D660" t="s">
        <v>634</v>
      </c>
      <c r="E660" s="192">
        <v>1.3157829914786479E-2</v>
      </c>
    </row>
    <row r="661" spans="1:5" x14ac:dyDescent="0.2">
      <c r="A661" t="s">
        <v>2309</v>
      </c>
      <c r="B661" t="s">
        <v>607</v>
      </c>
      <c r="C661" t="s">
        <v>1835</v>
      </c>
      <c r="D661" t="s">
        <v>634</v>
      </c>
      <c r="E661" s="192">
        <v>6.5728013913926478E-2</v>
      </c>
    </row>
    <row r="662" spans="1:5" x14ac:dyDescent="0.2">
      <c r="A662" t="s">
        <v>2310</v>
      </c>
      <c r="B662" t="s">
        <v>609</v>
      </c>
      <c r="C662" t="s">
        <v>1837</v>
      </c>
      <c r="D662" t="s">
        <v>634</v>
      </c>
      <c r="E662" s="192">
        <v>2.1170066007566091E-2</v>
      </c>
    </row>
    <row r="663" spans="1:5" x14ac:dyDescent="0.2">
      <c r="A663" t="s">
        <v>2315</v>
      </c>
      <c r="B663" t="s">
        <v>2316</v>
      </c>
      <c r="C663" t="s">
        <v>2317</v>
      </c>
      <c r="D663" t="s">
        <v>634</v>
      </c>
      <c r="E663" s="192">
        <v>1.7575848140680021E-2</v>
      </c>
    </row>
    <row r="664" spans="1:5" x14ac:dyDescent="0.2">
      <c r="A664" t="s">
        <v>2168</v>
      </c>
      <c r="B664" t="s">
        <v>1265</v>
      </c>
      <c r="C664" t="s">
        <v>1740</v>
      </c>
      <c r="D664" t="s">
        <v>634</v>
      </c>
      <c r="E664" s="192">
        <v>1.9249800188420495E-2</v>
      </c>
    </row>
    <row r="665" spans="1:5" x14ac:dyDescent="0.2">
      <c r="A665" t="s">
        <v>2318</v>
      </c>
      <c r="B665" t="s">
        <v>2319</v>
      </c>
      <c r="C665" t="s">
        <v>2320</v>
      </c>
      <c r="D665" t="s">
        <v>634</v>
      </c>
      <c r="E665" s="192">
        <v>5.6646393994907805E-2</v>
      </c>
    </row>
    <row r="666" spans="1:5" x14ac:dyDescent="0.2">
      <c r="A666" t="s">
        <v>2311</v>
      </c>
      <c r="B666" t="s">
        <v>608</v>
      </c>
      <c r="C666" t="s">
        <v>1836</v>
      </c>
      <c r="D666" t="s">
        <v>634</v>
      </c>
      <c r="E666" s="192">
        <v>7.4838063941873277E-3</v>
      </c>
    </row>
    <row r="667" spans="1:5" x14ac:dyDescent="0.2">
      <c r="A667" t="s">
        <v>2312</v>
      </c>
      <c r="B667" t="s">
        <v>1357</v>
      </c>
      <c r="C667" t="s">
        <v>1832</v>
      </c>
      <c r="D667" t="s">
        <v>634</v>
      </c>
      <c r="E667" s="192">
        <v>9.1536362486460271E-2</v>
      </c>
    </row>
    <row r="668" spans="1:5" x14ac:dyDescent="0.2">
      <c r="A668" t="s">
        <v>2177</v>
      </c>
      <c r="B668" t="s">
        <v>655</v>
      </c>
      <c r="C668" t="s">
        <v>1831</v>
      </c>
      <c r="D668" t="s">
        <v>634</v>
      </c>
      <c r="E668" s="192">
        <v>0.14632550383650123</v>
      </c>
    </row>
    <row r="669" spans="1:5" x14ac:dyDescent="0.2">
      <c r="A669" t="s">
        <v>2313</v>
      </c>
      <c r="B669" t="s">
        <v>1354</v>
      </c>
      <c r="C669" t="s">
        <v>1830</v>
      </c>
      <c r="D669" t="s">
        <v>634</v>
      </c>
      <c r="E669" s="192">
        <v>0.12659713877343062</v>
      </c>
    </row>
    <row r="670" spans="1:5" x14ac:dyDescent="0.2">
      <c r="A670" t="s">
        <v>2321</v>
      </c>
      <c r="B670" t="s">
        <v>2322</v>
      </c>
      <c r="C670" t="s">
        <v>2323</v>
      </c>
      <c r="D670" t="s">
        <v>634</v>
      </c>
      <c r="E670" s="192">
        <v>4.3395113898043895E-2</v>
      </c>
    </row>
    <row r="671" spans="1:5" x14ac:dyDescent="0.2">
      <c r="A671" t="s">
        <v>2329</v>
      </c>
      <c r="B671" t="s">
        <v>2330</v>
      </c>
      <c r="C671" t="s">
        <v>2331</v>
      </c>
      <c r="D671" t="s">
        <v>634</v>
      </c>
      <c r="E671" s="192">
        <v>8.2174860680974179E-3</v>
      </c>
    </row>
    <row r="672" spans="1:5" x14ac:dyDescent="0.2">
      <c r="A672" t="s">
        <v>2180</v>
      </c>
      <c r="B672" t="s">
        <v>1266</v>
      </c>
      <c r="C672" t="s">
        <v>1743</v>
      </c>
      <c r="D672" t="s">
        <v>634</v>
      </c>
      <c r="E672" s="192">
        <v>1.9515821816769922E-2</v>
      </c>
    </row>
    <row r="673" spans="1:5" x14ac:dyDescent="0.2">
      <c r="A673" t="s">
        <v>2332</v>
      </c>
      <c r="B673" t="s">
        <v>2333</v>
      </c>
      <c r="C673" t="s">
        <v>1796</v>
      </c>
      <c r="D673" t="s">
        <v>634</v>
      </c>
      <c r="E673" s="192">
        <v>8.120237729275042E-3</v>
      </c>
    </row>
    <row r="674" spans="1:5" x14ac:dyDescent="0.2">
      <c r="A674" t="s">
        <v>2181</v>
      </c>
      <c r="B674" t="s">
        <v>1356</v>
      </c>
      <c r="C674" t="s">
        <v>1738</v>
      </c>
      <c r="D674" t="s">
        <v>634</v>
      </c>
      <c r="E674" s="192">
        <v>7.971860910273236E-2</v>
      </c>
    </row>
    <row r="675" spans="1:5" x14ac:dyDescent="0.2">
      <c r="A675" t="s">
        <v>2182</v>
      </c>
      <c r="B675" t="s">
        <v>542</v>
      </c>
      <c r="C675" t="s">
        <v>1741</v>
      </c>
      <c r="D675" t="s">
        <v>634</v>
      </c>
      <c r="E675" s="192">
        <v>1.4163593896744358E-2</v>
      </c>
    </row>
    <row r="676" spans="1:5" x14ac:dyDescent="0.2">
      <c r="A676" t="s">
        <v>2182</v>
      </c>
      <c r="B676" t="s">
        <v>603</v>
      </c>
      <c r="C676" t="s">
        <v>1741</v>
      </c>
      <c r="D676" t="s">
        <v>634</v>
      </c>
      <c r="E676" s="192">
        <v>1.7474925279283803E-2</v>
      </c>
    </row>
    <row r="677" spans="1:5" x14ac:dyDescent="0.2">
      <c r="A677" t="s">
        <v>2184</v>
      </c>
      <c r="B677" t="s">
        <v>1264</v>
      </c>
      <c r="C677" t="s">
        <v>1739</v>
      </c>
      <c r="D677" t="s">
        <v>634</v>
      </c>
      <c r="E677" s="192">
        <v>4.2303073391146091E-2</v>
      </c>
    </row>
    <row r="678" spans="1:5" x14ac:dyDescent="0.2">
      <c r="A678" t="s">
        <v>781</v>
      </c>
      <c r="B678" t="s">
        <v>543</v>
      </c>
      <c r="C678" t="s">
        <v>1742</v>
      </c>
      <c r="D678" t="s">
        <v>634</v>
      </c>
      <c r="E678" s="192">
        <v>1.1542773735905584E-2</v>
      </c>
    </row>
    <row r="679" spans="1:5" x14ac:dyDescent="0.2">
      <c r="A679" t="s">
        <v>274</v>
      </c>
      <c r="B679" t="s">
        <v>1841</v>
      </c>
      <c r="C679" t="s">
        <v>1841</v>
      </c>
      <c r="D679" t="s">
        <v>274</v>
      </c>
      <c r="E679" s="192">
        <v>1</v>
      </c>
    </row>
    <row r="680" spans="1:5" x14ac:dyDescent="0.2">
      <c r="A680" t="s">
        <v>2334</v>
      </c>
      <c r="B680" t="s">
        <v>2335</v>
      </c>
      <c r="C680" t="s">
        <v>1671</v>
      </c>
      <c r="D680" t="s">
        <v>274</v>
      </c>
      <c r="E680" s="192">
        <v>3.9135616733994627E-2</v>
      </c>
    </row>
    <row r="681" spans="1:5" x14ac:dyDescent="0.2">
      <c r="A681" t="s">
        <v>2085</v>
      </c>
      <c r="B681" t="s">
        <v>2086</v>
      </c>
      <c r="C681" t="s">
        <v>1445</v>
      </c>
      <c r="D681" t="s">
        <v>274</v>
      </c>
      <c r="E681" s="192">
        <v>3.1462950926312606E-2</v>
      </c>
    </row>
    <row r="682" spans="1:5" x14ac:dyDescent="0.2">
      <c r="A682" t="s">
        <v>2336</v>
      </c>
      <c r="B682" t="s">
        <v>2337</v>
      </c>
      <c r="C682" t="s">
        <v>1673</v>
      </c>
      <c r="D682" t="s">
        <v>274</v>
      </c>
      <c r="E682" s="192">
        <v>3.1340907299092273E-2</v>
      </c>
    </row>
    <row r="683" spans="1:5" x14ac:dyDescent="0.2">
      <c r="A683" t="s">
        <v>943</v>
      </c>
      <c r="B683" t="s">
        <v>128</v>
      </c>
      <c r="C683" t="s">
        <v>1512</v>
      </c>
      <c r="D683" t="s">
        <v>274</v>
      </c>
      <c r="E683" s="192">
        <v>2.9982922890556318E-2</v>
      </c>
    </row>
    <row r="684" spans="1:5" x14ac:dyDescent="0.2">
      <c r="A684" t="s">
        <v>2202</v>
      </c>
      <c r="B684" t="s">
        <v>2203</v>
      </c>
      <c r="C684" t="s">
        <v>1646</v>
      </c>
      <c r="D684" t="s">
        <v>274</v>
      </c>
      <c r="E684" s="192">
        <v>2.9358168657067984E-2</v>
      </c>
    </row>
    <row r="685" spans="1:5" x14ac:dyDescent="0.2">
      <c r="A685" t="s">
        <v>1923</v>
      </c>
      <c r="B685" t="s">
        <v>136</v>
      </c>
      <c r="C685" t="s">
        <v>1515</v>
      </c>
      <c r="D685" t="s">
        <v>274</v>
      </c>
      <c r="E685" s="192">
        <v>3.9460499049850127E-2</v>
      </c>
    </row>
    <row r="686" spans="1:5" x14ac:dyDescent="0.2">
      <c r="A686" t="s">
        <v>865</v>
      </c>
      <c r="B686" t="s">
        <v>2285</v>
      </c>
      <c r="C686" t="s">
        <v>1460</v>
      </c>
      <c r="D686" t="s">
        <v>274</v>
      </c>
      <c r="E686" s="192">
        <v>2.1898270783148265E-3</v>
      </c>
    </row>
    <row r="687" spans="1:5" x14ac:dyDescent="0.2">
      <c r="A687" t="s">
        <v>2087</v>
      </c>
      <c r="B687" t="s">
        <v>2088</v>
      </c>
      <c r="C687" t="s">
        <v>1460</v>
      </c>
      <c r="D687" t="s">
        <v>274</v>
      </c>
      <c r="E687" s="192">
        <v>3.334247749106066E-2</v>
      </c>
    </row>
    <row r="688" spans="1:5" x14ac:dyDescent="0.2">
      <c r="A688" t="s">
        <v>1081</v>
      </c>
      <c r="B688" t="s">
        <v>2209</v>
      </c>
      <c r="C688" t="s">
        <v>1649</v>
      </c>
      <c r="D688" t="s">
        <v>274</v>
      </c>
      <c r="E688" s="192">
        <v>3.89200681671166E-2</v>
      </c>
    </row>
    <row r="689" spans="1:5" x14ac:dyDescent="0.2">
      <c r="A689" t="s">
        <v>2210</v>
      </c>
      <c r="B689" t="s">
        <v>2211</v>
      </c>
      <c r="C689" t="s">
        <v>1650</v>
      </c>
      <c r="D689" t="s">
        <v>274</v>
      </c>
      <c r="E689" s="192">
        <v>3.7767831719279117E-2</v>
      </c>
    </row>
    <row r="690" spans="1:5" x14ac:dyDescent="0.2">
      <c r="A690" t="s">
        <v>2338</v>
      </c>
      <c r="B690" t="s">
        <v>352</v>
      </c>
      <c r="C690" t="s">
        <v>1672</v>
      </c>
      <c r="D690" t="s">
        <v>274</v>
      </c>
      <c r="E690" s="192">
        <v>4.6330289350093291E-2</v>
      </c>
    </row>
    <row r="691" spans="1:5" x14ac:dyDescent="0.2">
      <c r="A691" t="s">
        <v>2212</v>
      </c>
      <c r="B691" t="s">
        <v>329</v>
      </c>
      <c r="C691" t="s">
        <v>1435</v>
      </c>
      <c r="D691" t="s">
        <v>274</v>
      </c>
      <c r="E691" s="192">
        <v>4.0204817452337067E-2</v>
      </c>
    </row>
    <row r="692" spans="1:5" x14ac:dyDescent="0.2">
      <c r="A692" t="s">
        <v>893</v>
      </c>
      <c r="B692" t="s">
        <v>333</v>
      </c>
      <c r="C692" t="s">
        <v>1468</v>
      </c>
      <c r="D692" t="s">
        <v>274</v>
      </c>
      <c r="E692" s="192">
        <v>4.4353172566319314E-2</v>
      </c>
    </row>
    <row r="693" spans="1:5" x14ac:dyDescent="0.2">
      <c r="A693" t="s">
        <v>1925</v>
      </c>
      <c r="B693" t="s">
        <v>140</v>
      </c>
      <c r="C693" t="s">
        <v>1517</v>
      </c>
      <c r="D693" t="s">
        <v>274</v>
      </c>
      <c r="E693" s="192">
        <v>1.4993232601093972E-3</v>
      </c>
    </row>
    <row r="694" spans="1:5" x14ac:dyDescent="0.2">
      <c r="A694" t="s">
        <v>1926</v>
      </c>
      <c r="B694" t="s">
        <v>140</v>
      </c>
      <c r="C694" t="s">
        <v>1517</v>
      </c>
      <c r="D694" t="s">
        <v>274</v>
      </c>
      <c r="E694" s="192">
        <v>3.7289600457440356E-2</v>
      </c>
    </row>
    <row r="695" spans="1:5" x14ac:dyDescent="0.2">
      <c r="A695" t="s">
        <v>2339</v>
      </c>
      <c r="B695" t="s">
        <v>355</v>
      </c>
      <c r="C695" t="s">
        <v>1674</v>
      </c>
      <c r="D695" t="s">
        <v>274</v>
      </c>
      <c r="E695" s="192">
        <v>3.8083951675803286E-2</v>
      </c>
    </row>
    <row r="696" spans="1:5" x14ac:dyDescent="0.2">
      <c r="A696" t="s">
        <v>1096</v>
      </c>
      <c r="B696" t="s">
        <v>356</v>
      </c>
      <c r="C696" t="s">
        <v>1675</v>
      </c>
      <c r="D696" t="s">
        <v>274</v>
      </c>
      <c r="E696" s="192">
        <v>3.5575993653601805E-2</v>
      </c>
    </row>
    <row r="697" spans="1:5" x14ac:dyDescent="0.2">
      <c r="A697" t="s">
        <v>2340</v>
      </c>
      <c r="B697" t="s">
        <v>2341</v>
      </c>
      <c r="C697" t="s">
        <v>1676</v>
      </c>
      <c r="D697" t="s">
        <v>274</v>
      </c>
      <c r="E697" s="192">
        <v>3.1185348146197014E-2</v>
      </c>
    </row>
    <row r="698" spans="1:5" x14ac:dyDescent="0.2">
      <c r="A698" t="s">
        <v>2095</v>
      </c>
      <c r="B698" t="s">
        <v>63</v>
      </c>
      <c r="C698" t="s">
        <v>1442</v>
      </c>
      <c r="D698" t="s">
        <v>274</v>
      </c>
      <c r="E698" s="192">
        <v>4.1585547676707267E-2</v>
      </c>
    </row>
    <row r="699" spans="1:5" x14ac:dyDescent="0.2">
      <c r="A699" t="s">
        <v>2219</v>
      </c>
      <c r="B699" t="s">
        <v>65</v>
      </c>
      <c r="C699" t="s">
        <v>1677</v>
      </c>
      <c r="D699" t="s">
        <v>274</v>
      </c>
      <c r="E699" s="192">
        <v>3.9956910085088761E-2</v>
      </c>
    </row>
    <row r="700" spans="1:5" x14ac:dyDescent="0.2">
      <c r="A700" t="s">
        <v>2221</v>
      </c>
      <c r="B700" t="s">
        <v>2222</v>
      </c>
      <c r="C700" t="s">
        <v>1658</v>
      </c>
      <c r="D700" t="s">
        <v>274</v>
      </c>
      <c r="E700" s="192">
        <v>2.8375771326169266E-2</v>
      </c>
    </row>
    <row r="701" spans="1:5" x14ac:dyDescent="0.2">
      <c r="A701" t="s">
        <v>954</v>
      </c>
      <c r="B701" t="s">
        <v>150</v>
      </c>
      <c r="C701" t="s">
        <v>1523</v>
      </c>
      <c r="D701" t="s">
        <v>274</v>
      </c>
      <c r="E701" s="192">
        <v>4.8034915545043223E-2</v>
      </c>
    </row>
    <row r="702" spans="1:5" x14ac:dyDescent="0.2">
      <c r="A702" t="s">
        <v>2097</v>
      </c>
      <c r="B702" t="s">
        <v>71</v>
      </c>
      <c r="C702" t="s">
        <v>1449</v>
      </c>
      <c r="D702" t="s">
        <v>274</v>
      </c>
      <c r="E702" s="192">
        <v>4.2933831353226738E-2</v>
      </c>
    </row>
    <row r="703" spans="1:5" x14ac:dyDescent="0.2">
      <c r="A703" t="s">
        <v>2192</v>
      </c>
      <c r="B703" t="s">
        <v>2193</v>
      </c>
      <c r="C703" t="s">
        <v>1475</v>
      </c>
      <c r="D703" t="s">
        <v>274</v>
      </c>
      <c r="E703" s="192">
        <v>3.023520685721566E-2</v>
      </c>
    </row>
    <row r="704" spans="1:5" x14ac:dyDescent="0.2">
      <c r="A704" t="s">
        <v>883</v>
      </c>
      <c r="B704" t="s">
        <v>154</v>
      </c>
      <c r="C704" t="s">
        <v>1431</v>
      </c>
      <c r="D704" t="s">
        <v>274</v>
      </c>
      <c r="E704" s="192">
        <v>3.3257638157747668E-2</v>
      </c>
    </row>
    <row r="705" spans="1:5" x14ac:dyDescent="0.2">
      <c r="A705" t="s">
        <v>883</v>
      </c>
      <c r="B705" t="s">
        <v>2294</v>
      </c>
      <c r="C705" t="s">
        <v>1856</v>
      </c>
      <c r="D705" t="s">
        <v>274</v>
      </c>
      <c r="E705" s="192">
        <v>2.7143354258333044E-3</v>
      </c>
    </row>
    <row r="706" spans="1:5" x14ac:dyDescent="0.2">
      <c r="A706" t="s">
        <v>2225</v>
      </c>
      <c r="B706" t="s">
        <v>2226</v>
      </c>
      <c r="C706" t="s">
        <v>1660</v>
      </c>
      <c r="D706" t="s">
        <v>274</v>
      </c>
      <c r="E706" s="192">
        <v>3.3602810524028075E-2</v>
      </c>
    </row>
    <row r="707" spans="1:5" x14ac:dyDescent="0.2">
      <c r="A707" t="s">
        <v>1906</v>
      </c>
      <c r="B707" t="s">
        <v>73</v>
      </c>
      <c r="C707" t="s">
        <v>1447</v>
      </c>
      <c r="D707" t="s">
        <v>274</v>
      </c>
      <c r="E707" s="192">
        <v>4.0219751436455752E-2</v>
      </c>
    </row>
    <row r="708" spans="1:5" x14ac:dyDescent="0.2">
      <c r="A708" t="s">
        <v>958</v>
      </c>
      <c r="B708" t="s">
        <v>160</v>
      </c>
      <c r="C708" t="s">
        <v>1527</v>
      </c>
      <c r="D708" t="s">
        <v>274</v>
      </c>
      <c r="E708" s="192">
        <v>3.8810297774343548E-2</v>
      </c>
    </row>
    <row r="709" spans="1:5" x14ac:dyDescent="0.2">
      <c r="A709" t="s">
        <v>958</v>
      </c>
      <c r="B709" t="s">
        <v>2227</v>
      </c>
      <c r="C709" t="s">
        <v>1527</v>
      </c>
      <c r="D709" t="s">
        <v>274</v>
      </c>
      <c r="E709" s="192">
        <v>2.548485295439145E-3</v>
      </c>
    </row>
    <row r="710" spans="1:5" x14ac:dyDescent="0.2">
      <c r="A710" t="s">
        <v>1088</v>
      </c>
      <c r="B710" t="s">
        <v>79</v>
      </c>
      <c r="C710" t="s">
        <v>1661</v>
      </c>
      <c r="D710" t="s">
        <v>274</v>
      </c>
      <c r="E710" s="192">
        <v>3.0240731968155441E-2</v>
      </c>
    </row>
    <row r="711" spans="1:5" x14ac:dyDescent="0.2">
      <c r="A711" t="s">
        <v>639</v>
      </c>
      <c r="B711" t="s">
        <v>1841</v>
      </c>
      <c r="C711" t="s">
        <v>1841</v>
      </c>
      <c r="D711" t="s">
        <v>639</v>
      </c>
      <c r="E711" s="192">
        <v>1</v>
      </c>
    </row>
    <row r="712" spans="1:5" x14ac:dyDescent="0.2">
      <c r="A712" t="s">
        <v>2158</v>
      </c>
      <c r="B712" t="s">
        <v>543</v>
      </c>
      <c r="C712" t="s">
        <v>1742</v>
      </c>
      <c r="D712" t="s">
        <v>639</v>
      </c>
      <c r="E712" s="192">
        <v>9.2199164905180653E-3</v>
      </c>
    </row>
    <row r="713" spans="1:5" x14ac:dyDescent="0.2">
      <c r="A713" t="s">
        <v>2160</v>
      </c>
      <c r="B713" t="s">
        <v>544</v>
      </c>
      <c r="C713" t="s">
        <v>1744</v>
      </c>
      <c r="D713" t="s">
        <v>639</v>
      </c>
      <c r="E713" s="192">
        <v>5.5229607013223096E-2</v>
      </c>
    </row>
    <row r="714" spans="1:5" x14ac:dyDescent="0.2">
      <c r="A714" t="s">
        <v>2342</v>
      </c>
      <c r="B714" t="s">
        <v>2343</v>
      </c>
      <c r="C714" t="s">
        <v>2344</v>
      </c>
      <c r="D714" t="s">
        <v>639</v>
      </c>
      <c r="E714" s="192">
        <v>0.14404335306711633</v>
      </c>
    </row>
    <row r="715" spans="1:5" x14ac:dyDescent="0.2">
      <c r="A715" t="s">
        <v>2345</v>
      </c>
      <c r="B715" t="s">
        <v>2346</v>
      </c>
      <c r="C715" t="s">
        <v>2347</v>
      </c>
      <c r="D715" t="s">
        <v>639</v>
      </c>
      <c r="E715" s="192">
        <v>0.10892392949428149</v>
      </c>
    </row>
    <row r="716" spans="1:5" x14ac:dyDescent="0.2">
      <c r="A716" t="s">
        <v>2310</v>
      </c>
      <c r="B716" t="s">
        <v>609</v>
      </c>
      <c r="C716" t="s">
        <v>1837</v>
      </c>
      <c r="D716" t="s">
        <v>639</v>
      </c>
      <c r="E716" s="192">
        <v>5.4220785390626261E-2</v>
      </c>
    </row>
    <row r="717" spans="1:5" x14ac:dyDescent="0.2">
      <c r="A717" t="s">
        <v>2168</v>
      </c>
      <c r="B717" t="s">
        <v>1265</v>
      </c>
      <c r="C717" t="s">
        <v>1740</v>
      </c>
      <c r="D717" t="s">
        <v>639</v>
      </c>
      <c r="E717" s="192">
        <v>1.8976626724640462E-2</v>
      </c>
    </row>
    <row r="718" spans="1:5" x14ac:dyDescent="0.2">
      <c r="A718" t="s">
        <v>2348</v>
      </c>
      <c r="B718" t="s">
        <v>621</v>
      </c>
      <c r="C718" t="s">
        <v>2349</v>
      </c>
      <c r="D718" t="s">
        <v>639</v>
      </c>
      <c r="E718" s="192">
        <v>2.2749514349953821E-2</v>
      </c>
    </row>
    <row r="719" spans="1:5" x14ac:dyDescent="0.2">
      <c r="A719" t="s">
        <v>2350</v>
      </c>
      <c r="B719" t="s">
        <v>1361</v>
      </c>
      <c r="C719" t="s">
        <v>2351</v>
      </c>
      <c r="D719" t="s">
        <v>639</v>
      </c>
      <c r="E719" s="192">
        <v>8.7087711785639857E-2</v>
      </c>
    </row>
    <row r="720" spans="1:5" x14ac:dyDescent="0.2">
      <c r="A720" t="s">
        <v>2177</v>
      </c>
      <c r="B720" t="s">
        <v>619</v>
      </c>
      <c r="C720" t="s">
        <v>2352</v>
      </c>
      <c r="D720" t="s">
        <v>639</v>
      </c>
      <c r="E720" s="192">
        <v>8.7893900167131139E-2</v>
      </c>
    </row>
    <row r="721" spans="1:5" x14ac:dyDescent="0.2">
      <c r="A721" t="s">
        <v>2353</v>
      </c>
      <c r="B721" t="s">
        <v>2354</v>
      </c>
      <c r="C721" t="s">
        <v>2355</v>
      </c>
      <c r="D721" t="s">
        <v>639</v>
      </c>
      <c r="E721" s="192">
        <v>8.4259879530742127E-3</v>
      </c>
    </row>
    <row r="722" spans="1:5" x14ac:dyDescent="0.2">
      <c r="A722" t="s">
        <v>2180</v>
      </c>
      <c r="B722" t="s">
        <v>1266</v>
      </c>
      <c r="C722" t="s">
        <v>1743</v>
      </c>
      <c r="D722" t="s">
        <v>639</v>
      </c>
      <c r="E722" s="192">
        <v>2.9736963954615923E-2</v>
      </c>
    </row>
    <row r="723" spans="1:5" x14ac:dyDescent="0.2">
      <c r="A723" t="s">
        <v>2356</v>
      </c>
      <c r="B723" t="s">
        <v>622</v>
      </c>
      <c r="C723" t="s">
        <v>2357</v>
      </c>
      <c r="D723" t="s">
        <v>639</v>
      </c>
      <c r="E723" s="192">
        <v>0.10738077454500054</v>
      </c>
    </row>
    <row r="724" spans="1:5" x14ac:dyDescent="0.2">
      <c r="A724" t="s">
        <v>2181</v>
      </c>
      <c r="B724" t="s">
        <v>1356</v>
      </c>
      <c r="C724" t="s">
        <v>1738</v>
      </c>
      <c r="D724" t="s">
        <v>639</v>
      </c>
      <c r="E724" s="192">
        <v>7.614744370420487E-2</v>
      </c>
    </row>
    <row r="725" spans="1:5" x14ac:dyDescent="0.2">
      <c r="A725" t="s">
        <v>2182</v>
      </c>
      <c r="B725" t="s">
        <v>542</v>
      </c>
      <c r="C725" t="s">
        <v>1741</v>
      </c>
      <c r="D725" t="s">
        <v>639</v>
      </c>
      <c r="E725" s="192">
        <v>1.3522696184639265E-2</v>
      </c>
    </row>
    <row r="726" spans="1:5" x14ac:dyDescent="0.2">
      <c r="A726" t="s">
        <v>2182</v>
      </c>
      <c r="B726" t="s">
        <v>603</v>
      </c>
      <c r="C726" t="s">
        <v>1741</v>
      </c>
      <c r="D726" t="s">
        <v>639</v>
      </c>
      <c r="E726" s="192">
        <v>5.1690016213023294E-3</v>
      </c>
    </row>
    <row r="727" spans="1:5" x14ac:dyDescent="0.2">
      <c r="A727" t="s">
        <v>2358</v>
      </c>
      <c r="B727" t="s">
        <v>1360</v>
      </c>
      <c r="C727" t="s">
        <v>2359</v>
      </c>
      <c r="D727" t="s">
        <v>639</v>
      </c>
      <c r="E727" s="192">
        <v>0.12070155594919596</v>
      </c>
    </row>
    <row r="728" spans="1:5" x14ac:dyDescent="0.2">
      <c r="A728" t="s">
        <v>2184</v>
      </c>
      <c r="B728" t="s">
        <v>1264</v>
      </c>
      <c r="C728" t="s">
        <v>1739</v>
      </c>
      <c r="D728" t="s">
        <v>639</v>
      </c>
      <c r="E728" s="192">
        <v>4.0687738898800188E-2</v>
      </c>
    </row>
    <row r="729" spans="1:5" x14ac:dyDescent="0.2">
      <c r="A729" t="s">
        <v>781</v>
      </c>
      <c r="B729" t="s">
        <v>543</v>
      </c>
      <c r="C729" t="s">
        <v>1742</v>
      </c>
      <c r="D729" t="s">
        <v>639</v>
      </c>
      <c r="E729" s="192">
        <v>9.8824927060364165E-3</v>
      </c>
    </row>
    <row r="730" spans="1:5" x14ac:dyDescent="0.2">
      <c r="A730" t="s">
        <v>637</v>
      </c>
      <c r="B730" t="s">
        <v>1841</v>
      </c>
      <c r="C730" t="s">
        <v>1841</v>
      </c>
      <c r="D730" t="s">
        <v>637</v>
      </c>
      <c r="E730" s="192">
        <v>1</v>
      </c>
    </row>
    <row r="731" spans="1:5" x14ac:dyDescent="0.2">
      <c r="A731" t="s">
        <v>2158</v>
      </c>
      <c r="B731" t="s">
        <v>543</v>
      </c>
      <c r="C731" t="s">
        <v>1742</v>
      </c>
      <c r="D731" t="s">
        <v>637</v>
      </c>
      <c r="E731" s="192">
        <v>4.0781790280038609E-2</v>
      </c>
    </row>
    <row r="732" spans="1:5" x14ac:dyDescent="0.2">
      <c r="A732" t="s">
        <v>2302</v>
      </c>
      <c r="B732" t="s">
        <v>2303</v>
      </c>
      <c r="C732" t="s">
        <v>2257</v>
      </c>
      <c r="D732" t="s">
        <v>637</v>
      </c>
      <c r="E732" s="192">
        <v>6.6602462663761111E-3</v>
      </c>
    </row>
    <row r="733" spans="1:5" x14ac:dyDescent="0.2">
      <c r="A733" t="s">
        <v>2168</v>
      </c>
      <c r="B733" t="s">
        <v>1265</v>
      </c>
      <c r="C733" t="s">
        <v>1740</v>
      </c>
      <c r="D733" t="s">
        <v>637</v>
      </c>
      <c r="E733" s="192">
        <v>3.9962366880740896E-2</v>
      </c>
    </row>
    <row r="734" spans="1:5" x14ac:dyDescent="0.2">
      <c r="A734" t="s">
        <v>2350</v>
      </c>
      <c r="B734" t="s">
        <v>1361</v>
      </c>
      <c r="C734" t="s">
        <v>2351</v>
      </c>
      <c r="D734" t="s">
        <v>637</v>
      </c>
      <c r="E734" s="192">
        <v>0.17897693719336222</v>
      </c>
    </row>
    <row r="735" spans="1:5" x14ac:dyDescent="0.2">
      <c r="A735" t="s">
        <v>2177</v>
      </c>
      <c r="B735" t="s">
        <v>619</v>
      </c>
      <c r="C735" t="s">
        <v>2352</v>
      </c>
      <c r="D735" t="s">
        <v>637</v>
      </c>
      <c r="E735" s="192">
        <v>0.18706289975132423</v>
      </c>
    </row>
    <row r="736" spans="1:5" x14ac:dyDescent="0.2">
      <c r="A736" t="s">
        <v>2360</v>
      </c>
      <c r="B736" t="s">
        <v>2361</v>
      </c>
      <c r="C736" t="s">
        <v>2362</v>
      </c>
      <c r="D736" t="s">
        <v>637</v>
      </c>
      <c r="E736" s="192">
        <v>7.3349260157500118E-3</v>
      </c>
    </row>
    <row r="737" spans="1:5" x14ac:dyDescent="0.2">
      <c r="A737" t="s">
        <v>2329</v>
      </c>
      <c r="B737" t="s">
        <v>2330</v>
      </c>
      <c r="C737" t="s">
        <v>2331</v>
      </c>
      <c r="D737" t="s">
        <v>637</v>
      </c>
      <c r="E737" s="192">
        <v>1.097589581628272E-3</v>
      </c>
    </row>
    <row r="738" spans="1:5" x14ac:dyDescent="0.2">
      <c r="A738" t="s">
        <v>2268</v>
      </c>
      <c r="B738" t="s">
        <v>2269</v>
      </c>
      <c r="C738" t="s">
        <v>2270</v>
      </c>
      <c r="D738" t="s">
        <v>637</v>
      </c>
      <c r="E738" s="192">
        <v>2.5426262245500843E-3</v>
      </c>
    </row>
    <row r="739" spans="1:5" x14ac:dyDescent="0.2">
      <c r="A739" t="s">
        <v>2332</v>
      </c>
      <c r="B739" t="s">
        <v>2333</v>
      </c>
      <c r="C739" t="s">
        <v>1796</v>
      </c>
      <c r="D739" t="s">
        <v>637</v>
      </c>
      <c r="E739" s="192">
        <v>1.0818414401163453E-3</v>
      </c>
    </row>
    <row r="740" spans="1:5" x14ac:dyDescent="0.2">
      <c r="A740" t="s">
        <v>2181</v>
      </c>
      <c r="B740" t="s">
        <v>1356</v>
      </c>
      <c r="C740" t="s">
        <v>1738</v>
      </c>
      <c r="D740" t="s">
        <v>637</v>
      </c>
      <c r="E740" s="192">
        <v>0.15506251419801684</v>
      </c>
    </row>
    <row r="741" spans="1:5" x14ac:dyDescent="0.2">
      <c r="A741" t="s">
        <v>2182</v>
      </c>
      <c r="B741" t="s">
        <v>542</v>
      </c>
      <c r="C741" t="s">
        <v>1741</v>
      </c>
      <c r="D741" t="s">
        <v>637</v>
      </c>
      <c r="E741" s="192">
        <v>3.508714882240431E-2</v>
      </c>
    </row>
    <row r="742" spans="1:5" x14ac:dyDescent="0.2">
      <c r="A742" t="s">
        <v>2182</v>
      </c>
      <c r="B742" t="s">
        <v>603</v>
      </c>
      <c r="C742" t="s">
        <v>1741</v>
      </c>
      <c r="D742" t="s">
        <v>637</v>
      </c>
      <c r="E742" s="192">
        <v>5.2702525038836488E-3</v>
      </c>
    </row>
    <row r="743" spans="1:5" x14ac:dyDescent="0.2">
      <c r="A743" t="s">
        <v>2358</v>
      </c>
      <c r="B743" t="s">
        <v>1360</v>
      </c>
      <c r="C743" t="s">
        <v>2359</v>
      </c>
      <c r="D743" t="s">
        <v>637</v>
      </c>
      <c r="E743" s="192">
        <v>0.24772343924558254</v>
      </c>
    </row>
    <row r="744" spans="1:5" x14ac:dyDescent="0.2">
      <c r="A744" t="s">
        <v>2363</v>
      </c>
      <c r="B744" t="s">
        <v>2364</v>
      </c>
      <c r="C744" t="s">
        <v>2365</v>
      </c>
      <c r="D744" t="s">
        <v>637</v>
      </c>
      <c r="E744" s="192">
        <v>6.7268980747389618E-3</v>
      </c>
    </row>
    <row r="745" spans="1:5" x14ac:dyDescent="0.2">
      <c r="A745" t="s">
        <v>2184</v>
      </c>
      <c r="B745" t="s">
        <v>1264</v>
      </c>
      <c r="C745" t="s">
        <v>1739</v>
      </c>
      <c r="D745" t="s">
        <v>637</v>
      </c>
      <c r="E745" s="192">
        <v>8.4628523521487267E-2</v>
      </c>
    </row>
    <row r="746" spans="1:5" x14ac:dyDescent="0.2">
      <c r="A746" t="s">
        <v>640</v>
      </c>
      <c r="B746" t="s">
        <v>1841</v>
      </c>
      <c r="C746" t="s">
        <v>1841</v>
      </c>
      <c r="D746" t="s">
        <v>640</v>
      </c>
      <c r="E746" s="192">
        <v>1</v>
      </c>
    </row>
    <row r="747" spans="1:5" x14ac:dyDescent="0.2">
      <c r="A747" t="s">
        <v>2342</v>
      </c>
      <c r="B747" t="s">
        <v>2343</v>
      </c>
      <c r="C747" t="s">
        <v>2344</v>
      </c>
      <c r="D747" t="s">
        <v>640</v>
      </c>
      <c r="E747" s="192">
        <v>0.33634778997606907</v>
      </c>
    </row>
    <row r="748" spans="1:5" x14ac:dyDescent="0.2">
      <c r="A748" t="s">
        <v>2345</v>
      </c>
      <c r="B748" t="s">
        <v>2346</v>
      </c>
      <c r="C748" t="s">
        <v>2347</v>
      </c>
      <c r="D748" t="s">
        <v>640</v>
      </c>
      <c r="E748" s="192">
        <v>0.25449599357226205</v>
      </c>
    </row>
    <row r="749" spans="1:5" x14ac:dyDescent="0.2">
      <c r="A749" t="s">
        <v>2356</v>
      </c>
      <c r="B749" t="s">
        <v>622</v>
      </c>
      <c r="C749" t="s">
        <v>2357</v>
      </c>
      <c r="D749" t="s">
        <v>640</v>
      </c>
      <c r="E749" s="192">
        <v>0.25211779070580992</v>
      </c>
    </row>
    <row r="750" spans="1:5" x14ac:dyDescent="0.2">
      <c r="A750" t="s">
        <v>2358</v>
      </c>
      <c r="B750" t="s">
        <v>1360</v>
      </c>
      <c r="C750" t="s">
        <v>2359</v>
      </c>
      <c r="D750" t="s">
        <v>640</v>
      </c>
      <c r="E750" s="192">
        <v>0.15703842574585911</v>
      </c>
    </row>
    <row r="751" spans="1:5" x14ac:dyDescent="0.2">
      <c r="A751" t="s">
        <v>638</v>
      </c>
      <c r="B751" t="s">
        <v>1841</v>
      </c>
      <c r="C751" t="s">
        <v>1841</v>
      </c>
      <c r="D751" t="s">
        <v>638</v>
      </c>
      <c r="E751" s="192">
        <v>1</v>
      </c>
    </row>
    <row r="752" spans="1:5" x14ac:dyDescent="0.2">
      <c r="A752" t="s">
        <v>2158</v>
      </c>
      <c r="B752" t="s">
        <v>543</v>
      </c>
      <c r="C752" t="s">
        <v>1742</v>
      </c>
      <c r="D752" t="s">
        <v>638</v>
      </c>
      <c r="E752" s="192">
        <v>2.9518649837414569E-2</v>
      </c>
    </row>
    <row r="753" spans="1:5" x14ac:dyDescent="0.2">
      <c r="A753" t="s">
        <v>2160</v>
      </c>
      <c r="B753" t="s">
        <v>544</v>
      </c>
      <c r="C753" t="s">
        <v>1744</v>
      </c>
      <c r="D753" t="s">
        <v>638</v>
      </c>
      <c r="E753" s="192">
        <v>2.6169648484837084E-2</v>
      </c>
    </row>
    <row r="754" spans="1:5" x14ac:dyDescent="0.2">
      <c r="A754" t="s">
        <v>2342</v>
      </c>
      <c r="B754" t="s">
        <v>2343</v>
      </c>
      <c r="C754" t="s">
        <v>2344</v>
      </c>
      <c r="D754" t="s">
        <v>638</v>
      </c>
      <c r="E754" s="192">
        <v>6.6659700217688106E-2</v>
      </c>
    </row>
    <row r="755" spans="1:5" x14ac:dyDescent="0.2">
      <c r="A755" t="s">
        <v>2345</v>
      </c>
      <c r="B755" t="s">
        <v>2346</v>
      </c>
      <c r="C755" t="s">
        <v>2347</v>
      </c>
      <c r="D755" t="s">
        <v>638</v>
      </c>
      <c r="E755" s="192">
        <v>5.0033506877243748E-2</v>
      </c>
    </row>
    <row r="756" spans="1:5" x14ac:dyDescent="0.2">
      <c r="A756" t="s">
        <v>2366</v>
      </c>
      <c r="B756" t="s">
        <v>2367</v>
      </c>
      <c r="C756" t="s">
        <v>2368</v>
      </c>
      <c r="D756" t="s">
        <v>638</v>
      </c>
      <c r="E756" s="192">
        <v>1.4923245833730729E-3</v>
      </c>
    </row>
    <row r="757" spans="1:5" x14ac:dyDescent="0.2">
      <c r="A757" t="s">
        <v>2165</v>
      </c>
      <c r="B757" t="s">
        <v>2166</v>
      </c>
      <c r="C757" t="s">
        <v>1746</v>
      </c>
      <c r="D757" t="s">
        <v>638</v>
      </c>
      <c r="E757" s="192">
        <v>8.2535359267702241E-3</v>
      </c>
    </row>
    <row r="758" spans="1:5" x14ac:dyDescent="0.2">
      <c r="A758" t="s">
        <v>2310</v>
      </c>
      <c r="B758" t="s">
        <v>609</v>
      </c>
      <c r="C758" t="s">
        <v>1837</v>
      </c>
      <c r="D758" t="s">
        <v>638</v>
      </c>
      <c r="E758" s="192">
        <v>1.6539003907159955E-2</v>
      </c>
    </row>
    <row r="759" spans="1:5" x14ac:dyDescent="0.2">
      <c r="A759" t="s">
        <v>2167</v>
      </c>
      <c r="B759" t="s">
        <v>546</v>
      </c>
      <c r="C759" t="s">
        <v>1746</v>
      </c>
      <c r="D759" t="s">
        <v>638</v>
      </c>
      <c r="E759" s="192">
        <v>7.369226623402034E-4</v>
      </c>
    </row>
    <row r="760" spans="1:5" x14ac:dyDescent="0.2">
      <c r="A760" t="s">
        <v>2168</v>
      </c>
      <c r="B760" t="s">
        <v>1265</v>
      </c>
      <c r="C760" t="s">
        <v>1740</v>
      </c>
      <c r="D760" t="s">
        <v>638</v>
      </c>
      <c r="E760" s="192">
        <v>2.9025135701037201E-2</v>
      </c>
    </row>
    <row r="761" spans="1:5" x14ac:dyDescent="0.2">
      <c r="A761" t="s">
        <v>2348</v>
      </c>
      <c r="B761" t="s">
        <v>621</v>
      </c>
      <c r="C761" t="s">
        <v>2349</v>
      </c>
      <c r="D761" t="s">
        <v>638</v>
      </c>
      <c r="E761" s="192">
        <v>9.179954253168858E-3</v>
      </c>
    </row>
    <row r="762" spans="1:5" x14ac:dyDescent="0.2">
      <c r="A762" t="s">
        <v>2350</v>
      </c>
      <c r="B762" t="s">
        <v>1361</v>
      </c>
      <c r="C762" t="s">
        <v>2351</v>
      </c>
      <c r="D762" t="s">
        <v>638</v>
      </c>
      <c r="E762" s="192">
        <v>0.13116980734836434</v>
      </c>
    </row>
    <row r="763" spans="1:5" x14ac:dyDescent="0.2">
      <c r="A763" t="s">
        <v>2177</v>
      </c>
      <c r="B763" t="s">
        <v>619</v>
      </c>
      <c r="C763" t="s">
        <v>2352</v>
      </c>
      <c r="D763" t="s">
        <v>638</v>
      </c>
      <c r="E763" s="192">
        <v>0.13029673998171518</v>
      </c>
    </row>
    <row r="764" spans="1:5" x14ac:dyDescent="0.2">
      <c r="A764" t="s">
        <v>2369</v>
      </c>
      <c r="B764" t="s">
        <v>2370</v>
      </c>
      <c r="C764" t="s">
        <v>2371</v>
      </c>
      <c r="D764" t="s">
        <v>638</v>
      </c>
      <c r="E764" s="192">
        <v>3.3884240092039053E-2</v>
      </c>
    </row>
    <row r="765" spans="1:5" x14ac:dyDescent="0.2">
      <c r="A765" t="s">
        <v>2372</v>
      </c>
      <c r="B765" t="s">
        <v>2373</v>
      </c>
      <c r="C765" t="s">
        <v>2374</v>
      </c>
      <c r="D765" t="s">
        <v>638</v>
      </c>
      <c r="E765" s="192">
        <v>1.9282899884549918E-3</v>
      </c>
    </row>
    <row r="766" spans="1:5" x14ac:dyDescent="0.2">
      <c r="A766" t="s">
        <v>2180</v>
      </c>
      <c r="B766" t="s">
        <v>1266</v>
      </c>
      <c r="C766" t="s">
        <v>1743</v>
      </c>
      <c r="D766" t="s">
        <v>638</v>
      </c>
      <c r="E766" s="192">
        <v>2.937685193678289E-2</v>
      </c>
    </row>
    <row r="767" spans="1:5" x14ac:dyDescent="0.2">
      <c r="A767" t="s">
        <v>2375</v>
      </c>
      <c r="B767" t="s">
        <v>2376</v>
      </c>
      <c r="C767" t="s">
        <v>2377</v>
      </c>
      <c r="D767" t="s">
        <v>638</v>
      </c>
      <c r="E767" s="192">
        <v>1.4573351544107684E-3</v>
      </c>
    </row>
    <row r="768" spans="1:5" x14ac:dyDescent="0.2">
      <c r="A768" t="s">
        <v>2356</v>
      </c>
      <c r="B768" t="s">
        <v>622</v>
      </c>
      <c r="C768" t="s">
        <v>2357</v>
      </c>
      <c r="D768" t="s">
        <v>638</v>
      </c>
      <c r="E768" s="192">
        <v>4.9341285421962269E-2</v>
      </c>
    </row>
    <row r="769" spans="1:5" x14ac:dyDescent="0.2">
      <c r="A769" t="s">
        <v>2181</v>
      </c>
      <c r="B769" t="s">
        <v>1356</v>
      </c>
      <c r="C769" t="s">
        <v>1738</v>
      </c>
      <c r="D769" t="s">
        <v>638</v>
      </c>
      <c r="E769" s="192">
        <v>0.11434490092943908</v>
      </c>
    </row>
    <row r="770" spans="1:5" x14ac:dyDescent="0.2">
      <c r="A770" t="s">
        <v>2182</v>
      </c>
      <c r="B770" t="s">
        <v>542</v>
      </c>
      <c r="C770" t="s">
        <v>1741</v>
      </c>
      <c r="D770" t="s">
        <v>638</v>
      </c>
      <c r="E770" s="192">
        <v>1.9345976849628462E-2</v>
      </c>
    </row>
    <row r="771" spans="1:5" x14ac:dyDescent="0.2">
      <c r="A771" t="s">
        <v>2182</v>
      </c>
      <c r="B771" t="s">
        <v>603</v>
      </c>
      <c r="C771" t="s">
        <v>1741</v>
      </c>
      <c r="D771" t="s">
        <v>638</v>
      </c>
      <c r="E771" s="192">
        <v>8.7131549537742339E-3</v>
      </c>
    </row>
    <row r="772" spans="1:5" x14ac:dyDescent="0.2">
      <c r="A772" t="s">
        <v>2358</v>
      </c>
      <c r="B772" t="s">
        <v>1360</v>
      </c>
      <c r="C772" t="s">
        <v>2359</v>
      </c>
      <c r="D772" t="s">
        <v>638</v>
      </c>
      <c r="E772" s="192">
        <v>0.18072831616866158</v>
      </c>
    </row>
    <row r="773" spans="1:5" x14ac:dyDescent="0.2">
      <c r="A773" t="s">
        <v>2184</v>
      </c>
      <c r="B773" t="s">
        <v>1264</v>
      </c>
      <c r="C773" t="s">
        <v>1739</v>
      </c>
      <c r="D773" t="s">
        <v>638</v>
      </c>
      <c r="E773" s="192">
        <v>6.1804718723734088E-2</v>
      </c>
    </row>
    <row r="774" spans="1:5" x14ac:dyDescent="0.2">
      <c r="A774" t="s">
        <v>294</v>
      </c>
      <c r="B774" t="s">
        <v>1841</v>
      </c>
      <c r="C774" t="s">
        <v>1841</v>
      </c>
      <c r="D774" t="s">
        <v>294</v>
      </c>
      <c r="E774" s="192">
        <v>1</v>
      </c>
    </row>
    <row r="775" spans="1:5" x14ac:dyDescent="0.2">
      <c r="A775" t="s">
        <v>2378</v>
      </c>
      <c r="B775" t="s">
        <v>2379</v>
      </c>
      <c r="C775" t="s">
        <v>1695</v>
      </c>
      <c r="D775" t="s">
        <v>294</v>
      </c>
      <c r="E775" s="192">
        <v>8.0168456787415091E-2</v>
      </c>
    </row>
    <row r="776" spans="1:5" x14ac:dyDescent="0.2">
      <c r="A776" t="s">
        <v>2380</v>
      </c>
      <c r="B776" t="s">
        <v>2381</v>
      </c>
      <c r="C776" t="s">
        <v>1696</v>
      </c>
      <c r="D776" t="s">
        <v>294</v>
      </c>
      <c r="E776" s="192">
        <v>5.6255904872900185E-2</v>
      </c>
    </row>
    <row r="777" spans="1:5" x14ac:dyDescent="0.2">
      <c r="A777" t="s">
        <v>1894</v>
      </c>
      <c r="B777" t="s">
        <v>46</v>
      </c>
      <c r="C777" t="s">
        <v>1452</v>
      </c>
      <c r="D777" t="s">
        <v>294</v>
      </c>
      <c r="E777" s="192">
        <v>8.6326660855245499E-2</v>
      </c>
    </row>
    <row r="778" spans="1:5" x14ac:dyDescent="0.2">
      <c r="A778" t="s">
        <v>2382</v>
      </c>
      <c r="B778" t="s">
        <v>2383</v>
      </c>
      <c r="C778" t="s">
        <v>1697</v>
      </c>
      <c r="D778" t="s">
        <v>294</v>
      </c>
      <c r="E778" s="192">
        <v>0.13097724541432448</v>
      </c>
    </row>
    <row r="779" spans="1:5" x14ac:dyDescent="0.2">
      <c r="A779" t="s">
        <v>2108</v>
      </c>
      <c r="B779" t="s">
        <v>395</v>
      </c>
      <c r="C779" t="s">
        <v>1541</v>
      </c>
      <c r="D779" t="s">
        <v>294</v>
      </c>
      <c r="E779" s="192">
        <v>6.6979341448759111E-2</v>
      </c>
    </row>
    <row r="780" spans="1:5" x14ac:dyDescent="0.2">
      <c r="A780" t="s">
        <v>2384</v>
      </c>
      <c r="B780" t="s">
        <v>2385</v>
      </c>
      <c r="C780" t="s">
        <v>1700</v>
      </c>
      <c r="D780" t="s">
        <v>294</v>
      </c>
      <c r="E780" s="192">
        <v>5.5041324923323982E-2</v>
      </c>
    </row>
    <row r="781" spans="1:5" x14ac:dyDescent="0.2">
      <c r="A781" t="s">
        <v>2386</v>
      </c>
      <c r="B781" t="s">
        <v>2337</v>
      </c>
      <c r="C781" t="s">
        <v>1701</v>
      </c>
      <c r="D781" t="s">
        <v>294</v>
      </c>
      <c r="E781" s="192">
        <v>5.3521906100426897E-2</v>
      </c>
    </row>
    <row r="782" spans="1:5" x14ac:dyDescent="0.2">
      <c r="A782" t="s">
        <v>1122</v>
      </c>
      <c r="B782" t="s">
        <v>2387</v>
      </c>
      <c r="C782" t="s">
        <v>1703</v>
      </c>
      <c r="D782" t="s">
        <v>294</v>
      </c>
      <c r="E782" s="192">
        <v>8.1074686434473783E-2</v>
      </c>
    </row>
    <row r="783" spans="1:5" x14ac:dyDescent="0.2">
      <c r="A783" t="s">
        <v>2388</v>
      </c>
      <c r="B783" t="s">
        <v>2389</v>
      </c>
      <c r="C783" t="s">
        <v>1704</v>
      </c>
      <c r="D783" t="s">
        <v>294</v>
      </c>
      <c r="E783" s="192">
        <v>8.8492510383708797E-2</v>
      </c>
    </row>
    <row r="784" spans="1:5" x14ac:dyDescent="0.2">
      <c r="A784" t="s">
        <v>2390</v>
      </c>
      <c r="B784" t="s">
        <v>2391</v>
      </c>
      <c r="C784" t="s">
        <v>1706</v>
      </c>
      <c r="D784" t="s">
        <v>294</v>
      </c>
      <c r="E784" s="192">
        <v>0.11580862038990482</v>
      </c>
    </row>
    <row r="785" spans="1:5" x14ac:dyDescent="0.2">
      <c r="A785" t="s">
        <v>2392</v>
      </c>
      <c r="B785" t="s">
        <v>2393</v>
      </c>
      <c r="C785" t="s">
        <v>1708</v>
      </c>
      <c r="D785" t="s">
        <v>294</v>
      </c>
      <c r="E785" s="192">
        <v>6.9828000089265402E-2</v>
      </c>
    </row>
    <row r="786" spans="1:5" x14ac:dyDescent="0.2">
      <c r="A786" t="s">
        <v>2394</v>
      </c>
      <c r="B786" t="s">
        <v>2395</v>
      </c>
      <c r="C786" t="s">
        <v>1710</v>
      </c>
      <c r="D786" t="s">
        <v>294</v>
      </c>
      <c r="E786" s="192">
        <v>5.7380007605244955E-2</v>
      </c>
    </row>
    <row r="787" spans="1:5" x14ac:dyDescent="0.2">
      <c r="A787" t="s">
        <v>2396</v>
      </c>
      <c r="B787" t="s">
        <v>2397</v>
      </c>
      <c r="C787" t="s">
        <v>1712</v>
      </c>
      <c r="D787" t="s">
        <v>294</v>
      </c>
      <c r="E787" s="192">
        <v>5.8145334695007073E-2</v>
      </c>
    </row>
    <row r="788" spans="1:5" x14ac:dyDescent="0.2">
      <c r="A788" t="s">
        <v>1137</v>
      </c>
      <c r="B788" t="s">
        <v>1841</v>
      </c>
      <c r="C788" t="s">
        <v>1841</v>
      </c>
      <c r="D788" t="s">
        <v>1137</v>
      </c>
      <c r="E788" s="192">
        <v>1</v>
      </c>
    </row>
    <row r="789" spans="1:5" x14ac:dyDescent="0.2">
      <c r="A789" t="s">
        <v>2398</v>
      </c>
      <c r="B789" t="s">
        <v>585</v>
      </c>
      <c r="C789" t="s">
        <v>1781</v>
      </c>
      <c r="D789" t="s">
        <v>1137</v>
      </c>
      <c r="E789" s="192">
        <v>0.45058219829875157</v>
      </c>
    </row>
    <row r="790" spans="1:5" x14ac:dyDescent="0.2">
      <c r="A790" t="s">
        <v>2399</v>
      </c>
      <c r="B790" t="s">
        <v>2400</v>
      </c>
      <c r="C790" t="s">
        <v>2401</v>
      </c>
      <c r="D790" t="s">
        <v>1137</v>
      </c>
      <c r="E790" s="192">
        <v>5.149115566009705E-2</v>
      </c>
    </row>
    <row r="791" spans="1:5" x14ac:dyDescent="0.2">
      <c r="A791" t="s">
        <v>2402</v>
      </c>
      <c r="B791" t="s">
        <v>2403</v>
      </c>
      <c r="C791" t="s">
        <v>1791</v>
      </c>
      <c r="D791" t="s">
        <v>1137</v>
      </c>
      <c r="E791" s="192">
        <v>9.244795855415594E-2</v>
      </c>
    </row>
    <row r="792" spans="1:5" x14ac:dyDescent="0.2">
      <c r="A792" t="s">
        <v>2404</v>
      </c>
      <c r="B792" t="s">
        <v>2405</v>
      </c>
      <c r="C792" t="s">
        <v>1790</v>
      </c>
      <c r="D792" t="s">
        <v>1137</v>
      </c>
      <c r="E792" s="192">
        <v>0.21642449408562847</v>
      </c>
    </row>
    <row r="793" spans="1:5" x14ac:dyDescent="0.2">
      <c r="A793" t="s">
        <v>2406</v>
      </c>
      <c r="B793" t="s">
        <v>2407</v>
      </c>
      <c r="C793" t="s">
        <v>2408</v>
      </c>
      <c r="D793" t="s">
        <v>1137</v>
      </c>
      <c r="E793" s="192">
        <v>7.9560154521800611E-2</v>
      </c>
    </row>
    <row r="794" spans="1:5" x14ac:dyDescent="0.2">
      <c r="A794" t="s">
        <v>2409</v>
      </c>
      <c r="B794" t="s">
        <v>577</v>
      </c>
      <c r="C794" t="s">
        <v>1772</v>
      </c>
      <c r="D794" t="s">
        <v>1137</v>
      </c>
      <c r="E794" s="192">
        <v>0.10949403887956641</v>
      </c>
    </row>
    <row r="795" spans="1:5" x14ac:dyDescent="0.2">
      <c r="A795" t="s">
        <v>498</v>
      </c>
      <c r="B795" t="s">
        <v>1841</v>
      </c>
      <c r="C795" t="s">
        <v>1841</v>
      </c>
      <c r="D795" t="s">
        <v>498</v>
      </c>
      <c r="E795" s="192">
        <v>1</v>
      </c>
    </row>
    <row r="796" spans="1:5" x14ac:dyDescent="0.2">
      <c r="A796" t="s">
        <v>2410</v>
      </c>
      <c r="B796" t="s">
        <v>776</v>
      </c>
      <c r="C796" t="s">
        <v>1779</v>
      </c>
      <c r="D796" t="s">
        <v>498</v>
      </c>
      <c r="E796" s="192">
        <v>1.5659912901803345E-2</v>
      </c>
    </row>
    <row r="797" spans="1:5" x14ac:dyDescent="0.2">
      <c r="A797" t="s">
        <v>2411</v>
      </c>
      <c r="B797" t="s">
        <v>582</v>
      </c>
      <c r="C797" t="s">
        <v>1780</v>
      </c>
      <c r="D797" t="s">
        <v>498</v>
      </c>
      <c r="E797" s="192">
        <v>0.19478322611004417</v>
      </c>
    </row>
    <row r="798" spans="1:5" x14ac:dyDescent="0.2">
      <c r="A798" t="s">
        <v>2398</v>
      </c>
      <c r="B798" t="s">
        <v>585</v>
      </c>
      <c r="C798" t="s">
        <v>1781</v>
      </c>
      <c r="D798" t="s">
        <v>498</v>
      </c>
      <c r="E798" s="192">
        <v>2.3975928374452712E-2</v>
      </c>
    </row>
    <row r="799" spans="1:5" x14ac:dyDescent="0.2">
      <c r="A799" t="s">
        <v>2412</v>
      </c>
      <c r="B799" t="s">
        <v>583</v>
      </c>
      <c r="C799" t="s">
        <v>1782</v>
      </c>
      <c r="D799" t="s">
        <v>498</v>
      </c>
      <c r="E799" s="192">
        <v>2.5193743745690618E-2</v>
      </c>
    </row>
    <row r="800" spans="1:5" x14ac:dyDescent="0.2">
      <c r="A800" t="s">
        <v>2413</v>
      </c>
      <c r="B800" t="s">
        <v>1134</v>
      </c>
      <c r="C800" t="s">
        <v>1783</v>
      </c>
      <c r="D800" t="s">
        <v>498</v>
      </c>
      <c r="E800" s="192">
        <v>0.13173690454757786</v>
      </c>
    </row>
    <row r="801" spans="1:5" x14ac:dyDescent="0.2">
      <c r="A801" t="s">
        <v>820</v>
      </c>
      <c r="B801" t="s">
        <v>586</v>
      </c>
      <c r="C801" t="s">
        <v>1784</v>
      </c>
      <c r="D801" t="s">
        <v>498</v>
      </c>
      <c r="E801" s="192">
        <v>4.7697209325861613E-2</v>
      </c>
    </row>
    <row r="802" spans="1:5" x14ac:dyDescent="0.2">
      <c r="A802" t="s">
        <v>2414</v>
      </c>
      <c r="B802" t="s">
        <v>581</v>
      </c>
      <c r="C802" t="s">
        <v>1787</v>
      </c>
      <c r="D802" t="s">
        <v>498</v>
      </c>
      <c r="E802" s="192">
        <v>0.20398355833069706</v>
      </c>
    </row>
    <row r="803" spans="1:5" x14ac:dyDescent="0.2">
      <c r="A803" t="s">
        <v>2415</v>
      </c>
      <c r="B803" t="s">
        <v>584</v>
      </c>
      <c r="C803" t="s">
        <v>1786</v>
      </c>
      <c r="D803" t="s">
        <v>498</v>
      </c>
      <c r="E803" s="192">
        <v>0.33781015952856408</v>
      </c>
    </row>
    <row r="804" spans="1:5" x14ac:dyDescent="0.2">
      <c r="A804" t="s">
        <v>2416</v>
      </c>
      <c r="B804" t="s">
        <v>768</v>
      </c>
      <c r="C804" t="s">
        <v>1788</v>
      </c>
      <c r="D804" t="s">
        <v>498</v>
      </c>
      <c r="E804" s="192">
        <v>1.9159357135308575E-2</v>
      </c>
    </row>
    <row r="805" spans="1:5" x14ac:dyDescent="0.2">
      <c r="A805" t="s">
        <v>497</v>
      </c>
      <c r="B805" t="s">
        <v>1841</v>
      </c>
      <c r="C805" t="s">
        <v>1841</v>
      </c>
      <c r="D805" t="s">
        <v>497</v>
      </c>
      <c r="E805" s="192">
        <v>1</v>
      </c>
    </row>
    <row r="806" spans="1:5" x14ac:dyDescent="0.2">
      <c r="A806" t="s">
        <v>2417</v>
      </c>
      <c r="B806" t="s">
        <v>575</v>
      </c>
      <c r="C806" t="s">
        <v>1770</v>
      </c>
      <c r="D806" t="s">
        <v>497</v>
      </c>
      <c r="E806" s="192">
        <v>4.6459613466604665E-3</v>
      </c>
    </row>
    <row r="807" spans="1:5" x14ac:dyDescent="0.2">
      <c r="A807" t="s">
        <v>2418</v>
      </c>
      <c r="B807" t="s">
        <v>580</v>
      </c>
      <c r="C807" t="s">
        <v>1778</v>
      </c>
      <c r="D807" t="s">
        <v>497</v>
      </c>
      <c r="E807" s="192">
        <v>1.6634652484050872E-2</v>
      </c>
    </row>
    <row r="808" spans="1:5" x14ac:dyDescent="0.2">
      <c r="A808" t="s">
        <v>2159</v>
      </c>
      <c r="B808" t="s">
        <v>580</v>
      </c>
      <c r="C808" t="s">
        <v>1778</v>
      </c>
      <c r="D808" t="s">
        <v>497</v>
      </c>
      <c r="E808" s="192">
        <v>0.18284820670670687</v>
      </c>
    </row>
    <row r="809" spans="1:5" x14ac:dyDescent="0.2">
      <c r="A809" t="s">
        <v>2419</v>
      </c>
      <c r="B809" t="s">
        <v>576</v>
      </c>
      <c r="C809" t="s">
        <v>1777</v>
      </c>
      <c r="D809" t="s">
        <v>497</v>
      </c>
      <c r="E809" s="192">
        <v>0.32386233794900704</v>
      </c>
    </row>
    <row r="810" spans="1:5" x14ac:dyDescent="0.2">
      <c r="A810" t="s">
        <v>2420</v>
      </c>
      <c r="B810" t="s">
        <v>767</v>
      </c>
      <c r="C810" t="s">
        <v>1774</v>
      </c>
      <c r="D810" t="s">
        <v>497</v>
      </c>
      <c r="E810" s="192">
        <v>4.5370751944065313E-2</v>
      </c>
    </row>
    <row r="811" spans="1:5" x14ac:dyDescent="0.2">
      <c r="A811" t="s">
        <v>2421</v>
      </c>
      <c r="B811" t="s">
        <v>579</v>
      </c>
      <c r="C811" t="s">
        <v>1775</v>
      </c>
      <c r="D811" t="s">
        <v>497</v>
      </c>
      <c r="E811" s="192">
        <v>0.19689692136818718</v>
      </c>
    </row>
    <row r="812" spans="1:5" x14ac:dyDescent="0.2">
      <c r="A812" t="s">
        <v>2422</v>
      </c>
      <c r="B812" t="s">
        <v>768</v>
      </c>
      <c r="C812" t="s">
        <v>1776</v>
      </c>
      <c r="D812" t="s">
        <v>497</v>
      </c>
      <c r="E812" s="192">
        <v>5.4969936990510088E-2</v>
      </c>
    </row>
    <row r="813" spans="1:5" x14ac:dyDescent="0.2">
      <c r="A813" t="s">
        <v>2423</v>
      </c>
      <c r="B813" t="s">
        <v>578</v>
      </c>
      <c r="C813" t="s">
        <v>1771</v>
      </c>
      <c r="D813" t="s">
        <v>497</v>
      </c>
      <c r="E813" s="192">
        <v>9.3327304195195866E-3</v>
      </c>
    </row>
    <row r="814" spans="1:5" x14ac:dyDescent="0.2">
      <c r="A814" t="s">
        <v>2424</v>
      </c>
      <c r="B814" t="s">
        <v>2425</v>
      </c>
      <c r="C814" t="s">
        <v>1770</v>
      </c>
      <c r="D814" t="s">
        <v>497</v>
      </c>
      <c r="E814" s="192">
        <v>3.9115474141945369E-2</v>
      </c>
    </row>
    <row r="815" spans="1:5" x14ac:dyDescent="0.2">
      <c r="A815" t="s">
        <v>2426</v>
      </c>
      <c r="B815" t="s">
        <v>578</v>
      </c>
      <c r="C815" t="s">
        <v>1771</v>
      </c>
      <c r="D815" t="s">
        <v>497</v>
      </c>
      <c r="E815" s="192">
        <v>0.12632302664934755</v>
      </c>
    </row>
    <row r="816" spans="1:5" x14ac:dyDescent="0.2">
      <c r="A816" t="s">
        <v>495</v>
      </c>
      <c r="B816" t="s">
        <v>1841</v>
      </c>
      <c r="C816" t="s">
        <v>1841</v>
      </c>
      <c r="D816" t="s">
        <v>495</v>
      </c>
      <c r="E816" s="192">
        <v>1</v>
      </c>
    </row>
    <row r="817" spans="1:5" x14ac:dyDescent="0.2">
      <c r="A817" t="s">
        <v>2410</v>
      </c>
      <c r="B817" t="s">
        <v>776</v>
      </c>
      <c r="C817" t="s">
        <v>1779</v>
      </c>
      <c r="D817" t="s">
        <v>495</v>
      </c>
      <c r="E817" s="192">
        <v>4.2840037247959255E-2</v>
      </c>
    </row>
    <row r="818" spans="1:5" x14ac:dyDescent="0.2">
      <c r="A818" t="s">
        <v>2411</v>
      </c>
      <c r="B818" t="s">
        <v>582</v>
      </c>
      <c r="C818" t="s">
        <v>1780</v>
      </c>
      <c r="D818" t="s">
        <v>495</v>
      </c>
      <c r="E818" s="192">
        <v>0.17519915907435862</v>
      </c>
    </row>
    <row r="819" spans="1:5" x14ac:dyDescent="0.2">
      <c r="A819" t="s">
        <v>2398</v>
      </c>
      <c r="B819" t="s">
        <v>585</v>
      </c>
      <c r="C819" t="s">
        <v>1781</v>
      </c>
      <c r="D819" t="s">
        <v>495</v>
      </c>
      <c r="E819" s="192">
        <v>3.2732589272272204E-2</v>
      </c>
    </row>
    <row r="820" spans="1:5" x14ac:dyDescent="0.2">
      <c r="A820" t="s">
        <v>2427</v>
      </c>
      <c r="B820" t="s">
        <v>2428</v>
      </c>
      <c r="C820" t="s">
        <v>2429</v>
      </c>
      <c r="D820" t="s">
        <v>495</v>
      </c>
      <c r="E820" s="192">
        <v>6.7955039240643516E-3</v>
      </c>
    </row>
    <row r="821" spans="1:5" x14ac:dyDescent="0.2">
      <c r="A821" t="s">
        <v>2430</v>
      </c>
      <c r="B821" t="s">
        <v>2431</v>
      </c>
      <c r="C821" t="s">
        <v>2432</v>
      </c>
      <c r="D821" t="s">
        <v>495</v>
      </c>
      <c r="E821" s="192">
        <v>1.5257937862523274E-2</v>
      </c>
    </row>
    <row r="822" spans="1:5" x14ac:dyDescent="0.2">
      <c r="A822" t="s">
        <v>2433</v>
      </c>
      <c r="B822" t="s">
        <v>2434</v>
      </c>
      <c r="C822" t="s">
        <v>2435</v>
      </c>
      <c r="D822" t="s">
        <v>495</v>
      </c>
      <c r="E822" s="192">
        <v>2.1309691342326913E-3</v>
      </c>
    </row>
    <row r="823" spans="1:5" x14ac:dyDescent="0.2">
      <c r="A823" t="s">
        <v>2412</v>
      </c>
      <c r="B823" t="s">
        <v>583</v>
      </c>
      <c r="C823" t="s">
        <v>1782</v>
      </c>
      <c r="D823" t="s">
        <v>495</v>
      </c>
      <c r="E823" s="192">
        <v>4.5783479768056544E-2</v>
      </c>
    </row>
    <row r="824" spans="1:5" x14ac:dyDescent="0.2">
      <c r="A824" t="s">
        <v>2413</v>
      </c>
      <c r="B824" t="s">
        <v>1134</v>
      </c>
      <c r="C824" t="s">
        <v>1783</v>
      </c>
      <c r="D824" t="s">
        <v>495</v>
      </c>
      <c r="E824" s="192">
        <v>0.11379970553562337</v>
      </c>
    </row>
    <row r="825" spans="1:5" x14ac:dyDescent="0.2">
      <c r="A825" t="s">
        <v>820</v>
      </c>
      <c r="B825" t="s">
        <v>586</v>
      </c>
      <c r="C825" t="s">
        <v>1784</v>
      </c>
      <c r="D825" t="s">
        <v>495</v>
      </c>
      <c r="E825" s="192">
        <v>4.3137157273917502E-2</v>
      </c>
    </row>
    <row r="826" spans="1:5" x14ac:dyDescent="0.2">
      <c r="A826" t="s">
        <v>2414</v>
      </c>
      <c r="B826" t="s">
        <v>581</v>
      </c>
      <c r="C826" t="s">
        <v>1787</v>
      </c>
      <c r="D826" t="s">
        <v>495</v>
      </c>
      <c r="E826" s="192">
        <v>0.17938248754118752</v>
      </c>
    </row>
    <row r="827" spans="1:5" x14ac:dyDescent="0.2">
      <c r="A827" t="s">
        <v>2415</v>
      </c>
      <c r="B827" t="s">
        <v>584</v>
      </c>
      <c r="C827" t="s">
        <v>1786</v>
      </c>
      <c r="D827" t="s">
        <v>495</v>
      </c>
      <c r="E827" s="192">
        <v>0.29227257072557206</v>
      </c>
    </row>
    <row r="828" spans="1:5" x14ac:dyDescent="0.2">
      <c r="A828" t="s">
        <v>2416</v>
      </c>
      <c r="B828" t="s">
        <v>768</v>
      </c>
      <c r="C828" t="s">
        <v>1788</v>
      </c>
      <c r="D828" t="s">
        <v>495</v>
      </c>
      <c r="E828" s="192">
        <v>5.066840264023257E-2</v>
      </c>
    </row>
    <row r="829" spans="1:5" x14ac:dyDescent="0.2">
      <c r="A829" t="s">
        <v>489</v>
      </c>
      <c r="B829" t="s">
        <v>1841</v>
      </c>
      <c r="C829" t="s">
        <v>1841</v>
      </c>
      <c r="D829" t="s">
        <v>489</v>
      </c>
      <c r="E829" s="192">
        <v>1</v>
      </c>
    </row>
    <row r="830" spans="1:5" x14ac:dyDescent="0.2">
      <c r="A830" t="s">
        <v>2417</v>
      </c>
      <c r="B830" t="s">
        <v>575</v>
      </c>
      <c r="C830" t="s">
        <v>1770</v>
      </c>
      <c r="D830" t="s">
        <v>489</v>
      </c>
      <c r="E830" s="192">
        <v>2.1127468844942605E-2</v>
      </c>
    </row>
    <row r="831" spans="1:5" x14ac:dyDescent="0.2">
      <c r="A831" t="s">
        <v>2418</v>
      </c>
      <c r="B831" t="s">
        <v>580</v>
      </c>
      <c r="C831" t="s">
        <v>1778</v>
      </c>
      <c r="D831" t="s">
        <v>489</v>
      </c>
      <c r="E831" s="192">
        <v>8.34836863863056E-3</v>
      </c>
    </row>
    <row r="832" spans="1:5" x14ac:dyDescent="0.2">
      <c r="A832" t="s">
        <v>2159</v>
      </c>
      <c r="B832" t="s">
        <v>580</v>
      </c>
      <c r="C832" t="s">
        <v>1778</v>
      </c>
      <c r="D832" t="s">
        <v>489</v>
      </c>
      <c r="E832" s="192">
        <v>0.17295366261618358</v>
      </c>
    </row>
    <row r="833" spans="1:5" x14ac:dyDescent="0.2">
      <c r="A833" t="s">
        <v>2419</v>
      </c>
      <c r="B833" t="s">
        <v>576</v>
      </c>
      <c r="C833" t="s">
        <v>1777</v>
      </c>
      <c r="D833" t="s">
        <v>489</v>
      </c>
      <c r="E833" s="192">
        <v>0.2949906778635395</v>
      </c>
    </row>
    <row r="834" spans="1:5" x14ac:dyDescent="0.2">
      <c r="A834" t="s">
        <v>2420</v>
      </c>
      <c r="B834" t="s">
        <v>767</v>
      </c>
      <c r="C834" t="s">
        <v>1774</v>
      </c>
      <c r="D834" t="s">
        <v>489</v>
      </c>
      <c r="E834" s="192">
        <v>4.0788616518195889E-2</v>
      </c>
    </row>
    <row r="835" spans="1:5" x14ac:dyDescent="0.2">
      <c r="A835" t="s">
        <v>2421</v>
      </c>
      <c r="B835" t="s">
        <v>579</v>
      </c>
      <c r="C835" t="s">
        <v>1775</v>
      </c>
      <c r="D835" t="s">
        <v>489</v>
      </c>
      <c r="E835" s="192">
        <v>0.17765928998484667</v>
      </c>
    </row>
    <row r="836" spans="1:5" x14ac:dyDescent="0.2">
      <c r="A836" t="s">
        <v>2422</v>
      </c>
      <c r="B836" t="s">
        <v>768</v>
      </c>
      <c r="C836" t="s">
        <v>1776</v>
      </c>
      <c r="D836" t="s">
        <v>489</v>
      </c>
      <c r="E836" s="192">
        <v>4.9003066659102229E-2</v>
      </c>
    </row>
    <row r="837" spans="1:5" x14ac:dyDescent="0.2">
      <c r="A837" t="s">
        <v>2409</v>
      </c>
      <c r="B837" t="s">
        <v>577</v>
      </c>
      <c r="C837" t="s">
        <v>1772</v>
      </c>
      <c r="D837" t="s">
        <v>489</v>
      </c>
      <c r="E837" s="192">
        <v>4.8434156411462675E-2</v>
      </c>
    </row>
    <row r="838" spans="1:5" x14ac:dyDescent="0.2">
      <c r="A838" t="s">
        <v>2423</v>
      </c>
      <c r="B838" t="s">
        <v>578</v>
      </c>
      <c r="C838" t="s">
        <v>1771</v>
      </c>
      <c r="D838" t="s">
        <v>489</v>
      </c>
      <c r="E838" s="192">
        <v>1.2718415959066734E-2</v>
      </c>
    </row>
    <row r="839" spans="1:5" x14ac:dyDescent="0.2">
      <c r="A839" t="s">
        <v>2424</v>
      </c>
      <c r="B839" t="s">
        <v>2425</v>
      </c>
      <c r="C839" t="s">
        <v>1770</v>
      </c>
      <c r="D839" t="s">
        <v>489</v>
      </c>
      <c r="E839" s="192">
        <v>1.8747569365212678E-2</v>
      </c>
    </row>
    <row r="840" spans="1:5" x14ac:dyDescent="0.2">
      <c r="A840" t="s">
        <v>2436</v>
      </c>
      <c r="B840" t="s">
        <v>766</v>
      </c>
      <c r="C840" t="s">
        <v>1773</v>
      </c>
      <c r="D840" t="s">
        <v>489</v>
      </c>
      <c r="E840" s="192">
        <v>4.4765874102503669E-2</v>
      </c>
    </row>
    <row r="841" spans="1:5" x14ac:dyDescent="0.2">
      <c r="A841" t="s">
        <v>2426</v>
      </c>
      <c r="B841" t="s">
        <v>578</v>
      </c>
      <c r="C841" t="s">
        <v>1771</v>
      </c>
      <c r="D841" t="s">
        <v>489</v>
      </c>
      <c r="E841" s="192">
        <v>0.11046283303631316</v>
      </c>
    </row>
    <row r="842" spans="1:5" x14ac:dyDescent="0.2">
      <c r="A842" t="s">
        <v>643</v>
      </c>
      <c r="B842" t="s">
        <v>1841</v>
      </c>
      <c r="C842" t="s">
        <v>1841</v>
      </c>
      <c r="D842" t="s">
        <v>643</v>
      </c>
      <c r="E842" s="192">
        <v>1</v>
      </c>
    </row>
    <row r="843" spans="1:5" x14ac:dyDescent="0.2">
      <c r="A843" t="s">
        <v>2437</v>
      </c>
      <c r="B843" t="s">
        <v>630</v>
      </c>
      <c r="C843" t="s">
        <v>2438</v>
      </c>
      <c r="D843" t="s">
        <v>643</v>
      </c>
      <c r="E843" s="192">
        <v>2.9653284309127913E-2</v>
      </c>
    </row>
    <row r="844" spans="1:5" x14ac:dyDescent="0.2">
      <c r="A844" t="s">
        <v>2439</v>
      </c>
      <c r="B844" t="s">
        <v>625</v>
      </c>
      <c r="C844" t="s">
        <v>2440</v>
      </c>
      <c r="D844" t="s">
        <v>643</v>
      </c>
      <c r="E844" s="192">
        <v>2.9540503336871242E-2</v>
      </c>
    </row>
    <row r="845" spans="1:5" x14ac:dyDescent="0.2">
      <c r="A845" t="s">
        <v>2441</v>
      </c>
      <c r="B845" t="s">
        <v>1264</v>
      </c>
      <c r="C845" t="s">
        <v>2442</v>
      </c>
      <c r="D845" t="s">
        <v>643</v>
      </c>
      <c r="E845" s="192">
        <v>4.0876233558575309E-2</v>
      </c>
    </row>
    <row r="846" spans="1:5" x14ac:dyDescent="0.2">
      <c r="A846" t="s">
        <v>2443</v>
      </c>
      <c r="B846" t="s">
        <v>632</v>
      </c>
      <c r="C846" t="s">
        <v>2444</v>
      </c>
      <c r="D846" t="s">
        <v>643</v>
      </c>
      <c r="E846" s="192">
        <v>3.1066300978271944E-2</v>
      </c>
    </row>
    <row r="847" spans="1:5" x14ac:dyDescent="0.2">
      <c r="A847" t="s">
        <v>2445</v>
      </c>
      <c r="B847" t="s">
        <v>629</v>
      </c>
      <c r="C847" t="s">
        <v>2446</v>
      </c>
      <c r="D847" t="s">
        <v>643</v>
      </c>
      <c r="E847" s="192">
        <v>0.15996757642103016</v>
      </c>
    </row>
    <row r="848" spans="1:5" x14ac:dyDescent="0.2">
      <c r="A848" t="s">
        <v>2447</v>
      </c>
      <c r="B848" t="s">
        <v>628</v>
      </c>
      <c r="C848" t="s">
        <v>2448</v>
      </c>
      <c r="D848" t="s">
        <v>643</v>
      </c>
      <c r="E848" s="192">
        <v>0.20144145724567644</v>
      </c>
    </row>
    <row r="849" spans="1:5" x14ac:dyDescent="0.2">
      <c r="A849" t="s">
        <v>2449</v>
      </c>
      <c r="B849" t="s">
        <v>591</v>
      </c>
      <c r="C849" t="s">
        <v>2450</v>
      </c>
      <c r="D849" t="s">
        <v>643</v>
      </c>
      <c r="E849" s="192">
        <v>1.9274954368144626E-2</v>
      </c>
    </row>
    <row r="850" spans="1:5" x14ac:dyDescent="0.2">
      <c r="A850" t="s">
        <v>2451</v>
      </c>
      <c r="B850" t="s">
        <v>631</v>
      </c>
      <c r="C850" t="s">
        <v>2452</v>
      </c>
      <c r="D850" t="s">
        <v>643</v>
      </c>
      <c r="E850" s="192">
        <v>9.8179068233128663E-2</v>
      </c>
    </row>
    <row r="851" spans="1:5" x14ac:dyDescent="0.2">
      <c r="A851" t="s">
        <v>2453</v>
      </c>
      <c r="B851" t="s">
        <v>1291</v>
      </c>
      <c r="C851" t="s">
        <v>2454</v>
      </c>
      <c r="D851" t="s">
        <v>643</v>
      </c>
      <c r="E851" s="192">
        <v>9.7088176218449465E-2</v>
      </c>
    </row>
    <row r="852" spans="1:5" x14ac:dyDescent="0.2">
      <c r="A852" t="s">
        <v>2455</v>
      </c>
      <c r="B852" t="s">
        <v>626</v>
      </c>
      <c r="C852" t="s">
        <v>2456</v>
      </c>
      <c r="D852" t="s">
        <v>643</v>
      </c>
      <c r="E852" s="192">
        <v>7.5171304037664019E-2</v>
      </c>
    </row>
    <row r="853" spans="1:5" x14ac:dyDescent="0.2">
      <c r="A853" t="s">
        <v>843</v>
      </c>
      <c r="B853" t="s">
        <v>2457</v>
      </c>
      <c r="C853" t="s">
        <v>2458</v>
      </c>
      <c r="D853" t="s">
        <v>643</v>
      </c>
      <c r="E853" s="192">
        <v>1.865693129750581E-2</v>
      </c>
    </row>
    <row r="854" spans="1:5" x14ac:dyDescent="0.2">
      <c r="A854" t="s">
        <v>2459</v>
      </c>
      <c r="B854" t="s">
        <v>689</v>
      </c>
      <c r="C854" t="s">
        <v>2460</v>
      </c>
      <c r="D854" t="s">
        <v>643</v>
      </c>
      <c r="E854" s="192">
        <v>0.17994278583617365</v>
      </c>
    </row>
    <row r="855" spans="1:5" x14ac:dyDescent="0.2">
      <c r="A855" t="s">
        <v>2461</v>
      </c>
      <c r="B855" t="s">
        <v>1290</v>
      </c>
      <c r="C855" t="s">
        <v>2462</v>
      </c>
      <c r="D855" t="s">
        <v>643</v>
      </c>
      <c r="E855" s="192">
        <v>1.9141424159380308E-2</v>
      </c>
    </row>
    <row r="856" spans="1:5" x14ac:dyDescent="0.2">
      <c r="A856" t="s">
        <v>641</v>
      </c>
      <c r="B856" t="s">
        <v>1841</v>
      </c>
      <c r="C856" t="s">
        <v>1841</v>
      </c>
      <c r="D856" t="s">
        <v>641</v>
      </c>
      <c r="E856" s="192">
        <v>1</v>
      </c>
    </row>
    <row r="857" spans="1:5" x14ac:dyDescent="0.2">
      <c r="A857" t="s">
        <v>2439</v>
      </c>
      <c r="B857" t="s">
        <v>625</v>
      </c>
      <c r="C857" t="s">
        <v>2440</v>
      </c>
      <c r="D857" t="s">
        <v>641</v>
      </c>
      <c r="E857" s="192">
        <v>6.1818584703574028E-2</v>
      </c>
    </row>
    <row r="858" spans="1:5" x14ac:dyDescent="0.2">
      <c r="A858" t="s">
        <v>2441</v>
      </c>
      <c r="B858" t="s">
        <v>1264</v>
      </c>
      <c r="C858" t="s">
        <v>2442</v>
      </c>
      <c r="D858" t="s">
        <v>641</v>
      </c>
      <c r="E858" s="192">
        <v>8.5133625716645581E-2</v>
      </c>
    </row>
    <row r="859" spans="1:5" x14ac:dyDescent="0.2">
      <c r="A859" t="s">
        <v>2449</v>
      </c>
      <c r="B859" t="s">
        <v>591</v>
      </c>
      <c r="C859" t="s">
        <v>2450</v>
      </c>
      <c r="D859" t="s">
        <v>641</v>
      </c>
      <c r="E859" s="192">
        <v>4.0595132837910719E-2</v>
      </c>
    </row>
    <row r="860" spans="1:5" x14ac:dyDescent="0.2">
      <c r="A860" t="s">
        <v>2453</v>
      </c>
      <c r="B860" t="s">
        <v>1291</v>
      </c>
      <c r="C860" t="s">
        <v>2454</v>
      </c>
      <c r="D860" t="s">
        <v>641</v>
      </c>
      <c r="E860" s="192">
        <v>0.20086361393853483</v>
      </c>
    </row>
    <row r="861" spans="1:5" x14ac:dyDescent="0.2">
      <c r="A861" t="s">
        <v>2455</v>
      </c>
      <c r="B861" t="s">
        <v>626</v>
      </c>
      <c r="C861" t="s">
        <v>2456</v>
      </c>
      <c r="D861" t="s">
        <v>641</v>
      </c>
      <c r="E861" s="192">
        <v>0.15723096799888991</v>
      </c>
    </row>
    <row r="862" spans="1:5" x14ac:dyDescent="0.2">
      <c r="A862" t="s">
        <v>843</v>
      </c>
      <c r="B862" t="s">
        <v>2457</v>
      </c>
      <c r="C862" t="s">
        <v>2458</v>
      </c>
      <c r="D862" t="s">
        <v>641</v>
      </c>
      <c r="E862" s="192">
        <v>3.9362151855213884E-2</v>
      </c>
    </row>
    <row r="863" spans="1:5" x14ac:dyDescent="0.2">
      <c r="A863" t="s">
        <v>2459</v>
      </c>
      <c r="B863" t="s">
        <v>689</v>
      </c>
      <c r="C863" t="s">
        <v>2460</v>
      </c>
      <c r="D863" t="s">
        <v>641</v>
      </c>
      <c r="E863" s="192">
        <v>0.37426118801107655</v>
      </c>
    </row>
    <row r="864" spans="1:5" x14ac:dyDescent="0.2">
      <c r="A864" t="s">
        <v>2461</v>
      </c>
      <c r="B864" t="s">
        <v>1290</v>
      </c>
      <c r="C864" t="s">
        <v>2462</v>
      </c>
      <c r="D864" t="s">
        <v>641</v>
      </c>
      <c r="E864" s="192">
        <v>4.0734734938154632E-2</v>
      </c>
    </row>
    <row r="865" spans="1:5" x14ac:dyDescent="0.2">
      <c r="A865" t="s">
        <v>644</v>
      </c>
      <c r="B865" t="s">
        <v>1841</v>
      </c>
      <c r="C865" t="s">
        <v>1841</v>
      </c>
      <c r="D865" t="s">
        <v>644</v>
      </c>
      <c r="E865" s="192">
        <v>1</v>
      </c>
    </row>
    <row r="866" spans="1:5" x14ac:dyDescent="0.2">
      <c r="A866" t="s">
        <v>2437</v>
      </c>
      <c r="B866" t="s">
        <v>630</v>
      </c>
      <c r="C866" t="s">
        <v>2438</v>
      </c>
      <c r="D866" t="s">
        <v>644</v>
      </c>
      <c r="E866" s="192">
        <v>3.8976401878495673E-2</v>
      </c>
    </row>
    <row r="867" spans="1:5" x14ac:dyDescent="0.2">
      <c r="A867" t="s">
        <v>2439</v>
      </c>
      <c r="B867" t="s">
        <v>625</v>
      </c>
      <c r="C867" t="s">
        <v>2440</v>
      </c>
      <c r="D867" t="s">
        <v>644</v>
      </c>
      <c r="E867" s="192">
        <v>2.0646311281968525E-2</v>
      </c>
    </row>
    <row r="868" spans="1:5" x14ac:dyDescent="0.2">
      <c r="A868" t="s">
        <v>2441</v>
      </c>
      <c r="B868" t="s">
        <v>1264</v>
      </c>
      <c r="C868" t="s">
        <v>2442</v>
      </c>
      <c r="D868" t="s">
        <v>644</v>
      </c>
      <c r="E868" s="192">
        <v>2.861469791906137E-2</v>
      </c>
    </row>
    <row r="869" spans="1:5" x14ac:dyDescent="0.2">
      <c r="A869" t="s">
        <v>2443</v>
      </c>
      <c r="B869" t="s">
        <v>632</v>
      </c>
      <c r="C869" t="s">
        <v>2444</v>
      </c>
      <c r="D869" t="s">
        <v>644</v>
      </c>
      <c r="E869" s="192">
        <v>3.0731403793568233E-2</v>
      </c>
    </row>
    <row r="870" spans="1:5" x14ac:dyDescent="0.2">
      <c r="A870" t="s">
        <v>2445</v>
      </c>
      <c r="B870" t="s">
        <v>629</v>
      </c>
      <c r="C870" t="s">
        <v>2446</v>
      </c>
      <c r="D870" t="s">
        <v>644</v>
      </c>
      <c r="E870" s="192">
        <v>0.20648204931845146</v>
      </c>
    </row>
    <row r="871" spans="1:5" x14ac:dyDescent="0.2">
      <c r="A871" t="s">
        <v>2447</v>
      </c>
      <c r="B871" t="s">
        <v>628</v>
      </c>
      <c r="C871" t="s">
        <v>2448</v>
      </c>
      <c r="D871" t="s">
        <v>644</v>
      </c>
      <c r="E871" s="192">
        <v>0.25996716084458704</v>
      </c>
    </row>
    <row r="872" spans="1:5" x14ac:dyDescent="0.2">
      <c r="A872" t="s">
        <v>2449</v>
      </c>
      <c r="B872" t="s">
        <v>591</v>
      </c>
      <c r="C872" t="s">
        <v>2450</v>
      </c>
      <c r="D872" t="s">
        <v>644</v>
      </c>
      <c r="E872" s="192">
        <v>1.3678970349302265E-2</v>
      </c>
    </row>
    <row r="873" spans="1:5" x14ac:dyDescent="0.2">
      <c r="A873" t="s">
        <v>2451</v>
      </c>
      <c r="B873" t="s">
        <v>631</v>
      </c>
      <c r="C873" t="s">
        <v>2452</v>
      </c>
      <c r="D873" t="s">
        <v>644</v>
      </c>
      <c r="E873" s="192">
        <v>0.12726821881209116</v>
      </c>
    </row>
    <row r="874" spans="1:5" x14ac:dyDescent="0.2">
      <c r="A874" t="s">
        <v>2453</v>
      </c>
      <c r="B874" t="s">
        <v>1291</v>
      </c>
      <c r="C874" t="s">
        <v>2454</v>
      </c>
      <c r="D874" t="s">
        <v>644</v>
      </c>
      <c r="E874" s="192">
        <v>6.7958534405238386E-2</v>
      </c>
    </row>
    <row r="875" spans="1:5" x14ac:dyDescent="0.2">
      <c r="A875" t="s">
        <v>2455</v>
      </c>
      <c r="B875" t="s">
        <v>626</v>
      </c>
      <c r="C875" t="s">
        <v>2456</v>
      </c>
      <c r="D875" t="s">
        <v>644</v>
      </c>
      <c r="E875" s="192">
        <v>5.2476394676323153E-2</v>
      </c>
    </row>
    <row r="876" spans="1:5" x14ac:dyDescent="0.2">
      <c r="A876" t="s">
        <v>843</v>
      </c>
      <c r="B876" t="s">
        <v>2457</v>
      </c>
      <c r="C876" t="s">
        <v>2458</v>
      </c>
      <c r="D876" t="s">
        <v>644</v>
      </c>
      <c r="E876" s="192">
        <v>1.3273222534897754E-2</v>
      </c>
    </row>
    <row r="877" spans="1:5" x14ac:dyDescent="0.2">
      <c r="A877" t="s">
        <v>2459</v>
      </c>
      <c r="B877" t="s">
        <v>689</v>
      </c>
      <c r="C877" t="s">
        <v>2460</v>
      </c>
      <c r="D877" t="s">
        <v>644</v>
      </c>
      <c r="E877" s="192">
        <v>0.12628006423362428</v>
      </c>
    </row>
    <row r="878" spans="1:5" x14ac:dyDescent="0.2">
      <c r="A878" t="s">
        <v>2461</v>
      </c>
      <c r="B878" t="s">
        <v>1290</v>
      </c>
      <c r="C878" t="s">
        <v>2462</v>
      </c>
      <c r="D878" t="s">
        <v>644</v>
      </c>
      <c r="E878" s="192">
        <v>1.3646569952390648E-2</v>
      </c>
    </row>
    <row r="879" spans="1:5" x14ac:dyDescent="0.2">
      <c r="A879" t="s">
        <v>642</v>
      </c>
      <c r="B879" t="s">
        <v>1841</v>
      </c>
      <c r="C879" t="s">
        <v>1841</v>
      </c>
      <c r="D879" t="s">
        <v>642</v>
      </c>
      <c r="E879" s="192">
        <v>1</v>
      </c>
    </row>
    <row r="880" spans="1:5" x14ac:dyDescent="0.2">
      <c r="A880" t="s">
        <v>2437</v>
      </c>
      <c r="B880" t="s">
        <v>630</v>
      </c>
      <c r="C880" t="s">
        <v>2438</v>
      </c>
      <c r="D880" t="s">
        <v>642</v>
      </c>
      <c r="E880" s="192">
        <v>1.1880558423956836E-2</v>
      </c>
    </row>
    <row r="881" spans="1:5" x14ac:dyDescent="0.2">
      <c r="A881" t="s">
        <v>2439</v>
      </c>
      <c r="B881" t="s">
        <v>625</v>
      </c>
      <c r="C881" t="s">
        <v>2440</v>
      </c>
      <c r="D881" t="s">
        <v>642</v>
      </c>
      <c r="E881" s="192">
        <v>4.5207271766762189E-2</v>
      </c>
    </row>
    <row r="882" spans="1:5" x14ac:dyDescent="0.2">
      <c r="A882" t="s">
        <v>2441</v>
      </c>
      <c r="B882" t="s">
        <v>1264</v>
      </c>
      <c r="C882" t="s">
        <v>2442</v>
      </c>
      <c r="D882" t="s">
        <v>642</v>
      </c>
      <c r="E882" s="192">
        <v>6.2278003256340718E-2</v>
      </c>
    </row>
    <row r="883" spans="1:5" x14ac:dyDescent="0.2">
      <c r="A883" t="s">
        <v>2443</v>
      </c>
      <c r="B883" t="s">
        <v>632</v>
      </c>
      <c r="C883" t="s">
        <v>2444</v>
      </c>
      <c r="D883" t="s">
        <v>642</v>
      </c>
      <c r="E883" s="192">
        <v>3.021188982214984E-2</v>
      </c>
    </row>
    <row r="884" spans="1:5" x14ac:dyDescent="0.2">
      <c r="A884" t="s">
        <v>2445</v>
      </c>
      <c r="B884" t="s">
        <v>629</v>
      </c>
      <c r="C884" t="s">
        <v>2446</v>
      </c>
      <c r="D884" t="s">
        <v>642</v>
      </c>
      <c r="E884" s="192">
        <v>8.066179131637724E-2</v>
      </c>
    </row>
    <row r="885" spans="1:5" x14ac:dyDescent="0.2">
      <c r="A885" t="s">
        <v>2447</v>
      </c>
      <c r="B885" t="s">
        <v>628</v>
      </c>
      <c r="C885" t="s">
        <v>2448</v>
      </c>
      <c r="D885" t="s">
        <v>642</v>
      </c>
      <c r="E885" s="192">
        <v>0.10099175288421498</v>
      </c>
    </row>
    <row r="886" spans="1:5" x14ac:dyDescent="0.2">
      <c r="A886" t="s">
        <v>2449</v>
      </c>
      <c r="B886" t="s">
        <v>591</v>
      </c>
      <c r="C886" t="s">
        <v>2450</v>
      </c>
      <c r="D886" t="s">
        <v>642</v>
      </c>
      <c r="E886" s="192">
        <v>2.80751285999183E-2</v>
      </c>
    </row>
    <row r="887" spans="1:5" x14ac:dyDescent="0.2">
      <c r="A887" t="s">
        <v>2451</v>
      </c>
      <c r="B887" t="s">
        <v>631</v>
      </c>
      <c r="C887" t="s">
        <v>2452</v>
      </c>
      <c r="D887" t="s">
        <v>642</v>
      </c>
      <c r="E887" s="192">
        <v>5.0059819285955813E-2</v>
      </c>
    </row>
    <row r="888" spans="1:5" x14ac:dyDescent="0.2">
      <c r="A888" t="s">
        <v>2453</v>
      </c>
      <c r="B888" t="s">
        <v>1291</v>
      </c>
      <c r="C888" t="s">
        <v>2454</v>
      </c>
      <c r="D888" t="s">
        <v>642</v>
      </c>
      <c r="E888" s="192">
        <v>0.1478751705580123</v>
      </c>
    </row>
    <row r="889" spans="1:5" x14ac:dyDescent="0.2">
      <c r="A889" t="s">
        <v>2455</v>
      </c>
      <c r="B889" t="s">
        <v>626</v>
      </c>
      <c r="C889" t="s">
        <v>2456</v>
      </c>
      <c r="D889" t="s">
        <v>642</v>
      </c>
      <c r="E889" s="192">
        <v>0.11364042395739399</v>
      </c>
    </row>
    <row r="890" spans="1:5" x14ac:dyDescent="0.2">
      <c r="A890" t="s">
        <v>843</v>
      </c>
      <c r="B890" t="s">
        <v>2457</v>
      </c>
      <c r="C890" t="s">
        <v>2458</v>
      </c>
      <c r="D890" t="s">
        <v>642</v>
      </c>
      <c r="E890" s="192">
        <v>2.7316663152874253E-2</v>
      </c>
    </row>
    <row r="891" spans="1:5" x14ac:dyDescent="0.2">
      <c r="A891" t="s">
        <v>2459</v>
      </c>
      <c r="B891" t="s">
        <v>689</v>
      </c>
      <c r="C891" t="s">
        <v>2460</v>
      </c>
      <c r="D891" t="s">
        <v>642</v>
      </c>
      <c r="E891" s="192">
        <v>0.27374532739269875</v>
      </c>
    </row>
    <row r="892" spans="1:5" x14ac:dyDescent="0.2">
      <c r="A892" t="s">
        <v>2461</v>
      </c>
      <c r="B892" t="s">
        <v>1290</v>
      </c>
      <c r="C892" t="s">
        <v>2462</v>
      </c>
      <c r="D892" t="s">
        <v>642</v>
      </c>
      <c r="E892" s="192">
        <v>2.8056199583344561E-2</v>
      </c>
    </row>
    <row r="893" spans="1:5" x14ac:dyDescent="0.2">
      <c r="A893" t="s">
        <v>2463</v>
      </c>
      <c r="B893" t="s">
        <v>1841</v>
      </c>
      <c r="C893" t="s">
        <v>1841</v>
      </c>
      <c r="D893" t="s">
        <v>2463</v>
      </c>
      <c r="E893" s="192">
        <v>1</v>
      </c>
    </row>
    <row r="894" spans="1:5" x14ac:dyDescent="0.2">
      <c r="A894" t="s">
        <v>2437</v>
      </c>
      <c r="B894" t="s">
        <v>630</v>
      </c>
      <c r="C894" t="s">
        <v>2438</v>
      </c>
      <c r="D894" t="s">
        <v>2463</v>
      </c>
      <c r="E894" s="192">
        <v>6.4394016716338445E-2</v>
      </c>
    </row>
    <row r="895" spans="1:5" x14ac:dyDescent="0.2">
      <c r="A895" t="s">
        <v>2445</v>
      </c>
      <c r="B895" t="s">
        <v>629</v>
      </c>
      <c r="C895" t="s">
        <v>2446</v>
      </c>
      <c r="D895" t="s">
        <v>2463</v>
      </c>
      <c r="E895" s="192">
        <v>0.32789408457274305</v>
      </c>
    </row>
    <row r="896" spans="1:5" x14ac:dyDescent="0.2">
      <c r="A896" t="s">
        <v>2447</v>
      </c>
      <c r="B896" t="s">
        <v>628</v>
      </c>
      <c r="C896" t="s">
        <v>2448</v>
      </c>
      <c r="D896" t="s">
        <v>2463</v>
      </c>
      <c r="E896" s="192">
        <v>0.40827579829915661</v>
      </c>
    </row>
    <row r="897" spans="1:5" x14ac:dyDescent="0.2">
      <c r="A897" t="s">
        <v>2449</v>
      </c>
      <c r="B897" t="s">
        <v>591</v>
      </c>
      <c r="C897" t="s">
        <v>2450</v>
      </c>
      <c r="D897" t="s">
        <v>2463</v>
      </c>
      <c r="E897" s="192">
        <v>2.2060543029522356E-3</v>
      </c>
    </row>
    <row r="898" spans="1:5" x14ac:dyDescent="0.2">
      <c r="A898" t="s">
        <v>2451</v>
      </c>
      <c r="B898" t="s">
        <v>631</v>
      </c>
      <c r="C898" t="s">
        <v>2452</v>
      </c>
      <c r="D898" t="s">
        <v>2463</v>
      </c>
      <c r="E898" s="192">
        <v>0.19723004610880984</v>
      </c>
    </row>
    <row r="899" spans="1:5" x14ac:dyDescent="0.2">
      <c r="A899" t="s">
        <v>184</v>
      </c>
      <c r="B899" t="s">
        <v>1841</v>
      </c>
      <c r="C899" t="s">
        <v>1841</v>
      </c>
      <c r="D899" t="s">
        <v>184</v>
      </c>
      <c r="E899" s="192">
        <v>1</v>
      </c>
    </row>
    <row r="900" spans="1:5" x14ac:dyDescent="0.2">
      <c r="A900" t="s">
        <v>1939</v>
      </c>
      <c r="B900" t="s">
        <v>1940</v>
      </c>
      <c r="C900" t="s">
        <v>1533</v>
      </c>
      <c r="D900" t="s">
        <v>184</v>
      </c>
      <c r="E900" s="192">
        <v>2.0421219121089948E-2</v>
      </c>
    </row>
    <row r="901" spans="1:5" x14ac:dyDescent="0.2">
      <c r="A901" t="s">
        <v>2464</v>
      </c>
      <c r="B901" t="s">
        <v>2465</v>
      </c>
      <c r="C901" t="s">
        <v>1552</v>
      </c>
      <c r="D901" t="s">
        <v>184</v>
      </c>
      <c r="E901" s="192">
        <v>2.5553374189382711E-2</v>
      </c>
    </row>
    <row r="902" spans="1:5" x14ac:dyDescent="0.2">
      <c r="A902" t="s">
        <v>2104</v>
      </c>
      <c r="B902" t="s">
        <v>387</v>
      </c>
      <c r="C902" t="s">
        <v>1536</v>
      </c>
      <c r="D902" t="s">
        <v>184</v>
      </c>
      <c r="E902" s="192">
        <v>5.7504536012450085E-2</v>
      </c>
    </row>
    <row r="903" spans="1:5" x14ac:dyDescent="0.2">
      <c r="A903" t="s">
        <v>991</v>
      </c>
      <c r="B903" t="s">
        <v>2466</v>
      </c>
      <c r="C903" t="s">
        <v>1553</v>
      </c>
      <c r="D903" t="s">
        <v>184</v>
      </c>
      <c r="E903" s="192">
        <v>4.1222091141212137E-4</v>
      </c>
    </row>
    <row r="904" spans="1:5" x14ac:dyDescent="0.2">
      <c r="A904" t="s">
        <v>2467</v>
      </c>
      <c r="B904" t="s">
        <v>2468</v>
      </c>
      <c r="C904" t="s">
        <v>1553</v>
      </c>
      <c r="D904" t="s">
        <v>184</v>
      </c>
      <c r="E904" s="192">
        <v>2.3707413502327399E-2</v>
      </c>
    </row>
    <row r="905" spans="1:5" x14ac:dyDescent="0.2">
      <c r="A905" t="s">
        <v>992</v>
      </c>
      <c r="B905" t="s">
        <v>2469</v>
      </c>
      <c r="C905" t="s">
        <v>1554</v>
      </c>
      <c r="D905" t="s">
        <v>184</v>
      </c>
      <c r="E905" s="192">
        <v>2.2985280757415204E-2</v>
      </c>
    </row>
    <row r="906" spans="1:5" x14ac:dyDescent="0.2">
      <c r="A906" t="s">
        <v>2204</v>
      </c>
      <c r="B906" t="s">
        <v>322</v>
      </c>
      <c r="C906" t="s">
        <v>1555</v>
      </c>
      <c r="D906" t="s">
        <v>184</v>
      </c>
      <c r="E906" s="192">
        <v>4.0080494864323274E-2</v>
      </c>
    </row>
    <row r="907" spans="1:5" x14ac:dyDescent="0.2">
      <c r="A907" t="s">
        <v>994</v>
      </c>
      <c r="B907" t="s">
        <v>1984</v>
      </c>
      <c r="C907" t="s">
        <v>1556</v>
      </c>
      <c r="D907" t="s">
        <v>184</v>
      </c>
      <c r="E907" s="192">
        <v>2.1745218975513687E-2</v>
      </c>
    </row>
    <row r="908" spans="1:5" x14ac:dyDescent="0.2">
      <c r="A908" t="s">
        <v>2280</v>
      </c>
      <c r="B908" t="s">
        <v>2281</v>
      </c>
      <c r="C908" t="s">
        <v>1557</v>
      </c>
      <c r="D908" t="s">
        <v>184</v>
      </c>
      <c r="E908" s="192">
        <v>2.4424980524903307E-2</v>
      </c>
    </row>
    <row r="909" spans="1:5" x14ac:dyDescent="0.2">
      <c r="A909" t="s">
        <v>995</v>
      </c>
      <c r="B909" t="s">
        <v>1987</v>
      </c>
      <c r="C909" t="s">
        <v>1558</v>
      </c>
      <c r="D909" t="s">
        <v>184</v>
      </c>
      <c r="E909" s="192">
        <v>2.9042794673855329E-2</v>
      </c>
    </row>
    <row r="910" spans="1:5" x14ac:dyDescent="0.2">
      <c r="A910" t="s">
        <v>2470</v>
      </c>
      <c r="B910" t="s">
        <v>414</v>
      </c>
      <c r="C910" t="s">
        <v>1559</v>
      </c>
      <c r="D910" t="s">
        <v>184</v>
      </c>
      <c r="E910" s="192">
        <v>2.8107898722610724E-2</v>
      </c>
    </row>
    <row r="911" spans="1:5" x14ac:dyDescent="0.2">
      <c r="A911" t="s">
        <v>2051</v>
      </c>
      <c r="B911" t="s">
        <v>2052</v>
      </c>
      <c r="C911" t="s">
        <v>1560</v>
      </c>
      <c r="D911" t="s">
        <v>184</v>
      </c>
      <c r="E911" s="192">
        <v>3.7305736444963808E-2</v>
      </c>
    </row>
    <row r="912" spans="1:5" x14ac:dyDescent="0.2">
      <c r="A912" t="s">
        <v>2471</v>
      </c>
      <c r="B912" t="s">
        <v>415</v>
      </c>
      <c r="C912" t="s">
        <v>1561</v>
      </c>
      <c r="D912" t="s">
        <v>184</v>
      </c>
      <c r="E912" s="192">
        <v>1.7175033690045548E-2</v>
      </c>
    </row>
    <row r="913" spans="1:5" x14ac:dyDescent="0.2">
      <c r="A913" t="s">
        <v>2472</v>
      </c>
      <c r="B913" t="s">
        <v>2473</v>
      </c>
      <c r="C913" t="s">
        <v>1562</v>
      </c>
      <c r="D913" t="s">
        <v>184</v>
      </c>
      <c r="E913" s="192">
        <v>5.179873362593702E-4</v>
      </c>
    </row>
    <row r="914" spans="1:5" x14ac:dyDescent="0.2">
      <c r="A914" t="s">
        <v>2474</v>
      </c>
      <c r="B914" t="s">
        <v>419</v>
      </c>
      <c r="C914" t="s">
        <v>1562</v>
      </c>
      <c r="D914" t="s">
        <v>184</v>
      </c>
      <c r="E914" s="192">
        <v>2.9307723485555166E-2</v>
      </c>
    </row>
    <row r="915" spans="1:5" x14ac:dyDescent="0.2">
      <c r="A915" t="s">
        <v>2057</v>
      </c>
      <c r="B915" t="s">
        <v>2058</v>
      </c>
      <c r="C915" t="s">
        <v>1563</v>
      </c>
      <c r="D915" t="s">
        <v>184</v>
      </c>
      <c r="E915" s="192">
        <v>3.1778268087311067E-2</v>
      </c>
    </row>
    <row r="916" spans="1:5" x14ac:dyDescent="0.2">
      <c r="A916" t="s">
        <v>2475</v>
      </c>
      <c r="B916" t="s">
        <v>418</v>
      </c>
      <c r="C916" t="s">
        <v>1564</v>
      </c>
      <c r="D916" t="s">
        <v>184</v>
      </c>
      <c r="E916" s="192">
        <v>3.2329998880973897E-2</v>
      </c>
    </row>
    <row r="917" spans="1:5" x14ac:dyDescent="0.2">
      <c r="A917" t="s">
        <v>2476</v>
      </c>
      <c r="B917" t="s">
        <v>2477</v>
      </c>
      <c r="C917" t="s">
        <v>1565</v>
      </c>
      <c r="D917" t="s">
        <v>184</v>
      </c>
      <c r="E917" s="192">
        <v>2.7270429843755561E-2</v>
      </c>
    </row>
    <row r="918" spans="1:5" x14ac:dyDescent="0.2">
      <c r="A918" t="s">
        <v>2478</v>
      </c>
      <c r="B918" t="s">
        <v>2479</v>
      </c>
      <c r="C918" t="s">
        <v>1566</v>
      </c>
      <c r="D918" t="s">
        <v>184</v>
      </c>
      <c r="E918" s="192">
        <v>2.261694837083409E-2</v>
      </c>
    </row>
    <row r="919" spans="1:5" x14ac:dyDescent="0.2">
      <c r="A919" t="s">
        <v>2480</v>
      </c>
      <c r="B919" t="s">
        <v>2481</v>
      </c>
      <c r="C919" t="s">
        <v>1567</v>
      </c>
      <c r="D919" t="s">
        <v>184</v>
      </c>
      <c r="E919" s="192">
        <v>6.1525407360907226E-4</v>
      </c>
    </row>
    <row r="920" spans="1:5" x14ac:dyDescent="0.2">
      <c r="A920" t="s">
        <v>1996</v>
      </c>
      <c r="B920" t="s">
        <v>1997</v>
      </c>
      <c r="C920" t="s">
        <v>1567</v>
      </c>
      <c r="D920" t="s">
        <v>184</v>
      </c>
      <c r="E920" s="192">
        <v>3.2505923555679314E-2</v>
      </c>
    </row>
    <row r="921" spans="1:5" x14ac:dyDescent="0.2">
      <c r="A921" t="s">
        <v>2482</v>
      </c>
      <c r="B921" t="s">
        <v>2483</v>
      </c>
      <c r="C921" t="s">
        <v>1568</v>
      </c>
      <c r="D921" t="s">
        <v>184</v>
      </c>
      <c r="E921" s="192">
        <v>1.8400708021918438E-2</v>
      </c>
    </row>
    <row r="922" spans="1:5" x14ac:dyDescent="0.2">
      <c r="A922" t="s">
        <v>2000</v>
      </c>
      <c r="B922" t="s">
        <v>2001</v>
      </c>
      <c r="C922" t="s">
        <v>1569</v>
      </c>
      <c r="D922" t="s">
        <v>184</v>
      </c>
      <c r="E922" s="192">
        <v>5.2387546858956822E-4</v>
      </c>
    </row>
    <row r="923" spans="1:5" x14ac:dyDescent="0.2">
      <c r="A923" t="s">
        <v>2002</v>
      </c>
      <c r="B923" t="s">
        <v>2003</v>
      </c>
      <c r="C923" t="s">
        <v>1569</v>
      </c>
      <c r="D923" t="s">
        <v>184</v>
      </c>
      <c r="E923" s="192">
        <v>2.6174513301956741E-2</v>
      </c>
    </row>
    <row r="924" spans="1:5" x14ac:dyDescent="0.2">
      <c r="A924" t="s">
        <v>2484</v>
      </c>
      <c r="B924" t="s">
        <v>2485</v>
      </c>
      <c r="C924" t="s">
        <v>1570</v>
      </c>
      <c r="D924" t="s">
        <v>184</v>
      </c>
      <c r="E924" s="192">
        <v>2.9218836315620909E-2</v>
      </c>
    </row>
    <row r="925" spans="1:5" x14ac:dyDescent="0.2">
      <c r="A925" t="s">
        <v>2063</v>
      </c>
      <c r="B925" t="s">
        <v>2064</v>
      </c>
      <c r="C925" t="s">
        <v>1571</v>
      </c>
      <c r="D925" t="s">
        <v>184</v>
      </c>
      <c r="E925" s="192">
        <v>4.076364495456828E-2</v>
      </c>
    </row>
    <row r="926" spans="1:5" x14ac:dyDescent="0.2">
      <c r="A926" t="s">
        <v>2065</v>
      </c>
      <c r="B926" t="s">
        <v>2066</v>
      </c>
      <c r="C926" t="s">
        <v>1572</v>
      </c>
      <c r="D926" t="s">
        <v>184</v>
      </c>
      <c r="E926" s="192">
        <v>2.5607163016920974E-2</v>
      </c>
    </row>
    <row r="927" spans="1:5" x14ac:dyDescent="0.2">
      <c r="A927" t="s">
        <v>2486</v>
      </c>
      <c r="B927" t="s">
        <v>416</v>
      </c>
      <c r="C927" t="s">
        <v>1573</v>
      </c>
      <c r="D927" t="s">
        <v>184</v>
      </c>
      <c r="E927" s="192">
        <v>3.1707084772182946E-2</v>
      </c>
    </row>
    <row r="928" spans="1:5" x14ac:dyDescent="0.2">
      <c r="A928" t="s">
        <v>2112</v>
      </c>
      <c r="B928" t="s">
        <v>417</v>
      </c>
      <c r="C928" t="s">
        <v>1544</v>
      </c>
      <c r="D928" t="s">
        <v>184</v>
      </c>
      <c r="E928" s="192">
        <v>5.9022671775580043E-2</v>
      </c>
    </row>
    <row r="929" spans="1:5" x14ac:dyDescent="0.2">
      <c r="A929" t="s">
        <v>2113</v>
      </c>
      <c r="B929" t="s">
        <v>411</v>
      </c>
      <c r="C929" t="s">
        <v>1545</v>
      </c>
      <c r="D929" t="s">
        <v>184</v>
      </c>
      <c r="E929" s="192">
        <v>1.4171409848707574E-2</v>
      </c>
    </row>
    <row r="930" spans="1:5" x14ac:dyDescent="0.2">
      <c r="A930" t="s">
        <v>2021</v>
      </c>
      <c r="B930" t="s">
        <v>2022</v>
      </c>
      <c r="C930" t="s">
        <v>1476</v>
      </c>
      <c r="D930" t="s">
        <v>184</v>
      </c>
      <c r="E930" s="192">
        <v>3.6746998540680385E-2</v>
      </c>
    </row>
    <row r="931" spans="1:5" x14ac:dyDescent="0.2">
      <c r="A931" t="s">
        <v>2487</v>
      </c>
      <c r="B931" t="s">
        <v>2488</v>
      </c>
      <c r="C931" t="s">
        <v>1574</v>
      </c>
      <c r="D931" t="s">
        <v>184</v>
      </c>
      <c r="E931" s="192">
        <v>3.1980968835985168E-2</v>
      </c>
    </row>
    <row r="932" spans="1:5" x14ac:dyDescent="0.2">
      <c r="A932" t="s">
        <v>2076</v>
      </c>
      <c r="B932" t="s">
        <v>2077</v>
      </c>
      <c r="C932" t="s">
        <v>1575</v>
      </c>
      <c r="D932" t="s">
        <v>184</v>
      </c>
      <c r="E932" s="192">
        <v>4.2503560496254159E-2</v>
      </c>
    </row>
    <row r="933" spans="1:5" x14ac:dyDescent="0.2">
      <c r="A933" t="s">
        <v>2030</v>
      </c>
      <c r="B933" t="s">
        <v>2031</v>
      </c>
      <c r="C933" t="s">
        <v>1576</v>
      </c>
      <c r="D933" t="s">
        <v>184</v>
      </c>
      <c r="E933" s="192">
        <v>5.7148568857965667E-4</v>
      </c>
    </row>
    <row r="934" spans="1:5" x14ac:dyDescent="0.2">
      <c r="A934" t="s">
        <v>2032</v>
      </c>
      <c r="B934" t="s">
        <v>2033</v>
      </c>
      <c r="C934" t="s">
        <v>1576</v>
      </c>
      <c r="D934" t="s">
        <v>184</v>
      </c>
      <c r="E934" s="192">
        <v>3.4860627003359054E-2</v>
      </c>
    </row>
    <row r="935" spans="1:5" x14ac:dyDescent="0.2">
      <c r="A935" t="s">
        <v>2098</v>
      </c>
      <c r="B935" t="s">
        <v>2099</v>
      </c>
      <c r="C935" t="s">
        <v>1441</v>
      </c>
      <c r="D935" t="s">
        <v>184</v>
      </c>
      <c r="E935" s="192">
        <v>2.1247043548213343E-2</v>
      </c>
    </row>
    <row r="936" spans="1:5" x14ac:dyDescent="0.2">
      <c r="A936" t="s">
        <v>2489</v>
      </c>
      <c r="B936" t="s">
        <v>736</v>
      </c>
      <c r="C936" t="s">
        <v>1577</v>
      </c>
      <c r="D936" t="s">
        <v>184</v>
      </c>
      <c r="E936" s="192">
        <v>2.2144102125474324E-2</v>
      </c>
    </row>
    <row r="937" spans="1:5" x14ac:dyDescent="0.2">
      <c r="A937" t="s">
        <v>2490</v>
      </c>
      <c r="B937" t="s">
        <v>2491</v>
      </c>
      <c r="C937" t="s">
        <v>1578</v>
      </c>
      <c r="D937" t="s">
        <v>184</v>
      </c>
      <c r="E937" s="192">
        <v>1.6531277287711976E-2</v>
      </c>
    </row>
    <row r="938" spans="1:5" x14ac:dyDescent="0.2">
      <c r="A938" t="s">
        <v>2492</v>
      </c>
      <c r="B938" t="s">
        <v>2493</v>
      </c>
      <c r="C938" t="s">
        <v>1579</v>
      </c>
      <c r="D938" t="s">
        <v>184</v>
      </c>
      <c r="E938" s="192">
        <v>2.2415292973425281E-2</v>
      </c>
    </row>
    <row r="939" spans="1:5" x14ac:dyDescent="0.2">
      <c r="A939" t="s">
        <v>1151</v>
      </c>
      <c r="B939" t="s">
        <v>1841</v>
      </c>
      <c r="C939" t="s">
        <v>1841</v>
      </c>
      <c r="D939" t="s">
        <v>1151</v>
      </c>
      <c r="E939" s="192">
        <v>1</v>
      </c>
    </row>
    <row r="940" spans="1:5" x14ac:dyDescent="0.2">
      <c r="A940" t="s">
        <v>793</v>
      </c>
      <c r="B940" t="s">
        <v>588</v>
      </c>
      <c r="C940" t="s">
        <v>1760</v>
      </c>
      <c r="D940" t="s">
        <v>1151</v>
      </c>
      <c r="E940" s="192">
        <v>0.25798378751305595</v>
      </c>
    </row>
    <row r="941" spans="1:5" x14ac:dyDescent="0.2">
      <c r="A941" t="s">
        <v>2494</v>
      </c>
      <c r="B941" t="s">
        <v>2495</v>
      </c>
      <c r="C941" t="s">
        <v>1808</v>
      </c>
      <c r="D941" t="s">
        <v>1151</v>
      </c>
      <c r="E941" s="192">
        <v>5.4856615088012685E-2</v>
      </c>
    </row>
    <row r="942" spans="1:5" x14ac:dyDescent="0.2">
      <c r="A942" t="s">
        <v>2496</v>
      </c>
      <c r="B942" t="s">
        <v>2497</v>
      </c>
      <c r="C942" t="s">
        <v>1807</v>
      </c>
      <c r="D942" t="s">
        <v>1151</v>
      </c>
      <c r="E942" s="192">
        <v>6.81777610574478E-2</v>
      </c>
    </row>
    <row r="943" spans="1:5" x14ac:dyDescent="0.2">
      <c r="A943" t="s">
        <v>2498</v>
      </c>
      <c r="B943" t="s">
        <v>2499</v>
      </c>
      <c r="C943" t="s">
        <v>1804</v>
      </c>
      <c r="D943" t="s">
        <v>1151</v>
      </c>
      <c r="E943" s="192">
        <v>0.12040204148276937</v>
      </c>
    </row>
    <row r="944" spans="1:5" x14ac:dyDescent="0.2">
      <c r="A944" t="s">
        <v>2500</v>
      </c>
      <c r="B944" t="s">
        <v>2501</v>
      </c>
      <c r="C944" t="s">
        <v>1805</v>
      </c>
      <c r="D944" t="s">
        <v>1151</v>
      </c>
      <c r="E944" s="192">
        <v>9.1971705160733941E-2</v>
      </c>
    </row>
    <row r="945" spans="1:5" x14ac:dyDescent="0.2">
      <c r="A945" t="s">
        <v>2502</v>
      </c>
      <c r="B945" t="s">
        <v>2503</v>
      </c>
      <c r="C945" t="s">
        <v>1806</v>
      </c>
      <c r="D945" t="s">
        <v>1151</v>
      </c>
      <c r="E945" s="192">
        <v>7.0047299203360655E-2</v>
      </c>
    </row>
    <row r="946" spans="1:5" x14ac:dyDescent="0.2">
      <c r="A946" t="s">
        <v>2504</v>
      </c>
      <c r="B946" t="s">
        <v>2505</v>
      </c>
      <c r="C946" t="s">
        <v>1856</v>
      </c>
      <c r="D946" t="s">
        <v>1151</v>
      </c>
      <c r="E946" s="192">
        <v>0.33656079049461962</v>
      </c>
    </row>
    <row r="947" spans="1:5" x14ac:dyDescent="0.2">
      <c r="A947" t="s">
        <v>1142</v>
      </c>
      <c r="B947" t="s">
        <v>1841</v>
      </c>
      <c r="C947" t="s">
        <v>1841</v>
      </c>
      <c r="D947" t="s">
        <v>1142</v>
      </c>
      <c r="E947" s="192">
        <v>1</v>
      </c>
    </row>
    <row r="948" spans="1:5" x14ac:dyDescent="0.2">
      <c r="A948" t="s">
        <v>2506</v>
      </c>
      <c r="B948" t="s">
        <v>2507</v>
      </c>
      <c r="C948" t="s">
        <v>1802</v>
      </c>
      <c r="D948" t="s">
        <v>1142</v>
      </c>
      <c r="E948" s="192">
        <v>5.4903603160115874E-2</v>
      </c>
    </row>
    <row r="949" spans="1:5" x14ac:dyDescent="0.2">
      <c r="A949" t="s">
        <v>2508</v>
      </c>
      <c r="B949" t="s">
        <v>2509</v>
      </c>
      <c r="C949" t="s">
        <v>2510</v>
      </c>
      <c r="D949" t="s">
        <v>1142</v>
      </c>
      <c r="E949" s="192">
        <v>3.2971936642155468E-2</v>
      </c>
    </row>
    <row r="950" spans="1:5" x14ac:dyDescent="0.2">
      <c r="A950" t="s">
        <v>2511</v>
      </c>
      <c r="B950" t="s">
        <v>2512</v>
      </c>
      <c r="C950" t="s">
        <v>1795</v>
      </c>
      <c r="D950" t="s">
        <v>1142</v>
      </c>
      <c r="E950" s="192">
        <v>0.10645048155789646</v>
      </c>
    </row>
    <row r="951" spans="1:5" x14ac:dyDescent="0.2">
      <c r="A951" t="s">
        <v>2513</v>
      </c>
      <c r="B951" t="s">
        <v>2514</v>
      </c>
      <c r="C951" t="s">
        <v>1794</v>
      </c>
      <c r="D951" t="s">
        <v>1142</v>
      </c>
      <c r="E951" s="192">
        <v>0.3325059539910864</v>
      </c>
    </row>
    <row r="952" spans="1:5" x14ac:dyDescent="0.2">
      <c r="A952" t="s">
        <v>2515</v>
      </c>
      <c r="B952" t="s">
        <v>2516</v>
      </c>
      <c r="C952" t="s">
        <v>1797</v>
      </c>
      <c r="D952" t="s">
        <v>1142</v>
      </c>
      <c r="E952" s="192">
        <v>0.12271611965526286</v>
      </c>
    </row>
    <row r="953" spans="1:5" x14ac:dyDescent="0.2">
      <c r="A953" t="s">
        <v>2517</v>
      </c>
      <c r="B953" t="s">
        <v>2518</v>
      </c>
      <c r="C953" t="s">
        <v>1798</v>
      </c>
      <c r="D953" t="s">
        <v>1142</v>
      </c>
      <c r="E953" s="192">
        <v>9.2828363365707378E-2</v>
      </c>
    </row>
    <row r="954" spans="1:5" x14ac:dyDescent="0.2">
      <c r="A954" t="s">
        <v>2519</v>
      </c>
      <c r="B954" t="s">
        <v>2520</v>
      </c>
      <c r="C954" t="s">
        <v>1800</v>
      </c>
      <c r="D954" t="s">
        <v>1142</v>
      </c>
      <c r="E954" s="192">
        <v>4.7528819349034017E-2</v>
      </c>
    </row>
    <row r="955" spans="1:5" x14ac:dyDescent="0.2">
      <c r="A955" t="s">
        <v>2521</v>
      </c>
      <c r="B955" t="s">
        <v>2522</v>
      </c>
      <c r="C955" t="s">
        <v>2523</v>
      </c>
      <c r="D955" t="s">
        <v>1142</v>
      </c>
      <c r="E955" s="192">
        <v>1.5932751990337203E-2</v>
      </c>
    </row>
    <row r="956" spans="1:5" x14ac:dyDescent="0.2">
      <c r="A956" t="s">
        <v>2524</v>
      </c>
      <c r="B956" t="s">
        <v>2525</v>
      </c>
      <c r="C956" t="s">
        <v>1801</v>
      </c>
      <c r="D956" t="s">
        <v>1142</v>
      </c>
      <c r="E956" s="192">
        <v>6.7099948824466696E-2</v>
      </c>
    </row>
    <row r="957" spans="1:5" x14ac:dyDescent="0.2">
      <c r="A957" t="s">
        <v>2332</v>
      </c>
      <c r="B957" t="s">
        <v>2333</v>
      </c>
      <c r="C957" t="s">
        <v>1796</v>
      </c>
      <c r="D957" t="s">
        <v>1142</v>
      </c>
      <c r="E957" s="192">
        <v>0.12706202146393772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Copy ETF to VO</vt:lpstr>
      <vt:lpstr>Single Stock</vt:lpstr>
      <vt:lpstr>GBP</vt:lpstr>
      <vt:lpstr>USD</vt:lpstr>
      <vt:lpstr>EUR</vt:lpstr>
      <vt:lpstr>AUD</vt:lpstr>
      <vt:lpstr>Vanguard</vt:lpstr>
      <vt:lpstr>ETF IBKR Upload</vt:lpstr>
      <vt:lpstr>SS IBKR Upload</vt:lpstr>
      <vt:lpstr>USD VO</vt:lpstr>
      <vt:lpstr>GBP VO</vt:lpstr>
      <vt:lpstr>EUR VO</vt:lpstr>
      <vt:lpstr>AUD VO</vt:lpstr>
      <vt:lpstr>Single Stock VO</vt:lpstr>
      <vt:lpstr>Fiduciary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Friedland</dc:creator>
  <cp:lastModifiedBy>Jacob Friedland</cp:lastModifiedBy>
  <dcterms:created xsi:type="dcterms:W3CDTF">2025-04-14T08:19:04Z</dcterms:created>
  <dcterms:modified xsi:type="dcterms:W3CDTF">2026-03-06T07:51:48Z</dcterms:modified>
</cp:coreProperties>
</file>